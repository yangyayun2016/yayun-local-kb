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1" activeTab="1"/>
  </bookViews>
  <sheets>
    <sheet name="阶段实际盈亏" sheetId="20" state="hidden" r:id="rId1"/>
    <sheet name="价格策略模拟" sheetId="29" r:id="rId2"/>
    <sheet name="阶段总盈亏" sheetId="16" r:id="rId3"/>
    <sheet name="CPC模拟表格" sheetId="15" r:id="rId4"/>
    <sheet name="毛利模拟盈亏" sheetId="17" r:id="rId5"/>
    <sheet name="关键词词库" sheetId="36" r:id="rId6"/>
    <sheet name="主攻关键词" sheetId="37" r:id="rId7"/>
    <sheet name="广告布局" sheetId="28" r:id="rId8"/>
    <sheet name="每日订单真实数据" sheetId="32" r:id="rId9"/>
    <sheet name="数据演示" sheetId="38" r:id="rId10"/>
    <sheet name="2" sheetId="25" state="hidden" r:id="rId11"/>
    <sheet name="逮虾户上贴费用详情" sheetId="26" state="hidden" r:id="rId12"/>
    <sheet name="西柚找词垃圾词" sheetId="27" state="hidden" r:id="rId13"/>
  </sheets>
  <definedNames>
    <definedName name="_xlnm._FilterDatabase" localSheetId="5" hidden="1">关键词词库!$A$1:$R$435</definedName>
    <definedName name="_xlnm._FilterDatabase" localSheetId="10" hidden="1">'2'!$A$1:$AZ$13</definedName>
    <definedName name="_xlnm._FilterDatabase" localSheetId="11" hidden="1">逮虾户上贴费用详情!$A$1:$S$1343</definedName>
    <definedName name="_xlnm._FilterDatabase" localSheetId="12" hidden="1">西柚找词垃圾词!#REF!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<sst xmlns="http://schemas.openxmlformats.org/spreadsheetml/2006/main" count="3623" uniqueCount="1659">
  <si>
    <t>时间</t>
  </si>
  <si>
    <t>实际</t>
  </si>
  <si>
    <t>价格</t>
  </si>
  <si>
    <t>站内
coupon</t>
  </si>
  <si>
    <t>站内
code</t>
  </si>
  <si>
    <t>站外
折扣</t>
  </si>
  <si>
    <t>站外
订单</t>
  </si>
  <si>
    <t>站内
自然单</t>
  </si>
  <si>
    <t>站内
广告单</t>
  </si>
  <si>
    <t>阶段
销售
订单</t>
  </si>
  <si>
    <t>时间
/天</t>
  </si>
  <si>
    <t>阶段广告费
（出1单广告单预估）</t>
  </si>
  <si>
    <t>阶段站外费用
（5美金/单）</t>
  </si>
  <si>
    <t>阶段订单
盈亏</t>
  </si>
  <si>
    <t>阶段亏损
/美金</t>
  </si>
  <si>
    <t>六阶段
总亏损</t>
  </si>
  <si>
    <t>阶段日均
订单</t>
  </si>
  <si>
    <t>阶段日均
广告订单</t>
  </si>
  <si>
    <t>阶段日均
自然订单</t>
  </si>
  <si>
    <t>新品
排行榜</t>
  </si>
  <si>
    <t>小类目
排名</t>
  </si>
  <si>
    <t>9月7-9月12</t>
  </si>
  <si>
    <t>第一阶段</t>
  </si>
  <si>
    <t>9月13-9月21</t>
  </si>
  <si>
    <t>第二阶段</t>
  </si>
  <si>
    <t>9月22-10月1</t>
  </si>
  <si>
    <t>第三阶段</t>
  </si>
  <si>
    <t>10月2-10月11</t>
  </si>
  <si>
    <t>第四阶段</t>
  </si>
  <si>
    <t>10月12-10月21</t>
  </si>
  <si>
    <t>第五阶段</t>
  </si>
  <si>
    <t>10月22-10月31</t>
  </si>
  <si>
    <t>第六阶段</t>
  </si>
  <si>
    <t>11月1-11月30</t>
  </si>
  <si>
    <t>十一月份</t>
  </si>
  <si>
    <t>12月1-12月31</t>
  </si>
  <si>
    <t>十二月份</t>
  </si>
  <si>
    <t>1月1-1月31</t>
  </si>
  <si>
    <t>一月份</t>
  </si>
  <si>
    <t>价格策略模拟</t>
  </si>
  <si>
    <t>阶段</t>
  </si>
  <si>
    <t>定价</t>
  </si>
  <si>
    <t>coupon</t>
  </si>
  <si>
    <t>code</t>
  </si>
  <si>
    <t>折后价</t>
  </si>
  <si>
    <t>FBA    
配送费</t>
  </si>
  <si>
    <t>亚马逊
佣金</t>
  </si>
  <si>
    <t>账号
回款</t>
  </si>
  <si>
    <t>仓储费+入库配置费</t>
  </si>
  <si>
    <t>coupon
费用</t>
  </si>
  <si>
    <t>产品
成本</t>
  </si>
  <si>
    <t>物流费</t>
  </si>
  <si>
    <t>退货成本(公式后面加的是单套产品的移除费）</t>
  </si>
  <si>
    <t>退货率</t>
  </si>
  <si>
    <t>每单平摊
退货成本</t>
  </si>
  <si>
    <t>每单
毛利</t>
  </si>
  <si>
    <t>毛利率</t>
  </si>
  <si>
    <t>订单
数量</t>
  </si>
  <si>
    <t>阶段
订单
亏损</t>
  </si>
  <si>
    <t>阶段
订单
总盈亏</t>
  </si>
  <si>
    <t>竞品日常价格</t>
  </si>
  <si>
    <t>竞品活动价格</t>
  </si>
  <si>
    <t>竞品链接</t>
  </si>
  <si>
    <t>https://www.amazon.com/Back-Brace-Posture-Corrector-Women/dp/B099WTPXN5</t>
  </si>
  <si>
    <t>最新爆款链接推广表格数据模拟（送10本杂志）</t>
  </si>
  <si>
    <t>https://mp.weixin.qq.com/s/qAN_F4X7sGrzxkUmNgb7TA</t>
  </si>
  <si>
    <t>阶段盈亏模拟数据</t>
  </si>
  <si>
    <t>日期</t>
  </si>
  <si>
    <t>cou
pon</t>
  </si>
  <si>
    <t>CPA</t>
  </si>
  <si>
    <t>阶段
广告费</t>
  </si>
  <si>
    <t>毛利
盈亏</t>
  </si>
  <si>
    <t>阶段盈亏
/美金</t>
  </si>
  <si>
    <t>评论
数量</t>
  </si>
  <si>
    <t>阶段
日均
订单</t>
  </si>
  <si>
    <t>阶段
日均
广告单</t>
  </si>
  <si>
    <t>阶段
日均
自然单</t>
  </si>
  <si>
    <t>日均
广告费</t>
  </si>
  <si>
    <t>每周
销售额</t>
  </si>
  <si>
    <t>Tacos</t>
  </si>
  <si>
    <t>备注</t>
  </si>
  <si>
    <t>种子评论费/（开3条VINE，预计来70条评论）,视觉化费用预估3000美金</t>
  </si>
  <si>
    <t>前期亏损/美金</t>
  </si>
  <si>
    <t>人民币</t>
  </si>
  <si>
    <t>第1周</t>
  </si>
  <si>
    <t>前100名</t>
  </si>
  <si>
    <t>第2周</t>
  </si>
  <si>
    <t>前90名</t>
  </si>
  <si>
    <t>第3周</t>
  </si>
  <si>
    <t>前80名</t>
  </si>
  <si>
    <t>第4周</t>
  </si>
  <si>
    <t>前70名</t>
  </si>
  <si>
    <t>第5周</t>
  </si>
  <si>
    <t>前60名</t>
  </si>
  <si>
    <t>第6周</t>
  </si>
  <si>
    <t>前50名</t>
  </si>
  <si>
    <t>第7周</t>
  </si>
  <si>
    <t>前45名</t>
  </si>
  <si>
    <t>第8周</t>
  </si>
  <si>
    <t>前40名</t>
  </si>
  <si>
    <t>第9周</t>
  </si>
  <si>
    <t>前35名</t>
  </si>
  <si>
    <t>第10周</t>
  </si>
  <si>
    <t>前30名</t>
  </si>
  <si>
    <t>第11周</t>
  </si>
  <si>
    <t>前25名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</si>
  <si>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</si>
  <si>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</si>
  <si>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</si>
  <si>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</si>
  <si>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</si>
  <si>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</si>
  <si>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</si>
  <si>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</si>
  <si>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</si>
  <si>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</si>
  <si>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</si>
  <si>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</si>
  <si>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</si>
  <si>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阶段盈亏真实数据</t>
  </si>
  <si>
    <t>常规数据</t>
  </si>
  <si>
    <t>广告数据</t>
  </si>
  <si>
    <t>实时更新</t>
  </si>
  <si>
    <t>操作备注</t>
  </si>
  <si>
    <t>周</t>
  </si>
  <si>
    <t>新品
榜单</t>
  </si>
  <si>
    <t>总
销量</t>
  </si>
  <si>
    <t>总访
问量</t>
  </si>
  <si>
    <t>CVR</t>
  </si>
  <si>
    <t>评分</t>
  </si>
  <si>
    <t>曝光量</t>
  </si>
  <si>
    <t>点击量</t>
  </si>
  <si>
    <t>CTR</t>
  </si>
  <si>
    <t>广告单</t>
  </si>
  <si>
    <t>平均
CPC</t>
  </si>
  <si>
    <t>花费</t>
  </si>
  <si>
    <t>ACOS</t>
  </si>
  <si>
    <t>自然
访问</t>
  </si>
  <si>
    <t>自然
订单</t>
  </si>
  <si>
    <t>自然
单占比</t>
  </si>
  <si>
    <t>最终
盈亏</t>
  </si>
  <si>
    <t>质量分</t>
  </si>
  <si>
    <t>运营调整</t>
  </si>
  <si>
    <t>广告操作</t>
  </si>
  <si>
    <t>广告真实数据</t>
  </si>
  <si>
    <t>每日盈亏数据预估</t>
  </si>
  <si>
    <t>每日盈亏真实数据</t>
  </si>
  <si>
    <t>#</t>
  </si>
  <si>
    <t>关键词</t>
  </si>
  <si>
    <t>埋入单词根</t>
  </si>
  <si>
    <t>埋入关键词位置</t>
  </si>
  <si>
    <t>组合</t>
  </si>
  <si>
    <t>关键词归类</t>
  </si>
  <si>
    <t>翻译</t>
  </si>
  <si>
    <t>相关性</t>
  </si>
  <si>
    <t>周ABA
排名</t>
  </si>
  <si>
    <t>周搜索量</t>
  </si>
  <si>
    <t>关键词
词根归类</t>
  </si>
  <si>
    <t>关键词
大小归类</t>
  </si>
  <si>
    <t>点击
集中度</t>
  </si>
  <si>
    <t>前三ASIN
转化总占比</t>
  </si>
  <si>
    <t>CPC
（广告竞价）</t>
  </si>
  <si>
    <t>CVR
(点击转化率)</t>
  </si>
  <si>
    <t>客单价
（平均值）</t>
  </si>
  <si>
    <t>dash cam</t>
  </si>
  <si>
    <t>dash和cam</t>
  </si>
  <si>
    <t>标题</t>
  </si>
  <si>
    <t>标题有序组合</t>
  </si>
  <si>
    <t>共性关键词</t>
  </si>
  <si>
    <t>行车记录仪</t>
  </si>
  <si>
    <t>中相关</t>
  </si>
  <si>
    <t>大词</t>
  </si>
  <si>
    <t>dash camera for cars</t>
  </si>
  <si>
    <t>camera和cars</t>
  </si>
  <si>
    <t>汽车破折号摄像头</t>
  </si>
  <si>
    <t>dashcam</t>
  </si>
  <si>
    <t>garmin dash cam</t>
  </si>
  <si>
    <t>属性关键词</t>
  </si>
  <si>
    <t>佳明行车记录仪</t>
  </si>
  <si>
    <t>高相关</t>
  </si>
  <si>
    <t>car decals</t>
  </si>
  <si>
    <t>汽车贴纸</t>
  </si>
  <si>
    <t>低相关</t>
  </si>
  <si>
    <t>car camera</t>
  </si>
  <si>
    <t>汽车摄像头</t>
  </si>
  <si>
    <t>dash camera</t>
  </si>
  <si>
    <t>car dash cam</t>
  </si>
  <si>
    <t>五点</t>
  </si>
  <si>
    <t>标题无序组合出来</t>
  </si>
  <si>
    <t>汽车行车记录仪</t>
  </si>
  <si>
    <t>viofo dash cam</t>
  </si>
  <si>
    <t>Viofo行车记录仪</t>
  </si>
  <si>
    <t>wireless dash cam</t>
  </si>
  <si>
    <t>无线行车记录仪</t>
  </si>
  <si>
    <t>vantrue dash cam</t>
  </si>
  <si>
    <t>Vantrue行车记录仪</t>
  </si>
  <si>
    <t>camara de seguridad para carro</t>
  </si>
  <si>
    <t>卡马拉-德塞古里达帕拉卡罗</t>
  </si>
  <si>
    <t>garmin dash cam mini 2</t>
  </si>
  <si>
    <t>garmin迷你2行车记录仪</t>
  </si>
  <si>
    <t>dashcams for cars</t>
  </si>
  <si>
    <t>camera for car</t>
  </si>
  <si>
    <t>汽车相机</t>
  </si>
  <si>
    <t>nexar dash cam</t>
  </si>
  <si>
    <t>Nexar行车记录仪</t>
  </si>
  <si>
    <t>rove r2-4k car dash cam</t>
  </si>
  <si>
    <t>罗夫R2-4K汽车行车记录仪</t>
  </si>
  <si>
    <t>dash cam front</t>
  </si>
  <si>
    <t>前置行车记录仪</t>
  </si>
  <si>
    <t>top rated dash camera</t>
  </si>
  <si>
    <t>顶级仪表板摄像机</t>
  </si>
  <si>
    <t>70mai dash cam</t>
  </si>
  <si>
    <t>70迈行车记录仪</t>
  </si>
  <si>
    <t>garmin mini 2 dash cam</t>
  </si>
  <si>
    <t>redtiger dash cam</t>
  </si>
  <si>
    <t>红虎行车记录仪</t>
  </si>
  <si>
    <t>viofo</t>
  </si>
  <si>
    <t>dash cams</t>
  </si>
  <si>
    <t>viofo a119 v3</t>
  </si>
  <si>
    <t>维欧福A119 V3</t>
  </si>
  <si>
    <t>4k dash cam</t>
  </si>
  <si>
    <t>4k行车记录仪</t>
  </si>
  <si>
    <t>中词</t>
  </si>
  <si>
    <t>dash cam 4k</t>
  </si>
  <si>
    <t>4K行车记录仪</t>
  </si>
  <si>
    <t>vantrue</t>
  </si>
  <si>
    <t>thinkware dash cam</t>
  </si>
  <si>
    <t>Thinkware行车记录仪</t>
  </si>
  <si>
    <t>red tiger dashcam</t>
  </si>
  <si>
    <t>红虎dashcam</t>
  </si>
  <si>
    <t>car cameras for surveillance 360 24 hour recording</t>
  </si>
  <si>
    <t>用于监控的车载摄像机360 24小时记录</t>
  </si>
  <si>
    <t>dash cams for cars</t>
  </si>
  <si>
    <t>car on-dash mounted cameras</t>
  </si>
  <si>
    <t>汽车仪表盘安装摄像头</t>
  </si>
  <si>
    <t>absuyy dash cam</t>
  </si>
  <si>
    <t>car security camera</t>
  </si>
  <si>
    <t>汽车安全摄像头</t>
  </si>
  <si>
    <t>dashboard cameras for vehicles</t>
  </si>
  <si>
    <t>车辆仪表板摄像头</t>
  </si>
  <si>
    <t>dashboard camera</t>
  </si>
  <si>
    <t>不能组合出来</t>
  </si>
  <si>
    <t>仪表盘摄像头</t>
  </si>
  <si>
    <t>rove dash cam</t>
  </si>
  <si>
    <t>罗夫行车记录仪</t>
  </si>
  <si>
    <t>cámara para carro</t>
  </si>
  <si>
    <t>汽车摄像头（西班牙语）</t>
  </si>
  <si>
    <t>ring car cam</t>
  </si>
  <si>
    <t>环形汽车摄像头</t>
  </si>
  <si>
    <t>thinkware f70</t>
  </si>
  <si>
    <t>THINKWARE F70</t>
  </si>
  <si>
    <t>ring dash cam</t>
  </si>
  <si>
    <t>环形行车记录仪</t>
  </si>
  <si>
    <t>vital dash cam 2024</t>
  </si>
  <si>
    <t>viofo a139 pro</t>
  </si>
  <si>
    <t>70mai</t>
  </si>
  <si>
    <t>70迈</t>
  </si>
  <si>
    <t>garmin mini 2</t>
  </si>
  <si>
    <t>佳明迷你2</t>
  </si>
  <si>
    <t>dash cam wireless</t>
  </si>
  <si>
    <t>dash cam garmin</t>
  </si>
  <si>
    <t>Garmin行车记录仪</t>
  </si>
  <si>
    <t>car dash camera</t>
  </si>
  <si>
    <t>camara para carro</t>
  </si>
  <si>
    <t>卡马拉帕拉卡罗</t>
  </si>
  <si>
    <t>ring car camera</t>
  </si>
  <si>
    <t>环车摄像头</t>
  </si>
  <si>
    <t>rechargeable dash cam</t>
  </si>
  <si>
    <t>可充电行车记录仪</t>
  </si>
  <si>
    <t>security camera for car</t>
  </si>
  <si>
    <t>dash camera for cars wireless</t>
  </si>
  <si>
    <t>汽车无线行车记录仪</t>
  </si>
  <si>
    <t>car video camera dash cam</t>
  </si>
  <si>
    <t>汽车摄像机行车记录仪</t>
  </si>
  <si>
    <t>redtiger 4k dash cam</t>
  </si>
  <si>
    <t>viofo a129</t>
  </si>
  <si>
    <t>维奥福A129</t>
  </si>
  <si>
    <t>front camera for car</t>
  </si>
  <si>
    <t>汽车前摄像头</t>
  </si>
  <si>
    <t>70 mai dash camera for cars</t>
  </si>
  <si>
    <t>70 Mai汽车行车记录仪</t>
  </si>
  <si>
    <t>best dash cam 2024</t>
  </si>
  <si>
    <t>最佳dash cam 2024</t>
  </si>
  <si>
    <t>car vandalism camera</t>
  </si>
  <si>
    <t>汽车破坏摄像头</t>
  </si>
  <si>
    <t>dashcams</t>
  </si>
  <si>
    <t>camera car</t>
  </si>
  <si>
    <t>摄像车</t>
  </si>
  <si>
    <t>dash cam for semi truck</t>
  </si>
  <si>
    <t>半挂卡车的行车记录仪</t>
  </si>
  <si>
    <t>pruveeo dash cam</t>
  </si>
  <si>
    <t>普鲁维奥行车记录仪</t>
  </si>
  <si>
    <t>24 hour recording camera for car</t>
  </si>
  <si>
    <t>24小时汽车录像摄像头</t>
  </si>
  <si>
    <t>electronics for men</t>
  </si>
  <si>
    <t>男士电子产品</t>
  </si>
  <si>
    <t>car cam</t>
  </si>
  <si>
    <t>cobra dash cam</t>
  </si>
  <si>
    <t>眼镜蛇行车记录仪</t>
  </si>
  <si>
    <t>mini dash cam</t>
  </si>
  <si>
    <t>迷你行车记录仪</t>
  </si>
  <si>
    <t>viofo a119 mini 2</t>
  </si>
  <si>
    <t>dash cam for car</t>
  </si>
  <si>
    <t>viofo a119</t>
  </si>
  <si>
    <t>维奥福A119</t>
  </si>
  <si>
    <t>car camera - dash cam front</t>
  </si>
  <si>
    <t>车载摄像头-前行车记录仪</t>
  </si>
  <si>
    <t>car cameras</t>
  </si>
  <si>
    <t>best dash cam 2023</t>
  </si>
  <si>
    <t>2023年最好的行车记录仪</t>
  </si>
  <si>
    <t>dash cam with gps and speed</t>
  </si>
  <si>
    <t>行车记录仪，带GPS和速度</t>
  </si>
  <si>
    <t>vital dash cam</t>
  </si>
  <si>
    <t>重要仪表板凸轮</t>
  </si>
  <si>
    <t>garmin dash cam 47</t>
  </si>
  <si>
    <t>佳明行车记录仪47</t>
  </si>
  <si>
    <t>battery powered dash cam no wires</t>
  </si>
  <si>
    <t>无线电池供电行车记录仪</t>
  </si>
  <si>
    <t>drive buddy</t>
  </si>
  <si>
    <t>驾驶伙伴</t>
  </si>
  <si>
    <t>70mai dash cam 4k a810</t>
  </si>
  <si>
    <t>70迈行车记录仪4k a810</t>
  </si>
  <si>
    <t>car video</t>
  </si>
  <si>
    <t>汽车视频</t>
  </si>
  <si>
    <t>dash mounted camera</t>
  </si>
  <si>
    <t>仪表板上安装的摄像头</t>
  </si>
  <si>
    <t>dash cameras</t>
  </si>
  <si>
    <t>A+或ST</t>
  </si>
  <si>
    <t>thinkware u3000</t>
  </si>
  <si>
    <t>garmin dashcam</t>
  </si>
  <si>
    <t>佳明仪表盘摄像头</t>
  </si>
  <si>
    <t>dash cam no wires</t>
  </si>
  <si>
    <t>redtiger</t>
  </si>
  <si>
    <t>红虎</t>
  </si>
  <si>
    <t>red tiger f7np 4k dual dash cam</t>
  </si>
  <si>
    <t>红虎f7np 4k双仪表板凸轮</t>
  </si>
  <si>
    <t>vava dash cam</t>
  </si>
  <si>
    <t>瓦瓦行车记录仪</t>
  </si>
  <si>
    <t>ddpai dash cam</t>
  </si>
  <si>
    <t>DDPAI行车记录仪</t>
  </si>
  <si>
    <t>dash cam with app</t>
  </si>
  <si>
    <t>带应用的行车记录仪</t>
  </si>
  <si>
    <t>ring dash camera for cars</t>
  </si>
  <si>
    <t>车用环形仪表板照相机</t>
  </si>
  <si>
    <t>car guy gifts</t>
  </si>
  <si>
    <t>汽车男士礼物</t>
  </si>
  <si>
    <t>car charger with mini camera</t>
  </si>
  <si>
    <t>rear dash cam</t>
  </si>
  <si>
    <t>后仪表板凸轮</t>
  </si>
  <si>
    <t>camaras para carro</t>
  </si>
  <si>
    <t>卡马拉斯帕拉卡罗</t>
  </si>
  <si>
    <t>no wire dash cam</t>
  </si>
  <si>
    <t>无线仪表板凸轮</t>
  </si>
  <si>
    <t>dashcams for trucks</t>
  </si>
  <si>
    <t>卡车的仪表盘摄像头</t>
  </si>
  <si>
    <t>camaras para carros que graben 24/7</t>
  </si>
  <si>
    <t>camaras para carros que地堑24/7</t>
  </si>
  <si>
    <t>car camera wireless</t>
  </si>
  <si>
    <t>汽车无线摄像头</t>
  </si>
  <si>
    <t>driving recorder</t>
  </si>
  <si>
    <t>car dashcam</t>
  </si>
  <si>
    <t>truck dash cam</t>
  </si>
  <si>
    <t>卡车行车记录仪</t>
  </si>
  <si>
    <t>cámaras para carros</t>
  </si>
  <si>
    <t>卡马拉斯帕拉卡罗斯</t>
  </si>
  <si>
    <t>dadh cam</t>
  </si>
  <si>
    <t>dadh摄像头</t>
  </si>
  <si>
    <t>wireless car camera</t>
  </si>
  <si>
    <t>无线车载摄像头</t>
  </si>
  <si>
    <t>dash cam wifi</t>
  </si>
  <si>
    <t>行车记录仪wifi</t>
  </si>
  <si>
    <t>长尾词</t>
  </si>
  <si>
    <t>garmin mini</t>
  </si>
  <si>
    <t>佳明迷你</t>
  </si>
  <si>
    <t>garmin dash cam 67w</t>
  </si>
  <si>
    <t>佳明行车记录仪67W</t>
  </si>
  <si>
    <t>gopro dash cam</t>
  </si>
  <si>
    <t>GoPro行车记录仪</t>
  </si>
  <si>
    <t>dash can</t>
  </si>
  <si>
    <t>garmin dash cam 57</t>
  </si>
  <si>
    <t>佳明行车记录仪57</t>
  </si>
  <si>
    <t>battery powered dash cam</t>
  </si>
  <si>
    <t>电池供电的行车记录仪</t>
  </si>
  <si>
    <t>dash camera for trucks</t>
  </si>
  <si>
    <t>wireless dashcams for cars</t>
  </si>
  <si>
    <t>车载无线仪表板摄像头</t>
  </si>
  <si>
    <t>dashcam front camera</t>
  </si>
  <si>
    <t>dashcam前置摄像头</t>
  </si>
  <si>
    <t>dash cam car</t>
  </si>
  <si>
    <t>vehicle camera</t>
  </si>
  <si>
    <t>车载摄像头</t>
  </si>
  <si>
    <t>alexa para carro</t>
  </si>
  <si>
    <t>亚历克莎·帕拉·卡罗</t>
  </si>
  <si>
    <t>best dash cam</t>
  </si>
  <si>
    <t>最好的行车记录仪</t>
  </si>
  <si>
    <t>dash cam with speed recording</t>
  </si>
  <si>
    <t>带速度记录的仪表板摄像头</t>
  </si>
  <si>
    <t>front dash cam</t>
  </si>
  <si>
    <t>前仪表板凸轮</t>
  </si>
  <si>
    <t>wireless camera for car</t>
  </si>
  <si>
    <t>车用无线摄像头</t>
  </si>
  <si>
    <t>dashcam for cars</t>
  </si>
  <si>
    <t>rove r3 dash cam</t>
  </si>
  <si>
    <t>罗夫R3行车记录仪</t>
  </si>
  <si>
    <t>garmin dash cam front and rear</t>
  </si>
  <si>
    <t>佳明行车记录仪前部和后部</t>
  </si>
  <si>
    <t>dash cam with parking mode</t>
  </si>
  <si>
    <t>带有停车模式的行车记录仪</t>
  </si>
  <si>
    <t>stuff for car</t>
  </si>
  <si>
    <t>汽车用品</t>
  </si>
  <si>
    <t>front camera for truck</t>
  </si>
  <si>
    <t>卡车前摄像头</t>
  </si>
  <si>
    <t>starvis 2 dash cam</t>
  </si>
  <si>
    <t>starvis 2仪表板凸轮</t>
  </si>
  <si>
    <t>camaras para carros</t>
  </si>
  <si>
    <t>garmin 47 dash cam</t>
  </si>
  <si>
    <t>佳明47行车记录仪</t>
  </si>
  <si>
    <t>wifi dash cam</t>
  </si>
  <si>
    <t>WiFi行车记录仪</t>
  </si>
  <si>
    <t>wireless dashcam</t>
  </si>
  <si>
    <t>无线仪表盘摄像头</t>
  </si>
  <si>
    <t>small dash cam</t>
  </si>
  <si>
    <t>小型行车记录仪</t>
  </si>
  <si>
    <t>driving camera dash recorder</t>
  </si>
  <si>
    <t>japanese car accessories</t>
  </si>
  <si>
    <t>日本汽车配件</t>
  </si>
  <si>
    <t>kenwood dash cam</t>
  </si>
  <si>
    <t>建伍行车记录仪</t>
  </si>
  <si>
    <t>dash cam for cars</t>
  </si>
  <si>
    <t>dash cam viofo</t>
  </si>
  <si>
    <t>viofo行车记录仪</t>
  </si>
  <si>
    <t>wireless dash cam front and rear no wire</t>
  </si>
  <si>
    <t>前后无线仪表板摄像头无电线</t>
  </si>
  <si>
    <t>garmin dash cam mount</t>
  </si>
  <si>
    <t>佳明行车记录仪支架</t>
  </si>
  <si>
    <t>car dash cam wireless</t>
  </si>
  <si>
    <t>ring car</t>
  </si>
  <si>
    <t>环形车</t>
  </si>
  <si>
    <t>rove r2 4k car dash cam</t>
  </si>
  <si>
    <t>r2 4k汽车仪表板摄像头</t>
  </si>
  <si>
    <t>dash cam battery powered</t>
  </si>
  <si>
    <t>viofo a139</t>
  </si>
  <si>
    <t>ring car camera - dash cam</t>
  </si>
  <si>
    <t>环形汽车摄像头——仪表板摄像头</t>
  </si>
  <si>
    <t>front dash camera for car</t>
  </si>
  <si>
    <t>汽车前仪表板摄像头</t>
  </si>
  <si>
    <t>rechargeable dash cam wireless</t>
  </si>
  <si>
    <t>充电式无线仪表盘摄像头</t>
  </si>
  <si>
    <t>rove</t>
  </si>
  <si>
    <t>罗夫</t>
  </si>
  <si>
    <t>izeeker dash cam</t>
  </si>
  <si>
    <t>伊泽克行车记录仪</t>
  </si>
  <si>
    <t>dash cam for trucks</t>
  </si>
  <si>
    <t>hidden dash cam front and rear</t>
  </si>
  <si>
    <t>前后隐藏式仪表板凸轮</t>
  </si>
  <si>
    <t>truck camera</t>
  </si>
  <si>
    <t>卡车摄像机</t>
  </si>
  <si>
    <t>roav</t>
  </si>
  <si>
    <t>bluetooth dash cam</t>
  </si>
  <si>
    <t>蓝牙行车记录仪</t>
  </si>
  <si>
    <t>car recording camera</t>
  </si>
  <si>
    <t>汽车记录摄像头</t>
  </si>
  <si>
    <t>a129 duo plus</t>
  </si>
  <si>
    <t>cameras for cars</t>
  </si>
  <si>
    <t>botslab dash cam g300h</t>
  </si>
  <si>
    <t>dashboard camera for cars</t>
  </si>
  <si>
    <t>汽车仪表盘摄像头</t>
  </si>
  <si>
    <t>rove r3</t>
  </si>
  <si>
    <t>罗夫R3</t>
  </si>
  <si>
    <t>wireless dash cameras for cars</t>
  </si>
  <si>
    <t>video recorder for car</t>
  </si>
  <si>
    <t>汽车录像机</t>
  </si>
  <si>
    <t>arifayz</t>
  </si>
  <si>
    <t>阿里费兹</t>
  </si>
  <si>
    <t>camera for cars</t>
  </si>
  <si>
    <t>cordless dash cam</t>
  </si>
  <si>
    <t>camara para auto</t>
  </si>
  <si>
    <t>Camara Para汽车</t>
  </si>
  <si>
    <t>camara de carro</t>
  </si>
  <si>
    <t>卡马拉·德卡罗</t>
  </si>
  <si>
    <t>70mai dashcam</t>
  </si>
  <si>
    <t>70mai行车记录仪</t>
  </si>
  <si>
    <t>car charger camera</t>
  </si>
  <si>
    <t>汽车充电器摄像头</t>
  </si>
  <si>
    <t>dash cam rechargeable wireless</t>
  </si>
  <si>
    <t>dash cam充电式无线</t>
  </si>
  <si>
    <t>dash cam vantrue</t>
  </si>
  <si>
    <t>行车记录仪vantrue</t>
  </si>
  <si>
    <t>camara para carro delantera</t>
  </si>
  <si>
    <t>前车载摄像头</t>
  </si>
  <si>
    <t>video registrator for car</t>
  </si>
  <si>
    <t>车载视频登记器</t>
  </si>
  <si>
    <t>aukey dash cam</t>
  </si>
  <si>
    <t>aukey行车记录仪</t>
  </si>
  <si>
    <t>garmin - dash cam mini 2</t>
  </si>
  <si>
    <t>Garmin-Dash cam mini 2</t>
  </si>
  <si>
    <t>steren</t>
  </si>
  <si>
    <t>斯特伦</t>
  </si>
  <si>
    <t>car security camera anti theft</t>
  </si>
  <si>
    <t>汽车安全摄像头防盗</t>
  </si>
  <si>
    <t>ring camera for car</t>
  </si>
  <si>
    <t>汽车环形摄像机</t>
  </si>
  <si>
    <t>go pro dash camera for cars</t>
  </si>
  <si>
    <t>Go Pro汽车行车记录仪</t>
  </si>
  <si>
    <t>car front camera</t>
  </si>
  <si>
    <t>70 mai</t>
  </si>
  <si>
    <t>70米</t>
  </si>
  <si>
    <t>viofo a129 pro duo</t>
  </si>
  <si>
    <t>VIOFO A129 Pro Duo</t>
  </si>
  <si>
    <t>roav dash cam</t>
  </si>
  <si>
    <t>ROAV行车记录仪</t>
  </si>
  <si>
    <t>solar dash cam</t>
  </si>
  <si>
    <t>太阳能行车记录仪</t>
  </si>
  <si>
    <t>cámara para auto</t>
  </si>
  <si>
    <t>卡马拉汽车公司</t>
  </si>
  <si>
    <t>small dash camera for cars</t>
  </si>
  <si>
    <t>小型汽车仪表板照相机</t>
  </si>
  <si>
    <t>camara carro</t>
  </si>
  <si>
    <t>卡马拉·卡罗</t>
  </si>
  <si>
    <t>dash camera for cars 4k</t>
  </si>
  <si>
    <t>4k轿车仪表板照相机</t>
  </si>
  <si>
    <t>garmin constant power cable</t>
  </si>
  <si>
    <t>佳明恒功率电缆</t>
  </si>
  <si>
    <t>vantrue e1</t>
  </si>
  <si>
    <t>范特鲁E1</t>
  </si>
  <si>
    <t>dashcam 4k</t>
  </si>
  <si>
    <t>dash cam that connects to phone</t>
  </si>
  <si>
    <t>可连接手机的行车记录仪</t>
  </si>
  <si>
    <t>drive camera for car</t>
  </si>
  <si>
    <t>汽车驾驶照相机</t>
  </si>
  <si>
    <t>a119 mini 2</t>
  </si>
  <si>
    <t>A119迷你2</t>
  </si>
  <si>
    <t>car hidden camera</t>
  </si>
  <si>
    <t>汽车隐藏摄像头</t>
  </si>
  <si>
    <t>front parking camera</t>
  </si>
  <si>
    <t>前驻车摄像头</t>
  </si>
  <si>
    <t>gps dash cam</t>
  </si>
  <si>
    <t>GPS行车记录仪</t>
  </si>
  <si>
    <t>hidden dash cam</t>
  </si>
  <si>
    <t>隐藏的行车记录仪</t>
  </si>
  <si>
    <t>n4 pro dash cam</t>
  </si>
  <si>
    <t>n4 pro仪表板摄像头</t>
  </si>
  <si>
    <t>vantrue e2</t>
  </si>
  <si>
    <t>red tiger dash cam</t>
  </si>
  <si>
    <t>garmin catalyst</t>
  </si>
  <si>
    <t>佳明催化剂</t>
  </si>
  <si>
    <t>venture dash cam</t>
  </si>
  <si>
    <t>冒险行车记录仪</t>
  </si>
  <si>
    <t>cámara frontal para auto</t>
  </si>
  <si>
    <t>前置汽车摄像头</t>
  </si>
  <si>
    <t>mini dash cam front and rear</t>
  </si>
  <si>
    <t>前后微型仪表板凸轮</t>
  </si>
  <si>
    <t>dash cam usb powered</t>
  </si>
  <si>
    <t>USB供电的行车记录仪</t>
  </si>
  <si>
    <t>cámara para carro 360</t>
  </si>
  <si>
    <t>卡马拉帕拉卡罗360</t>
  </si>
  <si>
    <t>viofo a129 plus</t>
  </si>
  <si>
    <t>Viofo A129 Plus</t>
  </si>
  <si>
    <t>drive buddy car camera</t>
  </si>
  <si>
    <t>mini 2</t>
  </si>
  <si>
    <t>迷你2</t>
  </si>
  <si>
    <t>dash cam with cloud storage</t>
  </si>
  <si>
    <t>带云存储的仪表板摄像头</t>
  </si>
  <si>
    <t>garmin gps with dash cam</t>
  </si>
  <si>
    <t>Garmin全球定位系统与行车记录仪</t>
  </si>
  <si>
    <t>dash cam 70mai</t>
  </si>
  <si>
    <t>行车记录仪70MAI</t>
  </si>
  <si>
    <t>4k dashcam</t>
  </si>
  <si>
    <t>dash cam with gps</t>
  </si>
  <si>
    <t>带GPS的行车记录仪</t>
  </si>
  <si>
    <t>in car camera dash cam</t>
  </si>
  <si>
    <t>车内摄像头行车记录仪</t>
  </si>
  <si>
    <t>nexar pro dash cam</t>
  </si>
  <si>
    <t>Nexar Pro行车记录仪</t>
  </si>
  <si>
    <t>camara para carros</t>
  </si>
  <si>
    <t>卡马拉-帕拉-卡罗斯</t>
  </si>
  <si>
    <t>peztio dash cam</t>
  </si>
  <si>
    <t>佩兹蒂奥行车记录仪</t>
  </si>
  <si>
    <t>dash cam radar detector combo</t>
  </si>
  <si>
    <t>行车记录仪雷达探测器组合</t>
  </si>
  <si>
    <t>dashcan</t>
  </si>
  <si>
    <t>car surveillance camera</t>
  </si>
  <si>
    <t>汽车监控摄像头</t>
  </si>
  <si>
    <t>blackbox camera for car</t>
  </si>
  <si>
    <t>汽车黑匣子摄像头</t>
  </si>
  <si>
    <t>garmin suction cup mount</t>
  </si>
  <si>
    <t>佳明吸盘支架</t>
  </si>
  <si>
    <t>car recorder</t>
  </si>
  <si>
    <t>汽车记录仪</t>
  </si>
  <si>
    <t>mini dash camera for cars</t>
  </si>
  <si>
    <t>小型汽车仪表板摄像机</t>
  </si>
  <si>
    <t>parked car security camera</t>
  </si>
  <si>
    <t>停放的汽车安全摄像头</t>
  </si>
  <si>
    <t>garmin mini dash cam</t>
  </si>
  <si>
    <t>佳明迷你行车记录仪</t>
  </si>
  <si>
    <t>xiaomi dash cam</t>
  </si>
  <si>
    <t>小米行车记录仪</t>
  </si>
  <si>
    <t>battery dash cameras for cars</t>
  </si>
  <si>
    <t>用于汽车的电池仪表盘摄像头</t>
  </si>
  <si>
    <t>dashtrack series 8 dash cam</t>
  </si>
  <si>
    <t>dash cam for truckers</t>
  </si>
  <si>
    <t>卡车司机的行车记录仪</t>
  </si>
  <si>
    <t>viofo vs1</t>
  </si>
  <si>
    <t>battery dash cam</t>
  </si>
  <si>
    <t>电池行车记录仪</t>
  </si>
  <si>
    <t>dash cam gps</t>
  </si>
  <si>
    <t>行车记录仪GPS</t>
  </si>
  <si>
    <t>dash cam cheap</t>
  </si>
  <si>
    <t>仪表板摄像头便宜</t>
  </si>
  <si>
    <t>dashcam front</t>
  </si>
  <si>
    <t>dashcam garmin</t>
  </si>
  <si>
    <t>破折号摄像头garmin</t>
  </si>
  <si>
    <t>camara para carro que grabe 24 horas</t>
  </si>
  <si>
    <t>vital dashcam</t>
  </si>
  <si>
    <t>重要仪表板摄像头</t>
  </si>
  <si>
    <t>dash cam with battery</t>
  </si>
  <si>
    <t>带电池的仪表板凸轮</t>
  </si>
  <si>
    <t>garmin dash</t>
  </si>
  <si>
    <t>佳明短跑</t>
  </si>
  <si>
    <t>garmin dash cam mini</t>
  </si>
  <si>
    <t>佳明行车记录仪迷你</t>
  </si>
  <si>
    <t>smart dash cam</t>
  </si>
  <si>
    <t>智能行车记录仪</t>
  </si>
  <si>
    <t>car ring camera</t>
  </si>
  <si>
    <t>video camera for car</t>
  </si>
  <si>
    <t>汽车用摄像机</t>
  </si>
  <si>
    <t>always recording dash cam</t>
  </si>
  <si>
    <t>始终记录仪表板摄像头</t>
  </si>
  <si>
    <t>vehicle camera video recorder dash cam</t>
  </si>
  <si>
    <t>车辆摄像头录像机行车记录仪</t>
  </si>
  <si>
    <t>f70 dash cam</t>
  </si>
  <si>
    <t>F70行车记录仪</t>
  </si>
  <si>
    <t>dash cam 24/7 recording when car is off</t>
  </si>
  <si>
    <t>当汽车关闭时，行车记录仪24/7记录</t>
  </si>
  <si>
    <t>arifayz dash cam</t>
  </si>
  <si>
    <t>arifayz仪表板凸轮</t>
  </si>
  <si>
    <t>cheap dash cam</t>
  </si>
  <si>
    <t>便宜的行车记录仪</t>
  </si>
  <si>
    <t>car dash cam front</t>
  </si>
  <si>
    <t>汽车前置行车记录仪</t>
  </si>
  <si>
    <t>toyota car accessories</t>
  </si>
  <si>
    <t>丰田汽车配件</t>
  </si>
  <si>
    <t>a119 v3</t>
  </si>
  <si>
    <t>dash cam built in gps</t>
  </si>
  <si>
    <t>car camera dashboard</t>
  </si>
  <si>
    <t>truck dash camera</t>
  </si>
  <si>
    <t>卡车仪表盘摄像头</t>
  </si>
  <si>
    <t>usb dash cam</t>
  </si>
  <si>
    <t>USB行车记录仪</t>
  </si>
  <si>
    <t>4g dash cam</t>
  </si>
  <si>
    <t>4G行车记录仪</t>
  </si>
  <si>
    <t>blink car camera</t>
  </si>
  <si>
    <t>闪烁式汽车照相机</t>
  </si>
  <si>
    <t>car electronics accessories</t>
  </si>
  <si>
    <t>汽车电子配件</t>
  </si>
  <si>
    <t>drive recorder</t>
  </si>
  <si>
    <t>dash cameras for cars</t>
  </si>
  <si>
    <t>viofo vs1 tiny dash cam</t>
  </si>
  <si>
    <t>viofo dash cam a129</t>
  </si>
  <si>
    <t>viofo仪表板凸轮a129</t>
  </si>
  <si>
    <t>miofive 4k dash cam</t>
  </si>
  <si>
    <t>MioFive 4K行车记录仪</t>
  </si>
  <si>
    <t>garmin 67w</t>
  </si>
  <si>
    <t>佳明67W</t>
  </si>
  <si>
    <t>rove r2-4k dash cam</t>
  </si>
  <si>
    <t>罗夫R2-4K行车记录仪</t>
  </si>
  <si>
    <t>dash cam ring</t>
  </si>
  <si>
    <t>仪表板凸轮环</t>
  </si>
  <si>
    <t>wireless dash camera</t>
  </si>
  <si>
    <t>semi truck dash camera</t>
  </si>
  <si>
    <t>半挂卡车仪表板摄像机</t>
  </si>
  <si>
    <t>dash cam parking monitoring</t>
  </si>
  <si>
    <t>仪表板摄像头驻车监控</t>
  </si>
  <si>
    <t>garmin 57 dash cam</t>
  </si>
  <si>
    <t>佳明57行车记录仪</t>
  </si>
  <si>
    <t>dash camera 4k</t>
  </si>
  <si>
    <t>行车记录仪4K</t>
  </si>
  <si>
    <t>black box dash cam</t>
  </si>
  <si>
    <t>黑匣子式仪表板凸轮</t>
  </si>
  <si>
    <t>rove r2</t>
  </si>
  <si>
    <t>罗夫r2</t>
  </si>
  <si>
    <t>garmin - dash cam</t>
  </si>
  <si>
    <t>佳明仪表板凸轮</t>
  </si>
  <si>
    <t>7omai dash cam</t>
  </si>
  <si>
    <t>7omai 行车记录仪</t>
  </si>
  <si>
    <t>cámara delantera para auto</t>
  </si>
  <si>
    <t>C á mara delantera para auto</t>
  </si>
  <si>
    <t>dash cam mini</t>
  </si>
  <si>
    <t>dash cam with bluetooth</t>
  </si>
  <si>
    <t>带蓝牙的仪表板摄像头</t>
  </si>
  <si>
    <t>camera dash cam</t>
  </si>
  <si>
    <t>相机行车记录仪</t>
  </si>
  <si>
    <t>nexar beam dash cam</t>
  </si>
  <si>
    <t>nexar光束仪表板凸轮</t>
  </si>
  <si>
    <t>dash cam no wire</t>
  </si>
  <si>
    <t>nexar beam</t>
  </si>
  <si>
    <t>Nexar光束</t>
  </si>
  <si>
    <t>garmin dash 4sync</t>
  </si>
  <si>
    <t>dash cam garmin mini 2</t>
  </si>
  <si>
    <t>Garmin mini 2行车记录仪</t>
  </si>
  <si>
    <t>drive cam</t>
  </si>
  <si>
    <t>驱动摄像头</t>
  </si>
  <si>
    <t>wireless dash camera for cars cordless</t>
  </si>
  <si>
    <t>汽车无线仪表盘摄像头</t>
  </si>
  <si>
    <t>best rated dash cam</t>
  </si>
  <si>
    <t>最佳仪表板凸轮</t>
  </si>
  <si>
    <t>vantrue s1</t>
  </si>
  <si>
    <t>viofo dash camera</t>
  </si>
  <si>
    <t>dash cam bluetooth</t>
  </si>
  <si>
    <t>行车记录仪360度无死角无线</t>
  </si>
  <si>
    <t>front car camera</t>
  </si>
  <si>
    <t>前车摄像头</t>
  </si>
  <si>
    <t>dash cam with parking monitoring</t>
  </si>
  <si>
    <t>停车监控仪表板摄像头</t>
  </si>
  <si>
    <t>best dash cam for car</t>
  </si>
  <si>
    <t>最佳汽车仪表板摄像头</t>
  </si>
  <si>
    <t>garmin dash camera</t>
  </si>
  <si>
    <t>佳明Dash相机</t>
  </si>
  <si>
    <t>motion activated car camera</t>
  </si>
  <si>
    <t>运动激活车载摄像机</t>
  </si>
  <si>
    <t>dash cam rechargeable</t>
  </si>
  <si>
    <t>dash cam small</t>
  </si>
  <si>
    <t>dash cams for trucks</t>
  </si>
  <si>
    <t>卡车仪表板凸轮</t>
  </si>
  <si>
    <t>dash camera for cars front</t>
  </si>
  <si>
    <t>dash cam parking mode</t>
  </si>
  <si>
    <t>停车模式行车记录仪</t>
  </si>
  <si>
    <t>ring dashcam</t>
  </si>
  <si>
    <t>环形仪表板凸轮</t>
  </si>
  <si>
    <t>mini camera for car</t>
  </si>
  <si>
    <t>汽车微型照相机</t>
  </si>
  <si>
    <t>garmin 67w dash cam</t>
  </si>
  <si>
    <t>佳明67W行车记录仪</t>
  </si>
  <si>
    <t>wireless rechargeable dash cam</t>
  </si>
  <si>
    <t>camera for truck</t>
  </si>
  <si>
    <t>卡车摄像头</t>
  </si>
  <si>
    <t>apeman</t>
  </si>
  <si>
    <t>猿人</t>
  </si>
  <si>
    <t>dash cam usb c</t>
  </si>
  <si>
    <t>仪表板摄像头usb c</t>
  </si>
  <si>
    <t>dash cam always recording</t>
  </si>
  <si>
    <t>dadhcam</t>
  </si>
  <si>
    <t>dash cam front wireless</t>
  </si>
  <si>
    <t>无线前置行车记录仪</t>
  </si>
  <si>
    <t>dash cam with speedometer</t>
  </si>
  <si>
    <t>带车速表的仪表板凸轮</t>
  </si>
  <si>
    <t>viofo dashcam</t>
  </si>
  <si>
    <t>cámara para grabar en el carro</t>
  </si>
  <si>
    <t>C á mara para grabar en el carro</t>
  </si>
  <si>
    <t>garmin front and rear dash cam</t>
  </si>
  <si>
    <t>garmin前后仪表板凸轮</t>
  </si>
  <si>
    <t>rove r2-4k</t>
  </si>
  <si>
    <t>jeep dash cam</t>
  </si>
  <si>
    <t>吉普车仪表板凸轮</t>
  </si>
  <si>
    <t>garmin dash cam live</t>
  </si>
  <si>
    <t>anker dash cam</t>
  </si>
  <si>
    <t>安克行车记录仪</t>
  </si>
  <si>
    <t>car security camera wireless</t>
  </si>
  <si>
    <t>汽车无线安全摄像机</t>
  </si>
  <si>
    <t>garmin dashcam mini 2</t>
  </si>
  <si>
    <t>佳明Dashcam迷你2</t>
  </si>
  <si>
    <t>garmin dash cam mini 2 mount</t>
  </si>
  <si>
    <t>garmin dash cam mini 2支架</t>
  </si>
  <si>
    <t>portable dash cam</t>
  </si>
  <si>
    <t>便携式仪表板摄像头</t>
  </si>
  <si>
    <t>camaras para camiones comerciales</t>
  </si>
  <si>
    <t>gopro for car</t>
  </si>
  <si>
    <t>汽车用gopro</t>
  </si>
  <si>
    <t>e-yeeger 4k dash cam</t>
  </si>
  <si>
    <t>cámara para camiones trucks</t>
  </si>
  <si>
    <t>C á mara para camiones卡车</t>
  </si>
  <si>
    <t>traffic camera for car</t>
  </si>
  <si>
    <t>车用交通摄像机</t>
  </si>
  <si>
    <t>rechargeable dash camera for cars</t>
  </si>
  <si>
    <t>可充电汽车仪表板照相机</t>
  </si>
  <si>
    <t>rechargeable dash camera</t>
  </si>
  <si>
    <t>可充电仪表板照相机</t>
  </si>
  <si>
    <t>lte dash cam</t>
  </si>
  <si>
    <t>lte仪表盘摄像头</t>
  </si>
  <si>
    <t>dash came</t>
  </si>
  <si>
    <t>达什来了</t>
  </si>
  <si>
    <t>small camera for car</t>
  </si>
  <si>
    <t>小型汽车照相机</t>
  </si>
  <si>
    <t>usb c dash cam</t>
  </si>
  <si>
    <t>usb c仪表板摄像头</t>
  </si>
  <si>
    <t>veement dash cam</t>
  </si>
  <si>
    <t>veement仪表板凸轮</t>
  </si>
  <si>
    <t>windshield camera for cars</t>
  </si>
  <si>
    <t>汽车挡风玻璃照相机</t>
  </si>
  <si>
    <t>front dash cam 4k</t>
  </si>
  <si>
    <t>前仪表板凸轮4k</t>
  </si>
  <si>
    <t>rover r2-4k dash cam</t>
  </si>
  <si>
    <t>罗孚R2-4K行车记录仪</t>
  </si>
  <si>
    <t>garmin dash cams</t>
  </si>
  <si>
    <t>garmin仪表板凸轮</t>
  </si>
  <si>
    <t>dash cam no wifi needed</t>
  </si>
  <si>
    <t>vehicle cameras</t>
  </si>
  <si>
    <t>车载摄像机</t>
  </si>
  <si>
    <t>garmin camera dash cam</t>
  </si>
  <si>
    <t>佳明相机行车记录仪</t>
  </si>
  <si>
    <t>ring dash camera</t>
  </si>
  <si>
    <t>环形仪表板照相机</t>
  </si>
  <si>
    <t>rear dash camera</t>
  </si>
  <si>
    <t>后仪表板摄像头</t>
  </si>
  <si>
    <t>dash cam with gps speed</t>
  </si>
  <si>
    <t>thinkware f70 dash cam</t>
  </si>
  <si>
    <t>Thinkware F70行车记录仪</t>
  </si>
  <si>
    <t>dash cam with wifi</t>
  </si>
  <si>
    <t>带有wifi的行车记录仪</t>
  </si>
  <si>
    <t>b083xb8t7t</t>
  </si>
  <si>
    <t>B083XB8T7T</t>
  </si>
  <si>
    <t>portable dash camera for cars</t>
  </si>
  <si>
    <t>便携式汽车仪表板照相机</t>
  </si>
  <si>
    <t>car video recorder</t>
  </si>
  <si>
    <t>汽车视频记录器</t>
  </si>
  <si>
    <t>dash ca</t>
  </si>
  <si>
    <t>garmin car camera</t>
  </si>
  <si>
    <t>garmin车载摄像机</t>
  </si>
  <si>
    <t>car canera</t>
  </si>
  <si>
    <t>卡内拉汽车</t>
  </si>
  <si>
    <t>vehicle dash cam</t>
  </si>
  <si>
    <t>汽车仪表板凸轮</t>
  </si>
  <si>
    <t>driving camera</t>
  </si>
  <si>
    <t>70 mia dash cam</t>
  </si>
  <si>
    <t>yi dash cam</t>
  </si>
  <si>
    <t>易行车记录仪</t>
  </si>
  <si>
    <t>dash cam front and rear garmin</t>
  </si>
  <si>
    <t>前后仪表板凸轮</t>
  </si>
  <si>
    <t>solar powered dash cam</t>
  </si>
  <si>
    <t>太阳能仪表板凸轮</t>
  </si>
  <si>
    <t>4k dash camera</t>
  </si>
  <si>
    <t>car video camera</t>
  </si>
  <si>
    <t>汽车视频摄像头</t>
  </si>
  <si>
    <t>best dashboard camera with wifi</t>
  </si>
  <si>
    <t>最好的带WiFi的仪表盘摄像头</t>
  </si>
  <si>
    <t>b0bffgcmdz</t>
  </si>
  <si>
    <t>rove r2-4k pro dash cam</t>
  </si>
  <si>
    <t>dash cam xiaomi</t>
  </si>
  <si>
    <t>达什卡姆小米</t>
  </si>
  <si>
    <t>dash camera for car</t>
  </si>
  <si>
    <t>xiaomi car camera</t>
  </si>
  <si>
    <t>boogiio dash cam</t>
  </si>
  <si>
    <t>布吉欧仪表板凸轮</t>
  </si>
  <si>
    <t>dashcam viofo</t>
  </si>
  <si>
    <t>行车记录仪viofo</t>
  </si>
  <si>
    <t>a119</t>
  </si>
  <si>
    <t>A119</t>
  </si>
  <si>
    <t>garmin mini 2 dash cam mount</t>
  </si>
  <si>
    <t>garmin mini 2仪表板凸轮支架</t>
  </si>
  <si>
    <t>crosstour dash cam</t>
  </si>
  <si>
    <t>Crosstour行车记录仪</t>
  </si>
  <si>
    <t>garmin 67</t>
  </si>
  <si>
    <t>佳明67</t>
  </si>
  <si>
    <t>dashcams dash cam</t>
  </si>
  <si>
    <t>semi truck dash camera for commercial truck</t>
  </si>
  <si>
    <t>商用半挂卡车仪表板摄像机</t>
  </si>
  <si>
    <t>nexar beam gps dash cam</t>
  </si>
  <si>
    <t>Nexar Beam GPS行车记录仪</t>
  </si>
  <si>
    <t>windshield camera</t>
  </si>
  <si>
    <t>挡风玻璃摄像头</t>
  </si>
  <si>
    <t>dash camera for semi trucks</t>
  </si>
  <si>
    <t>wireless dash camera for cars</t>
  </si>
  <si>
    <t>70mai m300</t>
  </si>
  <si>
    <t>e-yeeger dash cam</t>
  </si>
  <si>
    <t>rove 4k dash cam</t>
  </si>
  <si>
    <t>rove 4k仪表板摄像头</t>
  </si>
  <si>
    <t>battery operated dash cam</t>
  </si>
  <si>
    <t>dashboard cam</t>
  </si>
  <si>
    <t>small car camera</t>
  </si>
  <si>
    <t>auto camera dash cam</t>
  </si>
  <si>
    <t>汽车相机行车记录仪</t>
  </si>
  <si>
    <t>cordless dash cams</t>
  </si>
  <si>
    <t>garmin dash cam magnet</t>
  </si>
  <si>
    <t>garmin仪表板凸轮磁铁</t>
  </si>
  <si>
    <t>dah cam</t>
  </si>
  <si>
    <t>大凸轮</t>
  </si>
  <si>
    <t>cámara para el carro</t>
  </si>
  <si>
    <t>卡马拉·帕拉·埃尔·卡罗</t>
  </si>
  <si>
    <t>dash cam usb</t>
  </si>
  <si>
    <t>仪表板摄像头usb</t>
  </si>
  <si>
    <t>camera para carro</t>
  </si>
  <si>
    <t>卡罗摄像机</t>
  </si>
  <si>
    <t>mini car camera</t>
  </si>
  <si>
    <t>微型汽车照相机</t>
  </si>
  <si>
    <t>semi truck camera</t>
  </si>
  <si>
    <t>半挂卡车摄影机</t>
  </si>
  <si>
    <t>izeeker</t>
  </si>
  <si>
    <t>伊泽克</t>
  </si>
  <si>
    <t>e-yeeger dash cam front 4k</t>
  </si>
  <si>
    <t>dash cam rove</t>
  </si>
  <si>
    <t>仪表板凸轮槽</t>
  </si>
  <si>
    <t>dash cam with usb power</t>
  </si>
  <si>
    <t>带usb电源的仪表板摄像头</t>
  </si>
  <si>
    <t>wireless car camera front and rear</t>
  </si>
  <si>
    <t>前后无线车载摄像头</t>
  </si>
  <si>
    <t>miden s7 2.5k dash cam front and rear</t>
  </si>
  <si>
    <t>miden s7 2.5 K前后仪表板凸轮</t>
  </si>
  <si>
    <t>car dashboard camera</t>
  </si>
  <si>
    <t>汽车仪表板摄像头</t>
  </si>
  <si>
    <t>vital dashcam 2024</t>
  </si>
  <si>
    <t>best dashcams</t>
  </si>
  <si>
    <t>最佳仪表板摄像头</t>
  </si>
  <si>
    <t>dash cam cordless</t>
  </si>
  <si>
    <t>仪表板凸轮无绳</t>
  </si>
  <si>
    <t>gps with dash cam</t>
  </si>
  <si>
    <t>带仪表板摄像头的gps</t>
  </si>
  <si>
    <t>wyze car camera</t>
  </si>
  <si>
    <t>wyze车载摄像机</t>
  </si>
  <si>
    <t>cameras for car</t>
  </si>
  <si>
    <t>wireless cameras for cars</t>
  </si>
  <si>
    <t>车载无线摄像机</t>
  </si>
  <si>
    <t>dash camera for cars garmin</t>
  </si>
  <si>
    <t>car dash cams</t>
  </si>
  <si>
    <t>dash camera garmin</t>
  </si>
  <si>
    <t>仪表板照相机</t>
  </si>
  <si>
    <t>dash cam mini 2</t>
  </si>
  <si>
    <t>行车记录仪mini 2</t>
  </si>
  <si>
    <t>smart dash camera for cars</t>
  </si>
  <si>
    <t>汽车智能仪表板摄像头</t>
  </si>
  <si>
    <t>owlcam dash cam</t>
  </si>
  <si>
    <t>owlcam仪表板凸轮</t>
  </si>
  <si>
    <t>auto camera</t>
  </si>
  <si>
    <t>汽车摄像机</t>
  </si>
  <si>
    <t>best car dash camera 2024</t>
  </si>
  <si>
    <t>car go pro</t>
  </si>
  <si>
    <t>papago dash cam</t>
  </si>
  <si>
    <t>papago仪表板凸轮</t>
  </si>
  <si>
    <t>dash cam usb c powered</t>
  </si>
  <si>
    <t>car cams</t>
  </si>
  <si>
    <t>汽车凸轮</t>
  </si>
  <si>
    <t>acumen dash cam</t>
  </si>
  <si>
    <t>acumen仪表板凸轮</t>
  </si>
  <si>
    <t>battery powered dash cam no wires front and rear</t>
  </si>
  <si>
    <t>heat resistant dash cam</t>
  </si>
  <si>
    <t>耐热仪表板凸轮</t>
  </si>
  <si>
    <t>dash cam motion detection</t>
  </si>
  <si>
    <t>行车记录仪运动检测</t>
  </si>
  <si>
    <t>dash mounted dash cam</t>
  </si>
  <si>
    <t>安装在仪表板上的仪表板凸轮</t>
  </si>
  <si>
    <t>front前缀</t>
  </si>
  <si>
    <t>front后缀</t>
  </si>
  <si>
    <t>4k前缀</t>
  </si>
  <si>
    <t>4k后缀</t>
  </si>
  <si>
    <t>wifi/wireless</t>
  </si>
  <si>
    <t>gps</t>
  </si>
  <si>
    <t>广告真实日数据</t>
  </si>
  <si>
    <t>星期</t>
  </si>
  <si>
    <t>总CVR</t>
  </si>
  <si>
    <t>广告
单占比</t>
  </si>
  <si>
    <t>Sif
质量分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</si>
  <si>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</si>
  <si>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</si>
  <si>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</si>
  <si>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</si>
  <si>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</si>
  <si>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</si>
  <si>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</si>
  <si>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第1周汇总</t>
  </si>
  <si>
    <t>第2周汇总</t>
  </si>
  <si>
    <t>第3周汇总</t>
  </si>
  <si>
    <t>第4周汇总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</si>
  <si>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</si>
  <si>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</si>
  <si>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</si>
  <si>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</si>
  <si>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</si>
  <si>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</si>
  <si>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</si>
  <si>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</si>
  <si>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</si>
  <si>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</si>
  <si>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</si>
  <si>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</si>
  <si>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</si>
  <si>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</si>
  <si>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</si>
  <si>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</si>
  <si>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</si>
  <si>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</si>
  <si>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</si>
  <si>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</si>
  <si>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</si>
  <si>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</si>
  <si>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</si>
  <si>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</si>
  <si>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</si>
  <si>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</si>
  <si>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</si>
  <si>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</si>
  <si>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</si>
  <si>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</si>
  <si>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</si>
  <si>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</si>
  <si>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default-ship-from-address-name</t>
  </si>
  <si>
    <t>default-ship-from-address-field-1</t>
  </si>
  <si>
    <t>default-ship-from-address-field-2</t>
  </si>
  <si>
    <t>default-ship-from-address-field-3</t>
  </si>
  <si>
    <t>default-ship-from-city</t>
  </si>
  <si>
    <t>default-ship-from-state</t>
  </si>
  <si>
    <t>default-ship-from-country</t>
  </si>
  <si>
    <t>default-ship-from-postal-code</t>
  </si>
  <si>
    <t>actual-ship-from-address-name</t>
  </si>
  <si>
    <t>actual-ship-from-address-field-1</t>
  </si>
  <si>
    <t>actual-ship-from-address-field-2</t>
  </si>
  <si>
    <t>actual-ship-from-address-field-3</t>
  </si>
  <si>
    <t>actual-ship-from-city</t>
  </si>
  <si>
    <t>actual-ship-from-state</t>
  </si>
  <si>
    <t>actual-ship-from-country</t>
  </si>
  <si>
    <t>actual-ship-from-postal-code</t>
  </si>
  <si>
    <t>is-buyer-requested-cancellation</t>
  </si>
  <si>
    <t>buyer-requested-cancel-reason</t>
  </si>
  <si>
    <t>serial-numbers</t>
  </si>
  <si>
    <t xml:space="preserve">signature-confirmation-recommended </t>
  </si>
  <si>
    <t>111-9858618-2103444</t>
  </si>
  <si>
    <t>2023-09-12T05:37:43+00:00</t>
  </si>
  <si>
    <t>2023-09-12T05:37:48+00:00</t>
  </si>
  <si>
    <t>Pending</t>
  </si>
  <si>
    <t>Amazon</t>
  </si>
  <si>
    <t>Amazon.com</t>
  </si>
  <si>
    <t>Expedited</t>
  </si>
  <si>
    <t>Dash Cam Front with FHD 1080p, Wanlipo 2 Inch LCD Dashcam, Dashboard Camera for Cars with 24h Parking Monitor, G-Sensor, Loop Recording, Free 32GB SD</t>
  </si>
  <si>
    <t>J09-C1</t>
  </si>
  <si>
    <t>B0BG6WPM3W</t>
  </si>
  <si>
    <t>Unshipped</t>
  </si>
  <si>
    <t>USD</t>
  </si>
  <si>
    <t>BELLMAWR</t>
  </si>
  <si>
    <t>NJ</t>
  </si>
  <si>
    <t>08031-2115</t>
  </si>
  <si>
    <t>US</t>
  </si>
  <si>
    <t>MPC-S Percentage Off 2023/09/10 11-52-12-900</t>
  </si>
  <si>
    <t>114-5667916-6324215</t>
  </si>
  <si>
    <t>2023-09-12T03:37:05+00:00</t>
  </si>
  <si>
    <t>2023-09-12T09:02:46+00:00</t>
  </si>
  <si>
    <t>Shipped</t>
  </si>
  <si>
    <t>4K Dash Cam Front Built-in WiFi, WANLIPO Dash Camera for Cars with 64GB SD Card, Car Camera with 3" IPS Screen, 2160P Dashcam for Cars with App Contro</t>
  </si>
  <si>
    <t>Wanlipo M03-3</t>
  </si>
  <si>
    <t>B0CC8CHTTJ</t>
  </si>
  <si>
    <t>MONROE</t>
  </si>
  <si>
    <t>GA</t>
  </si>
  <si>
    <t>30656-4723</t>
  </si>
  <si>
    <t>MPC-S Percentage Off 2023/09/11 9-53-46-600</t>
  </si>
  <si>
    <t>111-1595396-9168227</t>
  </si>
  <si>
    <t>2023-09-11T23:55:05+00:00</t>
  </si>
  <si>
    <t>2023-09-11T23:55:11+00:00</t>
  </si>
  <si>
    <t>SILVER SPRING</t>
  </si>
  <si>
    <t>MD</t>
  </si>
  <si>
    <t>20906-4527</t>
  </si>
  <si>
    <t>MPC-S Percentage Off 2023/09/10 11-52-3-698</t>
  </si>
  <si>
    <t>112-7810040-2837843</t>
  </si>
  <si>
    <t>2023-09-11T19:41:13+00:00</t>
  </si>
  <si>
    <t>2023-09-12T01:35:23+00:00</t>
  </si>
  <si>
    <t>Nashville</t>
  </si>
  <si>
    <t>TN</t>
  </si>
  <si>
    <t>37208-1058</t>
  </si>
  <si>
    <t>MPC-S Percentage Off 2023/09/10 11-52-13-889</t>
  </si>
  <si>
    <t>111-4369826-2407442</t>
  </si>
  <si>
    <t>2023-09-11T18:52:15+00:00</t>
  </si>
  <si>
    <t>2023-09-11T18:52:21+00:00</t>
  </si>
  <si>
    <t>Standard</t>
  </si>
  <si>
    <t>4K Dash Cam Front with WiFi 2160P, VOFRTY Dash Camera for Cars with 3" IPS, Car Camera with App Control, Dashcam with G-Sensor, Loop Recording, 64GB S</t>
  </si>
  <si>
    <t>M03-3</t>
  </si>
  <si>
    <t>B0C1C9T9KP</t>
  </si>
  <si>
    <t>HUNTINGTON</t>
  </si>
  <si>
    <t>WV</t>
  </si>
  <si>
    <t>25704-1119</t>
  </si>
  <si>
    <t>US Core Free Shipping Promotion A3JU1FCINF5SD0,Percentage Off 2023/08/28 6-17-47-400</t>
  </si>
  <si>
    <t>114-0862837-0430606</t>
  </si>
  <si>
    <t>2023-09-11T17:17:31+00:00</t>
  </si>
  <si>
    <t>2023-09-11T17:17:37+00:00</t>
  </si>
  <si>
    <t>LOS ANGELES</t>
  </si>
  <si>
    <t>CA</t>
  </si>
  <si>
    <t>90016-2009</t>
  </si>
  <si>
    <t>114-2447819-7327466</t>
  </si>
  <si>
    <t>2023-09-11T15:45:23+00:00</t>
  </si>
  <si>
    <t>2023-09-11T15:45:29+00:00</t>
  </si>
  <si>
    <t>DES MOINES</t>
  </si>
  <si>
    <t>IA</t>
  </si>
  <si>
    <t>50317-6307</t>
  </si>
  <si>
    <t>MPC-S Percentage Off 2023/09/11 9-54-8-40</t>
  </si>
  <si>
    <t>114-3078544-2276207</t>
  </si>
  <si>
    <t>2023-09-11T15:21:19+00:00</t>
  </si>
  <si>
    <t>2023-09-12T04:25:37+00:00</t>
  </si>
  <si>
    <t>LA VERGNE</t>
  </si>
  <si>
    <t>37086-1439</t>
  </si>
  <si>
    <t>114-1356066-5534643</t>
  </si>
  <si>
    <t>2023-09-11T13:58:53+00:00</t>
  </si>
  <si>
    <t>2023-09-12T07:08:25+00:00</t>
  </si>
  <si>
    <t>BLACKSTONE</t>
  </si>
  <si>
    <t>MA</t>
  </si>
  <si>
    <t>01504-1408</t>
  </si>
  <si>
    <t>MPC-S Percentage Off 2023/09/10 5-41-22-292</t>
  </si>
  <si>
    <t>112-9726611-4879461</t>
  </si>
  <si>
    <t>2023-09-11T12:39:23+00:00</t>
  </si>
  <si>
    <t>2023-09-12T09:25:25+00:00</t>
  </si>
  <si>
    <t>Brooklyn</t>
  </si>
  <si>
    <t>NY</t>
  </si>
  <si>
    <t>MPC-S Percentage Off 2023/09/07 1-34-35-547</t>
  </si>
  <si>
    <t>113-6400382-4997016</t>
  </si>
  <si>
    <t>2023-09-11T11:06:47+00:00</t>
  </si>
  <si>
    <t>2023-09-11T11:06:52+00:00</t>
  </si>
  <si>
    <t>BRONX</t>
  </si>
  <si>
    <t>112-9947498-4884232</t>
  </si>
  <si>
    <t>2023-09-11T07:15:23+00:00</t>
  </si>
  <si>
    <t>2023-09-11T18:12:08+00:00</t>
  </si>
  <si>
    <t>WEST COVINA</t>
  </si>
  <si>
    <t>91792-1494</t>
  </si>
  <si>
    <t>Percentage Off 2023/08/28 6-17-47-400</t>
  </si>
  <si>
    <t>产品链接</t>
  </si>
  <si>
    <t>ASIN</t>
  </si>
  <si>
    <t>原价</t>
  </si>
  <si>
    <t>折扣码</t>
  </si>
  <si>
    <t>折扣力度</t>
  </si>
  <si>
    <t>其他叠加优惠</t>
  </si>
  <si>
    <t>资源名称</t>
  </si>
  <si>
    <t>资源链接</t>
  </si>
  <si>
    <t>费用</t>
  </si>
  <si>
    <t>状态</t>
  </si>
  <si>
    <t>帖子链接</t>
  </si>
  <si>
    <t>上帖图片</t>
  </si>
  <si>
    <t>失败原因</t>
  </si>
  <si>
    <t>下单时间</t>
  </si>
  <si>
    <t>接单时间</t>
  </si>
  <si>
    <t>上帖时间</t>
  </si>
  <si>
    <t>退款时间</t>
  </si>
  <si>
    <t>4K Dash Cam Front Built-in WiFi, WANLIPO Dash Camera for Cars with 64GB SD Card App Control</t>
  </si>
  <si>
    <t>https://www.amazon.com/promocode/A1DX8GZASC5MLT</t>
  </si>
  <si>
    <t>$99.99</t>
  </si>
  <si>
    <t>$31.99</t>
  </si>
  <si>
    <t>68WHPID3</t>
  </si>
  <si>
    <t>INSANE CHRISTMAS DEALS, Forking Good Deals</t>
  </si>
  <si>
    <t>查看链接</t>
  </si>
  <si>
    <t>已完成</t>
  </si>
  <si>
    <t>查看帖子</t>
  </si>
  <si>
    <t>2023-09-07 15:24:49</t>
  </si>
  <si>
    <t>2023-09-07 18:22:38</t>
  </si>
  <si>
    <t>2023-09-08 11:44:55</t>
  </si>
  <si>
    <t>Saving With Joy- Online Deals and Giveaways</t>
  </si>
  <si>
    <t>2023-09-07 16:49:59</t>
  </si>
  <si>
    <t>2023-09-08 13:42:22</t>
  </si>
  <si>
    <t>The Frugal SAHM | Deals &amp; Discounts for Moms + Babies</t>
  </si>
  <si>
    <t>2023-09-07 18:10:10</t>
  </si>
  <si>
    <t>2023-09-09 03:49:38</t>
  </si>
  <si>
    <t>Leave it on the Porch</t>
  </si>
  <si>
    <t>2023-09-07 15:34:15</t>
  </si>
  <si>
    <t>2023-09-08 09:11:21</t>
  </si>
  <si>
    <t>Nats daily deals and codes</t>
  </si>
  <si>
    <t>已取消/退款</t>
  </si>
  <si>
    <t>未入选</t>
  </si>
  <si>
    <t>2023-09-07 18:13:47</t>
  </si>
  <si>
    <t>2023-09-13 15:39:13</t>
  </si>
  <si>
    <t>Bomb Deals - Promo Codes - Coupons</t>
  </si>
  <si>
    <t>2023-09-07 22:32:59</t>
  </si>
  <si>
    <t>2023-09-08 10:43:22</t>
  </si>
  <si>
    <t>Oopsie Deals</t>
  </si>
  <si>
    <t>查看图片</t>
  </si>
  <si>
    <t>2023-09-07 15:27:44</t>
  </si>
  <si>
    <t>2023-09-08 09:53:51</t>
  </si>
  <si>
    <t>Dysautomama Deals</t>
  </si>
  <si>
    <t>2023-09-07 16:25:17</t>
  </si>
  <si>
    <t>2023-09-08 15:28:24</t>
  </si>
  <si>
    <t>Gretchen's Adventures Deals</t>
  </si>
  <si>
    <t>2023-09-07 18:16:12</t>
  </si>
  <si>
    <t>2023-09-08 18:19:33</t>
  </si>
  <si>
    <t>Ohana Farmhouse 🌺 Daily Deals &amp; Steals</t>
  </si>
  <si>
    <t>2023-09-07 16:18:35</t>
  </si>
  <si>
    <t>2023-09-08 23:27:38</t>
  </si>
  <si>
    <t>https://www.amazon.com/promocode/A6V41M33IJCOY</t>
  </si>
  <si>
    <t>-</t>
  </si>
  <si>
    <t>685AXW4O</t>
  </si>
  <si>
    <t>HarcarSisters - (Deals &amp; Steals)</t>
  </si>
  <si>
    <t>管理员超时不回复</t>
  </si>
  <si>
    <t>2023-09-08 12:05:34</t>
  </si>
  <si>
    <t>2023-09-10 18:13:38</t>
  </si>
  <si>
    <t>Compras toxicas con la patrona</t>
  </si>
  <si>
    <t>2023-09-08 23:37:45</t>
  </si>
  <si>
    <t>2023-09-09 10:11:14</t>
  </si>
  <si>
    <t>Kristen's Deals and Discounts</t>
  </si>
  <si>
    <t>2023-09-08 18:20:51</t>
  </si>
  <si>
    <t>2023-09-09 12:12:40</t>
  </si>
  <si>
    <t>Sales-aholic.com Deals, Glitches, &amp; Free Things</t>
  </si>
  <si>
    <t>2023-09-08 14:15:56</t>
  </si>
  <si>
    <t>2023-09-09 07:14:41</t>
  </si>
  <si>
    <t>Jackie's Fun Finds</t>
  </si>
  <si>
    <t>2023-09-08 18:18:53</t>
  </si>
  <si>
    <t>2023-09-09 14:09:58</t>
  </si>
  <si>
    <t>Coupon with Nada</t>
  </si>
  <si>
    <t>2023-09-08 19:25:02</t>
  </si>
  <si>
    <t>2023-09-11 09:06:26</t>
  </si>
  <si>
    <t>Thrifty Babes®: The Shop Society</t>
  </si>
  <si>
    <t>2023-09-08 12:49:48</t>
  </si>
  <si>
    <t>2023-09-12 22:29:32</t>
  </si>
  <si>
    <t>LaurenLovesDeals &amp; more!</t>
  </si>
  <si>
    <t>Reviews数量不足</t>
  </si>
  <si>
    <t>2023-09-08 13:09:33</t>
  </si>
  <si>
    <t>Amazing - Deals &amp; Codes</t>
  </si>
  <si>
    <t>拼帖人要求退款</t>
  </si>
  <si>
    <t>2023-09-08 19:24:03</t>
  </si>
  <si>
    <t>2023-09-13 20:13:33</t>
  </si>
  <si>
    <t>Bullseye🎯on the Bargain</t>
  </si>
  <si>
    <t>2023-09-08 18:10:20</t>
  </si>
  <si>
    <t>2023-09-11 14:06:40</t>
  </si>
  <si>
    <t>KB's Deals™</t>
  </si>
  <si>
    <t>2023-09-08 12:42:32</t>
  </si>
  <si>
    <t>2023-09-12 20:36:32</t>
  </si>
  <si>
    <t>🌷simply sales with Alyssa &amp; Sarah</t>
  </si>
  <si>
    <t>2023-09-08 14:57:17</t>
  </si>
  <si>
    <t>2023-09-09 18:48:42</t>
  </si>
  <si>
    <t>https://www.amazon.com/promocode/A3KI4FHP7QJ2RZ</t>
  </si>
  <si>
    <t>68Z5D8VU</t>
  </si>
  <si>
    <t>2023-09-09 11:16:31</t>
  </si>
  <si>
    <t>2023-09-09 17:18:41</t>
  </si>
  <si>
    <t>2023-09-10 22:43:33</t>
  </si>
  <si>
    <t>The Glitch Witch - A Snarky Deals Group</t>
  </si>
  <si>
    <t>2023-09-09 18:11:16</t>
  </si>
  <si>
    <t>2023-09-09 23:58:34</t>
  </si>
  <si>
    <t>2023-09-09 18:10:39</t>
  </si>
  <si>
    <t>2023-09-12 12:32:38</t>
  </si>
  <si>
    <t>2023-09-09 14:42:00</t>
  </si>
  <si>
    <t>2023-09-13 20:05:36</t>
  </si>
  <si>
    <t>2023-09-09 14:41:20</t>
  </si>
  <si>
    <t>2023-09-12 22:29:33</t>
  </si>
  <si>
    <t>BUT It Was On Sale..💥💥</t>
  </si>
  <si>
    <t>2023-09-09 18:06:35</t>
  </si>
  <si>
    <t>2023-09-10 20:05:36</t>
  </si>
  <si>
    <t>Mommy &amp; Me Deals</t>
  </si>
  <si>
    <t>2023-09-09 17:19:45</t>
  </si>
  <si>
    <t>2023-09-11 22:55:21</t>
  </si>
  <si>
    <t>Kouponing With Katie</t>
  </si>
  <si>
    <t>2023-09-09 18:12:13</t>
  </si>
  <si>
    <t>2023-09-10 09:36:07</t>
  </si>
  <si>
    <t>🍑 Peachy Keen Deals and Steals</t>
  </si>
  <si>
    <t>2023-09-09 14:43:07</t>
  </si>
  <si>
    <t>2023-09-11 19:40:40</t>
  </si>
  <si>
    <t>Savvy Money Saving Shopaholics Group</t>
  </si>
  <si>
    <t>进行中</t>
  </si>
  <si>
    <t>2023-09-11 18:20:47</t>
  </si>
  <si>
    <t>Crazy Discount Codes</t>
  </si>
  <si>
    <t>2023-09-11 10:40:36</t>
  </si>
  <si>
    <t>2023-09-11 11:59:28</t>
  </si>
  <si>
    <t>否定精准</t>
  </si>
  <si>
    <t>否定词组</t>
  </si>
  <si>
    <t>品牌词</t>
  </si>
  <si>
    <t>car screen</t>
  </si>
  <si>
    <t>monitor</t>
  </si>
  <si>
    <t>ring</t>
  </si>
  <si>
    <t>4k monitor</t>
  </si>
  <si>
    <t>digital</t>
  </si>
  <si>
    <t>VIOFO</t>
  </si>
  <si>
    <t>digital dash</t>
  </si>
  <si>
    <t>real</t>
  </si>
  <si>
    <t>VANTRUE</t>
  </si>
  <si>
    <t>car wifi</t>
  </si>
  <si>
    <t>blackvue</t>
  </si>
  <si>
    <t>Thinkware</t>
  </si>
  <si>
    <t>screen for car</t>
  </si>
  <si>
    <t>laser</t>
  </si>
  <si>
    <t>Blackvue</t>
  </si>
  <si>
    <t>wifi for car</t>
  </si>
  <si>
    <t>jammer</t>
  </si>
  <si>
    <t>Garmin</t>
  </si>
  <si>
    <t>parking sensor</t>
  </si>
  <si>
    <t>echo</t>
  </si>
  <si>
    <t>real car</t>
  </si>
  <si>
    <t>auto</t>
  </si>
  <si>
    <t>NEXT BASE</t>
  </si>
  <si>
    <t>digital dashboard</t>
  </si>
  <si>
    <t>small</t>
  </si>
  <si>
    <t>REXING</t>
  </si>
  <si>
    <t>4k monitors</t>
  </si>
  <si>
    <t>battery</t>
  </si>
  <si>
    <t>Blueskysea</t>
  </si>
  <si>
    <t>car monitor</t>
  </si>
  <si>
    <t>filler</t>
  </si>
  <si>
    <t>IIWEY</t>
  </si>
  <si>
    <t>4k ips monitor</t>
  </si>
  <si>
    <t>sticky</t>
  </si>
  <si>
    <t>AZDOME</t>
  </si>
  <si>
    <t>thinkware</t>
  </si>
  <si>
    <t>fix</t>
  </si>
  <si>
    <t>ddpai</t>
  </si>
  <si>
    <t>thinkware thinkware u1000</t>
  </si>
  <si>
    <t>saver</t>
  </si>
  <si>
    <t>FITCAMX</t>
  </si>
  <si>
    <t>blackvue dr970x-2ch</t>
  </si>
  <si>
    <t>pack</t>
  </si>
  <si>
    <t>iZEEKER</t>
  </si>
  <si>
    <t>laser jammer</t>
  </si>
  <si>
    <t>password</t>
  </si>
  <si>
    <t>Nexar</t>
  </si>
  <si>
    <t>parking sensors for cars</t>
  </si>
  <si>
    <t>back</t>
  </si>
  <si>
    <t>Glucrean</t>
  </si>
  <si>
    <t>monitor 4k</t>
  </si>
  <si>
    <t>rear</t>
  </si>
  <si>
    <t>PRUVEEO</t>
  </si>
  <si>
    <t>control for</t>
  </si>
  <si>
    <t>front and rear</t>
  </si>
  <si>
    <t>REDTIGER</t>
  </si>
  <si>
    <t>blackvue dr900x</t>
  </si>
  <si>
    <t>dual</t>
  </si>
  <si>
    <t>Z Z-EDGE</t>
  </si>
  <si>
    <t>wifi card</t>
  </si>
  <si>
    <t>inside</t>
  </si>
  <si>
    <t>CHORTAU</t>
  </si>
  <si>
    <t>backup</t>
  </si>
  <si>
    <t>GOODTS</t>
  </si>
  <si>
    <t>echo auto</t>
  </si>
  <si>
    <t>hidden</t>
  </si>
  <si>
    <t>Plozoe</t>
  </si>
  <si>
    <t>thinkware f200 pro</t>
  </si>
  <si>
    <t>mini</t>
  </si>
  <si>
    <t>VSYSTO</t>
  </si>
  <si>
    <t>dash cam sd card</t>
  </si>
  <si>
    <t>bluetooth</t>
  </si>
  <si>
    <t>Cobra</t>
  </si>
  <si>
    <t>real cars</t>
  </si>
  <si>
    <t>radar</t>
  </si>
  <si>
    <t>COOAU</t>
  </si>
  <si>
    <t>mirror</t>
  </si>
  <si>
    <t>navycrest</t>
  </si>
  <si>
    <t>vehicle electronics</t>
  </si>
  <si>
    <t>safety</t>
  </si>
  <si>
    <t>RISERO</t>
  </si>
  <si>
    <t>security</t>
  </si>
  <si>
    <t>WOLFBOX</t>
  </si>
  <si>
    <t>camera monitor</t>
  </si>
  <si>
    <t>front and inside</t>
  </si>
  <si>
    <t>Zhrmghg</t>
  </si>
  <si>
    <t>front and back</t>
  </si>
  <si>
    <t>vehicle</t>
  </si>
  <si>
    <t>front and backup</t>
  </si>
  <si>
    <t>ABASK</t>
  </si>
  <si>
    <t>blue car</t>
  </si>
  <si>
    <t>pruveeo</t>
  </si>
  <si>
    <t>Amazon Renewed</t>
  </si>
  <si>
    <t>dash cam battery pack</t>
  </si>
  <si>
    <r>
      <rPr>
        <sz val="11"/>
        <color rgb="FF000000"/>
        <rFont val="Calibri"/>
        <charset val="134"/>
      </rPr>
      <t>3 channel</t>
    </r>
    <r>
      <rPr>
        <sz val="11"/>
        <color rgb="FF000000"/>
        <rFont val="Calibri"/>
        <charset val="134"/>
      </rPr>
      <t xml:space="preserve"> </t>
    </r>
  </si>
  <si>
    <t>AXIL</t>
  </si>
  <si>
    <t>sticky dash fix</t>
  </si>
  <si>
    <t>Dongar Technologies</t>
  </si>
  <si>
    <t>memory saver for car battery</t>
  </si>
  <si>
    <r>
      <rPr>
        <sz val="11"/>
        <color rgb="FF000000"/>
        <rFont val="Calibri"/>
        <charset val="134"/>
      </rPr>
      <t>luxi</t>
    </r>
    <r>
      <rPr>
        <sz val="11"/>
        <color rgb="FF000000"/>
        <rFont val="Calibri"/>
        <charset val="134"/>
      </rPr>
      <t xml:space="preserve"> </t>
    </r>
  </si>
  <si>
    <t>dosili</t>
  </si>
  <si>
    <t>wifi battery monitor</t>
  </si>
  <si>
    <t>FocuWay</t>
  </si>
  <si>
    <t>wifi password</t>
  </si>
  <si>
    <r>
      <rPr>
        <sz val="11"/>
        <color rgb="FF000000"/>
        <rFont val="Calibri"/>
        <charset val="134"/>
      </rPr>
      <t>nexar</t>
    </r>
    <r>
      <rPr>
        <sz val="11"/>
        <color rgb="FF000000"/>
        <rFont val="Calibri"/>
        <charset val="134"/>
      </rPr>
      <t xml:space="preserve"> </t>
    </r>
  </si>
  <si>
    <t>Heaboli</t>
  </si>
  <si>
    <t>amazon auto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</si>
  <si>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link</t>
    </r>
  </si>
  <si>
    <t>LAMTTO</t>
  </si>
  <si>
    <t>battery filler</t>
  </si>
  <si>
    <r>
      <rPr>
        <sz val="11"/>
        <color rgb="FF000000"/>
        <rFont val="Calibri"/>
        <charset val="134"/>
      </rPr>
      <t>rove</t>
    </r>
    <r>
      <rPr>
        <sz val="11"/>
        <color rgb="FF000000"/>
        <rFont val="Calibri"/>
        <charset val="134"/>
      </rPr>
      <t xml:space="preserve"> </t>
    </r>
  </si>
  <si>
    <t>OBEST</t>
  </si>
  <si>
    <t>camas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</si>
  <si>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r2 4k</t>
    </r>
    <r>
      <rPr>
        <sz val="11"/>
        <color rgb="FF000000"/>
        <rFont val="Calibri"/>
        <charset val="134"/>
      </rPr>
      <t xml:space="preserve"> </t>
    </r>
  </si>
  <si>
    <t>QSAEHLS</t>
  </si>
  <si>
    <t>dash</t>
  </si>
  <si>
    <r>
      <rPr>
        <sz val="11"/>
        <color rgb="FF000000"/>
        <rFont val="Calibri"/>
        <charset val="134"/>
      </rPr>
      <t>pruveeo</t>
    </r>
    <r>
      <rPr>
        <sz val="11"/>
        <color rgb="FF000000"/>
        <rFont val="Calibri"/>
        <charset val="134"/>
      </rPr>
      <t xml:space="preserve"> </t>
    </r>
  </si>
  <si>
    <t>QveeQ</t>
  </si>
  <si>
    <t>pruveeo 3 channel dash cam</t>
  </si>
  <si>
    <t>ROVE</t>
  </si>
  <si>
    <t>SoeKoa</t>
  </si>
  <si>
    <t>luxi drive dash cam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</si>
  <si>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rear</t>
    </r>
  </si>
  <si>
    <t>ssontong</t>
  </si>
  <si>
    <t>azdome</t>
  </si>
  <si>
    <t>AINAVIGO</t>
  </si>
  <si>
    <t>Biuone</t>
  </si>
  <si>
    <t>cam link</t>
  </si>
  <si>
    <t>cambase</t>
  </si>
  <si>
    <t>galphi</t>
  </si>
  <si>
    <r>
      <rPr>
        <sz val="11"/>
        <color rgb="FF000000"/>
        <rFont val="Calibri"/>
        <charset val="134"/>
      </rPr>
      <t>4 channel</t>
    </r>
    <r>
      <rPr>
        <sz val="11"/>
        <color rgb="FF000000"/>
        <rFont val="Calibri"/>
        <charset val="134"/>
      </rPr>
      <t xml:space="preserve"> </t>
    </r>
  </si>
  <si>
    <t>HaHoco</t>
  </si>
  <si>
    <t>cordless</t>
  </si>
  <si>
    <t>Innosinpo</t>
  </si>
  <si>
    <t>iSaddle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</si>
  <si>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</t>
    </r>
  </si>
  <si>
    <t>screens</t>
  </si>
  <si>
    <t>Kenwood</t>
  </si>
  <si>
    <t>dash cam front and rear</t>
  </si>
  <si>
    <r>
      <rPr>
        <sz val="11"/>
        <color rgb="FF000000"/>
        <rFont val="Calibri"/>
        <charset val="134"/>
      </rPr>
      <t>small</t>
    </r>
    <r>
      <rPr>
        <sz val="11"/>
        <color rgb="FF000000"/>
        <rFont val="Calibri"/>
        <charset val="134"/>
      </rPr>
      <t xml:space="preserve"> </t>
    </r>
  </si>
  <si>
    <t>Kingslim</t>
  </si>
  <si>
    <t>4k dash cam front and rear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</si>
  <si>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wireless</t>
    </r>
  </si>
  <si>
    <t>LANMODO</t>
  </si>
  <si>
    <t>azdome 4k dash cam front and rear</t>
  </si>
  <si>
    <r>
      <rPr>
        <sz val="11"/>
        <color rgb="FF000000"/>
        <rFont val="Calibri"/>
        <charset val="134"/>
      </rPr>
      <t>redtiger</t>
    </r>
    <r>
      <rPr>
        <sz val="11"/>
        <color rgb="FF000000"/>
        <rFont val="Calibri"/>
        <charset val="134"/>
      </rPr>
      <t xml:space="preserve"> </t>
    </r>
  </si>
  <si>
    <t>MHCABSR</t>
  </si>
  <si>
    <r>
      <rPr>
        <sz val="11"/>
        <color rgb="FF000000"/>
        <rFont val="Calibri"/>
        <charset val="134"/>
      </rPr>
      <t>ring 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</si>
  <si>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f7np</t>
    </r>
  </si>
  <si>
    <t>Milerong</t>
  </si>
  <si>
    <t>vava</t>
  </si>
  <si>
    <t>moss wu Diane</t>
  </si>
  <si>
    <t>car desk</t>
  </si>
  <si>
    <t>holiday</t>
  </si>
  <si>
    <t>OctinPris</t>
  </si>
  <si>
    <t>4 channel dash cam</t>
  </si>
  <si>
    <t>Pathinglek</t>
  </si>
  <si>
    <t>toguard</t>
  </si>
  <si>
    <t>Rand McNally</t>
  </si>
  <si>
    <t>screens for cars</t>
  </si>
  <si>
    <t>no wires</t>
  </si>
  <si>
    <t>Rayfoto</t>
  </si>
  <si>
    <t>REARMASTER</t>
  </si>
  <si>
    <t>desk for car</t>
  </si>
  <si>
    <t>Rhorawill</t>
  </si>
  <si>
    <t>dash cam front and rear wireless</t>
  </si>
  <si>
    <r>
      <rPr>
        <sz val="11"/>
        <color rgb="FF000000"/>
        <rFont val="Calibri"/>
        <charset val="134"/>
      </rPr>
      <t>desk</t>
    </r>
    <r>
      <rPr>
        <sz val="11"/>
        <color rgb="FF000000"/>
        <rFont val="Calibri"/>
        <charset val="134"/>
      </rPr>
      <t xml:space="preserve"> </t>
    </r>
  </si>
  <si>
    <t>ROAV</t>
  </si>
  <si>
    <t>wireless dash cam front and rear</t>
  </si>
  <si>
    <r>
      <rPr>
        <sz val="11"/>
        <color rgb="FF000000"/>
        <rFont val="Calibri"/>
        <charset val="134"/>
      </rPr>
      <t>minolta</t>
    </r>
    <r>
      <rPr>
        <sz val="11"/>
        <color rgb="FF000000"/>
        <rFont val="Calibri"/>
        <charset val="134"/>
      </rPr>
      <t xml:space="preserve"> </t>
    </r>
  </si>
  <si>
    <t>Scosche</t>
  </si>
  <si>
    <r>
      <rPr>
        <sz val="11"/>
        <color rgb="FF000000"/>
        <rFont val="Calibri"/>
        <charset val="134"/>
      </rPr>
      <t>seicane</t>
    </r>
    <r>
      <rPr>
        <sz val="11"/>
        <color rgb="FF000000"/>
        <rFont val="Calibri"/>
        <charset val="134"/>
      </rPr>
      <t xml:space="preserve"> </t>
    </r>
  </si>
  <si>
    <t>Surfola</t>
  </si>
  <si>
    <t>carplay</t>
  </si>
  <si>
    <t>TOGUAD</t>
  </si>
  <si>
    <t>nexar</t>
  </si>
  <si>
    <t>TOGUARDVIDEO</t>
  </si>
  <si>
    <t>amazon holiday dash</t>
  </si>
  <si>
    <t>cooau</t>
  </si>
  <si>
    <t>Transcend</t>
  </si>
  <si>
    <t>WonVon</t>
  </si>
  <si>
    <t>dash cam with 1080p dual cameras, fhd dvr 3.0 ips screen 170° wide angle g-sensor parking monitor lo</t>
  </si>
  <si>
    <t>wolfbox</t>
  </si>
  <si>
    <t>Abodost</t>
  </si>
  <si>
    <t>toguard dash cam</t>
  </si>
  <si>
    <t>AIPLUGER</t>
  </si>
  <si>
    <r>
      <rPr>
        <sz val="11"/>
        <color rgb="FF000000"/>
        <rFont val="Calibri"/>
        <charset val="134"/>
      </rPr>
      <t>apexview</t>
    </r>
    <r>
      <rPr>
        <sz val="11"/>
        <color rgb="FF000000"/>
        <rFont val="Calibri"/>
        <charset val="134"/>
      </rPr>
      <t xml:space="preserve"> </t>
    </r>
  </si>
  <si>
    <t>AKKAHH</t>
  </si>
  <si>
    <t>solar</t>
  </si>
  <si>
    <t>AMORTEK</t>
  </si>
  <si>
    <t>dashcam front and rear camera wireless</t>
  </si>
  <si>
    <t>Anumit</t>
  </si>
  <si>
    <r>
      <rPr>
        <sz val="11"/>
        <color rgb="FF000000"/>
        <rFont val="Calibri"/>
        <charset val="134"/>
      </rPr>
      <t>red tiger</t>
    </r>
    <r>
      <rPr>
        <sz val="11"/>
        <color rgb="FF000000"/>
        <rFont val="Calibri"/>
        <charset val="134"/>
      </rPr>
      <t xml:space="preserve"> </t>
    </r>
  </si>
  <si>
    <t>Apexcam</t>
  </si>
  <si>
    <t>dash cam front and rear 4k</t>
  </si>
  <si>
    <t>car needs</t>
  </si>
  <si>
    <t>ARECORD</t>
  </si>
  <si>
    <t>minolta dash cam</t>
  </si>
  <si>
    <t>ASTSH</t>
  </si>
  <si>
    <t>seicane 10.26 carplay dash camera</t>
  </si>
  <si>
    <t>ATOTO</t>
  </si>
  <si>
    <t>nexar dash cam front and rear</t>
  </si>
  <si>
    <t>battery powered</t>
  </si>
  <si>
    <t>Avaett</t>
  </si>
  <si>
    <t>dashcams for cars front and rear</t>
  </si>
  <si>
    <t>AVISIGHT</t>
  </si>
  <si>
    <t>cooau dash cam</t>
  </si>
  <si>
    <r>
      <rPr>
        <sz val="11"/>
        <color rgb="FF000000"/>
        <rFont val="Calibri"/>
        <charset val="134"/>
      </rPr>
      <t>thinkware</t>
    </r>
    <r>
      <rPr>
        <sz val="11"/>
        <color rgb="FF000000"/>
        <rFont val="Calibri"/>
        <charset val="134"/>
      </rPr>
      <t xml:space="preserve"> </t>
    </r>
  </si>
  <si>
    <t>BlackboxMyCar</t>
  </si>
  <si>
    <t>f70</t>
  </si>
  <si>
    <t>Bonvenon</t>
  </si>
  <si>
    <t>wolfbox dash cam</t>
  </si>
  <si>
    <t>luxidrive</t>
  </si>
  <si>
    <t>BOOGIIO</t>
  </si>
  <si>
    <r>
      <rPr>
        <sz val="11"/>
        <color rgb="FF000000"/>
        <rFont val="Calibri"/>
        <charset val="134"/>
      </rPr>
      <t>viofo</t>
    </r>
    <r>
      <rPr>
        <sz val="11"/>
        <color rgb="FF000000"/>
        <rFont val="Calibri"/>
        <charset val="134"/>
      </rPr>
      <t xml:space="preserve"> </t>
    </r>
  </si>
  <si>
    <t>Byakov</t>
  </si>
  <si>
    <t>cam</t>
  </si>
  <si>
    <t>a229</t>
  </si>
  <si>
    <t>CammPro</t>
  </si>
  <si>
    <t>car dash cam front and back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</si>
  <si>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pro</t>
    </r>
  </si>
  <si>
    <t>Cansonic</t>
  </si>
  <si>
    <t>apexview dash cam</t>
  </si>
  <si>
    <r>
      <rPr>
        <sz val="11"/>
        <color rgb="FF000000"/>
        <rFont val="Calibri"/>
        <charset val="134"/>
      </rPr>
      <t>gopro</t>
    </r>
    <r>
      <rPr>
        <sz val="11"/>
        <color rgb="FF000000"/>
        <rFont val="Calibri"/>
        <charset val="134"/>
      </rPr>
      <t xml:space="preserve"> </t>
    </r>
  </si>
  <si>
    <t>Car and Driver</t>
  </si>
  <si>
    <t>4k</t>
  </si>
  <si>
    <t>Carpuride</t>
  </si>
  <si>
    <r>
      <rPr>
        <sz val="11"/>
        <color rgb="FF000000"/>
        <rFont val="Calibri"/>
        <charset val="134"/>
      </rPr>
      <t>roav</t>
    </r>
    <r>
      <rPr>
        <sz val="11"/>
        <color rgb="FF000000"/>
        <rFont val="Calibri"/>
        <charset val="134"/>
      </rPr>
      <t xml:space="preserve"> </t>
    </r>
  </si>
  <si>
    <t>ChargerCity</t>
  </si>
  <si>
    <r>
      <rPr>
        <sz val="11"/>
        <color rgb="FF000000"/>
        <rFont val="Calibri"/>
        <charset val="134"/>
      </rPr>
      <t>car screen</t>
    </r>
    <r>
      <rPr>
        <sz val="11"/>
        <color rgb="FF000000"/>
        <rFont val="Calibri"/>
        <charset val="134"/>
      </rPr>
      <t xml:space="preserve"> </t>
    </r>
  </si>
  <si>
    <t>D.DA.D</t>
  </si>
  <si>
    <t>3 channel dash cam</t>
  </si>
  <si>
    <t>bluetooth screen</t>
  </si>
  <si>
    <t>Digital Village</t>
  </si>
  <si>
    <t>cloud</t>
  </si>
  <si>
    <t>Dorman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</si>
  <si>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screen</t>
    </r>
  </si>
  <si>
    <t>Escort</t>
  </si>
  <si>
    <t>dashcam front and rear camera</t>
  </si>
  <si>
    <t>fitcamx</t>
  </si>
  <si>
    <t>E-SHOW TREE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</si>
  <si>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speed</t>
    </r>
    <r>
      <rPr>
        <sz val="11"/>
        <color rgb="FF000000"/>
        <rFont val="Calibri"/>
        <charset val="134"/>
      </rPr>
      <t xml:space="preserve"> </t>
    </r>
  </si>
  <si>
    <t>EYETOO</t>
  </si>
  <si>
    <t>Frvesroe</t>
  </si>
  <si>
    <r>
      <rPr>
        <sz val="11"/>
        <color rgb="FF000000"/>
        <rFont val="Calibri"/>
        <charset val="134"/>
      </rPr>
      <t>garmin</t>
    </r>
    <r>
      <rPr>
        <sz val="11"/>
        <color rgb="FF000000"/>
        <rFont val="Calibri"/>
        <charset val="134"/>
      </rPr>
      <t xml:space="preserve"> </t>
    </r>
  </si>
  <si>
    <t>Gebildet</t>
  </si>
  <si>
    <t>car step</t>
  </si>
  <si>
    <t>Generic</t>
  </si>
  <si>
    <t>drive cam luxidrive</t>
  </si>
  <si>
    <t>GILAYGROW</t>
  </si>
  <si>
    <t>viofo a229 pro</t>
  </si>
  <si>
    <t>apex view</t>
  </si>
  <si>
    <t>HUBANFLY</t>
  </si>
  <si>
    <r>
      <rPr>
        <sz val="11"/>
        <color rgb="FF000000"/>
        <rFont val="Calibri"/>
        <charset val="134"/>
      </rPr>
      <t>apex</t>
    </r>
    <r>
      <rPr>
        <sz val="11"/>
        <color rgb="FF000000"/>
        <rFont val="Calibri"/>
        <charset val="134"/>
      </rPr>
      <t xml:space="preserve"> </t>
    </r>
  </si>
  <si>
    <t>Hurra</t>
  </si>
  <si>
    <t>view</t>
  </si>
  <si>
    <t>Jansite</t>
  </si>
  <si>
    <t>360 car camera</t>
  </si>
  <si>
    <t>JOMISE</t>
  </si>
  <si>
    <t>ofertas</t>
  </si>
  <si>
    <t>Korlagh</t>
  </si>
  <si>
    <t>rove r2 4k</t>
  </si>
  <si>
    <t>LIDOFIGO</t>
  </si>
  <si>
    <t>bluetooth screen for car</t>
  </si>
  <si>
    <r>
      <rPr>
        <sz val="11"/>
        <color rgb="FF000000"/>
        <rFont val="Calibri"/>
        <charset val="134"/>
      </rPr>
      <t>apeman</t>
    </r>
    <r>
      <rPr>
        <sz val="11"/>
        <color rgb="FF000000"/>
        <rFont val="Calibri"/>
        <charset val="134"/>
      </rPr>
      <t xml:space="preserve"> </t>
    </r>
  </si>
  <si>
    <t>Losfom</t>
  </si>
  <si>
    <t>cloud cam</t>
  </si>
  <si>
    <r>
      <rPr>
        <sz val="11"/>
        <color rgb="FF000000"/>
        <rFont val="Calibri"/>
        <charset val="134"/>
      </rPr>
      <t>sensors</t>
    </r>
    <r>
      <rPr>
        <sz val="11"/>
        <color rgb="FF000000"/>
        <rFont val="Calibri"/>
        <charset val="134"/>
      </rPr>
      <t xml:space="preserve"> </t>
    </r>
  </si>
  <si>
    <t>MASO</t>
  </si>
  <si>
    <r>
      <rPr>
        <sz val="11"/>
        <color rgb="FF000000"/>
        <rFont val="Calibri"/>
        <charset val="134"/>
      </rPr>
      <t>parking</t>
    </r>
    <r>
      <rPr>
        <sz val="11"/>
        <color rgb="FF000000"/>
        <rFont val="Calibri"/>
        <charset val="134"/>
      </rPr>
      <t xml:space="preserve"> </t>
    </r>
  </si>
  <si>
    <t>MEKNIC</t>
  </si>
  <si>
    <t>Minolta</t>
  </si>
  <si>
    <t>car gadgets</t>
  </si>
  <si>
    <t>Miofive</t>
  </si>
  <si>
    <t>car living</t>
  </si>
  <si>
    <t>Moplasz</t>
  </si>
  <si>
    <t>cobra sc 201</t>
  </si>
  <si>
    <t>MSAFF</t>
  </si>
  <si>
    <t>apex view dash cam</t>
  </si>
  <si>
    <t>car stuff</t>
  </si>
  <si>
    <t>N\C</t>
  </si>
  <si>
    <t>car emergency</t>
  </si>
  <si>
    <t>nezini</t>
  </si>
  <si>
    <r>
      <rPr>
        <sz val="11"/>
        <color rgb="FF000000"/>
        <rFont val="Calibri"/>
        <charset val="134"/>
      </rPr>
      <t>star</t>
    </r>
    <r>
      <rPr>
        <sz val="11"/>
        <color rgb="FF000000"/>
        <rFont val="Calibri"/>
        <charset val="134"/>
      </rPr>
      <t xml:space="preserve"> </t>
    </r>
  </si>
  <si>
    <t>NUNET</t>
  </si>
  <si>
    <r>
      <rPr>
        <sz val="11"/>
        <color rgb="FF000000"/>
        <rFont val="Calibri"/>
        <charset val="134"/>
      </rPr>
      <t>truck</t>
    </r>
    <r>
      <rPr>
        <sz val="11"/>
        <color rgb="FF000000"/>
        <rFont val="Calibri"/>
        <charset val="134"/>
      </rPr>
      <t xml:space="preserve"> </t>
    </r>
  </si>
  <si>
    <t>OldShark</t>
  </si>
  <si>
    <t>link</t>
  </si>
  <si>
    <t>Orgtoy</t>
  </si>
  <si>
    <t>apeman dash cam</t>
  </si>
  <si>
    <t>trucks</t>
  </si>
  <si>
    <t>PlayBetter</t>
  </si>
  <si>
    <t>car driving</t>
  </si>
  <si>
    <t>PORMIDO</t>
  </si>
  <si>
    <t>360 degree dash cam</t>
  </si>
  <si>
    <t>car engine</t>
  </si>
  <si>
    <t>Street Guardian</t>
  </si>
  <si>
    <t>SYLVANIA</t>
  </si>
  <si>
    <t>car rear camera</t>
  </si>
  <si>
    <t>TiToeKi</t>
  </si>
  <si>
    <r>
      <rPr>
        <sz val="11"/>
        <color rgb="FF000000"/>
        <rFont val="Calibri"/>
        <charset val="134"/>
      </rPr>
      <t>auto</t>
    </r>
    <r>
      <rPr>
        <sz val="11"/>
        <color rgb="FF000000"/>
        <rFont val="Calibri"/>
        <charset val="134"/>
      </rPr>
      <t xml:space="preserve"> </t>
    </r>
  </si>
  <si>
    <t>TYPE S TOURING ITEMS</t>
  </si>
  <si>
    <t>cobra sc 201 dash cam</t>
  </si>
  <si>
    <t>Upgrow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</si>
  <si>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gps</t>
    </r>
  </si>
  <si>
    <t>VAVA</t>
  </si>
  <si>
    <t>dashcam front and inside</t>
  </si>
  <si>
    <t>gps and speed</t>
  </si>
  <si>
    <t>Verratek</t>
  </si>
  <si>
    <t>stuff for cars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</si>
  <si>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battery pack</t>
    </r>
  </si>
  <si>
    <t>VIKEWE</t>
  </si>
  <si>
    <r>
      <rPr>
        <sz val="11"/>
        <color rgb="FF000000"/>
        <rFont val="Calibri"/>
        <charset val="134"/>
      </rPr>
      <t>battery</t>
    </r>
    <r>
      <rPr>
        <sz val="11"/>
        <color rgb="FF000000"/>
        <rFont val="Calibri"/>
        <charset val="134"/>
      </rPr>
      <t xml:space="preserve"> </t>
    </r>
  </si>
  <si>
    <t>WheelWitness</t>
  </si>
  <si>
    <t>star link</t>
  </si>
  <si>
    <t>car auto accessories</t>
  </si>
  <si>
    <t>XDL-POWER</t>
  </si>
  <si>
    <t>gps car</t>
  </si>
  <si>
    <t>XIGETRAIL</t>
  </si>
  <si>
    <t>Yansoo</t>
  </si>
  <si>
    <t>baby</t>
  </si>
  <si>
    <t>YEECORE</t>
  </si>
  <si>
    <t>no wire</t>
  </si>
  <si>
    <t>YQMAJIM</t>
  </si>
  <si>
    <t>YYDGH</t>
  </si>
  <si>
    <t>front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</si>
  <si>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</t>
    </r>
    <r>
      <rPr>
        <sz val="11"/>
        <color rgb="FF000000"/>
        <rFont val="Calibri"/>
        <charset val="134"/>
      </rPr>
      <t xml:space="preserve"> </t>
    </r>
  </si>
  <si>
    <t>zhiroad</t>
  </si>
  <si>
    <t>for car</t>
  </si>
  <si>
    <t>ZOMFOM</t>
  </si>
  <si>
    <t>auto camera dash cam front and rear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</si>
  <si>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</t>
    </r>
  </si>
  <si>
    <t>ZWHT</t>
  </si>
  <si>
    <t>dash am</t>
  </si>
  <si>
    <t>cars accessories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</si>
  <si>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monitor</t>
    </r>
    <r>
      <rPr>
        <sz val="11"/>
        <color rgb="FF000000"/>
        <rFont val="Calibri"/>
        <charset val="134"/>
      </rPr>
      <t xml:space="preserve"> 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</si>
  <si>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4k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</si>
  <si>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3 channel</t>
    </r>
  </si>
  <si>
    <t>amazon renewed store</t>
  </si>
  <si>
    <t>car camera baby</t>
  </si>
  <si>
    <t>sd cars</t>
  </si>
  <si>
    <t>bodycam c</t>
  </si>
  <si>
    <t>prime deals</t>
  </si>
  <si>
    <t>autos</t>
  </si>
  <si>
    <t>best car accessories</t>
  </si>
  <si>
    <t>door dash</t>
  </si>
  <si>
    <t>baby car camera</t>
  </si>
  <si>
    <t>carros</t>
  </si>
  <si>
    <t>car monitor camera</t>
  </si>
  <si>
    <t>3 channel dash cam front and rear inside</t>
  </si>
  <si>
    <t>car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</si>
  <si>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 4k</t>
    </r>
  </si>
  <si>
    <t>car wifi hotspot for vehicles</t>
  </si>
  <si>
    <t>dash cam 3 channel</t>
  </si>
  <si>
    <t>deals</t>
  </si>
  <si>
    <t>www.amazon.com</t>
  </si>
  <si>
    <t>64 gb sd card</t>
  </si>
  <si>
    <t>bodycam camera with audio 4k</t>
  </si>
  <si>
    <t>car vehicle accessories</t>
  </si>
  <si>
    <t>men accessories</t>
  </si>
  <si>
    <t>kingslim d4 4k dual dash cam</t>
  </si>
  <si>
    <t>dash cam front and rear wireless recording</t>
  </si>
  <si>
    <t>best dash cam 2023 front and rear</t>
  </si>
  <si>
    <t>used cars</t>
  </si>
  <si>
    <t>amazon car</t>
  </si>
  <si>
    <t>it works</t>
  </si>
  <si>
    <t>amazon www com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</si>
  <si>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a810</t>
    </r>
  </si>
  <si>
    <r>
      <rPr>
        <sz val="11"/>
        <color rgb="FF000000"/>
        <rFont val="Calibri"/>
        <charset val="134"/>
      </rPr>
      <t>code</t>
    </r>
    <r>
      <rPr>
        <sz val="11"/>
        <color rgb="FF000000"/>
        <rFont val="Calibri"/>
        <charset val="134"/>
      </rPr>
      <t xml:space="preserve"> </t>
    </r>
  </si>
  <si>
    <t>car computer</t>
  </si>
  <si>
    <t>cama</t>
  </si>
  <si>
    <t>dash cam without wires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</si>
  <si>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men</t>
    </r>
  </si>
  <si>
    <t>dash cam front and rear wireless 24 7 recording</t>
  </si>
  <si>
    <t>anti car theft device</t>
  </si>
  <si>
    <r>
      <rPr>
        <sz val="11"/>
        <color rgb="FF000000"/>
        <rFont val="Calibri"/>
        <charset val="134"/>
      </rPr>
      <t>hidden</t>
    </r>
    <r>
      <rPr>
        <sz val="11"/>
        <color rgb="FF000000"/>
        <rFont val="Calibri"/>
        <charset val="134"/>
      </rPr>
      <t xml:space="preserve"> </t>
    </r>
  </si>
  <si>
    <t>body cams</t>
  </si>
  <si>
    <r>
      <rPr>
        <sz val="11"/>
        <color rgb="FF000000"/>
        <rFont val="Calibri"/>
        <charset val="134"/>
      </rPr>
      <t>discount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low to high</t>
    </r>
  </si>
  <si>
    <t>dash cam battery</t>
  </si>
  <si>
    <t>auto accessories</t>
  </si>
  <si>
    <t>cool car accessories</t>
  </si>
  <si>
    <t>truck accessories</t>
  </si>
  <si>
    <t>dash camera front and back</t>
  </si>
  <si>
    <t>car camera monitor</t>
  </si>
  <si>
    <t>azdome dash cam</t>
  </si>
  <si>
    <t>amazon.com/code enter activation code</t>
  </si>
  <si>
    <t>3 channel dash cam 4k</t>
  </si>
  <si>
    <t>370z</t>
  </si>
  <si>
    <t>car accessories for men</t>
  </si>
  <si>
    <t>car door</t>
  </si>
  <si>
    <t>prime day deals 2023 electronics</t>
  </si>
  <si>
    <t>car back support for driving</t>
  </si>
  <si>
    <t>f150</t>
  </si>
  <si>
    <t>front camera</t>
  </si>
  <si>
    <t>new car essentials for women</t>
  </si>
  <si>
    <t>dash cam front and inside</t>
  </si>
  <si>
    <t>car upgrades</t>
  </si>
  <si>
    <t>amazon warehouse sale clearance</t>
  </si>
  <si>
    <t>wearable camera</t>
  </si>
  <si>
    <t>car detailing accessories</t>
  </si>
  <si>
    <t>prime deals of the day clearance</t>
  </si>
  <si>
    <r>
      <rPr>
        <sz val="11"/>
        <color rgb="FF000000"/>
        <rFont val="Calibri"/>
        <charset val="134"/>
      </rPr>
      <t>azdome</t>
    </r>
    <r>
      <rPr>
        <sz val="11"/>
        <color rgb="FF000000"/>
        <rFont val="Calibri"/>
        <charset val="134"/>
      </rPr>
      <t xml:space="preserve"> </t>
    </r>
  </si>
  <si>
    <t>car alarm</t>
  </si>
  <si>
    <r>
      <rPr>
        <sz val="11"/>
        <color rgb="FF000000"/>
        <rFont val="Calibri"/>
        <charset val="134"/>
      </rPr>
      <t>warehouse</t>
    </r>
    <r>
      <rPr>
        <sz val="11"/>
        <color rgb="FF000000"/>
        <rFont val="Calibri"/>
        <charset val="134"/>
      </rPr>
      <t xml:space="preserve"> </t>
    </r>
  </si>
  <si>
    <t>car accessories men</t>
  </si>
  <si>
    <t>cami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</si>
  <si>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click</t>
    </r>
  </si>
  <si>
    <t>sale clearance</t>
  </si>
  <si>
    <t>m550</t>
  </si>
  <si>
    <t>accessories</t>
  </si>
  <si>
    <r>
      <rPr>
        <sz val="11"/>
        <color rgb="FF000000"/>
        <rFont val="Calibri"/>
        <charset val="134"/>
      </rPr>
      <t>izeeker</t>
    </r>
    <r>
      <rPr>
        <sz val="11"/>
        <color rgb="FF000000"/>
        <rFont val="Calibri"/>
        <charset val="134"/>
      </rPr>
      <t xml:space="preserve"> </t>
    </r>
  </si>
  <si>
    <t>azdome m550</t>
  </si>
  <si>
    <t>warehouse sale clearance</t>
  </si>
  <si>
    <t>link click</t>
  </si>
  <si>
    <t>warehouse amazon warehouse deals</t>
  </si>
  <si>
    <t>wifi dash cam front and rear</t>
  </si>
  <si>
    <t>dashcam front and rear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</si>
</sst>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26" formatCode="\$#,##0.00_);[Red]\(\$#,##0.00\)"/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_ "/>
    <numFmt numFmtId="179" formatCode="0_ "/>
    <numFmt numFmtId="180" formatCode="0.0_ "/>
    <numFmt numFmtId="181" formatCode="0;[Red]0"/>
    <numFmt numFmtId="182" formatCode="0.00;[Red]0.00"/>
  </numFmts>
  <fonts count="4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0"/>
      <color rgb="FF4B587C"/>
      <name val="宋体"/>
      <charset val="134"/>
      <scheme val="minor"/>
    </font>
    <font>
      <b/>
      <sz val="10"/>
      <color rgb="FF039855"/>
      <name val="宋体"/>
      <charset val="134"/>
      <scheme val="minor"/>
    </font>
    <font>
      <sz val="10"/>
      <color rgb="FF4B587C"/>
      <name val="宋体"/>
      <charset val="134"/>
      <scheme val="minor"/>
    </font>
    <font>
      <sz val="10"/>
      <color rgb="FF039855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b/>
      <sz val="11"/>
      <color rgb="FF7030A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微软雅黑"/>
      <charset val="134"/>
    </font>
    <font>
      <sz val="10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9" borderId="2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0" borderId="25" applyNumberFormat="0" applyAlignment="0" applyProtection="0">
      <alignment vertical="center"/>
    </xf>
    <xf numFmtId="0" fontId="34" fillId="11" borderId="26" applyNumberFormat="0" applyAlignment="0" applyProtection="0">
      <alignment vertical="center"/>
    </xf>
    <xf numFmtId="0" fontId="35" fillId="11" borderId="25" applyNumberFormat="0" applyAlignment="0" applyProtection="0">
      <alignment vertical="center"/>
    </xf>
    <xf numFmtId="0" fontId="36" fillId="12" borderId="27" applyNumberFormat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/>
    <xf numFmtId="0" fontId="2" fillId="2" borderId="0" xfId="0" applyNumberFormat="1" applyFont="1" applyFill="1" applyAlignment="1">
      <alignment horizontal="left"/>
    </xf>
    <xf numFmtId="0" fontId="2" fillId="2" borderId="0" xfId="0" applyNumberFormat="1" applyFont="1" applyFill="1" applyAlignment="1"/>
    <xf numFmtId="178" fontId="0" fillId="0" borderId="0" xfId="0" applyNumberFormat="1">
      <alignment vertical="center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26" fontId="3" fillId="0" borderId="0" xfId="0" applyNumberFormat="1" applyFont="1" applyAlignment="1">
      <alignment vertical="center" wrapText="1"/>
    </xf>
    <xf numFmtId="26" fontId="5" fillId="0" borderId="0" xfId="0" applyNumberFormat="1" applyFont="1" applyAlignment="1">
      <alignment vertical="center" wrapText="1"/>
    </xf>
    <xf numFmtId="0" fontId="6" fillId="0" borderId="0" xfId="0" applyNumberFormat="1" applyFont="1" applyAlignment="1">
      <alignment vertical="center" wrapText="1"/>
    </xf>
    <xf numFmtId="0" fontId="7" fillId="0" borderId="0" xfId="0" applyNumberFormat="1" applyFont="1" applyAlignment="1">
      <alignment vertical="center" wrapText="1"/>
    </xf>
    <xf numFmtId="0" fontId="8" fillId="0" borderId="0" xfId="0" applyNumberFormat="1" applyFont="1" applyAlignment="1">
      <alignment horizontal="left" vertical="center" wrapText="1"/>
    </xf>
    <xf numFmtId="0" fontId="9" fillId="0" borderId="0" xfId="0" applyNumberFormat="1" applyFont="1" applyAlignment="1">
      <alignment horizontal="left" vertical="center"/>
    </xf>
    <xf numFmtId="8" fontId="3" fillId="0" borderId="0" xfId="0" applyNumberFormat="1" applyFont="1" applyAlignment="1">
      <alignment vertical="center" wrapText="1"/>
    </xf>
    <xf numFmtId="22" fontId="5" fillId="0" borderId="0" xfId="0" applyNumberFormat="1" applyFont="1" applyAlignment="1">
      <alignment vertical="center" wrapText="1"/>
    </xf>
    <xf numFmtId="0" fontId="10" fillId="0" borderId="0" xfId="0" applyNumberFormat="1" applyFont="1" applyAlignment="1">
      <alignment vertical="center" wrapText="1"/>
    </xf>
    <xf numFmtId="0" fontId="4" fillId="0" borderId="0" xfId="6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10" fontId="13" fillId="3" borderId="3" xfId="0" applyNumberFormat="1" applyFont="1" applyFill="1" applyBorder="1" applyAlignment="1">
      <alignment horizontal="center" vertical="center" wrapText="1"/>
    </xf>
    <xf numFmtId="178" fontId="13" fillId="0" borderId="3" xfId="0" applyNumberFormat="1" applyFont="1" applyFill="1" applyBorder="1" applyAlignment="1">
      <alignment horizontal="center" vertical="center" wrapText="1"/>
    </xf>
    <xf numFmtId="0" fontId="14" fillId="0" borderId="5" xfId="0" applyNumberFormat="1" applyFont="1" applyFill="1" applyBorder="1" applyAlignment="1">
      <alignment horizontal="center" vertical="center"/>
    </xf>
    <xf numFmtId="58" fontId="15" fillId="0" borderId="6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9" fontId="14" fillId="0" borderId="3" xfId="0" applyNumberFormat="1" applyFont="1" applyFill="1" applyBorder="1" applyAlignment="1">
      <alignment horizontal="center" vertical="center"/>
    </xf>
    <xf numFmtId="178" fontId="15" fillId="0" borderId="3" xfId="0" applyNumberFormat="1" applyFont="1" applyFill="1" applyBorder="1" applyAlignment="1">
      <alignment horizontal="center" vertical="center"/>
    </xf>
    <xf numFmtId="0" fontId="14" fillId="0" borderId="7" xfId="0" applyNumberFormat="1" applyFont="1" applyFill="1" applyBorder="1" applyAlignment="1">
      <alignment horizontal="center" vertical="center"/>
    </xf>
    <xf numFmtId="58" fontId="15" fillId="0" borderId="8" xfId="0" applyNumberFormat="1" applyFont="1" applyFill="1" applyBorder="1" applyAlignment="1">
      <alignment horizontal="center" vertical="center"/>
    </xf>
    <xf numFmtId="0" fontId="14" fillId="0" borderId="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8" fontId="13" fillId="3" borderId="3" xfId="0" applyNumberFormat="1" applyFont="1" applyFill="1" applyBorder="1" applyAlignment="1">
      <alignment horizontal="center" vertical="center" wrapText="1"/>
    </xf>
    <xf numFmtId="10" fontId="13" fillId="0" borderId="3" xfId="0" applyNumberFormat="1" applyFont="1" applyFill="1" applyBorder="1" applyAlignment="1">
      <alignment horizontal="center" vertical="center" wrapText="1"/>
    </xf>
    <xf numFmtId="10" fontId="15" fillId="0" borderId="3" xfId="0" applyNumberFormat="1" applyFont="1" applyFill="1" applyBorder="1" applyAlignment="1" applyProtection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3" borderId="3" xfId="0" applyNumberFormat="1" applyFont="1" applyFill="1" applyBorder="1" applyAlignment="1">
      <alignment horizontal="center" vertical="center" wrapText="1"/>
    </xf>
    <xf numFmtId="178" fontId="17" fillId="0" borderId="3" xfId="0" applyNumberFormat="1" applyFont="1" applyFill="1" applyBorder="1" applyAlignment="1">
      <alignment horizontal="center" vertical="center" wrapText="1"/>
    </xf>
    <xf numFmtId="10" fontId="15" fillId="0" borderId="3" xfId="0" applyNumberFormat="1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/>
    </xf>
    <xf numFmtId="178" fontId="18" fillId="0" borderId="3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78" fontId="11" fillId="0" borderId="0" xfId="0" applyNumberFormat="1" applyFont="1" applyFill="1" applyAlignment="1">
      <alignment horizontal="center" vertical="center"/>
    </xf>
    <xf numFmtId="9" fontId="11" fillId="0" borderId="0" xfId="0" applyNumberFormat="1" applyFont="1" applyFill="1" applyAlignment="1">
      <alignment horizontal="center" vertical="center"/>
    </xf>
    <xf numFmtId="179" fontId="11" fillId="0" borderId="0" xfId="0" applyNumberFormat="1" applyFont="1" applyFill="1" applyAlignment="1">
      <alignment horizontal="center" vertical="center"/>
    </xf>
    <xf numFmtId="180" fontId="11" fillId="0" borderId="0" xfId="0" applyNumberFormat="1" applyFont="1" applyFill="1" applyAlignment="1">
      <alignment horizontal="center" vertical="center"/>
    </xf>
    <xf numFmtId="10" fontId="11" fillId="0" borderId="0" xfId="0" applyNumberFormat="1" applyFont="1" applyFill="1" applyAlignment="1">
      <alignment horizontal="center" vertical="center"/>
    </xf>
    <xf numFmtId="181" fontId="11" fillId="0" borderId="0" xfId="0" applyNumberFormat="1" applyFont="1" applyFill="1" applyAlignment="1">
      <alignment horizontal="center" vertical="center"/>
    </xf>
    <xf numFmtId="0" fontId="19" fillId="0" borderId="0" xfId="6" applyFont="1" applyFill="1" applyAlignment="1">
      <alignment horizontal="center" vertical="center"/>
    </xf>
    <xf numFmtId="178" fontId="14" fillId="3" borderId="0" xfId="0" applyNumberFormat="1" applyFont="1" applyFill="1" applyAlignment="1">
      <alignment horizontal="center" vertical="center"/>
    </xf>
    <xf numFmtId="178" fontId="11" fillId="3" borderId="0" xfId="0" applyNumberFormat="1" applyFont="1" applyFill="1" applyAlignment="1">
      <alignment horizontal="center" vertical="center"/>
    </xf>
    <xf numFmtId="0" fontId="13" fillId="0" borderId="11" xfId="0" applyNumberFormat="1" applyFont="1" applyFill="1" applyBorder="1" applyAlignment="1">
      <alignment horizontal="center" vertical="center"/>
    </xf>
    <xf numFmtId="178" fontId="13" fillId="3" borderId="11" xfId="0" applyNumberFormat="1" applyFont="1" applyFill="1" applyBorder="1" applyAlignment="1">
      <alignment horizontal="center" vertical="center" wrapText="1"/>
    </xf>
    <xf numFmtId="9" fontId="13" fillId="3" borderId="11" xfId="0" applyNumberFormat="1" applyFont="1" applyFill="1" applyBorder="1" applyAlignment="1">
      <alignment horizontal="center" vertical="center" wrapText="1"/>
    </xf>
    <xf numFmtId="0" fontId="13" fillId="3" borderId="11" xfId="0" applyNumberFormat="1" applyFont="1" applyFill="1" applyBorder="1" applyAlignment="1">
      <alignment horizontal="center" vertical="center" wrapText="1"/>
    </xf>
    <xf numFmtId="58" fontId="14" fillId="0" borderId="0" xfId="0" applyNumberFormat="1" applyFont="1" applyFill="1" applyBorder="1" applyAlignment="1">
      <alignment horizontal="center" vertical="center"/>
    </xf>
    <xf numFmtId="9" fontId="14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58" fontId="14" fillId="0" borderId="0" xfId="0" applyNumberFormat="1" applyFont="1" applyFill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9" fontId="14" fillId="0" borderId="0" xfId="0" applyNumberFormat="1" applyFont="1" applyFill="1" applyAlignment="1">
      <alignment horizontal="center" vertical="center"/>
    </xf>
    <xf numFmtId="180" fontId="11" fillId="3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3" fillId="3" borderId="11" xfId="0" applyNumberFormat="1" applyFont="1" applyFill="1" applyBorder="1" applyAlignment="1">
      <alignment horizontal="center" vertical="center"/>
    </xf>
    <xf numFmtId="179" fontId="13" fillId="3" borderId="11" xfId="0" applyNumberFormat="1" applyFont="1" applyFill="1" applyBorder="1" applyAlignment="1">
      <alignment horizontal="center" vertical="center" wrapText="1"/>
    </xf>
    <xf numFmtId="180" fontId="13" fillId="3" borderId="11" xfId="0" applyNumberFormat="1" applyFont="1" applyFill="1" applyBorder="1" applyAlignment="1">
      <alignment horizontal="center" vertical="center"/>
    </xf>
    <xf numFmtId="0" fontId="13" fillId="4" borderId="11" xfId="0" applyNumberFormat="1" applyFont="1" applyFill="1" applyBorder="1" applyAlignment="1">
      <alignment horizontal="center" vertical="center"/>
    </xf>
    <xf numFmtId="10" fontId="14" fillId="0" borderId="0" xfId="0" applyNumberFormat="1" applyFont="1" applyFill="1" applyBorder="1" applyAlignment="1">
      <alignment horizontal="center"/>
    </xf>
    <xf numFmtId="179" fontId="14" fillId="0" borderId="0" xfId="0" applyNumberFormat="1" applyFont="1" applyFill="1" applyBorder="1" applyAlignment="1">
      <alignment horizontal="center"/>
    </xf>
    <xf numFmtId="180" fontId="14" fillId="0" borderId="0" xfId="0" applyNumberFormat="1" applyFont="1" applyFill="1" applyBorder="1" applyAlignment="1">
      <alignment horizontal="center" vertical="center"/>
    </xf>
    <xf numFmtId="179" fontId="14" fillId="0" borderId="0" xfId="0" applyNumberFormat="1" applyFont="1" applyFill="1" applyBorder="1" applyAlignment="1">
      <alignment horizontal="center" vertical="center"/>
    </xf>
    <xf numFmtId="179" fontId="14" fillId="0" borderId="0" xfId="0" applyNumberFormat="1" applyFont="1" applyFill="1" applyAlignment="1">
      <alignment horizontal="center" vertical="center"/>
    </xf>
    <xf numFmtId="180" fontId="14" fillId="0" borderId="0" xfId="0" applyNumberFormat="1" applyFont="1" applyFill="1" applyAlignment="1">
      <alignment horizontal="center" vertical="center"/>
    </xf>
    <xf numFmtId="10" fontId="11" fillId="4" borderId="0" xfId="0" applyNumberFormat="1" applyFont="1" applyFill="1" applyAlignment="1">
      <alignment horizontal="center" vertical="center"/>
    </xf>
    <xf numFmtId="178" fontId="11" fillId="4" borderId="0" xfId="0" applyNumberFormat="1" applyFont="1" applyFill="1" applyAlignment="1">
      <alignment horizontal="center" vertical="center"/>
    </xf>
    <xf numFmtId="10" fontId="13" fillId="4" borderId="11" xfId="0" applyNumberFormat="1" applyFont="1" applyFill="1" applyBorder="1" applyAlignment="1">
      <alignment horizontal="center" vertical="center"/>
    </xf>
    <xf numFmtId="178" fontId="13" fillId="4" borderId="11" xfId="0" applyNumberFormat="1" applyFont="1" applyFill="1" applyBorder="1" applyAlignment="1">
      <alignment horizontal="center" vertical="center" wrapText="1"/>
    </xf>
    <xf numFmtId="182" fontId="13" fillId="4" borderId="11" xfId="0" applyNumberFormat="1" applyFont="1" applyFill="1" applyBorder="1" applyAlignment="1">
      <alignment horizontal="center" vertical="center"/>
    </xf>
    <xf numFmtId="178" fontId="13" fillId="4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 wrapText="1"/>
    </xf>
    <xf numFmtId="0" fontId="13" fillId="0" borderId="11" xfId="0" applyNumberFormat="1" applyFont="1" applyFill="1" applyBorder="1" applyAlignment="1">
      <alignment horizontal="center" vertical="center" wrapText="1"/>
    </xf>
    <xf numFmtId="10" fontId="14" fillId="0" borderId="0" xfId="0" applyNumberFormat="1" applyFont="1" applyFill="1" applyBorder="1" applyAlignment="1">
      <alignment horizontal="center" vertical="center"/>
    </xf>
    <xf numFmtId="178" fontId="14" fillId="0" borderId="0" xfId="0" applyNumberFormat="1" applyFont="1" applyFill="1" applyBorder="1" applyAlignment="1">
      <alignment horizontal="center" vertical="center"/>
    </xf>
    <xf numFmtId="178" fontId="14" fillId="0" borderId="0" xfId="0" applyNumberFormat="1" applyFont="1" applyFill="1" applyBorder="1" applyAlignment="1">
      <alignment horizontal="center"/>
    </xf>
    <xf numFmtId="10" fontId="14" fillId="0" borderId="0" xfId="0" applyNumberFormat="1" applyFont="1" applyFill="1" applyAlignment="1">
      <alignment horizontal="center" vertical="center"/>
    </xf>
    <xf numFmtId="178" fontId="14" fillId="0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0" fontId="13" fillId="0" borderId="11" xfId="0" applyNumberFormat="1" applyFont="1" applyFill="1" applyBorder="1" applyAlignment="1">
      <alignment horizontal="center" vertical="center" wrapText="1"/>
    </xf>
    <xf numFmtId="181" fontId="13" fillId="0" borderId="11" xfId="0" applyNumberFormat="1" applyFont="1" applyFill="1" applyBorder="1" applyAlignment="1">
      <alignment horizontal="center" vertical="center" wrapText="1"/>
    </xf>
    <xf numFmtId="178" fontId="13" fillId="0" borderId="12" xfId="0" applyNumberFormat="1" applyFont="1" applyFill="1" applyBorder="1" applyAlignment="1">
      <alignment horizontal="center" vertical="center" wrapText="1"/>
    </xf>
    <xf numFmtId="0" fontId="13" fillId="5" borderId="5" xfId="0" applyNumberFormat="1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/>
    </xf>
    <xf numFmtId="181" fontId="14" fillId="0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0" fontId="11" fillId="0" borderId="0" xfId="0" applyNumberFormat="1" applyFon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10" fontId="13" fillId="0" borderId="5" xfId="0" applyNumberFormat="1" applyFont="1" applyFill="1" applyBorder="1" applyAlignment="1">
      <alignment horizontal="center" vertical="center" wrapText="1"/>
    </xf>
    <xf numFmtId="178" fontId="13" fillId="0" borderId="5" xfId="0" applyNumberFormat="1" applyFont="1" applyFill="1" applyBorder="1" applyAlignment="1">
      <alignment horizontal="center" vertical="center" wrapText="1"/>
    </xf>
    <xf numFmtId="58" fontId="15" fillId="0" borderId="15" xfId="0" applyNumberFormat="1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9" fontId="14" fillId="0" borderId="16" xfId="0" applyNumberFormat="1" applyFont="1" applyFill="1" applyBorder="1" applyAlignment="1">
      <alignment horizontal="center" vertical="center"/>
    </xf>
    <xf numFmtId="9" fontId="14" fillId="0" borderId="13" xfId="0" applyNumberFormat="1" applyFont="1" applyFill="1" applyBorder="1" applyAlignment="1">
      <alignment horizontal="center" vertical="center"/>
    </xf>
    <xf numFmtId="178" fontId="15" fillId="0" borderId="13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9" fontId="14" fillId="0" borderId="18" xfId="0" applyNumberFormat="1" applyFont="1" applyFill="1" applyBorder="1" applyAlignment="1">
      <alignment horizontal="center" vertical="center"/>
    </xf>
    <xf numFmtId="9" fontId="14" fillId="0" borderId="17" xfId="0" applyNumberFormat="1" applyFont="1" applyFill="1" applyBorder="1" applyAlignment="1">
      <alignment horizontal="center" vertical="center"/>
    </xf>
    <xf numFmtId="178" fontId="15" fillId="0" borderId="17" xfId="0" applyNumberFormat="1" applyFont="1" applyFill="1" applyBorder="1" applyAlignment="1">
      <alignment horizontal="center" vertical="center"/>
    </xf>
    <xf numFmtId="178" fontId="15" fillId="0" borderId="17" xfId="0" applyNumberFormat="1" applyFont="1" applyFill="1" applyBorder="1" applyAlignment="1" applyProtection="1">
      <alignment horizontal="center" vertical="center"/>
    </xf>
    <xf numFmtId="178" fontId="20" fillId="0" borderId="17" xfId="0" applyNumberFormat="1" applyFont="1" applyFill="1" applyBorder="1" applyAlignment="1">
      <alignment horizontal="center" vertical="center"/>
    </xf>
    <xf numFmtId="10" fontId="15" fillId="0" borderId="17" xfId="0" applyNumberFormat="1" applyFont="1" applyFill="1" applyBorder="1" applyAlignment="1" applyProtection="1">
      <alignment horizontal="center" vertical="center"/>
    </xf>
    <xf numFmtId="178" fontId="15" fillId="0" borderId="13" xfId="0" applyNumberFormat="1" applyFont="1" applyFill="1" applyBorder="1" applyAlignment="1" applyProtection="1">
      <alignment horizontal="center" vertical="center"/>
    </xf>
    <xf numFmtId="178" fontId="20" fillId="0" borderId="13" xfId="0" applyNumberFormat="1" applyFont="1" applyFill="1" applyBorder="1" applyAlignment="1">
      <alignment horizontal="center" vertical="center"/>
    </xf>
    <xf numFmtId="10" fontId="15" fillId="0" borderId="13" xfId="0" applyNumberFormat="1" applyFont="1" applyFill="1" applyBorder="1" applyAlignment="1" applyProtection="1">
      <alignment horizontal="center" vertical="center"/>
    </xf>
    <xf numFmtId="0" fontId="13" fillId="0" borderId="5" xfId="0" applyNumberFormat="1" applyFont="1" applyFill="1" applyBorder="1" applyAlignment="1">
      <alignment horizontal="center" vertical="center" wrapText="1"/>
    </xf>
    <xf numFmtId="178" fontId="21" fillId="0" borderId="5" xfId="0" applyNumberFormat="1" applyFont="1" applyFill="1" applyBorder="1" applyAlignment="1">
      <alignment horizontal="center" vertical="center" wrapText="1"/>
    </xf>
    <xf numFmtId="10" fontId="15" fillId="0" borderId="13" xfId="0" applyNumberFormat="1" applyFont="1" applyFill="1" applyBorder="1" applyAlignment="1">
      <alignment horizontal="center" vertical="center"/>
    </xf>
    <xf numFmtId="0" fontId="15" fillId="0" borderId="13" xfId="0" applyNumberFormat="1" applyFont="1" applyFill="1" applyBorder="1" applyAlignment="1">
      <alignment horizontal="center" vertical="center"/>
    </xf>
    <xf numFmtId="178" fontId="18" fillId="2" borderId="13" xfId="0" applyNumberFormat="1" applyFont="1" applyFill="1" applyBorder="1" applyAlignment="1">
      <alignment horizontal="center" vertical="center"/>
    </xf>
    <xf numFmtId="178" fontId="18" fillId="0" borderId="13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10" fontId="15" fillId="0" borderId="17" xfId="0" applyNumberFormat="1" applyFont="1" applyFill="1" applyBorder="1" applyAlignment="1">
      <alignment horizontal="center" vertical="center"/>
    </xf>
    <xf numFmtId="0" fontId="15" fillId="0" borderId="17" xfId="0" applyNumberFormat="1" applyFont="1" applyFill="1" applyBorder="1" applyAlignment="1">
      <alignment horizontal="center" vertical="center"/>
    </xf>
    <xf numFmtId="178" fontId="18" fillId="0" borderId="17" xfId="0" applyNumberFormat="1" applyFont="1" applyFill="1" applyBorder="1" applyAlignment="1">
      <alignment horizontal="center" vertical="center"/>
    </xf>
    <xf numFmtId="0" fontId="14" fillId="0" borderId="3" xfId="0" applyNumberFormat="1" applyFont="1" applyFill="1" applyBorder="1" applyAlignment="1">
      <alignment horizontal="center" vertical="center"/>
    </xf>
    <xf numFmtId="58" fontId="14" fillId="0" borderId="3" xfId="0" applyNumberFormat="1" applyFont="1" applyFill="1" applyBorder="1" applyAlignment="1">
      <alignment horizontal="center" vertical="center"/>
    </xf>
    <xf numFmtId="10" fontId="14" fillId="0" borderId="3" xfId="0" applyNumberFormat="1" applyFont="1" applyFill="1" applyBorder="1" applyAlignment="1">
      <alignment horizontal="center"/>
    </xf>
    <xf numFmtId="179" fontId="14" fillId="0" borderId="3" xfId="0" applyNumberFormat="1" applyFont="1" applyFill="1" applyBorder="1" applyAlignment="1">
      <alignment horizontal="center"/>
    </xf>
    <xf numFmtId="180" fontId="14" fillId="0" borderId="3" xfId="0" applyNumberFormat="1" applyFont="1" applyFill="1" applyBorder="1" applyAlignment="1">
      <alignment horizontal="center" vertical="center"/>
    </xf>
    <xf numFmtId="179" fontId="14" fillId="0" borderId="3" xfId="0" applyNumberFormat="1" applyFont="1" applyFill="1" applyBorder="1" applyAlignment="1">
      <alignment horizontal="center" vertical="center"/>
    </xf>
    <xf numFmtId="0" fontId="13" fillId="2" borderId="11" xfId="0" applyNumberFormat="1" applyFont="1" applyFill="1" applyBorder="1" applyAlignment="1">
      <alignment horizontal="center" vertical="center"/>
    </xf>
    <xf numFmtId="178" fontId="21" fillId="4" borderId="11" xfId="0" applyNumberFormat="1" applyFont="1" applyFill="1" applyBorder="1" applyAlignment="1">
      <alignment horizontal="center" vertical="center"/>
    </xf>
    <xf numFmtId="10" fontId="14" fillId="0" borderId="3" xfId="0" applyNumberFormat="1" applyFont="1" applyFill="1" applyBorder="1" applyAlignment="1">
      <alignment horizontal="center" vertical="center"/>
    </xf>
    <xf numFmtId="178" fontId="14" fillId="0" borderId="3" xfId="0" applyNumberFormat="1" applyFont="1" applyFill="1" applyBorder="1" applyAlignment="1">
      <alignment horizontal="center" vertical="center"/>
    </xf>
    <xf numFmtId="178" fontId="14" fillId="0" borderId="3" xfId="0" applyNumberFormat="1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8" fontId="22" fillId="0" borderId="20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wrapText="1"/>
    </xf>
    <xf numFmtId="10" fontId="13" fillId="0" borderId="9" xfId="0" applyNumberFormat="1" applyFont="1" applyFill="1" applyBorder="1" applyAlignment="1">
      <alignment horizontal="center" vertical="center" wrapText="1"/>
    </xf>
    <xf numFmtId="178" fontId="13" fillId="0" borderId="9" xfId="0" applyNumberFormat="1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178" fontId="16" fillId="0" borderId="13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178" fontId="22" fillId="0" borderId="3" xfId="0" applyNumberFormat="1" applyFont="1" applyFill="1" applyBorder="1" applyAlignment="1">
      <alignment horizontal="center" vertical="center"/>
    </xf>
    <xf numFmtId="178" fontId="15" fillId="0" borderId="9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178" fontId="14" fillId="7" borderId="9" xfId="0" applyNumberFormat="1" applyFont="1" applyFill="1" applyBorder="1" applyAlignment="1">
      <alignment horizontal="center" vertical="center" wrapText="1"/>
    </xf>
    <xf numFmtId="178" fontId="14" fillId="0" borderId="9" xfId="0" applyNumberFormat="1" applyFont="1" applyFill="1" applyBorder="1" applyAlignment="1">
      <alignment horizontal="center" vertical="center" wrapText="1"/>
    </xf>
    <xf numFmtId="178" fontId="14" fillId="2" borderId="9" xfId="0" applyNumberFormat="1" applyFont="1" applyFill="1" applyBorder="1" applyAlignment="1">
      <alignment horizontal="center" vertical="center" wrapText="1"/>
    </xf>
    <xf numFmtId="179" fontId="14" fillId="0" borderId="9" xfId="0" applyNumberFormat="1" applyFont="1" applyFill="1" applyBorder="1" applyAlignment="1">
      <alignment horizontal="center" vertical="center" wrapText="1"/>
    </xf>
    <xf numFmtId="178" fontId="16" fillId="0" borderId="3" xfId="0" applyNumberFormat="1" applyFont="1" applyFill="1" applyBorder="1" applyAlignment="1">
      <alignment horizontal="center" vertical="center"/>
    </xf>
    <xf numFmtId="178" fontId="11" fillId="0" borderId="3" xfId="0" applyNumberFormat="1" applyFont="1" applyFill="1" applyBorder="1" applyAlignment="1">
      <alignment horizontal="center" vertical="center"/>
    </xf>
    <xf numFmtId="179" fontId="11" fillId="0" borderId="3" xfId="0" applyNumberFormat="1" applyFont="1" applyFill="1" applyBorder="1" applyAlignment="1">
      <alignment horizontal="center" vertical="center"/>
    </xf>
    <xf numFmtId="179" fontId="16" fillId="0" borderId="3" xfId="0" applyNumberFormat="1" applyFont="1" applyFill="1" applyBorder="1" applyAlignment="1">
      <alignment horizontal="center" vertical="center"/>
    </xf>
    <xf numFmtId="178" fontId="16" fillId="0" borderId="9" xfId="0" applyNumberFormat="1" applyFont="1" applyFill="1" applyBorder="1" applyAlignment="1">
      <alignment horizontal="center" vertical="center"/>
    </xf>
    <xf numFmtId="178" fontId="14" fillId="0" borderId="9" xfId="0" applyNumberFormat="1" applyFont="1" applyFill="1" applyBorder="1" applyAlignment="1">
      <alignment horizontal="center" vertical="center"/>
    </xf>
    <xf numFmtId="178" fontId="11" fillId="0" borderId="9" xfId="0" applyNumberFormat="1" applyFont="1" applyFill="1" applyBorder="1" applyAlignment="1">
      <alignment horizontal="center" vertical="center"/>
    </xf>
    <xf numFmtId="179" fontId="11" fillId="0" borderId="9" xfId="0" applyNumberFormat="1" applyFont="1" applyFill="1" applyBorder="1" applyAlignment="1">
      <alignment horizontal="center" vertical="center"/>
    </xf>
    <xf numFmtId="10" fontId="22" fillId="0" borderId="20" xfId="0" applyNumberFormat="1" applyFont="1" applyFill="1" applyBorder="1" applyAlignment="1">
      <alignment horizontal="center" vertical="center"/>
    </xf>
    <xf numFmtId="180" fontId="14" fillId="0" borderId="9" xfId="0" applyNumberFormat="1" applyFont="1" applyFill="1" applyBorder="1" applyAlignment="1">
      <alignment horizontal="center" vertical="center" wrapText="1"/>
    </xf>
    <xf numFmtId="10" fontId="14" fillId="0" borderId="9" xfId="0" applyNumberFormat="1" applyFont="1" applyFill="1" applyBorder="1" applyAlignment="1">
      <alignment horizontal="center" vertical="center" wrapText="1"/>
    </xf>
    <xf numFmtId="180" fontId="11" fillId="0" borderId="3" xfId="0" applyNumberFormat="1" applyFont="1" applyFill="1" applyBorder="1" applyAlignment="1">
      <alignment horizontal="center" vertical="center"/>
    </xf>
    <xf numFmtId="10" fontId="11" fillId="0" borderId="3" xfId="0" applyNumberFormat="1" applyFont="1" applyFill="1" applyBorder="1" applyAlignment="1">
      <alignment horizontal="center" vertical="center"/>
    </xf>
    <xf numFmtId="180" fontId="16" fillId="0" borderId="3" xfId="0" applyNumberFormat="1" applyFont="1" applyFill="1" applyBorder="1" applyAlignment="1">
      <alignment horizontal="center" vertical="center"/>
    </xf>
    <xf numFmtId="10" fontId="22" fillId="0" borderId="3" xfId="0" applyNumberFormat="1" applyFont="1" applyFill="1" applyBorder="1" applyAlignment="1">
      <alignment horizontal="center" vertical="center"/>
    </xf>
    <xf numFmtId="180" fontId="11" fillId="0" borderId="9" xfId="0" applyNumberFormat="1" applyFont="1" applyFill="1" applyBorder="1" applyAlignment="1">
      <alignment horizontal="center" vertical="center"/>
    </xf>
    <xf numFmtId="10" fontId="11" fillId="0" borderId="9" xfId="0" applyNumberFormat="1" applyFont="1" applyFill="1" applyBorder="1" applyAlignment="1">
      <alignment horizontal="center" vertical="center"/>
    </xf>
    <xf numFmtId="10" fontId="16" fillId="0" borderId="3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" fillId="0" borderId="0" xfId="6" applyFont="1" applyAlignment="1">
      <alignment horizontal="center" vertical="center"/>
    </xf>
    <xf numFmtId="0" fontId="23" fillId="0" borderId="0" xfId="6">
      <alignment vertical="center"/>
    </xf>
    <xf numFmtId="178" fontId="12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9" fontId="1" fillId="0" borderId="0" xfId="0" applyNumberFormat="1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24" fillId="7" borderId="0" xfId="0" applyFont="1" applyFill="1" applyAlignment="1">
      <alignment horizontal="center" vertical="center" wrapText="1"/>
    </xf>
    <xf numFmtId="178" fontId="1" fillId="0" borderId="0" xfId="0" applyNumberFormat="1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mp.weixin.qq.com/s/qAN_F4X7sGrzxkUmNgb7TA" TargetMode="External"/><Relationship Id="rId1" Type="http://schemas.openxmlformats.org/officeDocument/2006/relationships/hyperlink" Target="https://www.amazon.com/Back-Brace-Posture-Corrector-Women/dp/B099WTPXN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" TargetMode="Externa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groups/4617002575006363" TargetMode="External"/><Relationship Id="rId8" Type="http://schemas.openxmlformats.org/officeDocument/2006/relationships/hyperlink" Target="https://www.facebook.com/groups/liotp/permalink/829077818767029/?mibextid=S66gvF" TargetMode="External"/><Relationship Id="rId7" Type="http://schemas.openxmlformats.org/officeDocument/2006/relationships/hyperlink" Target="https://www.facebook.com/groups/389700749371407" TargetMode="External"/><Relationship Id="rId6" Type="http://schemas.openxmlformats.org/officeDocument/2006/relationships/hyperlink" Target="https://www.facebook.com/groups/thefrugalsahm/permalink/605635271647523" TargetMode="External"/><Relationship Id="rId5" Type="http://schemas.openxmlformats.org/officeDocument/2006/relationships/hyperlink" Target="https://www.facebook.com/groups/379457484265304" TargetMode="External"/><Relationship Id="rId46" Type="http://schemas.openxmlformats.org/officeDocument/2006/relationships/hyperlink" Target="https://www.facebook.com/groups/CrazyDiscountCodes/permalink/1570025880405433" TargetMode="External"/><Relationship Id="rId45" Type="http://schemas.openxmlformats.org/officeDocument/2006/relationships/hyperlink" Target="https://www.facebook.com/groups/528046881270010" TargetMode="External"/><Relationship Id="rId44" Type="http://schemas.openxmlformats.org/officeDocument/2006/relationships/hyperlink" Target="https://www.facebook.com/groups/142001749885757" TargetMode="External"/><Relationship Id="rId43" Type="http://schemas.openxmlformats.org/officeDocument/2006/relationships/hyperlink" Target="https://www.facebook.com/groups/349613118971934" TargetMode="External"/><Relationship Id="rId42" Type="http://schemas.openxmlformats.org/officeDocument/2006/relationships/hyperlink" Target="https://www.facebook.com/groups/KouponingWithKatie/permalink/3591434474401940" TargetMode="External"/><Relationship Id="rId41" Type="http://schemas.openxmlformats.org/officeDocument/2006/relationships/hyperlink" Target="https://www.facebook.com/groups/1552102171668524" TargetMode="External"/><Relationship Id="rId40" Type="http://schemas.openxmlformats.org/officeDocument/2006/relationships/hyperlink" Target="https://www.facebook.com/groups/mommymedeals/posts/854689936042305/" TargetMode="External"/><Relationship Id="rId4" Type="http://schemas.openxmlformats.org/officeDocument/2006/relationships/hyperlink" Target="https://www.facebook.com/groups/156005735850667/permalink/1007079404076625/" TargetMode="External"/><Relationship Id="rId39" Type="http://schemas.openxmlformats.org/officeDocument/2006/relationships/hyperlink" Target="https://www.facebook.com/groups/276581130519858" TargetMode="External"/><Relationship Id="rId38" Type="http://schemas.openxmlformats.org/officeDocument/2006/relationships/hyperlink" Target="https://www.facebook.com/groups/2197492577200898" TargetMode="External"/><Relationship Id="rId37" Type="http://schemas.openxmlformats.org/officeDocument/2006/relationships/hyperlink" Target="https://www.facebook.com/groups/theglitchwitchbysimplyshonna/permalink/4365400973685715" TargetMode="External"/><Relationship Id="rId36" Type="http://schemas.openxmlformats.org/officeDocument/2006/relationships/hyperlink" Target="https://www.facebook.com/groups/1646879538871219" TargetMode="External"/><Relationship Id="rId35" Type="http://schemas.openxmlformats.org/officeDocument/2006/relationships/hyperlink" Target="https://www.facebook.com/groups/simplysalesalyssasarah/posts/1320824385492566/" TargetMode="External"/><Relationship Id="rId34" Type="http://schemas.openxmlformats.org/officeDocument/2006/relationships/hyperlink" Target="https://www.facebook.com/groups/281646379410377" TargetMode="External"/><Relationship Id="rId33" Type="http://schemas.openxmlformats.org/officeDocument/2006/relationships/hyperlink" Target="https://www.facebook.com/groups/347280445728185" TargetMode="External"/><Relationship Id="rId32" Type="http://schemas.openxmlformats.org/officeDocument/2006/relationships/hyperlink" Target="https://www.facebook.com/groups/bullseyeonthebargain/posts/1494494874684434/" TargetMode="External"/><Relationship Id="rId31" Type="http://schemas.openxmlformats.org/officeDocument/2006/relationships/hyperlink" Target="https://www.facebook.com/groups/163854847748450" TargetMode="External"/><Relationship Id="rId30" Type="http://schemas.openxmlformats.org/officeDocument/2006/relationships/hyperlink" Target="https://www.facebook.com/groups/2486545118068111" TargetMode="External"/><Relationship Id="rId3" Type="http://schemas.openxmlformats.org/officeDocument/2006/relationships/hyperlink" Target="https://www.facebook.com/groups/156005735850667" TargetMode="External"/><Relationship Id="rId29" Type="http://schemas.openxmlformats.org/officeDocument/2006/relationships/hyperlink" Target="https://www.facebook.com/groups/2181542232094033" TargetMode="External"/><Relationship Id="rId28" Type="http://schemas.openxmlformats.org/officeDocument/2006/relationships/hyperlink" Target="https://www.facebook.com/groups/422988618266575" TargetMode="External"/><Relationship Id="rId27" Type="http://schemas.openxmlformats.org/officeDocument/2006/relationships/hyperlink" Target="https://www.facebook.com/groups/shopwithnada/permalink/6831996300193511/" TargetMode="External"/><Relationship Id="rId26" Type="http://schemas.openxmlformats.org/officeDocument/2006/relationships/hyperlink" Target="https://www.facebook.com/groups/3433057343420774" TargetMode="External"/><Relationship Id="rId25" Type="http://schemas.openxmlformats.org/officeDocument/2006/relationships/hyperlink" Target="https://www.facebook.com/groups/303805157065867" TargetMode="External"/><Relationship Id="rId24" Type="http://schemas.openxmlformats.org/officeDocument/2006/relationships/hyperlink" Target="https://www.facebook.com/groups/salesaholicgroup/permalink/3855230981372823/" TargetMode="External"/><Relationship Id="rId23" Type="http://schemas.openxmlformats.org/officeDocument/2006/relationships/hyperlink" Target="https://www.facebook.com/groups/1813369818892293" TargetMode="External"/><Relationship Id="rId22" Type="http://schemas.openxmlformats.org/officeDocument/2006/relationships/hyperlink" Target="https://www.facebook.com/groups/1240733246313243" TargetMode="External"/><Relationship Id="rId21" Type="http://schemas.openxmlformats.org/officeDocument/2006/relationships/hyperlink" Target="https://cdn.daixialu.com/tmp/5708633451008008__.jpg" TargetMode="External"/><Relationship Id="rId20" Type="http://schemas.openxmlformats.org/officeDocument/2006/relationships/hyperlink" Target="https://www.facebook.com/Compras-toxicas-con-la-patrona-101594895708272" TargetMode="External"/><Relationship Id="rId2" Type="http://schemas.openxmlformats.org/officeDocument/2006/relationships/hyperlink" Target="https://www.facebook.com/groups/635928950944558/permalink/996849921519124" TargetMode="External"/><Relationship Id="rId19" Type="http://schemas.openxmlformats.org/officeDocument/2006/relationships/hyperlink" Target="https://www.facebook.com/groups/2272404193019511" TargetMode="External"/><Relationship Id="rId18" Type="http://schemas.openxmlformats.org/officeDocument/2006/relationships/hyperlink" Target="https://www.facebook.com/groups/697178314306457/posts/1235798230444460/" TargetMode="External"/><Relationship Id="rId17" Type="http://schemas.openxmlformats.org/officeDocument/2006/relationships/hyperlink" Target="https://www.facebook.com/groups/697178314306457" TargetMode="External"/><Relationship Id="rId16" Type="http://schemas.openxmlformats.org/officeDocument/2006/relationships/hyperlink" Target="https://www.facebook.com/groups/309675624384964" TargetMode="External"/><Relationship Id="rId15" Type="http://schemas.openxmlformats.org/officeDocument/2006/relationships/hyperlink" Target="https://www.facebook.com/groups/247524832920261/permalink/878990146440390/?mibextid=Nif5oz&amp;paipv=0&amp;eav=Afaq7-A2knmgpFJgHvKijieK56GEzZnMD1uMiQisQD_EIxwrpJXtk9-pm2yKasyV3iU&amp;_rdr" TargetMode="External"/><Relationship Id="rId14" Type="http://schemas.openxmlformats.org/officeDocument/2006/relationships/hyperlink" Target="https://www.facebook.com/groups/247524832920261" TargetMode="External"/><Relationship Id="rId13" Type="http://schemas.openxmlformats.org/officeDocument/2006/relationships/hyperlink" Target="https://cdn.daixialu.com/tmp/5561929145782280__.jpg" TargetMode="External"/><Relationship Id="rId12" Type="http://schemas.openxmlformats.org/officeDocument/2006/relationships/hyperlink" Target="https://www.facebook.com/groups/410426780231790" TargetMode="External"/><Relationship Id="rId11" Type="http://schemas.openxmlformats.org/officeDocument/2006/relationships/hyperlink" Target="https://www.facebook.com/groups/679941889134209/permalink/1819758365152550" TargetMode="External"/><Relationship Id="rId10" Type="http://schemas.openxmlformats.org/officeDocument/2006/relationships/hyperlink" Target="https://www.facebook.com/groups/679941889134209" TargetMode="External"/><Relationship Id="rId1" Type="http://schemas.openxmlformats.org/officeDocument/2006/relationships/hyperlink" Target="https://www.facebook.com/groups/635928950944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opLeftCell="K1" workbookViewId="0">
      <pane ySplit="1" topLeftCell="A2" activePane="bottomLeft" state="frozen"/>
      <selection/>
      <selection pane="bottomLeft" activeCell="R4" sqref="R4:R12"/>
    </sheetView>
  </sheetViews>
  <sheetFormatPr defaultColWidth="9" defaultRowHeight="14.4"/>
  <cols>
    <col min="1" max="1" width="12.8703703703704" style="114" customWidth="1"/>
    <col min="2" max="2" width="10" style="114" customWidth="1"/>
    <col min="3" max="3" width="7.87037037037037" style="114" customWidth="1"/>
    <col min="4" max="4" width="7.12962962962963" style="114" customWidth="1"/>
    <col min="5" max="6" width="6.5" style="114" customWidth="1"/>
    <col min="7" max="7" width="6.62962962962963" style="114" customWidth="1"/>
    <col min="8" max="8" width="6.75" style="114" customWidth="1"/>
    <col min="9" max="9" width="7.37037037037037" style="114" customWidth="1"/>
    <col min="10" max="10" width="7.5" style="114" customWidth="1"/>
    <col min="11" max="11" width="7.12962962962963" style="114" customWidth="1"/>
    <col min="12" max="12" width="13.1296296296296" style="114" customWidth="1"/>
    <col min="13" max="13" width="8.75" style="114" customWidth="1"/>
    <col min="14" max="14" width="11.3703703703704" style="206" customWidth="1"/>
    <col min="15" max="15" width="11.6296296296296" style="206" customWidth="1"/>
    <col min="16" max="16" width="9.37037037037037" style="206" customWidth="1"/>
    <col min="17" max="17" width="13.75" style="114"/>
    <col min="18" max="18" width="9" style="207"/>
    <col min="19" max="19" width="9.75" style="207" customWidth="1"/>
    <col min="20" max="20" width="11.5" style="207" customWidth="1"/>
    <col min="21" max="21" width="14" style="114" customWidth="1"/>
    <col min="22" max="22" width="15.25" style="114" customWidth="1"/>
    <col min="23" max="16384" width="9" style="114"/>
  </cols>
  <sheetData>
    <row r="1" s="114" customFormat="1" ht="62.25" customHeight="1" spans="1:22">
      <c r="A1" s="208" t="s">
        <v>0</v>
      </c>
      <c r="B1" s="209" t="s">
        <v>1</v>
      </c>
      <c r="C1" s="208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3" t="s">
        <v>9</v>
      </c>
      <c r="K1" s="210" t="s">
        <v>10</v>
      </c>
      <c r="L1" s="210" t="s">
        <v>11</v>
      </c>
      <c r="M1" s="210" t="s">
        <v>12</v>
      </c>
      <c r="N1" s="214" t="s">
        <v>13</v>
      </c>
      <c r="O1" s="214" t="s">
        <v>14</v>
      </c>
      <c r="P1" s="214" t="s">
        <v>15</v>
      </c>
      <c r="R1" s="217" t="s">
        <v>16</v>
      </c>
      <c r="S1" s="217" t="s">
        <v>17</v>
      </c>
      <c r="T1" s="217" t="s">
        <v>18</v>
      </c>
      <c r="U1" s="210" t="s">
        <v>19</v>
      </c>
      <c r="V1" s="210" t="s">
        <v>20</v>
      </c>
    </row>
    <row r="2" s="114" customFormat="1" ht="24" customHeight="1" spans="1:22">
      <c r="A2" s="208" t="s">
        <v>21</v>
      </c>
      <c r="B2" s="208" t="s">
        <v>22</v>
      </c>
      <c r="C2" s="208">
        <v>99.99</v>
      </c>
      <c r="D2" s="211">
        <v>0.05</v>
      </c>
      <c r="E2" s="211">
        <v>0.5</v>
      </c>
      <c r="F2" s="211">
        <v>0.68</v>
      </c>
      <c r="G2" s="114" t="e">
        <f>SUM(#REF!)</f>
        <v>#REF!</v>
      </c>
      <c r="H2" s="114">
        <v>0</v>
      </c>
      <c r="I2" s="114">
        <v>0</v>
      </c>
      <c r="J2" s="215" t="e">
        <f>SUM(G2:I2)</f>
        <v>#REF!</v>
      </c>
      <c r="K2" s="114">
        <v>6</v>
      </c>
      <c r="L2" s="208">
        <v>0</v>
      </c>
      <c r="M2" s="206" t="e">
        <f>SUM(#REF!)</f>
        <v>#REF!</v>
      </c>
      <c r="N2" s="206" t="e">
        <f>SUM(#REF!)</f>
        <v>#REF!</v>
      </c>
      <c r="O2" s="206" t="e">
        <f>SUM(L2:N2)</f>
        <v>#REF!</v>
      </c>
      <c r="P2" s="206"/>
      <c r="R2" s="207"/>
      <c r="S2" s="207"/>
      <c r="T2" s="207"/>
      <c r="U2" s="218"/>
      <c r="V2" s="218"/>
    </row>
    <row r="3" s="114" customFormat="1" ht="24" customHeight="1" spans="1:22">
      <c r="A3" s="208" t="s">
        <v>23</v>
      </c>
      <c r="B3" s="208" t="s">
        <v>24</v>
      </c>
      <c r="C3" s="114">
        <v>79.99</v>
      </c>
      <c r="D3" s="212">
        <v>0.3</v>
      </c>
      <c r="E3" s="212">
        <v>0.2</v>
      </c>
      <c r="F3" s="212">
        <v>0.3</v>
      </c>
      <c r="G3" s="114">
        <v>81</v>
      </c>
      <c r="H3" s="114">
        <v>14</v>
      </c>
      <c r="I3" s="114">
        <v>0</v>
      </c>
      <c r="J3" s="215">
        <f>SUM(G3:I3)</f>
        <v>95</v>
      </c>
      <c r="K3" s="114">
        <v>9</v>
      </c>
      <c r="L3" s="208" t="e">
        <f>SUM(#REF!)</f>
        <v>#REF!</v>
      </c>
      <c r="M3" s="114" t="e">
        <f>SUM(#REF!)</f>
        <v>#REF!</v>
      </c>
      <c r="N3" s="206" t="e">
        <f>SUM(#REF!)</f>
        <v>#REF!</v>
      </c>
      <c r="O3" s="206" t="e">
        <f>SUM(L3:N3)</f>
        <v>#REF!</v>
      </c>
      <c r="P3" s="206"/>
      <c r="R3" s="207"/>
      <c r="S3" s="207"/>
      <c r="T3" s="207"/>
      <c r="U3" s="208"/>
      <c r="V3" s="208"/>
    </row>
    <row r="4" s="114" customFormat="1" ht="24" customHeight="1" spans="1:22">
      <c r="A4" s="208" t="s">
        <v>25</v>
      </c>
      <c r="B4" s="208" t="s">
        <v>26</v>
      </c>
      <c r="C4" s="114">
        <v>69.99</v>
      </c>
      <c r="D4" s="211">
        <v>0.3</v>
      </c>
      <c r="E4" s="211">
        <v>0.2</v>
      </c>
      <c r="F4" s="211">
        <v>0.25</v>
      </c>
      <c r="G4" s="114">
        <v>45</v>
      </c>
      <c r="H4" s="114">
        <v>60</v>
      </c>
      <c r="I4" s="114">
        <v>3</v>
      </c>
      <c r="J4" s="215">
        <f>SUM(G4:I4)</f>
        <v>108</v>
      </c>
      <c r="K4" s="114">
        <v>10</v>
      </c>
      <c r="L4" s="208" t="e">
        <f>SUM(#REF!)</f>
        <v>#REF!</v>
      </c>
      <c r="M4" s="114" t="e">
        <f>SUM(#REF!)</f>
        <v>#REF!</v>
      </c>
      <c r="N4" s="206" t="e">
        <f>SUM(#REF!)</f>
        <v>#REF!</v>
      </c>
      <c r="O4" s="206" t="e">
        <f>SUM(L4:N4)</f>
        <v>#REF!</v>
      </c>
      <c r="P4" s="206"/>
      <c r="R4" s="207"/>
      <c r="S4" s="207"/>
      <c r="T4" s="207"/>
      <c r="U4" s="208"/>
      <c r="V4" s="208"/>
    </row>
    <row r="5" s="114" customFormat="1" ht="24" customHeight="1" spans="1:22">
      <c r="A5" s="208" t="s">
        <v>27</v>
      </c>
      <c r="B5" s="208" t="s">
        <v>28</v>
      </c>
      <c r="C5" s="114">
        <v>69.99</v>
      </c>
      <c r="D5" s="211">
        <v>0.3</v>
      </c>
      <c r="E5" s="211">
        <v>0</v>
      </c>
      <c r="F5" s="211">
        <v>0.25</v>
      </c>
      <c r="J5" s="215"/>
      <c r="L5" s="208"/>
      <c r="N5" s="206"/>
      <c r="O5" s="206"/>
      <c r="P5" s="206"/>
      <c r="R5" s="207"/>
      <c r="S5" s="207"/>
      <c r="T5" s="207"/>
      <c r="U5" s="208"/>
      <c r="V5" s="208"/>
    </row>
    <row r="6" s="114" customFormat="1" ht="24" customHeight="1" spans="1:22">
      <c r="A6" s="208" t="s">
        <v>29</v>
      </c>
      <c r="B6" s="208" t="s">
        <v>30</v>
      </c>
      <c r="C6" s="114">
        <v>69.99</v>
      </c>
      <c r="D6" s="211">
        <v>0.3</v>
      </c>
      <c r="E6" s="211">
        <v>0</v>
      </c>
      <c r="F6" s="211">
        <v>0.25</v>
      </c>
      <c r="J6" s="215"/>
      <c r="L6" s="208"/>
      <c r="N6" s="206"/>
      <c r="O6" s="206"/>
      <c r="P6" s="206"/>
      <c r="R6" s="207"/>
      <c r="S6" s="207"/>
      <c r="T6" s="207"/>
      <c r="U6" s="208"/>
      <c r="V6" s="208"/>
    </row>
    <row r="7" s="114" customFormat="1" ht="24" customHeight="1" spans="1:22">
      <c r="A7" s="208" t="s">
        <v>31</v>
      </c>
      <c r="B7" s="208" t="s">
        <v>32</v>
      </c>
      <c r="C7" s="114">
        <v>69.99</v>
      </c>
      <c r="D7" s="211">
        <v>0.3</v>
      </c>
      <c r="E7" s="211">
        <v>0</v>
      </c>
      <c r="F7" s="211">
        <v>0</v>
      </c>
      <c r="J7" s="215"/>
      <c r="L7" s="208"/>
      <c r="N7" s="206"/>
      <c r="O7" s="206"/>
      <c r="P7" s="206"/>
      <c r="R7" s="207"/>
      <c r="S7" s="207"/>
      <c r="T7" s="207"/>
      <c r="U7" s="208"/>
      <c r="V7" s="208"/>
    </row>
    <row r="8" s="114" customFormat="1" ht="24" customHeight="1" spans="10:20">
      <c r="J8" s="215"/>
      <c r="N8" s="216"/>
      <c r="O8" s="216"/>
      <c r="P8" s="206"/>
      <c r="R8" s="207"/>
      <c r="S8" s="207"/>
      <c r="T8" s="207"/>
    </row>
    <row r="9" s="114" customFormat="1" ht="24" customHeight="1" spans="1:22">
      <c r="A9" s="208" t="s">
        <v>33</v>
      </c>
      <c r="B9" s="208" t="s">
        <v>34</v>
      </c>
      <c r="C9" s="114">
        <v>69.99</v>
      </c>
      <c r="D9" s="211">
        <v>0.2</v>
      </c>
      <c r="E9" s="211">
        <v>0</v>
      </c>
      <c r="F9" s="211">
        <v>0</v>
      </c>
      <c r="J9" s="215"/>
      <c r="L9" s="208"/>
      <c r="N9" s="206"/>
      <c r="O9" s="206"/>
      <c r="P9" s="206"/>
      <c r="R9" s="207"/>
      <c r="S9" s="207"/>
      <c r="T9" s="207"/>
      <c r="U9" s="208"/>
      <c r="V9" s="208"/>
    </row>
    <row r="10" s="114" customFormat="1" ht="24" customHeight="1" spans="1:22">
      <c r="A10" s="208" t="s">
        <v>35</v>
      </c>
      <c r="B10" s="208" t="s">
        <v>36</v>
      </c>
      <c r="C10" s="114">
        <v>69.99</v>
      </c>
      <c r="D10" s="211">
        <v>0.2</v>
      </c>
      <c r="E10" s="211">
        <v>0</v>
      </c>
      <c r="F10" s="211">
        <v>0</v>
      </c>
      <c r="J10" s="215"/>
      <c r="L10" s="208"/>
      <c r="N10" s="206"/>
      <c r="O10" s="206"/>
      <c r="P10" s="206"/>
      <c r="R10" s="207"/>
      <c r="S10" s="207"/>
      <c r="T10" s="207"/>
      <c r="U10" s="208"/>
      <c r="V10" s="208"/>
    </row>
    <row r="11" s="114" customFormat="1" ht="24" customHeight="1" spans="1:22">
      <c r="A11" s="208" t="s">
        <v>37</v>
      </c>
      <c r="B11" s="208" t="s">
        <v>38</v>
      </c>
      <c r="C11" s="114">
        <v>69.99</v>
      </c>
      <c r="D11" s="211">
        <v>0.2</v>
      </c>
      <c r="E11" s="211">
        <v>0</v>
      </c>
      <c r="F11" s="211">
        <v>0</v>
      </c>
      <c r="J11" s="215"/>
      <c r="L11" s="208"/>
      <c r="N11" s="206"/>
      <c r="O11" s="206"/>
      <c r="P11" s="206"/>
      <c r="R11" s="207"/>
      <c r="S11" s="207"/>
      <c r="T11" s="207"/>
      <c r="U11" s="208"/>
      <c r="V11" s="208"/>
    </row>
    <row r="12" s="114" customFormat="1" ht="24" customHeight="1" spans="14:20">
      <c r="N12" s="206"/>
      <c r="O12" s="216"/>
      <c r="P12" s="206"/>
      <c r="R12" s="207"/>
      <c r="S12" s="207"/>
      <c r="T12" s="207"/>
    </row>
  </sheetData>
  <sheetProtection formatCells="0" insertHyperlinks="0" autoFilter="0"/>
  <mergeCells count="1">
    <mergeCell ref="P2:P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tabSelected="1" zoomScale="85" zoomScaleNormal="85" workbookViewId="0">
      <pane ySplit="2" topLeftCell="A3" activePane="bottomLeft" state="frozen"/>
      <selection/>
      <selection pane="bottomLeft" activeCell="H20" sqref="H19:H20"/>
    </sheetView>
  </sheetViews>
  <sheetFormatPr defaultColWidth="12.5" defaultRowHeight="15.6"/>
  <cols>
    <col min="1" max="1" width="17.1018518518519" style="20" customWidth="1"/>
    <col min="2" max="2" width="10.25" style="20" customWidth="1"/>
    <col min="3" max="3" width="10.75" style="20" customWidth="1"/>
    <col min="4" max="4" width="9.12962962962963" style="20" customWidth="1"/>
    <col min="5" max="5" width="10.1666666666667" style="20" customWidth="1"/>
    <col min="6" max="6" width="10.1296296296296" style="20" customWidth="1"/>
    <col min="7" max="7" width="9.75" style="20" customWidth="1"/>
    <col min="8" max="8" width="9.25" style="20" customWidth="1"/>
    <col min="9" max="9" width="12.5" style="20" customWidth="1"/>
    <col min="10" max="10" width="10.6296296296296" style="20" customWidth="1"/>
    <col min="11" max="11" width="10.5" style="20" customWidth="1"/>
    <col min="12" max="12" width="9.28703703703704" style="20" customWidth="1"/>
    <col min="13" max="13" width="12.5" style="20" customWidth="1"/>
    <col min="14" max="14" width="10.3703703703704" style="20" customWidth="1"/>
    <col min="15" max="15" width="10.6296296296296" style="20" customWidth="1"/>
    <col min="16" max="16" width="10.0462962962963" style="20" customWidth="1"/>
    <col min="17" max="17" width="10.5462962962963" style="20" customWidth="1"/>
    <col min="18" max="18" width="9.37037037037037" style="20" customWidth="1"/>
    <col min="19" max="19" width="9.75" style="96" customWidth="1"/>
    <col min="20" max="20" width="11.1296296296296" style="21" customWidth="1"/>
    <col min="21" max="16371" width="12.5" style="20" customWidth="1"/>
    <col min="16372" max="16384" width="12.5" style="20"/>
  </cols>
  <sheetData>
    <row r="1" s="20" customFormat="1" ht="20.4" spans="1:20">
      <c r="A1" s="199"/>
      <c r="B1" s="200" t="s">
        <v>39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4"/>
      <c r="T1" s="205"/>
    </row>
    <row r="2" s="20" customFormat="1" ht="47.25" customHeight="1" spans="1:20">
      <c r="A2" s="24" t="s">
        <v>40</v>
      </c>
      <c r="B2" s="26" t="s">
        <v>41</v>
      </c>
      <c r="C2" s="26" t="s">
        <v>42</v>
      </c>
      <c r="D2" s="27" t="s">
        <v>43</v>
      </c>
      <c r="E2" s="28" t="s">
        <v>44</v>
      </c>
      <c r="F2" s="28" t="s">
        <v>45</v>
      </c>
      <c r="G2" s="28" t="s">
        <v>46</v>
      </c>
      <c r="H2" s="28" t="s">
        <v>47</v>
      </c>
      <c r="I2" s="28" t="s">
        <v>48</v>
      </c>
      <c r="J2" s="39" t="s">
        <v>49</v>
      </c>
      <c r="K2" s="28" t="s">
        <v>50</v>
      </c>
      <c r="L2" s="28" t="s">
        <v>51</v>
      </c>
      <c r="M2" s="28" t="s">
        <v>52</v>
      </c>
      <c r="N2" s="40" t="s">
        <v>53</v>
      </c>
      <c r="O2" s="28" t="s">
        <v>54</v>
      </c>
      <c r="P2" s="28" t="s">
        <v>55</v>
      </c>
      <c r="Q2" s="40" t="s">
        <v>56</v>
      </c>
      <c r="R2" s="43" t="s">
        <v>57</v>
      </c>
      <c r="S2" s="28" t="s">
        <v>58</v>
      </c>
      <c r="T2" s="44" t="s">
        <v>59</v>
      </c>
    </row>
    <row r="3" s="21" customFormat="1" ht="19" customHeight="1" spans="1:16383">
      <c r="A3" s="37" t="s">
        <v>22</v>
      </c>
      <c r="B3" s="31">
        <v>23.99</v>
      </c>
      <c r="C3" s="32">
        <v>0.25</v>
      </c>
      <c r="D3" s="32">
        <v>0</v>
      </c>
      <c r="E3" s="33">
        <f t="shared" ref="E3:E10" si="0">SUM(B3*(1-C3-D3))</f>
        <v>17.9925</v>
      </c>
      <c r="F3" s="33">
        <v>5.5</v>
      </c>
      <c r="G3" s="33">
        <f t="shared" ref="G3:G8" si="1">SUM(E3*15%)</f>
        <v>2.698875</v>
      </c>
      <c r="H3" s="33">
        <f t="shared" ref="H3:H10" si="2">SUM(E3-F3-G3)</f>
        <v>9.793625</v>
      </c>
      <c r="I3" s="33">
        <f t="shared" ref="I3:I8" si="3">0.13+0.21</f>
        <v>0.34</v>
      </c>
      <c r="J3" s="33">
        <v>0.6</v>
      </c>
      <c r="K3" s="33">
        <v>4.5</v>
      </c>
      <c r="L3" s="33">
        <v>1</v>
      </c>
      <c r="M3" s="33">
        <f t="shared" ref="M3:M8" si="4">SUM(20%*15%*E3+F3+I3+K3+L3+1.04)</f>
        <v>12.919775</v>
      </c>
      <c r="N3" s="41">
        <v>0.15</v>
      </c>
      <c r="O3" s="33">
        <f t="shared" ref="O3:O10" si="5">SUM(M3*N3/(1-N3))</f>
        <v>2.27996029411765</v>
      </c>
      <c r="P3" s="33">
        <f t="shared" ref="P3:P10" si="6">SUM(H3-I3-J3-K3-L3-O3)</f>
        <v>1.07366470588235</v>
      </c>
      <c r="Q3" s="45">
        <f t="shared" ref="Q3:Q10" si="7">SUM(P3/B3)</f>
        <v>0.0447546771939289</v>
      </c>
      <c r="R3" s="46">
        <v>1</v>
      </c>
      <c r="S3" s="33">
        <f t="shared" ref="S3:S10" si="8">SUM(P3*R3)</f>
        <v>1.07366470588235</v>
      </c>
      <c r="T3" s="47">
        <f>SUM(S3:S3)</f>
        <v>1.07366470588235</v>
      </c>
      <c r="XEP3" s="48"/>
      <c r="XEQ3" s="48"/>
      <c r="XER3" s="48"/>
      <c r="XES3" s="48"/>
      <c r="XET3" s="48"/>
      <c r="XEU3" s="48"/>
      <c r="XEV3" s="48"/>
      <c r="XEW3" s="48"/>
      <c r="XEX3" s="48"/>
      <c r="XEY3" s="48"/>
      <c r="XEZ3" s="48"/>
      <c r="XFA3" s="48"/>
      <c r="XFB3" s="48"/>
      <c r="XFC3" s="48"/>
    </row>
    <row r="4" s="21" customFormat="1" ht="19" customHeight="1" spans="1:16383">
      <c r="A4" s="37" t="s">
        <v>24</v>
      </c>
      <c r="B4" s="31">
        <v>24.99</v>
      </c>
      <c r="C4" s="32">
        <v>0.2</v>
      </c>
      <c r="D4" s="32">
        <v>0</v>
      </c>
      <c r="E4" s="33">
        <f t="shared" si="0"/>
        <v>19.992</v>
      </c>
      <c r="F4" s="33">
        <v>5.5</v>
      </c>
      <c r="G4" s="33">
        <f t="shared" si="1"/>
        <v>2.9988</v>
      </c>
      <c r="H4" s="33">
        <f t="shared" si="2"/>
        <v>11.4932</v>
      </c>
      <c r="I4" s="33">
        <f t="shared" si="3"/>
        <v>0.34</v>
      </c>
      <c r="J4" s="33">
        <v>0.6</v>
      </c>
      <c r="K4" s="33">
        <v>4.5</v>
      </c>
      <c r="L4" s="33">
        <v>1</v>
      </c>
      <c r="M4" s="33">
        <f t="shared" si="4"/>
        <v>12.97976</v>
      </c>
      <c r="N4" s="41">
        <v>0.15</v>
      </c>
      <c r="O4" s="33">
        <f t="shared" si="5"/>
        <v>2.29054588235294</v>
      </c>
      <c r="P4" s="33">
        <f t="shared" si="6"/>
        <v>2.76265411764706</v>
      </c>
      <c r="Q4" s="45">
        <f t="shared" si="7"/>
        <v>0.110550384859826</v>
      </c>
      <c r="R4" s="46">
        <v>1</v>
      </c>
      <c r="S4" s="33">
        <f t="shared" si="8"/>
        <v>2.76265411764706</v>
      </c>
      <c r="T4" s="47">
        <f t="shared" ref="T3:T10" si="9">SUM(S4:S4)</f>
        <v>2.76265411764706</v>
      </c>
      <c r="XEP4" s="48"/>
      <c r="XEQ4" s="48"/>
      <c r="XER4" s="48"/>
      <c r="XES4" s="48"/>
      <c r="XET4" s="48"/>
      <c r="XEU4" s="48"/>
      <c r="XEV4" s="48"/>
      <c r="XEW4" s="48"/>
      <c r="XEX4" s="48"/>
      <c r="XEY4" s="48"/>
      <c r="XEZ4" s="48"/>
      <c r="XFA4" s="48"/>
      <c r="XFB4" s="48"/>
      <c r="XFC4" s="48"/>
    </row>
    <row r="5" s="21" customFormat="1" ht="19" customHeight="1" spans="1:16383">
      <c r="A5" s="37" t="s">
        <v>26</v>
      </c>
      <c r="B5" s="31">
        <v>25.99</v>
      </c>
      <c r="C5" s="32">
        <v>0.15</v>
      </c>
      <c r="D5" s="32">
        <v>0</v>
      </c>
      <c r="E5" s="33">
        <f t="shared" si="0"/>
        <v>22.0915</v>
      </c>
      <c r="F5" s="33">
        <v>5.5</v>
      </c>
      <c r="G5" s="33">
        <f t="shared" si="1"/>
        <v>3.313725</v>
      </c>
      <c r="H5" s="33">
        <f t="shared" si="2"/>
        <v>13.277775</v>
      </c>
      <c r="I5" s="33">
        <f t="shared" si="3"/>
        <v>0.34</v>
      </c>
      <c r="J5" s="33">
        <v>0.6</v>
      </c>
      <c r="K5" s="33">
        <v>4.5</v>
      </c>
      <c r="L5" s="33">
        <v>1</v>
      </c>
      <c r="M5" s="33">
        <f t="shared" si="4"/>
        <v>13.042745</v>
      </c>
      <c r="N5" s="41">
        <v>0.15</v>
      </c>
      <c r="O5" s="33">
        <f t="shared" si="5"/>
        <v>2.30166088235294</v>
      </c>
      <c r="P5" s="33">
        <f t="shared" si="6"/>
        <v>4.53611411764706</v>
      </c>
      <c r="Q5" s="45">
        <f t="shared" si="7"/>
        <v>0.174533055700156</v>
      </c>
      <c r="R5" s="46">
        <v>1</v>
      </c>
      <c r="S5" s="33">
        <f t="shared" si="8"/>
        <v>4.53611411764706</v>
      </c>
      <c r="T5" s="47">
        <f t="shared" si="9"/>
        <v>4.53611411764706</v>
      </c>
      <c r="XEP5" s="48"/>
      <c r="XEQ5" s="48"/>
      <c r="XER5" s="48"/>
      <c r="XES5" s="48"/>
      <c r="XET5" s="48"/>
      <c r="XEU5" s="48"/>
      <c r="XEV5" s="48"/>
      <c r="XEW5" s="48"/>
      <c r="XEX5" s="48"/>
      <c r="XEY5" s="48"/>
      <c r="XEZ5" s="48"/>
      <c r="XFA5" s="48"/>
      <c r="XFB5" s="48"/>
      <c r="XFC5" s="48"/>
    </row>
    <row r="6" s="21" customFormat="1" ht="19" customHeight="1" spans="1:16383">
      <c r="A6" s="37" t="s">
        <v>28</v>
      </c>
      <c r="B6" s="31">
        <v>26.99</v>
      </c>
      <c r="C6" s="32">
        <v>0.1</v>
      </c>
      <c r="D6" s="32">
        <v>0</v>
      </c>
      <c r="E6" s="33">
        <f t="shared" si="0"/>
        <v>24.291</v>
      </c>
      <c r="F6" s="33">
        <v>5.5</v>
      </c>
      <c r="G6" s="33">
        <f t="shared" si="1"/>
        <v>3.64365</v>
      </c>
      <c r="H6" s="33">
        <f t="shared" si="2"/>
        <v>15.14735</v>
      </c>
      <c r="I6" s="33">
        <f t="shared" si="3"/>
        <v>0.34</v>
      </c>
      <c r="J6" s="33">
        <v>0.6</v>
      </c>
      <c r="K6" s="33">
        <v>4.5</v>
      </c>
      <c r="L6" s="33">
        <v>1</v>
      </c>
      <c r="M6" s="33">
        <f t="shared" si="4"/>
        <v>13.10873</v>
      </c>
      <c r="N6" s="41">
        <v>0.15</v>
      </c>
      <c r="O6" s="33">
        <f t="shared" si="5"/>
        <v>2.31330529411765</v>
      </c>
      <c r="P6" s="33">
        <f t="shared" si="6"/>
        <v>6.39404470588235</v>
      </c>
      <c r="Q6" s="45">
        <f t="shared" si="7"/>
        <v>0.236904212889305</v>
      </c>
      <c r="R6" s="46">
        <v>1</v>
      </c>
      <c r="S6" s="33">
        <f t="shared" si="8"/>
        <v>6.39404470588235</v>
      </c>
      <c r="T6" s="47">
        <f t="shared" si="9"/>
        <v>6.39404470588235</v>
      </c>
      <c r="XEP6" s="48"/>
      <c r="XEQ6" s="48"/>
      <c r="XER6" s="48"/>
      <c r="XES6" s="48"/>
      <c r="XET6" s="48"/>
      <c r="XEU6" s="48"/>
      <c r="XEV6" s="48"/>
      <c r="XEW6" s="48"/>
      <c r="XEX6" s="48"/>
      <c r="XEY6" s="48"/>
      <c r="XEZ6" s="48"/>
      <c r="XFA6" s="48"/>
      <c r="XFB6" s="48"/>
      <c r="XFC6" s="48"/>
    </row>
    <row r="7" s="20" customFormat="1" spans="1:20">
      <c r="A7" s="38" t="s">
        <v>30</v>
      </c>
      <c r="B7" s="31">
        <v>27.99</v>
      </c>
      <c r="C7" s="32">
        <v>0.1</v>
      </c>
      <c r="D7" s="32">
        <v>0</v>
      </c>
      <c r="E7" s="33">
        <f t="shared" si="0"/>
        <v>25.191</v>
      </c>
      <c r="F7" s="33">
        <v>5.5</v>
      </c>
      <c r="G7" s="33">
        <f t="shared" si="1"/>
        <v>3.77865</v>
      </c>
      <c r="H7" s="33">
        <f t="shared" si="2"/>
        <v>15.91235</v>
      </c>
      <c r="I7" s="33">
        <f t="shared" si="3"/>
        <v>0.34</v>
      </c>
      <c r="J7" s="33">
        <v>0.6</v>
      </c>
      <c r="K7" s="33">
        <v>4.5</v>
      </c>
      <c r="L7" s="33">
        <v>1</v>
      </c>
      <c r="M7" s="33">
        <f t="shared" si="4"/>
        <v>13.13573</v>
      </c>
      <c r="N7" s="41">
        <v>0.15</v>
      </c>
      <c r="O7" s="33">
        <f t="shared" si="5"/>
        <v>2.31807</v>
      </c>
      <c r="P7" s="33">
        <f t="shared" si="6"/>
        <v>7.15428</v>
      </c>
      <c r="Q7" s="45">
        <f t="shared" si="7"/>
        <v>0.255601286173633</v>
      </c>
      <c r="R7" s="46">
        <v>1</v>
      </c>
      <c r="S7" s="33">
        <f t="shared" si="8"/>
        <v>7.15428</v>
      </c>
      <c r="T7" s="47">
        <f t="shared" si="9"/>
        <v>7.15428</v>
      </c>
    </row>
    <row r="8" s="20" customFormat="1" spans="1:20">
      <c r="A8" s="38" t="s">
        <v>32</v>
      </c>
      <c r="B8" s="31">
        <v>27.99</v>
      </c>
      <c r="C8" s="32">
        <v>0.1</v>
      </c>
      <c r="D8" s="32">
        <v>0</v>
      </c>
      <c r="E8" s="33">
        <f t="shared" si="0"/>
        <v>25.191</v>
      </c>
      <c r="F8" s="33">
        <v>5.5</v>
      </c>
      <c r="G8" s="33">
        <f t="shared" si="1"/>
        <v>3.77865</v>
      </c>
      <c r="H8" s="33">
        <f t="shared" si="2"/>
        <v>15.91235</v>
      </c>
      <c r="I8" s="33">
        <f t="shared" si="3"/>
        <v>0.34</v>
      </c>
      <c r="J8" s="33">
        <v>0</v>
      </c>
      <c r="K8" s="33">
        <v>4.5</v>
      </c>
      <c r="L8" s="33">
        <v>1</v>
      </c>
      <c r="M8" s="33">
        <f t="shared" si="4"/>
        <v>13.13573</v>
      </c>
      <c r="N8" s="41">
        <v>0.15</v>
      </c>
      <c r="O8" s="33">
        <f t="shared" si="5"/>
        <v>2.31807</v>
      </c>
      <c r="P8" s="33">
        <f t="shared" si="6"/>
        <v>7.75428</v>
      </c>
      <c r="Q8" s="45">
        <f t="shared" si="7"/>
        <v>0.277037513397642</v>
      </c>
      <c r="R8" s="46">
        <v>1</v>
      </c>
      <c r="S8" s="33">
        <f t="shared" si="8"/>
        <v>7.75428</v>
      </c>
      <c r="T8" s="47">
        <f t="shared" si="9"/>
        <v>7.75428</v>
      </c>
    </row>
    <row r="9" s="20" customFormat="1" spans="1:20">
      <c r="A9" s="38"/>
      <c r="B9" s="31"/>
      <c r="C9" s="32"/>
      <c r="D9" s="32"/>
      <c r="E9" s="33"/>
      <c r="F9" s="33"/>
      <c r="G9" s="33"/>
      <c r="H9" s="33"/>
      <c r="I9" s="33"/>
      <c r="J9" s="33"/>
      <c r="K9" s="33"/>
      <c r="L9" s="33"/>
      <c r="M9" s="33"/>
      <c r="N9" s="41"/>
      <c r="O9" s="33"/>
      <c r="P9" s="33"/>
      <c r="Q9" s="45"/>
      <c r="R9" s="46"/>
      <c r="S9" s="33"/>
      <c r="T9" s="47"/>
    </row>
    <row r="10" s="20" customFormat="1" spans="1:20">
      <c r="A10" s="38" t="s">
        <v>60</v>
      </c>
      <c r="B10" s="31">
        <v>29.99</v>
      </c>
      <c r="C10" s="32">
        <v>0</v>
      </c>
      <c r="D10" s="32">
        <v>0</v>
      </c>
      <c r="E10" s="33">
        <f>SUM(B10*(1-C10-D10))</f>
        <v>29.99</v>
      </c>
      <c r="F10" s="33">
        <v>5.5</v>
      </c>
      <c r="G10" s="33">
        <f>SUM(E10*15%)</f>
        <v>4.4985</v>
      </c>
      <c r="H10" s="33">
        <f>SUM(E10-F10-G10)</f>
        <v>19.9915</v>
      </c>
      <c r="I10" s="33">
        <f>0.08+0.34</f>
        <v>0.42</v>
      </c>
      <c r="J10" s="33">
        <v>0</v>
      </c>
      <c r="K10" s="33">
        <v>4.5</v>
      </c>
      <c r="L10" s="33">
        <v>1</v>
      </c>
      <c r="M10" s="33">
        <f>SUM(20%*15%*E10+F10+I10+K10+L10+1.46)</f>
        <v>13.7797</v>
      </c>
      <c r="N10" s="41">
        <v>0.15</v>
      </c>
      <c r="O10" s="33">
        <f>SUM(M10*N10/(1-N10))</f>
        <v>2.43171176470588</v>
      </c>
      <c r="P10" s="33">
        <f>SUM(H10-I10-J10-K10-L10-O10)</f>
        <v>11.6397882352941</v>
      </c>
      <c r="Q10" s="45">
        <f>SUM(P10/B10)</f>
        <v>0.388122315281564</v>
      </c>
      <c r="R10" s="46">
        <v>1</v>
      </c>
      <c r="S10" s="33">
        <f>SUM(P10*R10)</f>
        <v>11.6397882352941</v>
      </c>
      <c r="T10" s="47">
        <f>SUM(S10:S10)</f>
        <v>11.6397882352941</v>
      </c>
    </row>
    <row r="11" s="20" customFormat="1" spans="1:20">
      <c r="A11" s="38" t="s">
        <v>61</v>
      </c>
      <c r="B11" s="31">
        <v>29.99</v>
      </c>
      <c r="C11" s="32">
        <v>0.2</v>
      </c>
      <c r="D11" s="32">
        <v>0</v>
      </c>
      <c r="E11" s="33">
        <f>SUM(B11*(1-C11-D11))</f>
        <v>23.992</v>
      </c>
      <c r="F11" s="33">
        <v>5.5</v>
      </c>
      <c r="G11" s="33">
        <f>SUM(E11*15%)</f>
        <v>3.5988</v>
      </c>
      <c r="H11" s="33">
        <f>SUM(E11-F11-G11)</f>
        <v>14.8932</v>
      </c>
      <c r="I11" s="33">
        <f>0.08+0.34</f>
        <v>0.42</v>
      </c>
      <c r="J11" s="33">
        <v>0.6</v>
      </c>
      <c r="K11" s="33">
        <v>4.5</v>
      </c>
      <c r="L11" s="33">
        <v>1</v>
      </c>
      <c r="M11" s="33">
        <f>SUM(20%*15%*E11+F11+I11+K11+L11+1.46)</f>
        <v>13.59976</v>
      </c>
      <c r="N11" s="41">
        <v>0.15</v>
      </c>
      <c r="O11" s="33">
        <f>SUM(M11*N11/(1-N11))</f>
        <v>2.39995764705882</v>
      </c>
      <c r="P11" s="33">
        <f>SUM(H11-I11-J11-K11-L11-O11)</f>
        <v>5.97324235294118</v>
      </c>
      <c r="Q11" s="45">
        <f>SUM(P11/B11)</f>
        <v>0.199174469921346</v>
      </c>
      <c r="R11" s="46">
        <v>1</v>
      </c>
      <c r="S11" s="33">
        <f>SUM(P11*R11)</f>
        <v>5.97324235294118</v>
      </c>
      <c r="T11" s="47">
        <f>SUM(S11:S11)</f>
        <v>5.97324235294118</v>
      </c>
    </row>
    <row r="12" s="20" customFormat="1" spans="1:2">
      <c r="A12" s="201" t="s">
        <v>62</v>
      </c>
      <c r="B12" s="202" t="s">
        <v>63</v>
      </c>
    </row>
    <row r="13" s="20" customFormat="1"/>
    <row r="14" s="20" customFormat="1"/>
    <row r="15" spans="1:1">
      <c r="A15" s="109" t="s">
        <v>64</v>
      </c>
    </row>
    <row r="16" spans="1:1">
      <c r="A16" s="203" t="s">
        <v>65</v>
      </c>
    </row>
  </sheetData>
  <sheetProtection formatCells="0" insertHyperlinks="0" autoFilter="0"/>
  <mergeCells count="2">
    <mergeCell ref="B1:T1"/>
    <mergeCell ref="B12:T12"/>
  </mergeCells>
  <hyperlinks>
    <hyperlink ref="B12" r:id="rId1" display="https://www.amazon.com/Back-Brace-Posture-Corrector-Women/dp/B099WTPXN5" tooltip="https://www.amazon.com/Back-Brace-Posture-Corrector-Women/dp/B099WTPXN5"/>
    <hyperlink ref="A16" r:id="rId2" display="https://mp.weixin.qq.com/s/qAN_F4X7sGrzxkUmNgb7TA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2"/>
  <sheetViews>
    <sheetView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Z3" sqref="Z3"/>
    </sheetView>
  </sheetViews>
  <sheetFormatPr defaultColWidth="9" defaultRowHeight="15.6"/>
  <cols>
    <col min="1" max="1" width="9" style="21"/>
    <col min="2" max="2" width="9.5" style="21" customWidth="1"/>
    <col min="3" max="3" width="7.87037037037037" style="21" customWidth="1"/>
    <col min="4" max="4" width="7.12962962962963" style="52" customWidth="1"/>
    <col min="5" max="5" width="6.5" style="52" customWidth="1"/>
    <col min="6" max="6" width="8.5" style="51" customWidth="1"/>
    <col min="7" max="7" width="8.75" style="21" customWidth="1"/>
    <col min="8" max="8" width="7.12962962962963" style="21" customWidth="1"/>
    <col min="9" max="9" width="7.5" style="21" customWidth="1"/>
    <col min="10" max="10" width="7.12962962962963" style="21" customWidth="1"/>
    <col min="11" max="11" width="8.5" style="51" customWidth="1"/>
    <col min="12" max="12" width="11.6018518518519" style="51" customWidth="1"/>
    <col min="13" max="14" width="10.75" style="51" customWidth="1"/>
    <col min="15" max="15" width="8.05555555555556" style="21" customWidth="1"/>
    <col min="16" max="16" width="8.5" style="53" customWidth="1"/>
    <col min="17" max="17" width="7.5" style="53" customWidth="1"/>
    <col min="18" max="18" width="8.5" style="53" customWidth="1"/>
    <col min="19" max="20" width="9.75" style="54" customWidth="1"/>
    <col min="21" max="21" width="9.75" style="55" customWidth="1"/>
    <col min="22" max="22" width="11.3148148148148" style="21" customWidth="1"/>
    <col min="23" max="23" width="14.75" style="21" customWidth="1"/>
    <col min="24" max="24" width="16.3611111111111" style="21" customWidth="1"/>
    <col min="25" max="25" width="23.8703703703704" style="21" customWidth="1"/>
    <col min="26" max="26" width="12.6296296296296" style="51" customWidth="1"/>
    <col min="27" max="27" width="15" style="21" customWidth="1"/>
    <col min="28" max="16384" width="9" style="21"/>
  </cols>
  <sheetData>
    <row r="1" ht="30" customHeight="1" spans="1:27">
      <c r="A1" s="162" t="s">
        <v>66</v>
      </c>
      <c r="B1" s="163"/>
      <c r="C1" s="163"/>
      <c r="D1" s="163"/>
      <c r="E1" s="163"/>
      <c r="F1" s="164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88"/>
      <c r="V1" s="163"/>
      <c r="W1" s="163"/>
      <c r="X1" s="163"/>
      <c r="Y1" s="163"/>
      <c r="Z1" s="163"/>
      <c r="AA1" s="198"/>
    </row>
    <row r="2" s="21" customFormat="1" ht="55.4" customHeight="1" spans="1:27">
      <c r="A2" s="165" t="s">
        <v>40</v>
      </c>
      <c r="B2" s="166" t="s">
        <v>67</v>
      </c>
      <c r="C2" s="166" t="s">
        <v>41</v>
      </c>
      <c r="D2" s="166" t="s">
        <v>68</v>
      </c>
      <c r="E2" s="167" t="s">
        <v>43</v>
      </c>
      <c r="F2" s="168" t="s">
        <v>44</v>
      </c>
      <c r="G2" s="169" t="s">
        <v>7</v>
      </c>
      <c r="H2" s="169" t="s">
        <v>8</v>
      </c>
      <c r="I2" s="169" t="s">
        <v>9</v>
      </c>
      <c r="J2" s="169" t="s">
        <v>10</v>
      </c>
      <c r="K2" s="176" t="s">
        <v>69</v>
      </c>
      <c r="L2" s="177" t="s">
        <v>70</v>
      </c>
      <c r="M2" s="178" t="s">
        <v>71</v>
      </c>
      <c r="N2" s="177" t="s">
        <v>72</v>
      </c>
      <c r="O2" s="169" t="s">
        <v>73</v>
      </c>
      <c r="P2" s="179" t="s">
        <v>74</v>
      </c>
      <c r="Q2" s="179" t="s">
        <v>75</v>
      </c>
      <c r="R2" s="179" t="s">
        <v>76</v>
      </c>
      <c r="S2" s="189" t="s">
        <v>77</v>
      </c>
      <c r="T2" s="189" t="s">
        <v>78</v>
      </c>
      <c r="U2" s="190" t="s">
        <v>79</v>
      </c>
      <c r="V2" s="169" t="s">
        <v>19</v>
      </c>
      <c r="W2" s="169" t="s">
        <v>20</v>
      </c>
      <c r="X2" s="175" t="s">
        <v>80</v>
      </c>
      <c r="Y2" s="169" t="s">
        <v>81</v>
      </c>
      <c r="Z2" s="186" t="s">
        <v>82</v>
      </c>
      <c r="AA2" s="130" t="s">
        <v>83</v>
      </c>
    </row>
    <row r="3" s="21" customFormat="1" ht="25" customHeight="1" spans="1:27">
      <c r="A3" s="37" t="s">
        <v>22</v>
      </c>
      <c r="B3" s="123" t="s">
        <v>84</v>
      </c>
      <c r="C3" s="124">
        <f>价格策略模拟!B3</f>
        <v>23.99</v>
      </c>
      <c r="D3" s="125">
        <f>价格策略模拟!C3</f>
        <v>0.25</v>
      </c>
      <c r="E3" s="126">
        <f>价格策略模拟!D3</f>
        <v>0</v>
      </c>
      <c r="F3" s="170">
        <f t="shared" ref="F3:F26" si="0">SUM(C3*(1-D3-E3))</f>
        <v>17.9925</v>
      </c>
      <c r="G3" s="171">
        <f>J3*R3</f>
        <v>0</v>
      </c>
      <c r="H3" s="171">
        <f>J3*Q3</f>
        <v>14</v>
      </c>
      <c r="I3" s="171">
        <f t="shared" ref="I3:I10" si="1">SUM(G3:H3)</f>
        <v>14</v>
      </c>
      <c r="J3" s="171">
        <v>7</v>
      </c>
      <c r="K3" s="180">
        <f>CPC模拟表格!V3</f>
        <v>30</v>
      </c>
      <c r="L3" s="160">
        <f>SUM(H3*-K3)</f>
        <v>-420</v>
      </c>
      <c r="M3" s="181">
        <f>毛利模拟盈亏!T3</f>
        <v>15.031305882353</v>
      </c>
      <c r="N3" s="160">
        <f>SUM(L3:M3)</f>
        <v>-404.968694117647</v>
      </c>
      <c r="O3" s="171">
        <v>20</v>
      </c>
      <c r="P3" s="182">
        <v>2</v>
      </c>
      <c r="Q3" s="182">
        <v>2</v>
      </c>
      <c r="R3" s="182">
        <f>SUM(P3-Q3)</f>
        <v>0</v>
      </c>
      <c r="S3" s="191">
        <f t="shared" ref="S3:S26" si="2">SUM(L3/J3)</f>
        <v>-60</v>
      </c>
      <c r="T3" s="191">
        <f>毛利模拟盈亏!V3</f>
        <v>335.86</v>
      </c>
      <c r="U3" s="192">
        <f>-L3/T3</f>
        <v>1.25052105043768</v>
      </c>
      <c r="V3" s="37"/>
      <c r="W3" s="37" t="s">
        <v>85</v>
      </c>
      <c r="X3" s="171"/>
      <c r="Y3" s="171">
        <f>-(90*11+600+1500)</f>
        <v>-3090</v>
      </c>
      <c r="Z3" s="181">
        <f>SUM(N3:N18)+Y3</f>
        <v>-13477.38144</v>
      </c>
      <c r="AA3" s="171">
        <f>Z3*7</f>
        <v>-94341.67008</v>
      </c>
    </row>
    <row r="4" s="21" customFormat="1" ht="25" customHeight="1" spans="1:27">
      <c r="A4" s="37"/>
      <c r="B4" s="123" t="s">
        <v>86</v>
      </c>
      <c r="C4" s="124">
        <f>价格策略模拟!B3</f>
        <v>23.99</v>
      </c>
      <c r="D4" s="125">
        <f>价格策略模拟!C3</f>
        <v>0.25</v>
      </c>
      <c r="E4" s="126">
        <f>价格策略模拟!D3</f>
        <v>0</v>
      </c>
      <c r="F4" s="170">
        <f t="shared" si="0"/>
        <v>17.9925</v>
      </c>
      <c r="G4" s="171">
        <f t="shared" ref="G4:G26" si="3">J4*R4</f>
        <v>7</v>
      </c>
      <c r="H4" s="171">
        <f t="shared" ref="H4:H26" si="4">J4*Q4</f>
        <v>21</v>
      </c>
      <c r="I4" s="171">
        <f t="shared" si="1"/>
        <v>28</v>
      </c>
      <c r="J4" s="171">
        <v>7</v>
      </c>
      <c r="K4" s="180">
        <f>CPC模拟表格!V4</f>
        <v>30</v>
      </c>
      <c r="L4" s="160">
        <f>SUM(H4*-K4)</f>
        <v>-630</v>
      </c>
      <c r="M4" s="181">
        <f>毛利模拟盈亏!T4</f>
        <v>30.0626117647059</v>
      </c>
      <c r="N4" s="160">
        <f t="shared" ref="N3:N26" si="5">SUM(L4:M4)</f>
        <v>-599.937388235294</v>
      </c>
      <c r="O4" s="171"/>
      <c r="P4" s="182">
        <v>4</v>
      </c>
      <c r="Q4" s="182">
        <v>3</v>
      </c>
      <c r="R4" s="182">
        <f t="shared" ref="R4:R26" si="6">SUM(P4-Q4)</f>
        <v>1</v>
      </c>
      <c r="S4" s="191">
        <f t="shared" si="2"/>
        <v>-90</v>
      </c>
      <c r="T4" s="191">
        <f>毛利模拟盈亏!V4</f>
        <v>671.72</v>
      </c>
      <c r="U4" s="192">
        <f t="shared" ref="U4:U26" si="7">-L4/T4</f>
        <v>0.937890787828262</v>
      </c>
      <c r="V4" s="37"/>
      <c r="W4" s="37" t="s">
        <v>87</v>
      </c>
      <c r="X4" s="171"/>
      <c r="Y4" s="171"/>
      <c r="Z4" s="181"/>
      <c r="AA4" s="171"/>
    </row>
    <row r="5" s="21" customFormat="1" ht="25" customHeight="1" spans="1:27">
      <c r="A5" s="37"/>
      <c r="B5" s="123" t="s">
        <v>88</v>
      </c>
      <c r="C5" s="124">
        <f>价格策略模拟!B3</f>
        <v>23.99</v>
      </c>
      <c r="D5" s="125">
        <f>价格策略模拟!C3</f>
        <v>0.25</v>
      </c>
      <c r="E5" s="126">
        <f>价格策略模拟!D3</f>
        <v>0</v>
      </c>
      <c r="F5" s="170">
        <f t="shared" si="0"/>
        <v>17.9925</v>
      </c>
      <c r="G5" s="171">
        <f t="shared" si="3"/>
        <v>14</v>
      </c>
      <c r="H5" s="171">
        <f t="shared" si="4"/>
        <v>28</v>
      </c>
      <c r="I5" s="171">
        <f t="shared" si="1"/>
        <v>42</v>
      </c>
      <c r="J5" s="171">
        <v>7</v>
      </c>
      <c r="K5" s="180">
        <f>CPC模拟表格!V5</f>
        <v>30</v>
      </c>
      <c r="L5" s="160">
        <f>SUM(H5*-K5)</f>
        <v>-840</v>
      </c>
      <c r="M5" s="181">
        <f>毛利模拟盈亏!T5</f>
        <v>45.0939176470589</v>
      </c>
      <c r="N5" s="160">
        <f t="shared" si="5"/>
        <v>-794.906082352941</v>
      </c>
      <c r="O5" s="171"/>
      <c r="P5" s="182">
        <v>6</v>
      </c>
      <c r="Q5" s="182">
        <v>4</v>
      </c>
      <c r="R5" s="182">
        <f t="shared" si="6"/>
        <v>2</v>
      </c>
      <c r="S5" s="191">
        <f t="shared" si="2"/>
        <v>-120</v>
      </c>
      <c r="T5" s="191">
        <f>毛利模拟盈亏!V5</f>
        <v>1007.58</v>
      </c>
      <c r="U5" s="192">
        <f t="shared" si="7"/>
        <v>0.833680700291788</v>
      </c>
      <c r="V5" s="37"/>
      <c r="W5" s="37" t="s">
        <v>89</v>
      </c>
      <c r="X5" s="171"/>
      <c r="Y5" s="171"/>
      <c r="Z5" s="181"/>
      <c r="AA5" s="171"/>
    </row>
    <row r="6" s="21" customFormat="1" ht="25" customHeight="1" spans="1:27">
      <c r="A6" s="37"/>
      <c r="B6" s="123" t="s">
        <v>90</v>
      </c>
      <c r="C6" s="124">
        <f>价格策略模拟!B3</f>
        <v>23.99</v>
      </c>
      <c r="D6" s="125">
        <f>价格策略模拟!C3</f>
        <v>0.25</v>
      </c>
      <c r="E6" s="126">
        <f>价格策略模拟!D3</f>
        <v>0</v>
      </c>
      <c r="F6" s="170">
        <f t="shared" si="0"/>
        <v>17.9925</v>
      </c>
      <c r="G6" s="171">
        <f t="shared" si="3"/>
        <v>21</v>
      </c>
      <c r="H6" s="171">
        <f t="shared" si="4"/>
        <v>35</v>
      </c>
      <c r="I6" s="171">
        <f t="shared" si="1"/>
        <v>56</v>
      </c>
      <c r="J6" s="171">
        <v>7</v>
      </c>
      <c r="K6" s="180">
        <f>CPC模拟表格!V6</f>
        <v>30</v>
      </c>
      <c r="L6" s="160">
        <f>SUM(H6*-K6)</f>
        <v>-1050</v>
      </c>
      <c r="M6" s="181">
        <f>毛利模拟盈亏!T6</f>
        <v>60.1252235294118</v>
      </c>
      <c r="N6" s="160">
        <f t="shared" si="5"/>
        <v>-989.874776470588</v>
      </c>
      <c r="O6" s="171"/>
      <c r="P6" s="182">
        <v>8</v>
      </c>
      <c r="Q6" s="182">
        <v>5</v>
      </c>
      <c r="R6" s="182">
        <f t="shared" si="6"/>
        <v>3</v>
      </c>
      <c r="S6" s="191">
        <f t="shared" si="2"/>
        <v>-150</v>
      </c>
      <c r="T6" s="191">
        <f>毛利模拟盈亏!V6</f>
        <v>1343.44</v>
      </c>
      <c r="U6" s="192">
        <f t="shared" si="7"/>
        <v>0.781575656523552</v>
      </c>
      <c r="V6" s="37"/>
      <c r="W6" s="37" t="s">
        <v>91</v>
      </c>
      <c r="X6" s="171"/>
      <c r="Y6" s="171"/>
      <c r="Z6" s="181"/>
      <c r="AA6" s="171"/>
    </row>
    <row r="7" s="21" customFormat="1" ht="25" customHeight="1" spans="1:27">
      <c r="A7" s="37" t="s">
        <v>24</v>
      </c>
      <c r="B7" s="123" t="s">
        <v>92</v>
      </c>
      <c r="C7" s="124">
        <f>价格策略模拟!B4</f>
        <v>24.99</v>
      </c>
      <c r="D7" s="125">
        <f>价格策略模拟!C4</f>
        <v>0.2</v>
      </c>
      <c r="E7" s="126">
        <f>价格策略模拟!D4</f>
        <v>0</v>
      </c>
      <c r="F7" s="170">
        <f t="shared" si="0"/>
        <v>19.992</v>
      </c>
      <c r="G7" s="171">
        <f t="shared" si="3"/>
        <v>28</v>
      </c>
      <c r="H7" s="171">
        <f t="shared" si="4"/>
        <v>42</v>
      </c>
      <c r="I7" s="31">
        <f t="shared" si="1"/>
        <v>70</v>
      </c>
      <c r="J7" s="31">
        <v>7</v>
      </c>
      <c r="K7" s="180">
        <f>CPC模拟表格!V7</f>
        <v>23.3333333333333</v>
      </c>
      <c r="L7" s="180">
        <f>SUM(H7*-K7)</f>
        <v>-980</v>
      </c>
      <c r="M7" s="181">
        <f>毛利模拟盈亏!T7</f>
        <v>193.385788235294</v>
      </c>
      <c r="N7" s="160">
        <f t="shared" si="5"/>
        <v>-786.614211764706</v>
      </c>
      <c r="O7" s="171">
        <v>40</v>
      </c>
      <c r="P7" s="183">
        <v>10</v>
      </c>
      <c r="Q7" s="183">
        <v>6</v>
      </c>
      <c r="R7" s="182">
        <f t="shared" si="6"/>
        <v>4</v>
      </c>
      <c r="S7" s="193">
        <f t="shared" si="2"/>
        <v>-140</v>
      </c>
      <c r="T7" s="191">
        <f>毛利模拟盈亏!V7</f>
        <v>1749.3</v>
      </c>
      <c r="U7" s="192">
        <f t="shared" si="7"/>
        <v>0.560224089635854</v>
      </c>
      <c r="V7" s="37"/>
      <c r="W7" s="37" t="s">
        <v>93</v>
      </c>
      <c r="X7" s="171"/>
      <c r="Y7" s="171"/>
      <c r="Z7" s="181"/>
      <c r="AA7" s="171"/>
    </row>
    <row r="8" s="21" customFormat="1" ht="25" customHeight="1" spans="1:27">
      <c r="A8" s="37"/>
      <c r="B8" s="123" t="s">
        <v>94</v>
      </c>
      <c r="C8" s="124">
        <f>价格策略模拟!B4</f>
        <v>24.99</v>
      </c>
      <c r="D8" s="125">
        <f>价格策略模拟!C4</f>
        <v>0.2</v>
      </c>
      <c r="E8" s="126">
        <f>价格策略模拟!D4</f>
        <v>0</v>
      </c>
      <c r="F8" s="170">
        <f t="shared" si="0"/>
        <v>19.992</v>
      </c>
      <c r="G8" s="171">
        <f t="shared" si="3"/>
        <v>35</v>
      </c>
      <c r="H8" s="171">
        <f t="shared" si="4"/>
        <v>49</v>
      </c>
      <c r="I8" s="171">
        <f t="shared" si="1"/>
        <v>84</v>
      </c>
      <c r="J8" s="171">
        <v>7</v>
      </c>
      <c r="K8" s="181">
        <f>CPC模拟表格!V8</f>
        <v>23.3333333333333</v>
      </c>
      <c r="L8" s="160">
        <f t="shared" ref="L8:L26" si="8">SUM(H8*-K8)</f>
        <v>-1143.33333333333</v>
      </c>
      <c r="M8" s="181">
        <f>毛利模拟盈亏!T8</f>
        <v>232.062945882353</v>
      </c>
      <c r="N8" s="160">
        <f t="shared" si="5"/>
        <v>-911.270387450977</v>
      </c>
      <c r="O8" s="171"/>
      <c r="P8" s="182">
        <v>12</v>
      </c>
      <c r="Q8" s="182">
        <v>7</v>
      </c>
      <c r="R8" s="182">
        <f t="shared" si="6"/>
        <v>5</v>
      </c>
      <c r="S8" s="191">
        <f t="shared" si="2"/>
        <v>-163.333333333333</v>
      </c>
      <c r="T8" s="191">
        <f>毛利模拟盈亏!V8</f>
        <v>2099.16</v>
      </c>
      <c r="U8" s="192">
        <f t="shared" si="7"/>
        <v>0.54466230936819</v>
      </c>
      <c r="V8" s="37"/>
      <c r="W8" s="37" t="s">
        <v>95</v>
      </c>
      <c r="X8" s="171"/>
      <c r="Y8" s="171"/>
      <c r="Z8" s="181"/>
      <c r="AA8" s="171"/>
    </row>
    <row r="9" s="21" customFormat="1" ht="25" customHeight="1" spans="1:27">
      <c r="A9" s="37"/>
      <c r="B9" s="123" t="s">
        <v>96</v>
      </c>
      <c r="C9" s="124">
        <f>价格策略模拟!B4</f>
        <v>24.99</v>
      </c>
      <c r="D9" s="125">
        <f>价格策略模拟!C4</f>
        <v>0.2</v>
      </c>
      <c r="E9" s="126">
        <f>价格策略模拟!D4</f>
        <v>0</v>
      </c>
      <c r="F9" s="170">
        <f t="shared" si="0"/>
        <v>19.992</v>
      </c>
      <c r="G9" s="171">
        <f t="shared" si="3"/>
        <v>42</v>
      </c>
      <c r="H9" s="171">
        <f t="shared" si="4"/>
        <v>56</v>
      </c>
      <c r="I9" s="171">
        <f t="shared" si="1"/>
        <v>98</v>
      </c>
      <c r="J9" s="171">
        <v>7</v>
      </c>
      <c r="K9" s="181">
        <f>CPC模拟表格!V9</f>
        <v>23.3333333333333</v>
      </c>
      <c r="L9" s="160">
        <f t="shared" si="8"/>
        <v>-1306.66666666667</v>
      </c>
      <c r="M9" s="181">
        <f>毛利模拟盈亏!T9</f>
        <v>270.740103529412</v>
      </c>
      <c r="N9" s="160">
        <f t="shared" si="5"/>
        <v>-1035.92656313726</v>
      </c>
      <c r="O9" s="171"/>
      <c r="P9" s="182">
        <v>14</v>
      </c>
      <c r="Q9" s="182">
        <v>8</v>
      </c>
      <c r="R9" s="182">
        <f t="shared" si="6"/>
        <v>6</v>
      </c>
      <c r="S9" s="191">
        <f t="shared" si="2"/>
        <v>-186.666666666667</v>
      </c>
      <c r="T9" s="191">
        <f>毛利模拟盈亏!V9</f>
        <v>2449.02</v>
      </c>
      <c r="U9" s="192">
        <f t="shared" si="7"/>
        <v>0.533546752034148</v>
      </c>
      <c r="V9" s="37"/>
      <c r="W9" s="37" t="s">
        <v>97</v>
      </c>
      <c r="X9" s="171"/>
      <c r="Y9" s="171"/>
      <c r="Z9" s="181"/>
      <c r="AA9" s="171"/>
    </row>
    <row r="10" s="21" customFormat="1" ht="25" customHeight="1" spans="1:27">
      <c r="A10" s="37"/>
      <c r="B10" s="123" t="s">
        <v>98</v>
      </c>
      <c r="C10" s="124">
        <f>价格策略模拟!B4</f>
        <v>24.99</v>
      </c>
      <c r="D10" s="125">
        <f>价格策略模拟!C4</f>
        <v>0.2</v>
      </c>
      <c r="E10" s="126">
        <f>价格策略模拟!D4</f>
        <v>0</v>
      </c>
      <c r="F10" s="170">
        <f t="shared" si="0"/>
        <v>19.992</v>
      </c>
      <c r="G10" s="171">
        <f t="shared" si="3"/>
        <v>49</v>
      </c>
      <c r="H10" s="171">
        <f t="shared" si="4"/>
        <v>63</v>
      </c>
      <c r="I10" s="171">
        <f t="shared" si="1"/>
        <v>112</v>
      </c>
      <c r="J10" s="171">
        <v>7</v>
      </c>
      <c r="K10" s="181">
        <f>CPC模拟表格!V10</f>
        <v>23.3333333333333</v>
      </c>
      <c r="L10" s="160">
        <f t="shared" si="8"/>
        <v>-1470</v>
      </c>
      <c r="M10" s="181">
        <f>毛利模拟盈亏!T10</f>
        <v>309.417261176471</v>
      </c>
      <c r="N10" s="160">
        <f t="shared" si="5"/>
        <v>-1160.58273882353</v>
      </c>
      <c r="O10" s="171"/>
      <c r="P10" s="182">
        <v>16</v>
      </c>
      <c r="Q10" s="182">
        <v>9</v>
      </c>
      <c r="R10" s="182">
        <f t="shared" si="6"/>
        <v>7</v>
      </c>
      <c r="S10" s="191">
        <f t="shared" si="2"/>
        <v>-210</v>
      </c>
      <c r="T10" s="191">
        <f>毛利模拟盈亏!V10</f>
        <v>2798.88</v>
      </c>
      <c r="U10" s="192">
        <f t="shared" si="7"/>
        <v>0.525210084033613</v>
      </c>
      <c r="V10" s="37"/>
      <c r="W10" s="37" t="s">
        <v>99</v>
      </c>
      <c r="X10" s="171"/>
      <c r="Y10" s="171"/>
      <c r="Z10" s="181"/>
      <c r="AA10" s="171"/>
    </row>
    <row r="11" s="50" customFormat="1" ht="25" customHeight="1" spans="1:27">
      <c r="A11" s="37" t="s">
        <v>26</v>
      </c>
      <c r="B11" s="123" t="s">
        <v>100</v>
      </c>
      <c r="C11" s="124">
        <f>价格策略模拟!B5</f>
        <v>25.99</v>
      </c>
      <c r="D11" s="125">
        <f>价格策略模拟!C5</f>
        <v>0.15</v>
      </c>
      <c r="E11" s="126">
        <f>价格策略模拟!D5</f>
        <v>0</v>
      </c>
      <c r="F11" s="170">
        <f t="shared" si="0"/>
        <v>22.0915</v>
      </c>
      <c r="G11" s="171">
        <f t="shared" si="3"/>
        <v>56</v>
      </c>
      <c r="H11" s="171">
        <f t="shared" si="4"/>
        <v>70</v>
      </c>
      <c r="I11" s="37">
        <f t="shared" ref="I11:I26" si="9">SUM(G11:H11)</f>
        <v>126</v>
      </c>
      <c r="J11" s="37">
        <v>7</v>
      </c>
      <c r="K11" s="160">
        <f>CPC模拟表格!V11</f>
        <v>18.5714285714286</v>
      </c>
      <c r="L11" s="160">
        <f t="shared" si="8"/>
        <v>-1300</v>
      </c>
      <c r="M11" s="160">
        <f>毛利模拟盈亏!T11</f>
        <v>571.550378823529</v>
      </c>
      <c r="N11" s="160">
        <f t="shared" si="5"/>
        <v>-728.449621176471</v>
      </c>
      <c r="O11" s="171">
        <v>80</v>
      </c>
      <c r="P11" s="156">
        <v>18</v>
      </c>
      <c r="Q11" s="156">
        <v>10</v>
      </c>
      <c r="R11" s="182">
        <f t="shared" si="6"/>
        <v>8</v>
      </c>
      <c r="S11" s="155">
        <f t="shared" si="2"/>
        <v>-185.714285714286</v>
      </c>
      <c r="T11" s="191">
        <f>毛利模拟盈亏!V11</f>
        <v>3274.74</v>
      </c>
      <c r="U11" s="192">
        <f t="shared" si="7"/>
        <v>0.39697808070259</v>
      </c>
      <c r="V11" s="37"/>
      <c r="W11" s="37" t="s">
        <v>101</v>
      </c>
      <c r="X11" s="37"/>
      <c r="Y11" s="37"/>
      <c r="Z11" s="160"/>
      <c r="AA11" s="37"/>
    </row>
    <row r="12" s="21" customFormat="1" ht="25" customHeight="1" spans="1:27">
      <c r="A12" s="37"/>
      <c r="B12" s="123" t="s">
        <v>102</v>
      </c>
      <c r="C12" s="124">
        <f>价格策略模拟!B5</f>
        <v>25.99</v>
      </c>
      <c r="D12" s="125">
        <f>价格策略模拟!C5</f>
        <v>0.15</v>
      </c>
      <c r="E12" s="126">
        <f>价格策略模拟!D5</f>
        <v>0</v>
      </c>
      <c r="F12" s="170">
        <f t="shared" si="0"/>
        <v>22.0915</v>
      </c>
      <c r="G12" s="171">
        <f t="shared" si="3"/>
        <v>63</v>
      </c>
      <c r="H12" s="171">
        <f t="shared" si="4"/>
        <v>77</v>
      </c>
      <c r="I12" s="171">
        <f t="shared" si="9"/>
        <v>140</v>
      </c>
      <c r="J12" s="171">
        <v>7</v>
      </c>
      <c r="K12" s="181">
        <f>CPC模拟表格!V12</f>
        <v>18.5714285714286</v>
      </c>
      <c r="L12" s="181">
        <f t="shared" si="8"/>
        <v>-1430</v>
      </c>
      <c r="M12" s="181">
        <f>毛利模拟盈亏!T12</f>
        <v>635.055976470588</v>
      </c>
      <c r="N12" s="181">
        <f t="shared" si="5"/>
        <v>-794.944023529412</v>
      </c>
      <c r="O12" s="171"/>
      <c r="P12" s="182">
        <v>20</v>
      </c>
      <c r="Q12" s="182">
        <v>11</v>
      </c>
      <c r="R12" s="182">
        <f t="shared" si="6"/>
        <v>9</v>
      </c>
      <c r="S12" s="191">
        <f t="shared" si="2"/>
        <v>-204.285714285714</v>
      </c>
      <c r="T12" s="191">
        <f>毛利模拟盈亏!V12</f>
        <v>3638.6</v>
      </c>
      <c r="U12" s="192">
        <f t="shared" si="7"/>
        <v>0.393008299895564</v>
      </c>
      <c r="V12" s="37"/>
      <c r="W12" s="37" t="s">
        <v>103</v>
      </c>
      <c r="X12" s="171"/>
      <c r="Y12" s="171"/>
      <c r="Z12" s="181"/>
      <c r="AA12" s="171"/>
    </row>
    <row r="13" s="21" customFormat="1" ht="25" customHeight="1" spans="1:27">
      <c r="A13" s="37"/>
      <c r="B13" s="123" t="s">
        <v>104</v>
      </c>
      <c r="C13" s="124">
        <f>价格策略模拟!B5</f>
        <v>25.99</v>
      </c>
      <c r="D13" s="125">
        <f>价格策略模拟!C5</f>
        <v>0.15</v>
      </c>
      <c r="E13" s="126">
        <f>价格策略模拟!D5</f>
        <v>0</v>
      </c>
      <c r="F13" s="170">
        <f t="shared" si="0"/>
        <v>22.0915</v>
      </c>
      <c r="G13" s="171">
        <f t="shared" si="3"/>
        <v>70</v>
      </c>
      <c r="H13" s="171">
        <f t="shared" si="4"/>
        <v>84</v>
      </c>
      <c r="I13" s="171">
        <f t="shared" si="9"/>
        <v>154</v>
      </c>
      <c r="J13" s="171">
        <v>7</v>
      </c>
      <c r="K13" s="181">
        <f>CPC模拟表格!V13</f>
        <v>18.5714285714286</v>
      </c>
      <c r="L13" s="160">
        <f t="shared" si="8"/>
        <v>-1560</v>
      </c>
      <c r="M13" s="181">
        <f>毛利模拟盈亏!T13</f>
        <v>698.561574117647</v>
      </c>
      <c r="N13" s="181">
        <f t="shared" si="5"/>
        <v>-861.438425882353</v>
      </c>
      <c r="O13" s="171"/>
      <c r="P13" s="182">
        <v>22</v>
      </c>
      <c r="Q13" s="182">
        <v>12</v>
      </c>
      <c r="R13" s="182">
        <f t="shared" si="6"/>
        <v>10</v>
      </c>
      <c r="S13" s="191">
        <f t="shared" si="2"/>
        <v>-222.857142857143</v>
      </c>
      <c r="T13" s="191">
        <f>毛利模拟盈亏!V13</f>
        <v>4002.46</v>
      </c>
      <c r="U13" s="192">
        <f t="shared" si="7"/>
        <v>0.389760297417089</v>
      </c>
      <c r="V13" s="37"/>
      <c r="W13" s="37" t="s">
        <v>105</v>
      </c>
      <c r="X13" s="171"/>
      <c r="Y13" s="171"/>
      <c r="Z13" s="181"/>
      <c r="AA13" s="171"/>
    </row>
    <row r="14" s="21" customFormat="1" ht="25" customHeight="1" spans="1:27">
      <c r="A14" s="37"/>
      <c r="B14" s="123" t="s">
        <v>106</v>
      </c>
      <c r="C14" s="124">
        <f>价格策略模拟!B5</f>
        <v>25.99</v>
      </c>
      <c r="D14" s="125">
        <f>价格策略模拟!C5</f>
        <v>0.15</v>
      </c>
      <c r="E14" s="126">
        <f>价格策略模拟!D5</f>
        <v>0</v>
      </c>
      <c r="F14" s="170">
        <f t="shared" si="0"/>
        <v>22.0915</v>
      </c>
      <c r="G14" s="171">
        <f t="shared" si="3"/>
        <v>77</v>
      </c>
      <c r="H14" s="171">
        <f t="shared" si="4"/>
        <v>91</v>
      </c>
      <c r="I14" s="171">
        <f t="shared" si="9"/>
        <v>168</v>
      </c>
      <c r="J14" s="171">
        <v>7</v>
      </c>
      <c r="K14" s="181">
        <f>CPC模拟表格!V14</f>
        <v>18.5714285714286</v>
      </c>
      <c r="L14" s="160">
        <f t="shared" si="8"/>
        <v>-1690</v>
      </c>
      <c r="M14" s="181">
        <f>毛利模拟盈亏!T14</f>
        <v>762.067171764705</v>
      </c>
      <c r="N14" s="181">
        <f t="shared" si="5"/>
        <v>-927.932828235295</v>
      </c>
      <c r="O14" s="171"/>
      <c r="P14" s="182">
        <v>24</v>
      </c>
      <c r="Q14" s="182">
        <v>13</v>
      </c>
      <c r="R14" s="182">
        <f t="shared" si="6"/>
        <v>11</v>
      </c>
      <c r="S14" s="191">
        <f t="shared" si="2"/>
        <v>-241.428571428571</v>
      </c>
      <c r="T14" s="191">
        <f>毛利模拟盈亏!V14</f>
        <v>4366.32</v>
      </c>
      <c r="U14" s="192">
        <f t="shared" si="7"/>
        <v>0.387053628685025</v>
      </c>
      <c r="V14" s="37"/>
      <c r="W14" s="37" t="s">
        <v>105</v>
      </c>
      <c r="X14" s="171"/>
      <c r="Y14" s="171"/>
      <c r="Z14" s="181"/>
      <c r="AA14" s="171"/>
    </row>
    <row r="15" s="21" customFormat="1" ht="25" customHeight="1" spans="1:27">
      <c r="A15" s="37" t="s">
        <v>28</v>
      </c>
      <c r="B15" s="123" t="s">
        <v>107</v>
      </c>
      <c r="C15" s="124">
        <f>价格策略模拟!B6</f>
        <v>26.99</v>
      </c>
      <c r="D15" s="125">
        <f>价格策略模拟!C6</f>
        <v>0.1</v>
      </c>
      <c r="E15" s="126">
        <f>价格策略模拟!D6</f>
        <v>0</v>
      </c>
      <c r="F15" s="170">
        <f t="shared" si="0"/>
        <v>24.291</v>
      </c>
      <c r="G15" s="171">
        <f t="shared" si="3"/>
        <v>84</v>
      </c>
      <c r="H15" s="171">
        <f t="shared" si="4"/>
        <v>98</v>
      </c>
      <c r="I15" s="171">
        <f t="shared" si="9"/>
        <v>182</v>
      </c>
      <c r="J15" s="171">
        <v>7</v>
      </c>
      <c r="K15" s="181">
        <f>CPC模拟表格!V15</f>
        <v>13.75</v>
      </c>
      <c r="L15" s="160">
        <f t="shared" si="8"/>
        <v>-1347.5</v>
      </c>
      <c r="M15" s="181">
        <f>毛利模拟盈亏!T15</f>
        <v>1163.71613647059</v>
      </c>
      <c r="N15" s="181">
        <f t="shared" si="5"/>
        <v>-183.783863529412</v>
      </c>
      <c r="O15" s="171">
        <v>120</v>
      </c>
      <c r="P15" s="182">
        <v>26</v>
      </c>
      <c r="Q15" s="182">
        <v>14</v>
      </c>
      <c r="R15" s="182">
        <f t="shared" si="6"/>
        <v>12</v>
      </c>
      <c r="S15" s="191">
        <f t="shared" si="2"/>
        <v>-192.5</v>
      </c>
      <c r="T15" s="191">
        <f>毛利模拟盈亏!V15</f>
        <v>4912.18</v>
      </c>
      <c r="U15" s="192">
        <f t="shared" si="7"/>
        <v>0.274318123521532</v>
      </c>
      <c r="V15" s="37"/>
      <c r="W15" s="37" t="s">
        <v>105</v>
      </c>
      <c r="X15" s="171"/>
      <c r="Y15" s="171"/>
      <c r="Z15" s="181"/>
      <c r="AA15" s="171"/>
    </row>
    <row r="16" s="21" customFormat="1" ht="25" customHeight="1" spans="1:27">
      <c r="A16" s="37"/>
      <c r="B16" s="123" t="s">
        <v>108</v>
      </c>
      <c r="C16" s="124">
        <f>价格策略模拟!B6</f>
        <v>26.99</v>
      </c>
      <c r="D16" s="125">
        <f>价格策略模拟!C6</f>
        <v>0.1</v>
      </c>
      <c r="E16" s="126">
        <f>价格策略模拟!D6</f>
        <v>0</v>
      </c>
      <c r="F16" s="170">
        <f t="shared" si="0"/>
        <v>24.291</v>
      </c>
      <c r="G16" s="171">
        <f t="shared" si="3"/>
        <v>98</v>
      </c>
      <c r="H16" s="171">
        <f t="shared" si="4"/>
        <v>98</v>
      </c>
      <c r="I16" s="171">
        <f t="shared" si="9"/>
        <v>196</v>
      </c>
      <c r="J16" s="171">
        <v>7</v>
      </c>
      <c r="K16" s="181">
        <f>CPC模拟表格!V16</f>
        <v>13.75</v>
      </c>
      <c r="L16" s="160">
        <f t="shared" si="8"/>
        <v>-1347.5</v>
      </c>
      <c r="M16" s="181">
        <f>毛利模拟盈亏!T16</f>
        <v>1253.23276235294</v>
      </c>
      <c r="N16" s="181">
        <f t="shared" si="5"/>
        <v>-94.2672376470587</v>
      </c>
      <c r="O16" s="171"/>
      <c r="P16" s="182">
        <v>28</v>
      </c>
      <c r="Q16" s="182">
        <v>14</v>
      </c>
      <c r="R16" s="182">
        <f t="shared" si="6"/>
        <v>14</v>
      </c>
      <c r="S16" s="191">
        <f t="shared" si="2"/>
        <v>-192.5</v>
      </c>
      <c r="T16" s="191">
        <f>毛利模拟盈亏!V16</f>
        <v>5290.04</v>
      </c>
      <c r="U16" s="192">
        <f t="shared" si="7"/>
        <v>0.254723971841423</v>
      </c>
      <c r="V16" s="37"/>
      <c r="W16" s="37" t="s">
        <v>105</v>
      </c>
      <c r="X16" s="171"/>
      <c r="Y16" s="171"/>
      <c r="Z16" s="181"/>
      <c r="AA16" s="171"/>
    </row>
    <row r="17" s="21" customFormat="1" ht="25" customHeight="1" spans="1:27">
      <c r="A17" s="37"/>
      <c r="B17" s="123" t="s">
        <v>109</v>
      </c>
      <c r="C17" s="124">
        <f>价格策略模拟!B6</f>
        <v>26.99</v>
      </c>
      <c r="D17" s="125">
        <f>价格策略模拟!C6</f>
        <v>0.1</v>
      </c>
      <c r="E17" s="126">
        <f>价格策略模拟!D6</f>
        <v>0</v>
      </c>
      <c r="F17" s="170">
        <f t="shared" si="0"/>
        <v>24.291</v>
      </c>
      <c r="G17" s="171">
        <f t="shared" si="3"/>
        <v>105</v>
      </c>
      <c r="H17" s="171">
        <f t="shared" si="4"/>
        <v>105</v>
      </c>
      <c r="I17" s="171">
        <f t="shared" si="9"/>
        <v>210</v>
      </c>
      <c r="J17" s="171">
        <v>7</v>
      </c>
      <c r="K17" s="181">
        <f>CPC模拟表格!V17</f>
        <v>13.75</v>
      </c>
      <c r="L17" s="160">
        <f t="shared" si="8"/>
        <v>-1443.75</v>
      </c>
      <c r="M17" s="181">
        <f>毛利模拟盈亏!T17</f>
        <v>1342.74938823529</v>
      </c>
      <c r="N17" s="181">
        <f t="shared" si="5"/>
        <v>-101.000611764706</v>
      </c>
      <c r="O17" s="171"/>
      <c r="P17" s="182">
        <v>30</v>
      </c>
      <c r="Q17" s="182">
        <v>15</v>
      </c>
      <c r="R17" s="182">
        <f t="shared" si="6"/>
        <v>15</v>
      </c>
      <c r="S17" s="191">
        <f t="shared" si="2"/>
        <v>-206.25</v>
      </c>
      <c r="T17" s="191">
        <f>毛利模拟盈亏!V17</f>
        <v>5667.9</v>
      </c>
      <c r="U17" s="192">
        <f t="shared" si="7"/>
        <v>0.254723971841423</v>
      </c>
      <c r="V17" s="37"/>
      <c r="W17" s="37" t="s">
        <v>105</v>
      </c>
      <c r="X17" s="171"/>
      <c r="Y17" s="171"/>
      <c r="Z17" s="181"/>
      <c r="AA17" s="171"/>
    </row>
    <row r="18" s="21" customFormat="1" ht="25" customHeight="1" spans="1:27">
      <c r="A18" s="37"/>
      <c r="B18" s="123" t="s">
        <v>110</v>
      </c>
      <c r="C18" s="124">
        <f>价格策略模拟!B6</f>
        <v>26.99</v>
      </c>
      <c r="D18" s="125">
        <f>价格策略模拟!C6</f>
        <v>0.1</v>
      </c>
      <c r="E18" s="126">
        <f>价格策略模拟!D6</f>
        <v>0</v>
      </c>
      <c r="F18" s="170">
        <f t="shared" si="0"/>
        <v>24.291</v>
      </c>
      <c r="G18" s="171">
        <f t="shared" si="3"/>
        <v>119</v>
      </c>
      <c r="H18" s="171">
        <f t="shared" si="4"/>
        <v>105</v>
      </c>
      <c r="I18" s="171">
        <f t="shared" si="9"/>
        <v>224</v>
      </c>
      <c r="J18" s="171">
        <v>7</v>
      </c>
      <c r="K18" s="181">
        <f>CPC模拟表格!V18</f>
        <v>13.75</v>
      </c>
      <c r="L18" s="160">
        <f t="shared" si="8"/>
        <v>-1443.75</v>
      </c>
      <c r="M18" s="181">
        <f>毛利模拟盈亏!T18</f>
        <v>1432.26601411765</v>
      </c>
      <c r="N18" s="181">
        <f t="shared" si="5"/>
        <v>-11.4839858823527</v>
      </c>
      <c r="O18" s="171"/>
      <c r="P18" s="182">
        <v>32</v>
      </c>
      <c r="Q18" s="182">
        <v>15</v>
      </c>
      <c r="R18" s="182">
        <f t="shared" si="6"/>
        <v>17</v>
      </c>
      <c r="S18" s="191">
        <f t="shared" si="2"/>
        <v>-206.25</v>
      </c>
      <c r="T18" s="191">
        <f>毛利模拟盈亏!V18</f>
        <v>6045.76</v>
      </c>
      <c r="U18" s="192">
        <f t="shared" si="7"/>
        <v>0.238803723601334</v>
      </c>
      <c r="V18" s="37"/>
      <c r="W18" s="37" t="s">
        <v>105</v>
      </c>
      <c r="X18" s="171"/>
      <c r="Y18" s="171"/>
      <c r="Z18" s="181"/>
      <c r="AA18" s="171"/>
    </row>
    <row r="19" s="21" customFormat="1" ht="25" customHeight="1" spans="1:27">
      <c r="A19" s="37" t="s">
        <v>30</v>
      </c>
      <c r="B19" s="123" t="s">
        <v>111</v>
      </c>
      <c r="C19" s="124">
        <f>价格策略模拟!B7</f>
        <v>27.99</v>
      </c>
      <c r="D19" s="125">
        <f>价格策略模拟!C7</f>
        <v>0.1</v>
      </c>
      <c r="E19" s="126">
        <f>价格策略模拟!D7</f>
        <v>0</v>
      </c>
      <c r="F19" s="170">
        <f t="shared" si="0"/>
        <v>25.191</v>
      </c>
      <c r="G19" s="171">
        <f t="shared" si="3"/>
        <v>126</v>
      </c>
      <c r="H19" s="171">
        <f t="shared" si="4"/>
        <v>112</v>
      </c>
      <c r="I19" s="171">
        <f t="shared" si="9"/>
        <v>238</v>
      </c>
      <c r="J19" s="171">
        <v>7</v>
      </c>
      <c r="K19" s="181">
        <f>CPC模拟表格!V19</f>
        <v>11.1111111111111</v>
      </c>
      <c r="L19" s="160">
        <f t="shared" si="8"/>
        <v>-1244.44444444444</v>
      </c>
      <c r="M19" s="181">
        <f>毛利模拟盈亏!T19</f>
        <v>1702.71864</v>
      </c>
      <c r="N19" s="181">
        <f t="shared" si="5"/>
        <v>458.27419555556</v>
      </c>
      <c r="O19" s="171">
        <v>180</v>
      </c>
      <c r="P19" s="182">
        <v>34</v>
      </c>
      <c r="Q19" s="182">
        <v>16</v>
      </c>
      <c r="R19" s="182">
        <f t="shared" si="6"/>
        <v>18</v>
      </c>
      <c r="S19" s="191">
        <f t="shared" si="2"/>
        <v>-177.777777777778</v>
      </c>
      <c r="T19" s="191">
        <f>毛利模拟盈亏!V19</f>
        <v>6661.62</v>
      </c>
      <c r="U19" s="192">
        <f t="shared" si="7"/>
        <v>0.186808080383516</v>
      </c>
      <c r="V19" s="37"/>
      <c r="W19" s="37" t="s">
        <v>105</v>
      </c>
      <c r="X19" s="171"/>
      <c r="Y19" s="171"/>
      <c r="Z19" s="181"/>
      <c r="AA19" s="171"/>
    </row>
    <row r="20" s="21" customFormat="1" ht="25" customHeight="1" spans="1:27">
      <c r="A20" s="37"/>
      <c r="B20" s="123" t="s">
        <v>112</v>
      </c>
      <c r="C20" s="124">
        <f>价格策略模拟!B7</f>
        <v>27.99</v>
      </c>
      <c r="D20" s="125">
        <f>价格策略模拟!C7</f>
        <v>0.1</v>
      </c>
      <c r="E20" s="126">
        <f>价格策略模拟!D7</f>
        <v>0</v>
      </c>
      <c r="F20" s="170">
        <f t="shared" si="0"/>
        <v>25.191</v>
      </c>
      <c r="G20" s="171">
        <f t="shared" si="3"/>
        <v>140</v>
      </c>
      <c r="H20" s="171">
        <f t="shared" si="4"/>
        <v>112</v>
      </c>
      <c r="I20" s="171">
        <f t="shared" si="9"/>
        <v>252</v>
      </c>
      <c r="J20" s="171">
        <v>7</v>
      </c>
      <c r="K20" s="181">
        <f>CPC模拟表格!V20</f>
        <v>11.1111111111111</v>
      </c>
      <c r="L20" s="160">
        <f t="shared" si="8"/>
        <v>-1244.44444444444</v>
      </c>
      <c r="M20" s="181">
        <f>毛利模拟盈亏!T20</f>
        <v>1802.87856</v>
      </c>
      <c r="N20" s="181">
        <f t="shared" si="5"/>
        <v>558.43411555556</v>
      </c>
      <c r="O20" s="171"/>
      <c r="P20" s="182">
        <v>36</v>
      </c>
      <c r="Q20" s="182">
        <v>16</v>
      </c>
      <c r="R20" s="182">
        <f t="shared" si="6"/>
        <v>20</v>
      </c>
      <c r="S20" s="191">
        <f t="shared" si="2"/>
        <v>-177.777777777778</v>
      </c>
      <c r="T20" s="191">
        <f>毛利模拟盈亏!V20</f>
        <v>7053.48</v>
      </c>
      <c r="U20" s="192">
        <f t="shared" si="7"/>
        <v>0.176429853695543</v>
      </c>
      <c r="V20" s="37"/>
      <c r="W20" s="37" t="s">
        <v>105</v>
      </c>
      <c r="X20" s="171"/>
      <c r="Y20" s="171"/>
      <c r="Z20" s="181"/>
      <c r="AA20" s="171"/>
    </row>
    <row r="21" s="21" customFormat="1" ht="25" customHeight="1" spans="1:27">
      <c r="A21" s="37"/>
      <c r="B21" s="123" t="s">
        <v>113</v>
      </c>
      <c r="C21" s="124">
        <f>价格策略模拟!B7</f>
        <v>27.99</v>
      </c>
      <c r="D21" s="125">
        <f>价格策略模拟!C7</f>
        <v>0.1</v>
      </c>
      <c r="E21" s="126">
        <f>价格策略模拟!D7</f>
        <v>0</v>
      </c>
      <c r="F21" s="170">
        <f t="shared" si="0"/>
        <v>25.191</v>
      </c>
      <c r="G21" s="171">
        <f t="shared" si="3"/>
        <v>147</v>
      </c>
      <c r="H21" s="171">
        <f t="shared" si="4"/>
        <v>119</v>
      </c>
      <c r="I21" s="171">
        <f t="shared" si="9"/>
        <v>266</v>
      </c>
      <c r="J21" s="171">
        <v>7</v>
      </c>
      <c r="K21" s="181">
        <f>CPC模拟表格!V21</f>
        <v>11.1111111111111</v>
      </c>
      <c r="L21" s="160">
        <f t="shared" si="8"/>
        <v>-1322.22222222222</v>
      </c>
      <c r="M21" s="181">
        <f>毛利模拟盈亏!T21</f>
        <v>1903.03848</v>
      </c>
      <c r="N21" s="181">
        <f t="shared" si="5"/>
        <v>580.81625777778</v>
      </c>
      <c r="O21" s="171"/>
      <c r="P21" s="182">
        <v>38</v>
      </c>
      <c r="Q21" s="182">
        <v>17</v>
      </c>
      <c r="R21" s="182">
        <f t="shared" si="6"/>
        <v>21</v>
      </c>
      <c r="S21" s="191">
        <f t="shared" si="2"/>
        <v>-188.888888888889</v>
      </c>
      <c r="T21" s="191">
        <f>毛利模拟盈亏!V21</f>
        <v>7445.34</v>
      </c>
      <c r="U21" s="192">
        <f t="shared" si="7"/>
        <v>0.177590576417225</v>
      </c>
      <c r="V21" s="37"/>
      <c r="W21" s="37" t="s">
        <v>105</v>
      </c>
      <c r="X21" s="171"/>
      <c r="Y21" s="171"/>
      <c r="Z21" s="181"/>
      <c r="AA21" s="171"/>
    </row>
    <row r="22" s="21" customFormat="1" ht="25" customHeight="1" spans="1:27">
      <c r="A22" s="37"/>
      <c r="B22" s="123" t="s">
        <v>114</v>
      </c>
      <c r="C22" s="124">
        <f>价格策略模拟!B7</f>
        <v>27.99</v>
      </c>
      <c r="D22" s="125">
        <f>价格策略模拟!C7</f>
        <v>0.1</v>
      </c>
      <c r="E22" s="126">
        <f>价格策略模拟!D7</f>
        <v>0</v>
      </c>
      <c r="F22" s="170">
        <f t="shared" si="0"/>
        <v>25.191</v>
      </c>
      <c r="G22" s="171">
        <f t="shared" si="3"/>
        <v>161</v>
      </c>
      <c r="H22" s="171">
        <f t="shared" si="4"/>
        <v>119</v>
      </c>
      <c r="I22" s="171">
        <f t="shared" si="9"/>
        <v>280</v>
      </c>
      <c r="J22" s="171">
        <v>7</v>
      </c>
      <c r="K22" s="181">
        <f>CPC模拟表格!V22</f>
        <v>11.1111111111111</v>
      </c>
      <c r="L22" s="160">
        <f t="shared" si="8"/>
        <v>-1322.22222222222</v>
      </c>
      <c r="M22" s="181">
        <f>毛利模拟盈亏!T22</f>
        <v>2003.1984</v>
      </c>
      <c r="N22" s="181">
        <f t="shared" si="5"/>
        <v>680.97617777778</v>
      </c>
      <c r="O22" s="171"/>
      <c r="P22" s="182">
        <v>40</v>
      </c>
      <c r="Q22" s="182">
        <v>17</v>
      </c>
      <c r="R22" s="182">
        <f t="shared" si="6"/>
        <v>23</v>
      </c>
      <c r="S22" s="191">
        <f t="shared" si="2"/>
        <v>-188.888888888889</v>
      </c>
      <c r="T22" s="191">
        <f>毛利模拟盈亏!V22</f>
        <v>7837.2</v>
      </c>
      <c r="U22" s="192">
        <f t="shared" si="7"/>
        <v>0.168711047596363</v>
      </c>
      <c r="V22" s="37"/>
      <c r="W22" s="37" t="s">
        <v>105</v>
      </c>
      <c r="X22" s="171"/>
      <c r="Y22" s="171"/>
      <c r="Z22" s="181"/>
      <c r="AA22" s="171"/>
    </row>
    <row r="23" s="21" customFormat="1" ht="25" customHeight="1" spans="1:27">
      <c r="A23" s="37" t="s">
        <v>32</v>
      </c>
      <c r="B23" s="123" t="s">
        <v>115</v>
      </c>
      <c r="C23" s="124">
        <f>价格策略模拟!B8</f>
        <v>27.99</v>
      </c>
      <c r="D23" s="125">
        <f>价格策略模拟!C8</f>
        <v>0.1</v>
      </c>
      <c r="E23" s="126">
        <f>价格策略模拟!D8</f>
        <v>0</v>
      </c>
      <c r="F23" s="170">
        <f t="shared" si="0"/>
        <v>25.191</v>
      </c>
      <c r="G23" s="171">
        <f t="shared" si="3"/>
        <v>168</v>
      </c>
      <c r="H23" s="171">
        <f t="shared" si="4"/>
        <v>126</v>
      </c>
      <c r="I23" s="171">
        <f t="shared" si="9"/>
        <v>294</v>
      </c>
      <c r="J23" s="171">
        <v>7</v>
      </c>
      <c r="K23" s="181">
        <f>CPC模拟表格!V23</f>
        <v>9</v>
      </c>
      <c r="L23" s="160">
        <f t="shared" si="8"/>
        <v>-1134</v>
      </c>
      <c r="M23" s="181">
        <f>毛利模拟盈亏!T23</f>
        <v>2279.75832</v>
      </c>
      <c r="N23" s="181">
        <f t="shared" si="5"/>
        <v>1145.75832</v>
      </c>
      <c r="O23" s="171">
        <v>250</v>
      </c>
      <c r="P23" s="182">
        <v>42</v>
      </c>
      <c r="Q23" s="182">
        <v>18</v>
      </c>
      <c r="R23" s="182">
        <f t="shared" si="6"/>
        <v>24</v>
      </c>
      <c r="S23" s="191">
        <f t="shared" si="2"/>
        <v>-162</v>
      </c>
      <c r="T23" s="191">
        <f>毛利模拟盈亏!V23</f>
        <v>8229.06</v>
      </c>
      <c r="U23" s="192">
        <f t="shared" si="7"/>
        <v>0.137804317868627</v>
      </c>
      <c r="V23" s="37"/>
      <c r="W23" s="37" t="s">
        <v>105</v>
      </c>
      <c r="X23" s="171"/>
      <c r="Y23" s="171"/>
      <c r="Z23" s="181"/>
      <c r="AA23" s="171"/>
    </row>
    <row r="24" s="21" customFormat="1" ht="25" customHeight="1" spans="1:27">
      <c r="A24" s="37"/>
      <c r="B24" s="123" t="s">
        <v>116</v>
      </c>
      <c r="C24" s="124">
        <f>价格策略模拟!B8</f>
        <v>27.99</v>
      </c>
      <c r="D24" s="125">
        <f>价格策略模拟!C8</f>
        <v>0.1</v>
      </c>
      <c r="E24" s="126">
        <f>价格策略模拟!D8</f>
        <v>0</v>
      </c>
      <c r="F24" s="170">
        <f t="shared" si="0"/>
        <v>25.191</v>
      </c>
      <c r="G24" s="171">
        <f t="shared" si="3"/>
        <v>182</v>
      </c>
      <c r="H24" s="171">
        <f t="shared" si="4"/>
        <v>126</v>
      </c>
      <c r="I24" s="171">
        <f t="shared" si="9"/>
        <v>308</v>
      </c>
      <c r="J24" s="171">
        <v>7</v>
      </c>
      <c r="K24" s="181">
        <f>CPC模拟表格!V24</f>
        <v>9</v>
      </c>
      <c r="L24" s="160">
        <f t="shared" si="8"/>
        <v>-1134</v>
      </c>
      <c r="M24" s="181">
        <f>毛利模拟盈亏!T24</f>
        <v>2388.31824</v>
      </c>
      <c r="N24" s="181">
        <f t="shared" si="5"/>
        <v>1254.31824</v>
      </c>
      <c r="O24" s="171"/>
      <c r="P24" s="182">
        <v>44</v>
      </c>
      <c r="Q24" s="182">
        <v>18</v>
      </c>
      <c r="R24" s="182">
        <f t="shared" si="6"/>
        <v>26</v>
      </c>
      <c r="S24" s="191">
        <f t="shared" si="2"/>
        <v>-162</v>
      </c>
      <c r="T24" s="191">
        <f>毛利模拟盈亏!V24</f>
        <v>8620.92</v>
      </c>
      <c r="U24" s="192">
        <f t="shared" si="7"/>
        <v>0.131540485238234</v>
      </c>
      <c r="V24" s="37"/>
      <c r="W24" s="37" t="s">
        <v>105</v>
      </c>
      <c r="X24" s="171"/>
      <c r="Y24" s="171"/>
      <c r="Z24" s="181"/>
      <c r="AA24" s="171"/>
    </row>
    <row r="25" s="21" customFormat="1" ht="25" customHeight="1" spans="1:27">
      <c r="A25" s="37"/>
      <c r="B25" s="123" t="s">
        <v>117</v>
      </c>
      <c r="C25" s="124">
        <f>价格策略模拟!B8</f>
        <v>27.99</v>
      </c>
      <c r="D25" s="125">
        <f>价格策略模拟!C8</f>
        <v>0.1</v>
      </c>
      <c r="E25" s="126">
        <f>价格策略模拟!D8</f>
        <v>0</v>
      </c>
      <c r="F25" s="170">
        <f t="shared" si="0"/>
        <v>25.191</v>
      </c>
      <c r="G25" s="171">
        <f t="shared" si="3"/>
        <v>189</v>
      </c>
      <c r="H25" s="171">
        <f t="shared" si="4"/>
        <v>133</v>
      </c>
      <c r="I25" s="171">
        <f t="shared" si="9"/>
        <v>322</v>
      </c>
      <c r="J25" s="171">
        <v>7</v>
      </c>
      <c r="K25" s="181">
        <f>CPC模拟表格!V25</f>
        <v>9</v>
      </c>
      <c r="L25" s="160">
        <f t="shared" si="8"/>
        <v>-1197</v>
      </c>
      <c r="M25" s="181">
        <f>毛利模拟盈亏!T25</f>
        <v>2496.87816</v>
      </c>
      <c r="N25" s="181">
        <f t="shared" si="5"/>
        <v>1299.87816</v>
      </c>
      <c r="O25" s="171"/>
      <c r="P25" s="182">
        <v>46</v>
      </c>
      <c r="Q25" s="182">
        <v>19</v>
      </c>
      <c r="R25" s="182">
        <f t="shared" si="6"/>
        <v>27</v>
      </c>
      <c r="S25" s="191">
        <f t="shared" si="2"/>
        <v>-171</v>
      </c>
      <c r="T25" s="191">
        <f>毛利模拟盈亏!V25</f>
        <v>9012.78</v>
      </c>
      <c r="U25" s="192">
        <f t="shared" si="7"/>
        <v>0.132811407800923</v>
      </c>
      <c r="V25" s="37"/>
      <c r="W25" s="37" t="s">
        <v>105</v>
      </c>
      <c r="X25" s="171"/>
      <c r="Y25" s="171"/>
      <c r="Z25" s="181"/>
      <c r="AA25" s="171"/>
    </row>
    <row r="26" s="21" customFormat="1" ht="25" customHeight="1" spans="1:27">
      <c r="A26" s="37"/>
      <c r="B26" s="123" t="s">
        <v>118</v>
      </c>
      <c r="C26" s="124">
        <f>价格策略模拟!B8</f>
        <v>27.99</v>
      </c>
      <c r="D26" s="125">
        <f>价格策略模拟!C8</f>
        <v>0.1</v>
      </c>
      <c r="E26" s="126">
        <f>价格策略模拟!D8</f>
        <v>0</v>
      </c>
      <c r="F26" s="170">
        <f t="shared" si="0"/>
        <v>25.191</v>
      </c>
      <c r="G26" s="171">
        <f t="shared" si="3"/>
        <v>203</v>
      </c>
      <c r="H26" s="171">
        <f t="shared" si="4"/>
        <v>133</v>
      </c>
      <c r="I26" s="171">
        <f t="shared" si="9"/>
        <v>336</v>
      </c>
      <c r="J26" s="171">
        <v>7</v>
      </c>
      <c r="K26" s="181">
        <f>CPC模拟表格!V26</f>
        <v>9</v>
      </c>
      <c r="L26" s="160">
        <f t="shared" si="8"/>
        <v>-1197</v>
      </c>
      <c r="M26" s="181">
        <f>毛利模拟盈亏!T26</f>
        <v>2605.43808</v>
      </c>
      <c r="N26" s="181">
        <f t="shared" si="5"/>
        <v>1408.43808</v>
      </c>
      <c r="O26" s="171"/>
      <c r="P26" s="182">
        <v>48</v>
      </c>
      <c r="Q26" s="182">
        <v>19</v>
      </c>
      <c r="R26" s="182">
        <f t="shared" si="6"/>
        <v>29</v>
      </c>
      <c r="S26" s="191">
        <f t="shared" si="2"/>
        <v>-171</v>
      </c>
      <c r="T26" s="191">
        <f>毛利模拟盈亏!V26</f>
        <v>9404.64</v>
      </c>
      <c r="U26" s="192">
        <f t="shared" si="7"/>
        <v>0.127277599142551</v>
      </c>
      <c r="V26" s="37"/>
      <c r="W26" s="37" t="s">
        <v>105</v>
      </c>
      <c r="X26" s="171"/>
      <c r="Y26" s="171"/>
      <c r="Z26" s="181"/>
      <c r="AA26" s="171"/>
    </row>
    <row r="27" ht="30" customHeight="1"/>
    <row r="28" ht="30" customHeight="1" spans="1:27">
      <c r="A28" s="118" t="s">
        <v>119</v>
      </c>
      <c r="B28" s="172"/>
      <c r="C28" s="172"/>
      <c r="D28" s="172"/>
      <c r="E28" s="172"/>
      <c r="F28" s="173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94"/>
      <c r="V28" s="172"/>
      <c r="W28" s="172"/>
      <c r="X28" s="172"/>
      <c r="Y28" s="172"/>
      <c r="Z28" s="172"/>
      <c r="AA28" s="172"/>
    </row>
    <row r="29" s="21" customFormat="1" ht="25" customHeight="1" spans="1:27">
      <c r="A29" s="130" t="s">
        <v>22</v>
      </c>
      <c r="B29" s="35" t="s">
        <v>84</v>
      </c>
      <c r="C29" s="131"/>
      <c r="D29" s="132"/>
      <c r="E29" s="133"/>
      <c r="F29" s="174"/>
      <c r="G29" s="175"/>
      <c r="H29" s="175"/>
      <c r="I29" s="175"/>
      <c r="J29" s="175"/>
      <c r="K29" s="184"/>
      <c r="L29" s="185"/>
      <c r="M29" s="186"/>
      <c r="N29" s="185"/>
      <c r="O29" s="175"/>
      <c r="P29" s="187"/>
      <c r="Q29" s="187"/>
      <c r="R29" s="187"/>
      <c r="S29" s="195"/>
      <c r="T29" s="195"/>
      <c r="U29" s="196"/>
      <c r="V29" s="130"/>
      <c r="W29" s="130"/>
      <c r="X29" s="175"/>
      <c r="Y29" s="175"/>
      <c r="Z29" s="186"/>
      <c r="AA29" s="175"/>
    </row>
    <row r="30" s="21" customFormat="1" ht="25" customHeight="1" spans="1:27">
      <c r="A30" s="37"/>
      <c r="B30" s="123" t="s">
        <v>86</v>
      </c>
      <c r="C30" s="124"/>
      <c r="D30" s="125"/>
      <c r="E30" s="126"/>
      <c r="F30" s="33"/>
      <c r="G30" s="171"/>
      <c r="H30" s="171"/>
      <c r="I30" s="171"/>
      <c r="J30" s="171"/>
      <c r="K30" s="180"/>
      <c r="L30" s="160"/>
      <c r="M30" s="181"/>
      <c r="N30" s="160"/>
      <c r="O30" s="171"/>
      <c r="P30" s="182"/>
      <c r="Q30" s="182"/>
      <c r="R30" s="182"/>
      <c r="S30" s="191"/>
      <c r="T30" s="191"/>
      <c r="U30" s="192"/>
      <c r="V30" s="37"/>
      <c r="W30" s="37"/>
      <c r="X30" s="171"/>
      <c r="Y30" s="171"/>
      <c r="Z30" s="181"/>
      <c r="AA30" s="171"/>
    </row>
    <row r="31" s="21" customFormat="1" ht="25" customHeight="1" spans="1:27">
      <c r="A31" s="37"/>
      <c r="B31" s="123" t="s">
        <v>88</v>
      </c>
      <c r="C31" s="124"/>
      <c r="D31" s="125"/>
      <c r="E31" s="126"/>
      <c r="F31" s="33"/>
      <c r="G31" s="171"/>
      <c r="H31" s="171"/>
      <c r="I31" s="171"/>
      <c r="J31" s="171"/>
      <c r="K31" s="180"/>
      <c r="L31" s="160"/>
      <c r="M31" s="181"/>
      <c r="N31" s="160"/>
      <c r="O31" s="171"/>
      <c r="P31" s="182"/>
      <c r="Q31" s="182"/>
      <c r="R31" s="182"/>
      <c r="S31" s="191"/>
      <c r="T31" s="191"/>
      <c r="U31" s="192"/>
      <c r="V31" s="37"/>
      <c r="W31" s="37"/>
      <c r="X31" s="171"/>
      <c r="Y31" s="171"/>
      <c r="Z31" s="181"/>
      <c r="AA31" s="171"/>
    </row>
    <row r="32" s="21" customFormat="1" ht="25" customHeight="1" spans="1:27">
      <c r="A32" s="37"/>
      <c r="B32" s="123" t="s">
        <v>90</v>
      </c>
      <c r="C32" s="124"/>
      <c r="D32" s="125"/>
      <c r="E32" s="126"/>
      <c r="F32" s="33"/>
      <c r="G32" s="171"/>
      <c r="H32" s="171"/>
      <c r="I32" s="171"/>
      <c r="J32" s="171"/>
      <c r="K32" s="180"/>
      <c r="L32" s="160"/>
      <c r="M32" s="181"/>
      <c r="N32" s="160"/>
      <c r="O32" s="171"/>
      <c r="P32" s="182"/>
      <c r="Q32" s="182"/>
      <c r="R32" s="182"/>
      <c r="S32" s="191"/>
      <c r="T32" s="191"/>
      <c r="U32" s="192"/>
      <c r="V32" s="37"/>
      <c r="W32" s="37"/>
      <c r="X32" s="171"/>
      <c r="Y32" s="171"/>
      <c r="Z32" s="181"/>
      <c r="AA32" s="171"/>
    </row>
    <row r="33" s="21" customFormat="1" ht="25" customHeight="1" spans="1:27">
      <c r="A33" s="37" t="s">
        <v>24</v>
      </c>
      <c r="B33" s="123" t="s">
        <v>92</v>
      </c>
      <c r="C33" s="124"/>
      <c r="D33" s="125"/>
      <c r="E33" s="126"/>
      <c r="F33" s="33"/>
      <c r="G33" s="171"/>
      <c r="H33" s="171"/>
      <c r="I33" s="31"/>
      <c r="J33" s="31"/>
      <c r="K33" s="180"/>
      <c r="L33" s="180"/>
      <c r="M33" s="181"/>
      <c r="N33" s="160"/>
      <c r="O33" s="171"/>
      <c r="P33" s="183"/>
      <c r="Q33" s="183"/>
      <c r="R33" s="183"/>
      <c r="S33" s="193"/>
      <c r="T33" s="193"/>
      <c r="U33" s="197"/>
      <c r="V33" s="37"/>
      <c r="W33" s="37"/>
      <c r="X33" s="171"/>
      <c r="Y33" s="171"/>
      <c r="Z33" s="181"/>
      <c r="AA33" s="171"/>
    </row>
    <row r="34" s="21" customFormat="1" ht="25" customHeight="1" spans="1:27">
      <c r="A34" s="37"/>
      <c r="B34" s="123" t="s">
        <v>94</v>
      </c>
      <c r="C34" s="124"/>
      <c r="D34" s="125"/>
      <c r="E34" s="126"/>
      <c r="F34" s="33"/>
      <c r="G34" s="171"/>
      <c r="H34" s="171"/>
      <c r="I34" s="171"/>
      <c r="J34" s="171"/>
      <c r="K34" s="181"/>
      <c r="L34" s="160"/>
      <c r="M34" s="181"/>
      <c r="N34" s="160"/>
      <c r="O34" s="171"/>
      <c r="P34" s="182"/>
      <c r="Q34" s="182"/>
      <c r="R34" s="182"/>
      <c r="S34" s="191"/>
      <c r="T34" s="191"/>
      <c r="U34" s="192"/>
      <c r="V34" s="37"/>
      <c r="W34" s="31"/>
      <c r="X34" s="171"/>
      <c r="Y34" s="171"/>
      <c r="Z34" s="181"/>
      <c r="AA34" s="171"/>
    </row>
    <row r="35" s="21" customFormat="1" ht="25" customHeight="1" spans="1:27">
      <c r="A35" s="37"/>
      <c r="B35" s="123" t="s">
        <v>96</v>
      </c>
      <c r="C35" s="124"/>
      <c r="D35" s="125"/>
      <c r="E35" s="126"/>
      <c r="F35" s="33"/>
      <c r="G35" s="171"/>
      <c r="H35" s="171"/>
      <c r="I35" s="171"/>
      <c r="J35" s="171"/>
      <c r="K35" s="181"/>
      <c r="L35" s="160"/>
      <c r="M35" s="181"/>
      <c r="N35" s="160"/>
      <c r="O35" s="171"/>
      <c r="P35" s="182"/>
      <c r="Q35" s="182"/>
      <c r="R35" s="182"/>
      <c r="S35" s="191"/>
      <c r="T35" s="191"/>
      <c r="U35" s="192"/>
      <c r="V35" s="37"/>
      <c r="W35" s="37"/>
      <c r="X35" s="171"/>
      <c r="Y35" s="171"/>
      <c r="Z35" s="181"/>
      <c r="AA35" s="171"/>
    </row>
    <row r="36" s="21" customFormat="1" ht="25" customHeight="1" spans="1:27">
      <c r="A36" s="37"/>
      <c r="B36" s="123" t="s">
        <v>98</v>
      </c>
      <c r="C36" s="124"/>
      <c r="D36" s="125"/>
      <c r="E36" s="126"/>
      <c r="F36" s="33"/>
      <c r="G36" s="171"/>
      <c r="H36" s="171"/>
      <c r="I36" s="171"/>
      <c r="J36" s="171"/>
      <c r="K36" s="181"/>
      <c r="L36" s="160"/>
      <c r="M36" s="181"/>
      <c r="N36" s="160"/>
      <c r="O36" s="171"/>
      <c r="P36" s="182"/>
      <c r="Q36" s="182"/>
      <c r="R36" s="182"/>
      <c r="S36" s="191"/>
      <c r="T36" s="191"/>
      <c r="U36" s="192"/>
      <c r="V36" s="37"/>
      <c r="W36" s="37"/>
      <c r="X36" s="171"/>
      <c r="Y36" s="171"/>
      <c r="Z36" s="181"/>
      <c r="AA36" s="171"/>
    </row>
    <row r="37" s="50" customFormat="1" ht="25" customHeight="1" spans="1:27">
      <c r="A37" s="37" t="s">
        <v>26</v>
      </c>
      <c r="B37" s="123" t="s">
        <v>100</v>
      </c>
      <c r="C37" s="124"/>
      <c r="D37" s="125"/>
      <c r="E37" s="126"/>
      <c r="F37" s="33"/>
      <c r="G37" s="171"/>
      <c r="H37" s="171"/>
      <c r="I37" s="37"/>
      <c r="J37" s="37"/>
      <c r="K37" s="160"/>
      <c r="L37" s="160"/>
      <c r="M37" s="160"/>
      <c r="N37" s="160"/>
      <c r="O37" s="171"/>
      <c r="P37" s="156"/>
      <c r="Q37" s="156"/>
      <c r="R37" s="156"/>
      <c r="S37" s="155"/>
      <c r="T37" s="155"/>
      <c r="U37" s="159"/>
      <c r="V37" s="37"/>
      <c r="W37" s="37"/>
      <c r="X37" s="37"/>
      <c r="Y37" s="37"/>
      <c r="Z37" s="160"/>
      <c r="AA37" s="37"/>
    </row>
    <row r="38" s="21" customFormat="1" ht="25" customHeight="1" spans="1:27">
      <c r="A38" s="37"/>
      <c r="B38" s="123" t="s">
        <v>102</v>
      </c>
      <c r="C38" s="124"/>
      <c r="D38" s="125"/>
      <c r="E38" s="126"/>
      <c r="F38" s="33"/>
      <c r="G38" s="171"/>
      <c r="H38" s="171"/>
      <c r="I38" s="171"/>
      <c r="J38" s="171"/>
      <c r="K38" s="181"/>
      <c r="L38" s="181"/>
      <c r="M38" s="181"/>
      <c r="N38" s="181"/>
      <c r="O38" s="171"/>
      <c r="P38" s="182"/>
      <c r="Q38" s="182"/>
      <c r="R38" s="182"/>
      <c r="S38" s="191"/>
      <c r="T38" s="191"/>
      <c r="U38" s="192"/>
      <c r="V38" s="37"/>
      <c r="W38" s="37"/>
      <c r="X38" s="171"/>
      <c r="Y38" s="171"/>
      <c r="Z38" s="181"/>
      <c r="AA38" s="171"/>
    </row>
    <row r="39" s="21" customFormat="1" ht="25" customHeight="1" spans="1:27">
      <c r="A39" s="37"/>
      <c r="B39" s="123" t="s">
        <v>104</v>
      </c>
      <c r="C39" s="124"/>
      <c r="D39" s="125"/>
      <c r="E39" s="126"/>
      <c r="F39" s="33"/>
      <c r="G39" s="171"/>
      <c r="H39" s="171"/>
      <c r="I39" s="171"/>
      <c r="J39" s="171"/>
      <c r="K39" s="181"/>
      <c r="L39" s="160"/>
      <c r="M39" s="181"/>
      <c r="N39" s="181"/>
      <c r="O39" s="171"/>
      <c r="P39" s="182"/>
      <c r="Q39" s="182"/>
      <c r="R39" s="182"/>
      <c r="S39" s="191"/>
      <c r="T39" s="191"/>
      <c r="U39" s="192"/>
      <c r="V39" s="37"/>
      <c r="W39" s="37"/>
      <c r="X39" s="171"/>
      <c r="Y39" s="171"/>
      <c r="Z39" s="181"/>
      <c r="AA39" s="171"/>
    </row>
    <row r="40" s="21" customFormat="1" ht="25" customHeight="1" spans="1:27">
      <c r="A40" s="37"/>
      <c r="B40" s="123" t="s">
        <v>106</v>
      </c>
      <c r="C40" s="124"/>
      <c r="D40" s="125"/>
      <c r="E40" s="126"/>
      <c r="F40" s="33"/>
      <c r="G40" s="171"/>
      <c r="H40" s="171"/>
      <c r="I40" s="171"/>
      <c r="J40" s="171"/>
      <c r="K40" s="181"/>
      <c r="L40" s="160"/>
      <c r="M40" s="181"/>
      <c r="N40" s="181"/>
      <c r="O40" s="171"/>
      <c r="P40" s="182"/>
      <c r="Q40" s="182"/>
      <c r="R40" s="182"/>
      <c r="S40" s="191"/>
      <c r="T40" s="191"/>
      <c r="U40" s="192"/>
      <c r="V40" s="37"/>
      <c r="W40" s="37"/>
      <c r="X40" s="171"/>
      <c r="Y40" s="171"/>
      <c r="Z40" s="181"/>
      <c r="AA40" s="171"/>
    </row>
    <row r="41" s="21" customFormat="1" ht="25" customHeight="1" spans="1:27">
      <c r="A41" s="37" t="s">
        <v>28</v>
      </c>
      <c r="B41" s="123" t="s">
        <v>107</v>
      </c>
      <c r="C41" s="124"/>
      <c r="D41" s="125"/>
      <c r="E41" s="126"/>
      <c r="F41" s="33"/>
      <c r="G41" s="171"/>
      <c r="H41" s="171"/>
      <c r="I41" s="171"/>
      <c r="J41" s="171"/>
      <c r="K41" s="181"/>
      <c r="L41" s="160"/>
      <c r="M41" s="181"/>
      <c r="N41" s="181"/>
      <c r="O41" s="171"/>
      <c r="P41" s="182"/>
      <c r="Q41" s="182"/>
      <c r="R41" s="182"/>
      <c r="S41" s="191"/>
      <c r="T41" s="191"/>
      <c r="U41" s="192"/>
      <c r="V41" s="37"/>
      <c r="W41" s="37"/>
      <c r="X41" s="171"/>
      <c r="Y41" s="171"/>
      <c r="Z41" s="181"/>
      <c r="AA41" s="171"/>
    </row>
    <row r="42" s="21" customFormat="1" ht="25" customHeight="1" spans="1:27">
      <c r="A42" s="37"/>
      <c r="B42" s="123" t="s">
        <v>108</v>
      </c>
      <c r="C42" s="124"/>
      <c r="D42" s="125"/>
      <c r="E42" s="126"/>
      <c r="F42" s="33"/>
      <c r="G42" s="171"/>
      <c r="H42" s="171"/>
      <c r="I42" s="171"/>
      <c r="J42" s="171"/>
      <c r="K42" s="181"/>
      <c r="L42" s="160"/>
      <c r="M42" s="181"/>
      <c r="N42" s="181"/>
      <c r="O42" s="171"/>
      <c r="P42" s="182"/>
      <c r="Q42" s="182"/>
      <c r="R42" s="182"/>
      <c r="S42" s="191"/>
      <c r="T42" s="191"/>
      <c r="U42" s="192"/>
      <c r="V42" s="37"/>
      <c r="W42" s="37"/>
      <c r="X42" s="171"/>
      <c r="Y42" s="171"/>
      <c r="Z42" s="181"/>
      <c r="AA42" s="171"/>
    </row>
    <row r="43" s="21" customFormat="1" ht="25" customHeight="1" spans="1:27">
      <c r="A43" s="37"/>
      <c r="B43" s="123" t="s">
        <v>109</v>
      </c>
      <c r="C43" s="124"/>
      <c r="D43" s="125"/>
      <c r="E43" s="126"/>
      <c r="F43" s="33"/>
      <c r="G43" s="171"/>
      <c r="H43" s="171"/>
      <c r="I43" s="171"/>
      <c r="J43" s="171"/>
      <c r="K43" s="181"/>
      <c r="L43" s="160"/>
      <c r="M43" s="181"/>
      <c r="N43" s="181"/>
      <c r="O43" s="171"/>
      <c r="P43" s="182"/>
      <c r="Q43" s="182"/>
      <c r="R43" s="182"/>
      <c r="S43" s="191"/>
      <c r="T43" s="191"/>
      <c r="U43" s="192"/>
      <c r="V43" s="37"/>
      <c r="W43" s="37"/>
      <c r="X43" s="171"/>
      <c r="Y43" s="171"/>
      <c r="Z43" s="181"/>
      <c r="AA43" s="171"/>
    </row>
    <row r="44" s="21" customFormat="1" ht="25" customHeight="1" spans="1:27">
      <c r="A44" s="37"/>
      <c r="B44" s="123" t="s">
        <v>110</v>
      </c>
      <c r="C44" s="124"/>
      <c r="D44" s="125"/>
      <c r="E44" s="126"/>
      <c r="F44" s="33"/>
      <c r="G44" s="171"/>
      <c r="H44" s="171"/>
      <c r="I44" s="171"/>
      <c r="J44" s="171"/>
      <c r="K44" s="181"/>
      <c r="L44" s="160"/>
      <c r="M44" s="181"/>
      <c r="N44" s="181"/>
      <c r="O44" s="171"/>
      <c r="P44" s="182"/>
      <c r="Q44" s="182"/>
      <c r="R44" s="182"/>
      <c r="S44" s="191"/>
      <c r="T44" s="191"/>
      <c r="U44" s="192"/>
      <c r="V44" s="37"/>
      <c r="W44" s="37"/>
      <c r="X44" s="171"/>
      <c r="Y44" s="171"/>
      <c r="Z44" s="181"/>
      <c r="AA44" s="171"/>
    </row>
    <row r="45" s="21" customFormat="1" ht="25" customHeight="1" spans="1:27">
      <c r="A45" s="37" t="s">
        <v>30</v>
      </c>
      <c r="B45" s="123" t="s">
        <v>111</v>
      </c>
      <c r="C45" s="124"/>
      <c r="D45" s="125"/>
      <c r="E45" s="126"/>
      <c r="F45" s="33"/>
      <c r="G45" s="171"/>
      <c r="H45" s="171"/>
      <c r="I45" s="171"/>
      <c r="J45" s="171"/>
      <c r="K45" s="181"/>
      <c r="L45" s="160"/>
      <c r="M45" s="181"/>
      <c r="N45" s="181"/>
      <c r="O45" s="171"/>
      <c r="P45" s="182"/>
      <c r="Q45" s="182"/>
      <c r="R45" s="182"/>
      <c r="S45" s="191"/>
      <c r="T45" s="191"/>
      <c r="U45" s="192"/>
      <c r="V45" s="37"/>
      <c r="W45" s="37"/>
      <c r="X45" s="171"/>
      <c r="Y45" s="171"/>
      <c r="Z45" s="181"/>
      <c r="AA45" s="171"/>
    </row>
    <row r="46" s="21" customFormat="1" ht="25" customHeight="1" spans="1:27">
      <c r="A46" s="37"/>
      <c r="B46" s="123" t="s">
        <v>112</v>
      </c>
      <c r="C46" s="124"/>
      <c r="D46" s="125"/>
      <c r="E46" s="126"/>
      <c r="F46" s="33"/>
      <c r="G46" s="171"/>
      <c r="H46" s="171"/>
      <c r="I46" s="171"/>
      <c r="J46" s="171"/>
      <c r="K46" s="181"/>
      <c r="L46" s="160"/>
      <c r="M46" s="181"/>
      <c r="N46" s="181"/>
      <c r="O46" s="171"/>
      <c r="P46" s="182"/>
      <c r="Q46" s="182"/>
      <c r="R46" s="182"/>
      <c r="S46" s="191"/>
      <c r="T46" s="191"/>
      <c r="U46" s="192"/>
      <c r="V46" s="37"/>
      <c r="W46" s="37"/>
      <c r="X46" s="171"/>
      <c r="Y46" s="171"/>
      <c r="Z46" s="181"/>
      <c r="AA46" s="171"/>
    </row>
    <row r="47" s="21" customFormat="1" ht="25" customHeight="1" spans="1:27">
      <c r="A47" s="37"/>
      <c r="B47" s="123" t="s">
        <v>113</v>
      </c>
      <c r="C47" s="124"/>
      <c r="D47" s="125"/>
      <c r="E47" s="126"/>
      <c r="F47" s="33"/>
      <c r="G47" s="171"/>
      <c r="H47" s="171"/>
      <c r="I47" s="171"/>
      <c r="J47" s="171"/>
      <c r="K47" s="181"/>
      <c r="L47" s="160"/>
      <c r="M47" s="181"/>
      <c r="N47" s="181"/>
      <c r="O47" s="171"/>
      <c r="P47" s="182"/>
      <c r="Q47" s="182"/>
      <c r="R47" s="182"/>
      <c r="S47" s="191"/>
      <c r="T47" s="191"/>
      <c r="U47" s="192"/>
      <c r="V47" s="37"/>
      <c r="W47" s="37"/>
      <c r="X47" s="171"/>
      <c r="Y47" s="171"/>
      <c r="Z47" s="181"/>
      <c r="AA47" s="171"/>
    </row>
    <row r="48" s="21" customFormat="1" ht="25" customHeight="1" spans="1:27">
      <c r="A48" s="37"/>
      <c r="B48" s="123" t="s">
        <v>114</v>
      </c>
      <c r="C48" s="124"/>
      <c r="D48" s="125"/>
      <c r="E48" s="126"/>
      <c r="F48" s="33"/>
      <c r="G48" s="171"/>
      <c r="H48" s="171"/>
      <c r="I48" s="171"/>
      <c r="J48" s="171"/>
      <c r="K48" s="181"/>
      <c r="L48" s="160"/>
      <c r="M48" s="181"/>
      <c r="N48" s="181"/>
      <c r="O48" s="171"/>
      <c r="P48" s="182"/>
      <c r="Q48" s="182"/>
      <c r="R48" s="182"/>
      <c r="S48" s="191"/>
      <c r="T48" s="191"/>
      <c r="U48" s="192"/>
      <c r="V48" s="37"/>
      <c r="W48" s="37"/>
      <c r="X48" s="171"/>
      <c r="Y48" s="171"/>
      <c r="Z48" s="181"/>
      <c r="AA48" s="171"/>
    </row>
    <row r="49" s="21" customFormat="1" ht="25" customHeight="1" spans="1:27">
      <c r="A49" s="37" t="s">
        <v>32</v>
      </c>
      <c r="B49" s="123" t="s">
        <v>115</v>
      </c>
      <c r="C49" s="124"/>
      <c r="D49" s="125"/>
      <c r="E49" s="126"/>
      <c r="F49" s="33"/>
      <c r="G49" s="171"/>
      <c r="H49" s="171"/>
      <c r="I49" s="171"/>
      <c r="J49" s="171"/>
      <c r="K49" s="181"/>
      <c r="L49" s="160"/>
      <c r="M49" s="181"/>
      <c r="N49" s="181"/>
      <c r="O49" s="171"/>
      <c r="P49" s="182"/>
      <c r="Q49" s="182"/>
      <c r="R49" s="182"/>
      <c r="S49" s="191"/>
      <c r="T49" s="191"/>
      <c r="U49" s="192"/>
      <c r="V49" s="37"/>
      <c r="W49" s="37"/>
      <c r="X49" s="171"/>
      <c r="Y49" s="171"/>
      <c r="Z49" s="181"/>
      <c r="AA49" s="171"/>
    </row>
    <row r="50" s="21" customFormat="1" ht="25" customHeight="1" spans="1:27">
      <c r="A50" s="37"/>
      <c r="B50" s="123" t="s">
        <v>116</v>
      </c>
      <c r="C50" s="124"/>
      <c r="D50" s="125"/>
      <c r="E50" s="126"/>
      <c r="F50" s="33"/>
      <c r="G50" s="171"/>
      <c r="H50" s="171"/>
      <c r="I50" s="171"/>
      <c r="J50" s="171"/>
      <c r="K50" s="181"/>
      <c r="L50" s="160"/>
      <c r="M50" s="181"/>
      <c r="N50" s="181"/>
      <c r="O50" s="171"/>
      <c r="P50" s="182"/>
      <c r="Q50" s="182"/>
      <c r="R50" s="182"/>
      <c r="S50" s="191"/>
      <c r="T50" s="191"/>
      <c r="U50" s="192"/>
      <c r="V50" s="37"/>
      <c r="W50" s="37"/>
      <c r="X50" s="171"/>
      <c r="Y50" s="171"/>
      <c r="Z50" s="181"/>
      <c r="AA50" s="171"/>
    </row>
    <row r="51" s="21" customFormat="1" ht="25" customHeight="1" spans="1:27">
      <c r="A51" s="37"/>
      <c r="B51" s="123" t="s">
        <v>117</v>
      </c>
      <c r="C51" s="124"/>
      <c r="D51" s="125"/>
      <c r="E51" s="126"/>
      <c r="F51" s="33"/>
      <c r="G51" s="171"/>
      <c r="H51" s="171"/>
      <c r="I51" s="171"/>
      <c r="J51" s="171"/>
      <c r="K51" s="181"/>
      <c r="L51" s="160"/>
      <c r="M51" s="181"/>
      <c r="N51" s="181"/>
      <c r="O51" s="171"/>
      <c r="P51" s="182"/>
      <c r="Q51" s="182"/>
      <c r="R51" s="182"/>
      <c r="S51" s="191"/>
      <c r="T51" s="191"/>
      <c r="U51" s="192"/>
      <c r="V51" s="37"/>
      <c r="W51" s="37"/>
      <c r="X51" s="171"/>
      <c r="Y51" s="171"/>
      <c r="Z51" s="181"/>
      <c r="AA51" s="171"/>
    </row>
    <row r="52" s="21" customFormat="1" ht="25" customHeight="1" spans="1:27">
      <c r="A52" s="37"/>
      <c r="B52" s="123" t="s">
        <v>118</v>
      </c>
      <c r="C52" s="124"/>
      <c r="D52" s="125"/>
      <c r="E52" s="126"/>
      <c r="F52" s="33"/>
      <c r="G52" s="171"/>
      <c r="H52" s="171"/>
      <c r="I52" s="171"/>
      <c r="J52" s="171"/>
      <c r="K52" s="181"/>
      <c r="L52" s="160"/>
      <c r="M52" s="181"/>
      <c r="N52" s="181"/>
      <c r="O52" s="171"/>
      <c r="P52" s="182"/>
      <c r="Q52" s="182"/>
      <c r="R52" s="182"/>
      <c r="S52" s="191"/>
      <c r="T52" s="191"/>
      <c r="U52" s="192"/>
      <c r="V52" s="37"/>
      <c r="W52" s="37"/>
      <c r="X52" s="171"/>
      <c r="Y52" s="171"/>
      <c r="Z52" s="181"/>
      <c r="AA52" s="171"/>
    </row>
  </sheetData>
  <sheetProtection formatCells="0" insertHyperlinks="0" autoFilter="0"/>
  <mergeCells count="14">
    <mergeCell ref="A1:AA1"/>
    <mergeCell ref="A28:AA28"/>
    <mergeCell ref="A3:A6"/>
    <mergeCell ref="A7:A10"/>
    <mergeCell ref="A11:A14"/>
    <mergeCell ref="A15:A18"/>
    <mergeCell ref="A19:A22"/>
    <mergeCell ref="A23:A26"/>
    <mergeCell ref="A29:A32"/>
    <mergeCell ref="A33:A36"/>
    <mergeCell ref="A37:A40"/>
    <mergeCell ref="A41:A44"/>
    <mergeCell ref="A45:A48"/>
    <mergeCell ref="A49:A5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4"/>
  <sheetViews>
    <sheetView zoomScale="150" zoomScaleNormal="150" workbookViewId="0">
      <pane xSplit="2" ySplit="2" topLeftCell="C3" activePane="bottomRight" state="frozen"/>
      <selection/>
      <selection pane="topRight"/>
      <selection pane="bottomLeft"/>
      <selection pane="bottomRight" activeCell="AA12" sqref="AA12"/>
    </sheetView>
  </sheetViews>
  <sheetFormatPr defaultColWidth="9" defaultRowHeight="15.6"/>
  <cols>
    <col min="1" max="2" width="9" style="50"/>
    <col min="3" max="3" width="7" style="96" customWidth="1"/>
    <col min="4" max="6" width="5.87037037037037" style="70" customWidth="1"/>
    <col min="7" max="7" width="6.25" style="50" customWidth="1"/>
    <col min="8" max="8" width="7" style="50" customWidth="1"/>
    <col min="9" max="9" width="7.37037037037037" style="50" customWidth="1"/>
    <col min="10" max="10" width="6.37037037037037" style="50" customWidth="1"/>
    <col min="11" max="11" width="8.62962962962963" style="50" customWidth="1"/>
    <col min="12" max="12" width="6.37037037037037" style="82" customWidth="1"/>
    <col min="13" max="13" width="5.5" style="83" customWidth="1"/>
    <col min="14" max="17" width="6.12962962962963" style="50" customWidth="1"/>
    <col min="18" max="18" width="11.8148148148148" style="95" customWidth="1"/>
    <col min="19" max="19" width="6.12962962962963" style="96" customWidth="1"/>
    <col min="20" max="20" width="6.12962962962963" style="50" customWidth="1"/>
    <col min="21" max="21" width="10" style="95" customWidth="1"/>
    <col min="22" max="23" width="9.37037037037037" style="96" customWidth="1"/>
    <col min="24" max="24" width="6.62962962962963" style="82" customWidth="1"/>
    <col min="25" max="25" width="7.62962962962963" style="50" customWidth="1"/>
    <col min="26" max="26" width="8.87037037037037" style="50" customWidth="1"/>
    <col min="27" max="27" width="8.37037037037037" style="96" customWidth="1"/>
    <col min="28" max="28" width="9.41666666666667" style="50" customWidth="1"/>
    <col min="29" max="29" width="33" style="50" customWidth="1"/>
    <col min="30" max="30" width="35.1296296296296" style="50" customWidth="1"/>
    <col min="31" max="16384" width="12.75" style="50"/>
  </cols>
  <sheetData>
    <row r="1" spans="1:30">
      <c r="A1" s="58" t="s">
        <v>120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72" t="s">
        <v>121</v>
      </c>
      <c r="O1" s="72"/>
      <c r="P1" s="72"/>
      <c r="Q1" s="72"/>
      <c r="R1" s="72"/>
      <c r="S1" s="72"/>
      <c r="T1" s="72"/>
      <c r="U1" s="72"/>
      <c r="V1" s="72"/>
      <c r="W1" s="72"/>
      <c r="AB1" s="97" t="s">
        <v>122</v>
      </c>
      <c r="AC1" s="98" t="s">
        <v>123</v>
      </c>
      <c r="AD1" s="98"/>
    </row>
    <row r="2" s="108" customFormat="1" ht="32.25" customHeight="1" spans="1:30">
      <c r="A2" s="61" t="s">
        <v>40</v>
      </c>
      <c r="B2" s="61" t="s">
        <v>124</v>
      </c>
      <c r="C2" s="61" t="s">
        <v>2</v>
      </c>
      <c r="D2" s="62" t="s">
        <v>3</v>
      </c>
      <c r="E2" s="62" t="s">
        <v>4</v>
      </c>
      <c r="F2" s="62" t="s">
        <v>44</v>
      </c>
      <c r="G2" s="63" t="s">
        <v>125</v>
      </c>
      <c r="H2" s="63" t="s">
        <v>20</v>
      </c>
      <c r="I2" s="74" t="s">
        <v>126</v>
      </c>
      <c r="J2" s="63" t="s">
        <v>127</v>
      </c>
      <c r="K2" s="74" t="s">
        <v>128</v>
      </c>
      <c r="L2" s="75" t="s">
        <v>73</v>
      </c>
      <c r="M2" s="76" t="s">
        <v>129</v>
      </c>
      <c r="N2" s="77" t="s">
        <v>130</v>
      </c>
      <c r="O2" s="77" t="s">
        <v>131</v>
      </c>
      <c r="P2" s="77" t="s">
        <v>132</v>
      </c>
      <c r="Q2" s="157" t="s">
        <v>133</v>
      </c>
      <c r="R2" s="86" t="s">
        <v>128</v>
      </c>
      <c r="S2" s="87" t="s">
        <v>134</v>
      </c>
      <c r="T2" s="88" t="s">
        <v>135</v>
      </c>
      <c r="U2" s="86" t="s">
        <v>136</v>
      </c>
      <c r="V2" s="158" t="s">
        <v>69</v>
      </c>
      <c r="W2" s="87" t="s">
        <v>77</v>
      </c>
      <c r="X2" s="90" t="s">
        <v>137</v>
      </c>
      <c r="Y2" s="91" t="s">
        <v>138</v>
      </c>
      <c r="Z2" s="100" t="s">
        <v>139</v>
      </c>
      <c r="AA2" s="102" t="s">
        <v>140</v>
      </c>
      <c r="AB2" s="103" t="s">
        <v>141</v>
      </c>
      <c r="AC2" s="104" t="s">
        <v>142</v>
      </c>
      <c r="AD2" s="104" t="s">
        <v>143</v>
      </c>
    </row>
    <row r="3" s="49" customFormat="1" ht="20" customHeight="1" spans="1:30">
      <c r="A3" s="37" t="s">
        <v>22</v>
      </c>
      <c r="B3" s="123" t="s">
        <v>84</v>
      </c>
      <c r="C3" s="124">
        <f>价格策略模拟!B3</f>
        <v>23.99</v>
      </c>
      <c r="D3" s="125">
        <f>价格策略模拟!C3</f>
        <v>0.25</v>
      </c>
      <c r="E3" s="126">
        <f>价格策略模拟!D3</f>
        <v>0</v>
      </c>
      <c r="F3" s="127">
        <f t="shared" ref="F3:F26" si="0">SUM(C3*(1-D3-E3))</f>
        <v>17.9925</v>
      </c>
      <c r="G3" s="151"/>
      <c r="H3" s="151"/>
      <c r="I3" s="151"/>
      <c r="J3" s="151"/>
      <c r="K3" s="153"/>
      <c r="L3" s="154"/>
      <c r="M3" s="155"/>
      <c r="N3" s="151"/>
      <c r="O3" s="151">
        <f t="shared" ref="O3:O10" si="1">SUM(Q3/R3)</f>
        <v>280</v>
      </c>
      <c r="P3" s="37"/>
      <c r="Q3" s="151">
        <f>阶段总盈亏!H3</f>
        <v>14</v>
      </c>
      <c r="R3" s="159">
        <v>0.05</v>
      </c>
      <c r="S3" s="160">
        <v>1.5</v>
      </c>
      <c r="T3" s="37">
        <f t="shared" ref="T3:T10" si="2">SUM(O3*S3)</f>
        <v>420</v>
      </c>
      <c r="U3" s="159">
        <f t="shared" ref="U3:U10" si="3">SUM(S3/R3/C3)</f>
        <v>1.25052105043768</v>
      </c>
      <c r="V3" s="161">
        <f t="shared" ref="V3:V10" si="4">SUM(T3/Q3)</f>
        <v>30</v>
      </c>
      <c r="W3" s="161">
        <f t="shared" ref="W3:W10" si="5">T3/7</f>
        <v>60</v>
      </c>
      <c r="X3" s="154"/>
      <c r="Y3" s="37"/>
      <c r="Z3" s="153"/>
      <c r="AA3" s="161"/>
      <c r="AB3" s="151"/>
      <c r="AC3" s="37"/>
      <c r="AD3" s="37"/>
    </row>
    <row r="4" s="49" customFormat="1" ht="20" customHeight="1" spans="1:30">
      <c r="A4" s="37"/>
      <c r="B4" s="123" t="s">
        <v>86</v>
      </c>
      <c r="C4" s="124">
        <f>价格策略模拟!B3</f>
        <v>23.99</v>
      </c>
      <c r="D4" s="125">
        <f>价格策略模拟!C3</f>
        <v>0.25</v>
      </c>
      <c r="E4" s="126">
        <f>价格策略模拟!D3</f>
        <v>0</v>
      </c>
      <c r="F4" s="127">
        <f t="shared" si="0"/>
        <v>17.9925</v>
      </c>
      <c r="G4" s="151"/>
      <c r="H4" s="151"/>
      <c r="I4" s="151"/>
      <c r="J4" s="151"/>
      <c r="K4" s="153"/>
      <c r="L4" s="154"/>
      <c r="M4" s="155"/>
      <c r="N4" s="151"/>
      <c r="O4" s="151">
        <f t="shared" si="1"/>
        <v>420</v>
      </c>
      <c r="P4" s="37"/>
      <c r="Q4" s="151">
        <f>阶段总盈亏!H4</f>
        <v>21</v>
      </c>
      <c r="R4" s="159">
        <v>0.05</v>
      </c>
      <c r="S4" s="160">
        <v>1.5</v>
      </c>
      <c r="T4" s="37">
        <f t="shared" si="2"/>
        <v>630</v>
      </c>
      <c r="U4" s="159">
        <f t="shared" si="3"/>
        <v>1.25052105043768</v>
      </c>
      <c r="V4" s="161">
        <f t="shared" si="4"/>
        <v>30</v>
      </c>
      <c r="W4" s="161">
        <f t="shared" si="5"/>
        <v>90</v>
      </c>
      <c r="X4" s="154"/>
      <c r="Y4" s="37"/>
      <c r="Z4" s="153"/>
      <c r="AA4" s="161"/>
      <c r="AB4" s="151"/>
      <c r="AC4" s="37"/>
      <c r="AD4" s="37"/>
    </row>
    <row r="5" s="49" customFormat="1" ht="20" customHeight="1" spans="1:30">
      <c r="A5" s="37"/>
      <c r="B5" s="123" t="s">
        <v>88</v>
      </c>
      <c r="C5" s="124">
        <f>价格策略模拟!B3</f>
        <v>23.99</v>
      </c>
      <c r="D5" s="125">
        <f>价格策略模拟!C3</f>
        <v>0.25</v>
      </c>
      <c r="E5" s="126">
        <f>价格策略模拟!D3</f>
        <v>0</v>
      </c>
      <c r="F5" s="127">
        <f t="shared" si="0"/>
        <v>17.9925</v>
      </c>
      <c r="G5" s="151"/>
      <c r="H5" s="151"/>
      <c r="I5" s="151"/>
      <c r="J5" s="151"/>
      <c r="K5" s="153"/>
      <c r="L5" s="154"/>
      <c r="M5" s="155"/>
      <c r="N5" s="151"/>
      <c r="O5" s="151">
        <f t="shared" si="1"/>
        <v>560</v>
      </c>
      <c r="P5" s="37"/>
      <c r="Q5" s="151">
        <f>阶段总盈亏!H5</f>
        <v>28</v>
      </c>
      <c r="R5" s="159">
        <v>0.05</v>
      </c>
      <c r="S5" s="160">
        <v>1.5</v>
      </c>
      <c r="T5" s="37">
        <f t="shared" si="2"/>
        <v>840</v>
      </c>
      <c r="U5" s="159">
        <f t="shared" si="3"/>
        <v>1.25052105043768</v>
      </c>
      <c r="V5" s="161">
        <f t="shared" si="4"/>
        <v>30</v>
      </c>
      <c r="W5" s="161">
        <f t="shared" si="5"/>
        <v>120</v>
      </c>
      <c r="X5" s="154"/>
      <c r="Y5" s="37"/>
      <c r="Z5" s="153"/>
      <c r="AA5" s="161"/>
      <c r="AB5" s="151"/>
      <c r="AC5" s="37"/>
      <c r="AD5" s="37"/>
    </row>
    <row r="6" s="49" customFormat="1" ht="20" customHeight="1" spans="1:30">
      <c r="A6" s="37"/>
      <c r="B6" s="123" t="s">
        <v>90</v>
      </c>
      <c r="C6" s="124">
        <f>价格策略模拟!B3</f>
        <v>23.99</v>
      </c>
      <c r="D6" s="125">
        <f>价格策略模拟!C3</f>
        <v>0.25</v>
      </c>
      <c r="E6" s="126">
        <f>价格策略模拟!D3</f>
        <v>0</v>
      </c>
      <c r="F6" s="127">
        <f t="shared" si="0"/>
        <v>17.9925</v>
      </c>
      <c r="G6" s="151"/>
      <c r="H6" s="151"/>
      <c r="I6" s="37"/>
      <c r="J6" s="37"/>
      <c r="K6" s="153"/>
      <c r="L6" s="156"/>
      <c r="M6" s="155"/>
      <c r="N6" s="37"/>
      <c r="O6" s="151">
        <f t="shared" si="1"/>
        <v>700</v>
      </c>
      <c r="P6" s="37"/>
      <c r="Q6" s="151">
        <f>阶段总盈亏!H6</f>
        <v>35</v>
      </c>
      <c r="R6" s="159">
        <v>0.05</v>
      </c>
      <c r="S6" s="160">
        <v>1.5</v>
      </c>
      <c r="T6" s="37">
        <f t="shared" si="2"/>
        <v>1050</v>
      </c>
      <c r="U6" s="159">
        <f t="shared" si="3"/>
        <v>1.25052105043768</v>
      </c>
      <c r="V6" s="161">
        <f t="shared" si="4"/>
        <v>30</v>
      </c>
      <c r="W6" s="161">
        <f t="shared" si="5"/>
        <v>150</v>
      </c>
      <c r="X6" s="156"/>
      <c r="Y6" s="37"/>
      <c r="Z6" s="37"/>
      <c r="AA6" s="160"/>
      <c r="AB6" s="37"/>
      <c r="AC6" s="37"/>
      <c r="AD6" s="37"/>
    </row>
    <row r="7" s="50" customFormat="1" spans="1:30">
      <c r="A7" s="37" t="s">
        <v>24</v>
      </c>
      <c r="B7" s="123" t="s">
        <v>92</v>
      </c>
      <c r="C7" s="124">
        <f>价格策略模拟!B4</f>
        <v>24.99</v>
      </c>
      <c r="D7" s="125">
        <f>价格策略模拟!C4</f>
        <v>0.2</v>
      </c>
      <c r="E7" s="126">
        <f>价格策略模拟!D4</f>
        <v>0</v>
      </c>
      <c r="F7" s="127">
        <f t="shared" si="0"/>
        <v>19.992</v>
      </c>
      <c r="G7" s="37"/>
      <c r="H7" s="37"/>
      <c r="I7" s="37"/>
      <c r="J7" s="37"/>
      <c r="K7" s="37"/>
      <c r="L7" s="156"/>
      <c r="M7" s="155"/>
      <c r="N7" s="37"/>
      <c r="O7" s="151">
        <f t="shared" si="1"/>
        <v>700</v>
      </c>
      <c r="P7" s="37"/>
      <c r="Q7" s="151">
        <f>阶段总盈亏!H7</f>
        <v>42</v>
      </c>
      <c r="R7" s="159">
        <v>0.06</v>
      </c>
      <c r="S7" s="160">
        <v>1.4</v>
      </c>
      <c r="T7" s="37">
        <f t="shared" si="2"/>
        <v>980</v>
      </c>
      <c r="U7" s="159">
        <f t="shared" si="3"/>
        <v>0.933706816059757</v>
      </c>
      <c r="V7" s="161">
        <f t="shared" si="4"/>
        <v>23.3333333333333</v>
      </c>
      <c r="W7" s="161">
        <f t="shared" si="5"/>
        <v>140</v>
      </c>
      <c r="X7" s="156"/>
      <c r="Y7" s="37"/>
      <c r="Z7" s="37"/>
      <c r="AA7" s="160"/>
      <c r="AB7" s="37"/>
      <c r="AC7" s="37"/>
      <c r="AD7" s="37"/>
    </row>
    <row r="8" spans="1:30">
      <c r="A8" s="37"/>
      <c r="B8" s="123" t="s">
        <v>94</v>
      </c>
      <c r="C8" s="124">
        <f>价格策略模拟!B4</f>
        <v>24.99</v>
      </c>
      <c r="D8" s="125">
        <f>价格策略模拟!C4</f>
        <v>0.2</v>
      </c>
      <c r="E8" s="126">
        <f>价格策略模拟!D4</f>
        <v>0</v>
      </c>
      <c r="F8" s="127">
        <f t="shared" si="0"/>
        <v>19.992</v>
      </c>
      <c r="G8" s="37"/>
      <c r="H8" s="37"/>
      <c r="I8" s="37"/>
      <c r="J8" s="37"/>
      <c r="K8" s="37"/>
      <c r="L8" s="156"/>
      <c r="M8" s="155"/>
      <c r="N8" s="37"/>
      <c r="O8" s="151">
        <f t="shared" si="1"/>
        <v>816.666666666667</v>
      </c>
      <c r="P8" s="37"/>
      <c r="Q8" s="151">
        <f>阶段总盈亏!H8</f>
        <v>49</v>
      </c>
      <c r="R8" s="159">
        <v>0.06</v>
      </c>
      <c r="S8" s="160">
        <v>1.4</v>
      </c>
      <c r="T8" s="37">
        <f t="shared" si="2"/>
        <v>1143.33333333333</v>
      </c>
      <c r="U8" s="159">
        <f t="shared" si="3"/>
        <v>0.933706816059757</v>
      </c>
      <c r="V8" s="161">
        <f t="shared" si="4"/>
        <v>23.3333333333333</v>
      </c>
      <c r="W8" s="161">
        <f t="shared" si="5"/>
        <v>163.333333333333</v>
      </c>
      <c r="X8" s="156"/>
      <c r="Y8" s="37"/>
      <c r="Z8" s="37"/>
      <c r="AA8" s="160"/>
      <c r="AB8" s="37"/>
      <c r="AC8" s="37"/>
      <c r="AD8" s="37"/>
    </row>
    <row r="9" spans="1:30">
      <c r="A9" s="37"/>
      <c r="B9" s="123" t="s">
        <v>96</v>
      </c>
      <c r="C9" s="124">
        <f>价格策略模拟!B4</f>
        <v>24.99</v>
      </c>
      <c r="D9" s="125">
        <f>价格策略模拟!C4</f>
        <v>0.2</v>
      </c>
      <c r="E9" s="126">
        <f>价格策略模拟!D4</f>
        <v>0</v>
      </c>
      <c r="F9" s="127">
        <f t="shared" si="0"/>
        <v>19.992</v>
      </c>
      <c r="G9" s="37"/>
      <c r="H9" s="37"/>
      <c r="I9" s="37"/>
      <c r="J9" s="37"/>
      <c r="K9" s="37"/>
      <c r="L9" s="156"/>
      <c r="M9" s="155"/>
      <c r="N9" s="37"/>
      <c r="O9" s="151">
        <f t="shared" si="1"/>
        <v>933.333333333333</v>
      </c>
      <c r="P9" s="37"/>
      <c r="Q9" s="151">
        <f>阶段总盈亏!H9</f>
        <v>56</v>
      </c>
      <c r="R9" s="159">
        <v>0.06</v>
      </c>
      <c r="S9" s="160">
        <v>1.4</v>
      </c>
      <c r="T9" s="37">
        <f t="shared" si="2"/>
        <v>1306.66666666667</v>
      </c>
      <c r="U9" s="159">
        <f t="shared" si="3"/>
        <v>0.933706816059757</v>
      </c>
      <c r="V9" s="161">
        <f t="shared" si="4"/>
        <v>23.3333333333333</v>
      </c>
      <c r="W9" s="161">
        <f t="shared" si="5"/>
        <v>186.666666666667</v>
      </c>
      <c r="X9" s="156"/>
      <c r="Y9" s="37"/>
      <c r="Z9" s="37"/>
      <c r="AA9" s="160"/>
      <c r="AB9" s="37"/>
      <c r="AC9" s="37"/>
      <c r="AD9" s="37"/>
    </row>
    <row r="10" spans="1:30">
      <c r="A10" s="37"/>
      <c r="B10" s="123" t="s">
        <v>98</v>
      </c>
      <c r="C10" s="124">
        <f>价格策略模拟!B4</f>
        <v>24.99</v>
      </c>
      <c r="D10" s="125">
        <f>价格策略模拟!C4</f>
        <v>0.2</v>
      </c>
      <c r="E10" s="126">
        <f>价格策略模拟!D4</f>
        <v>0</v>
      </c>
      <c r="F10" s="127">
        <f t="shared" si="0"/>
        <v>19.992</v>
      </c>
      <c r="G10" s="37"/>
      <c r="H10" s="37"/>
      <c r="I10" s="37"/>
      <c r="J10" s="37"/>
      <c r="K10" s="37"/>
      <c r="L10" s="156"/>
      <c r="M10" s="155"/>
      <c r="N10" s="37"/>
      <c r="O10" s="151">
        <f t="shared" si="1"/>
        <v>1050</v>
      </c>
      <c r="P10" s="37"/>
      <c r="Q10" s="151">
        <f>阶段总盈亏!H10</f>
        <v>63</v>
      </c>
      <c r="R10" s="159">
        <v>0.06</v>
      </c>
      <c r="S10" s="160">
        <v>1.4</v>
      </c>
      <c r="T10" s="37">
        <f t="shared" si="2"/>
        <v>1470</v>
      </c>
      <c r="U10" s="159">
        <f t="shared" si="3"/>
        <v>0.933706816059757</v>
      </c>
      <c r="V10" s="161">
        <f t="shared" si="4"/>
        <v>23.3333333333333</v>
      </c>
      <c r="W10" s="161">
        <f t="shared" si="5"/>
        <v>210</v>
      </c>
      <c r="X10" s="156"/>
      <c r="Y10" s="37"/>
      <c r="Z10" s="37"/>
      <c r="AA10" s="160"/>
      <c r="AB10" s="37"/>
      <c r="AC10" s="37"/>
      <c r="AD10" s="37"/>
    </row>
    <row r="11" spans="1:30">
      <c r="A11" s="37" t="s">
        <v>26</v>
      </c>
      <c r="B11" s="123" t="s">
        <v>100</v>
      </c>
      <c r="C11" s="124">
        <f>价格策略模拟!B5</f>
        <v>25.99</v>
      </c>
      <c r="D11" s="125">
        <f>价格策略模拟!C5</f>
        <v>0.15</v>
      </c>
      <c r="E11" s="126">
        <f>价格策略模拟!D5</f>
        <v>0</v>
      </c>
      <c r="F11" s="127">
        <f t="shared" si="0"/>
        <v>22.0915</v>
      </c>
      <c r="G11" s="37"/>
      <c r="H11" s="37"/>
      <c r="I11" s="37"/>
      <c r="J11" s="37"/>
      <c r="K11" s="37"/>
      <c r="L11" s="156"/>
      <c r="M11" s="155"/>
      <c r="N11" s="37"/>
      <c r="O11" s="151">
        <f t="shared" ref="O11:O26" si="6">SUM(Q11/R11)</f>
        <v>1000</v>
      </c>
      <c r="P11" s="37"/>
      <c r="Q11" s="151">
        <f>阶段总盈亏!H11</f>
        <v>70</v>
      </c>
      <c r="R11" s="159">
        <v>0.07</v>
      </c>
      <c r="S11" s="160">
        <v>1.3</v>
      </c>
      <c r="T11" s="37">
        <f t="shared" ref="T11:T26" si="7">SUM(O11*S11)</f>
        <v>1300</v>
      </c>
      <c r="U11" s="159">
        <f t="shared" ref="U11:U26" si="8">SUM(S11/R11/C11)</f>
        <v>0.714560545264662</v>
      </c>
      <c r="V11" s="161">
        <f t="shared" ref="V11:V26" si="9">SUM(T11/Q11)</f>
        <v>18.5714285714286</v>
      </c>
      <c r="W11" s="161">
        <f t="shared" ref="W11:W26" si="10">T11/7</f>
        <v>185.714285714286</v>
      </c>
      <c r="X11" s="156"/>
      <c r="Y11" s="37"/>
      <c r="Z11" s="37"/>
      <c r="AA11" s="160"/>
      <c r="AB11" s="37"/>
      <c r="AC11" s="37"/>
      <c r="AD11" s="37"/>
    </row>
    <row r="12" spans="1:30">
      <c r="A12" s="37"/>
      <c r="B12" s="123" t="s">
        <v>102</v>
      </c>
      <c r="C12" s="124">
        <f>价格策略模拟!B5</f>
        <v>25.99</v>
      </c>
      <c r="D12" s="125">
        <f>价格策略模拟!C5</f>
        <v>0.15</v>
      </c>
      <c r="E12" s="126">
        <f>价格策略模拟!D5</f>
        <v>0</v>
      </c>
      <c r="F12" s="127">
        <f t="shared" si="0"/>
        <v>22.0915</v>
      </c>
      <c r="G12" s="37"/>
      <c r="H12" s="37"/>
      <c r="I12" s="37"/>
      <c r="J12" s="37"/>
      <c r="K12" s="37"/>
      <c r="L12" s="156"/>
      <c r="M12" s="155"/>
      <c r="N12" s="37"/>
      <c r="O12" s="151">
        <f t="shared" si="6"/>
        <v>1100</v>
      </c>
      <c r="P12" s="37"/>
      <c r="Q12" s="151">
        <f>阶段总盈亏!H12</f>
        <v>77</v>
      </c>
      <c r="R12" s="159">
        <v>0.07</v>
      </c>
      <c r="S12" s="160">
        <v>1.3</v>
      </c>
      <c r="T12" s="37">
        <f t="shared" si="7"/>
        <v>1430</v>
      </c>
      <c r="U12" s="159">
        <f t="shared" si="8"/>
        <v>0.714560545264662</v>
      </c>
      <c r="V12" s="161">
        <f t="shared" si="9"/>
        <v>18.5714285714286</v>
      </c>
      <c r="W12" s="161">
        <f t="shared" si="10"/>
        <v>204.285714285714</v>
      </c>
      <c r="X12" s="156"/>
      <c r="Y12" s="37"/>
      <c r="Z12" s="37"/>
      <c r="AA12" s="160"/>
      <c r="AB12" s="37"/>
      <c r="AC12" s="37"/>
      <c r="AD12" s="37"/>
    </row>
    <row r="13" spans="1:30">
      <c r="A13" s="37"/>
      <c r="B13" s="123" t="s">
        <v>104</v>
      </c>
      <c r="C13" s="124">
        <f>价格策略模拟!B5</f>
        <v>25.99</v>
      </c>
      <c r="D13" s="125">
        <f>价格策略模拟!C5</f>
        <v>0.15</v>
      </c>
      <c r="E13" s="126">
        <f>价格策略模拟!D5</f>
        <v>0</v>
      </c>
      <c r="F13" s="127">
        <f t="shared" si="0"/>
        <v>22.0915</v>
      </c>
      <c r="G13" s="37"/>
      <c r="H13" s="37"/>
      <c r="I13" s="37"/>
      <c r="J13" s="37"/>
      <c r="K13" s="37"/>
      <c r="L13" s="156"/>
      <c r="M13" s="155"/>
      <c r="N13" s="37"/>
      <c r="O13" s="151">
        <f t="shared" si="6"/>
        <v>1200</v>
      </c>
      <c r="P13" s="37"/>
      <c r="Q13" s="151">
        <f>阶段总盈亏!H13</f>
        <v>84</v>
      </c>
      <c r="R13" s="159">
        <v>0.07</v>
      </c>
      <c r="S13" s="160">
        <v>1.3</v>
      </c>
      <c r="T13" s="37">
        <f t="shared" si="7"/>
        <v>1560</v>
      </c>
      <c r="U13" s="159">
        <f t="shared" si="8"/>
        <v>0.714560545264662</v>
      </c>
      <c r="V13" s="161">
        <f t="shared" si="9"/>
        <v>18.5714285714286</v>
      </c>
      <c r="W13" s="161">
        <f t="shared" si="10"/>
        <v>222.857142857143</v>
      </c>
      <c r="X13" s="156"/>
      <c r="Y13" s="37"/>
      <c r="Z13" s="37"/>
      <c r="AA13" s="160"/>
      <c r="AB13" s="37"/>
      <c r="AC13" s="37"/>
      <c r="AD13" s="37"/>
    </row>
    <row r="14" spans="1:30">
      <c r="A14" s="37"/>
      <c r="B14" s="123" t="s">
        <v>106</v>
      </c>
      <c r="C14" s="124">
        <f>价格策略模拟!B5</f>
        <v>25.99</v>
      </c>
      <c r="D14" s="125">
        <f>价格策略模拟!C5</f>
        <v>0.15</v>
      </c>
      <c r="E14" s="126">
        <f>价格策略模拟!D5</f>
        <v>0</v>
      </c>
      <c r="F14" s="127">
        <f t="shared" si="0"/>
        <v>22.0915</v>
      </c>
      <c r="G14" s="37"/>
      <c r="H14" s="37"/>
      <c r="I14" s="37"/>
      <c r="J14" s="37"/>
      <c r="K14" s="37"/>
      <c r="L14" s="156"/>
      <c r="M14" s="155"/>
      <c r="N14" s="37"/>
      <c r="O14" s="151">
        <f t="shared" si="6"/>
        <v>1300</v>
      </c>
      <c r="P14" s="37"/>
      <c r="Q14" s="151">
        <f>阶段总盈亏!H14</f>
        <v>91</v>
      </c>
      <c r="R14" s="159">
        <v>0.07</v>
      </c>
      <c r="S14" s="160">
        <v>1.3</v>
      </c>
      <c r="T14" s="37">
        <f t="shared" si="7"/>
        <v>1690</v>
      </c>
      <c r="U14" s="159">
        <f t="shared" si="8"/>
        <v>0.714560545264662</v>
      </c>
      <c r="V14" s="161">
        <f t="shared" si="9"/>
        <v>18.5714285714286</v>
      </c>
      <c r="W14" s="161">
        <f t="shared" si="10"/>
        <v>241.428571428571</v>
      </c>
      <c r="X14" s="156"/>
      <c r="Y14" s="37"/>
      <c r="Z14" s="37"/>
      <c r="AA14" s="160"/>
      <c r="AB14" s="37"/>
      <c r="AC14" s="37"/>
      <c r="AD14" s="37"/>
    </row>
    <row r="15" spans="1:30">
      <c r="A15" s="37" t="s">
        <v>28</v>
      </c>
      <c r="B15" s="123" t="s">
        <v>107</v>
      </c>
      <c r="C15" s="124">
        <f>价格策略模拟!B6</f>
        <v>26.99</v>
      </c>
      <c r="D15" s="125">
        <f>价格策略模拟!C6</f>
        <v>0.1</v>
      </c>
      <c r="E15" s="126">
        <f>价格策略模拟!D6</f>
        <v>0</v>
      </c>
      <c r="F15" s="127">
        <f t="shared" si="0"/>
        <v>24.291</v>
      </c>
      <c r="G15" s="37"/>
      <c r="H15" s="37"/>
      <c r="I15" s="37"/>
      <c r="J15" s="37"/>
      <c r="K15" s="37"/>
      <c r="L15" s="156"/>
      <c r="M15" s="155"/>
      <c r="N15" s="37"/>
      <c r="O15" s="151">
        <f t="shared" si="6"/>
        <v>1225</v>
      </c>
      <c r="P15" s="37"/>
      <c r="Q15" s="151">
        <f>阶段总盈亏!H15</f>
        <v>98</v>
      </c>
      <c r="R15" s="159">
        <v>0.08</v>
      </c>
      <c r="S15" s="160">
        <v>1.1</v>
      </c>
      <c r="T15" s="37">
        <f t="shared" si="7"/>
        <v>1347.5</v>
      </c>
      <c r="U15" s="159">
        <f t="shared" si="8"/>
        <v>0.509447943682846</v>
      </c>
      <c r="V15" s="161">
        <f t="shared" si="9"/>
        <v>13.75</v>
      </c>
      <c r="W15" s="161">
        <f t="shared" si="10"/>
        <v>192.5</v>
      </c>
      <c r="X15" s="156"/>
      <c r="Y15" s="37"/>
      <c r="Z15" s="37"/>
      <c r="AA15" s="160"/>
      <c r="AB15" s="37"/>
      <c r="AC15" s="37"/>
      <c r="AD15" s="37"/>
    </row>
    <row r="16" spans="1:30">
      <c r="A16" s="37"/>
      <c r="B16" s="123" t="s">
        <v>108</v>
      </c>
      <c r="C16" s="124">
        <f>价格策略模拟!B6</f>
        <v>26.99</v>
      </c>
      <c r="D16" s="125">
        <f>价格策略模拟!C6</f>
        <v>0.1</v>
      </c>
      <c r="E16" s="126">
        <f>价格策略模拟!D6</f>
        <v>0</v>
      </c>
      <c r="F16" s="127">
        <f t="shared" si="0"/>
        <v>24.291</v>
      </c>
      <c r="G16" s="37"/>
      <c r="H16" s="37"/>
      <c r="I16" s="37"/>
      <c r="J16" s="37"/>
      <c r="K16" s="37"/>
      <c r="L16" s="156"/>
      <c r="M16" s="155"/>
      <c r="N16" s="37"/>
      <c r="O16" s="151">
        <f t="shared" si="6"/>
        <v>1225</v>
      </c>
      <c r="P16" s="37"/>
      <c r="Q16" s="151">
        <f>阶段总盈亏!H16</f>
        <v>98</v>
      </c>
      <c r="R16" s="159">
        <v>0.08</v>
      </c>
      <c r="S16" s="160">
        <v>1.1</v>
      </c>
      <c r="T16" s="37">
        <f t="shared" si="7"/>
        <v>1347.5</v>
      </c>
      <c r="U16" s="159">
        <f t="shared" si="8"/>
        <v>0.509447943682846</v>
      </c>
      <c r="V16" s="161">
        <f t="shared" si="9"/>
        <v>13.75</v>
      </c>
      <c r="W16" s="161">
        <f t="shared" si="10"/>
        <v>192.5</v>
      </c>
      <c r="X16" s="156"/>
      <c r="Y16" s="37"/>
      <c r="Z16" s="37"/>
      <c r="AA16" s="160"/>
      <c r="AB16" s="37"/>
      <c r="AC16" s="37"/>
      <c r="AD16" s="37"/>
    </row>
    <row r="17" spans="1:30">
      <c r="A17" s="37"/>
      <c r="B17" s="123" t="s">
        <v>109</v>
      </c>
      <c r="C17" s="124">
        <f>价格策略模拟!B6</f>
        <v>26.99</v>
      </c>
      <c r="D17" s="125">
        <f>价格策略模拟!C6</f>
        <v>0.1</v>
      </c>
      <c r="E17" s="126">
        <f>价格策略模拟!D6</f>
        <v>0</v>
      </c>
      <c r="F17" s="127">
        <f t="shared" si="0"/>
        <v>24.291</v>
      </c>
      <c r="G17" s="37"/>
      <c r="H17" s="37"/>
      <c r="I17" s="37"/>
      <c r="J17" s="37"/>
      <c r="K17" s="37"/>
      <c r="L17" s="156"/>
      <c r="M17" s="155"/>
      <c r="N17" s="37"/>
      <c r="O17" s="151">
        <f t="shared" si="6"/>
        <v>1312.5</v>
      </c>
      <c r="P17" s="37"/>
      <c r="Q17" s="151">
        <f>阶段总盈亏!H17</f>
        <v>105</v>
      </c>
      <c r="R17" s="159">
        <v>0.08</v>
      </c>
      <c r="S17" s="160">
        <v>1.1</v>
      </c>
      <c r="T17" s="37">
        <f t="shared" si="7"/>
        <v>1443.75</v>
      </c>
      <c r="U17" s="159">
        <f t="shared" si="8"/>
        <v>0.509447943682846</v>
      </c>
      <c r="V17" s="161">
        <f t="shared" si="9"/>
        <v>13.75</v>
      </c>
      <c r="W17" s="161">
        <f t="shared" si="10"/>
        <v>206.25</v>
      </c>
      <c r="X17" s="156"/>
      <c r="Y17" s="37"/>
      <c r="Z17" s="37"/>
      <c r="AA17" s="160"/>
      <c r="AB17" s="37"/>
      <c r="AC17" s="37"/>
      <c r="AD17" s="37"/>
    </row>
    <row r="18" spans="1:30">
      <c r="A18" s="37"/>
      <c r="B18" s="123" t="s">
        <v>110</v>
      </c>
      <c r="C18" s="124">
        <f>价格策略模拟!B6</f>
        <v>26.99</v>
      </c>
      <c r="D18" s="125">
        <f>价格策略模拟!C6</f>
        <v>0.1</v>
      </c>
      <c r="E18" s="126">
        <f>价格策略模拟!D6</f>
        <v>0</v>
      </c>
      <c r="F18" s="127">
        <f t="shared" si="0"/>
        <v>24.291</v>
      </c>
      <c r="G18" s="37"/>
      <c r="H18" s="37"/>
      <c r="I18" s="37"/>
      <c r="J18" s="37"/>
      <c r="K18" s="37"/>
      <c r="L18" s="156"/>
      <c r="M18" s="155"/>
      <c r="N18" s="37"/>
      <c r="O18" s="151">
        <f t="shared" si="6"/>
        <v>1312.5</v>
      </c>
      <c r="P18" s="37"/>
      <c r="Q18" s="151">
        <f>阶段总盈亏!H18</f>
        <v>105</v>
      </c>
      <c r="R18" s="159">
        <v>0.08</v>
      </c>
      <c r="S18" s="160">
        <v>1.1</v>
      </c>
      <c r="T18" s="37">
        <f t="shared" si="7"/>
        <v>1443.75</v>
      </c>
      <c r="U18" s="159">
        <f t="shared" si="8"/>
        <v>0.509447943682846</v>
      </c>
      <c r="V18" s="161">
        <f t="shared" si="9"/>
        <v>13.75</v>
      </c>
      <c r="W18" s="161">
        <f t="shared" si="10"/>
        <v>206.25</v>
      </c>
      <c r="X18" s="156"/>
      <c r="Y18" s="37"/>
      <c r="Z18" s="37"/>
      <c r="AA18" s="160"/>
      <c r="AB18" s="37"/>
      <c r="AC18" s="37"/>
      <c r="AD18" s="37"/>
    </row>
    <row r="19" spans="1:30">
      <c r="A19" s="37" t="s">
        <v>30</v>
      </c>
      <c r="B19" s="123" t="s">
        <v>111</v>
      </c>
      <c r="C19" s="124">
        <f>价格策略模拟!B7</f>
        <v>27.99</v>
      </c>
      <c r="D19" s="125">
        <f>价格策略模拟!C7</f>
        <v>0.1</v>
      </c>
      <c r="E19" s="126">
        <f>价格策略模拟!D7</f>
        <v>0</v>
      </c>
      <c r="F19" s="127">
        <f t="shared" si="0"/>
        <v>25.191</v>
      </c>
      <c r="G19" s="37"/>
      <c r="H19" s="37"/>
      <c r="I19" s="37"/>
      <c r="J19" s="37"/>
      <c r="K19" s="37"/>
      <c r="L19" s="156"/>
      <c r="M19" s="155"/>
      <c r="N19" s="37"/>
      <c r="O19" s="151">
        <f t="shared" si="6"/>
        <v>1244.44444444444</v>
      </c>
      <c r="P19" s="37"/>
      <c r="Q19" s="151">
        <f>阶段总盈亏!H19</f>
        <v>112</v>
      </c>
      <c r="R19" s="159">
        <v>0.09</v>
      </c>
      <c r="S19" s="160">
        <v>1</v>
      </c>
      <c r="T19" s="37">
        <f t="shared" si="7"/>
        <v>1244.44444444444</v>
      </c>
      <c r="U19" s="159">
        <f t="shared" si="8"/>
        <v>0.396967170814974</v>
      </c>
      <c r="V19" s="161">
        <f t="shared" si="9"/>
        <v>11.1111111111111</v>
      </c>
      <c r="W19" s="161">
        <f t="shared" si="10"/>
        <v>177.777777777778</v>
      </c>
      <c r="X19" s="156"/>
      <c r="Y19" s="37"/>
      <c r="Z19" s="37"/>
      <c r="AA19" s="160"/>
      <c r="AB19" s="37"/>
      <c r="AC19" s="37"/>
      <c r="AD19" s="37"/>
    </row>
    <row r="20" spans="1:30">
      <c r="A20" s="37"/>
      <c r="B20" s="123" t="s">
        <v>112</v>
      </c>
      <c r="C20" s="124">
        <f>价格策略模拟!B7</f>
        <v>27.99</v>
      </c>
      <c r="D20" s="125">
        <f>价格策略模拟!C7</f>
        <v>0.1</v>
      </c>
      <c r="E20" s="126">
        <f>价格策略模拟!D7</f>
        <v>0</v>
      </c>
      <c r="F20" s="127">
        <f t="shared" si="0"/>
        <v>25.191</v>
      </c>
      <c r="G20" s="37"/>
      <c r="H20" s="37"/>
      <c r="I20" s="37"/>
      <c r="J20" s="37"/>
      <c r="K20" s="37"/>
      <c r="L20" s="156"/>
      <c r="M20" s="155"/>
      <c r="N20" s="37"/>
      <c r="O20" s="151">
        <f t="shared" si="6"/>
        <v>1244.44444444444</v>
      </c>
      <c r="P20" s="37"/>
      <c r="Q20" s="151">
        <f>阶段总盈亏!H20</f>
        <v>112</v>
      </c>
      <c r="R20" s="159">
        <v>0.09</v>
      </c>
      <c r="S20" s="160">
        <v>1</v>
      </c>
      <c r="T20" s="37">
        <f t="shared" si="7"/>
        <v>1244.44444444444</v>
      </c>
      <c r="U20" s="159">
        <f t="shared" si="8"/>
        <v>0.396967170814974</v>
      </c>
      <c r="V20" s="161">
        <f t="shared" si="9"/>
        <v>11.1111111111111</v>
      </c>
      <c r="W20" s="161">
        <f t="shared" si="10"/>
        <v>177.777777777778</v>
      </c>
      <c r="X20" s="156"/>
      <c r="Y20" s="37"/>
      <c r="Z20" s="37"/>
      <c r="AA20" s="160"/>
      <c r="AB20" s="37"/>
      <c r="AC20" s="37"/>
      <c r="AD20" s="37"/>
    </row>
    <row r="21" spans="1:30">
      <c r="A21" s="37"/>
      <c r="B21" s="123" t="s">
        <v>113</v>
      </c>
      <c r="C21" s="124">
        <f>价格策略模拟!B7</f>
        <v>27.99</v>
      </c>
      <c r="D21" s="125">
        <f>价格策略模拟!C7</f>
        <v>0.1</v>
      </c>
      <c r="E21" s="126">
        <f>价格策略模拟!D7</f>
        <v>0</v>
      </c>
      <c r="F21" s="127">
        <f t="shared" si="0"/>
        <v>25.191</v>
      </c>
      <c r="G21" s="37"/>
      <c r="H21" s="37"/>
      <c r="I21" s="37"/>
      <c r="J21" s="37"/>
      <c r="K21" s="37"/>
      <c r="L21" s="156"/>
      <c r="M21" s="155"/>
      <c r="N21" s="37"/>
      <c r="O21" s="151">
        <f t="shared" si="6"/>
        <v>1322.22222222222</v>
      </c>
      <c r="P21" s="37"/>
      <c r="Q21" s="151">
        <f>阶段总盈亏!H21</f>
        <v>119</v>
      </c>
      <c r="R21" s="159">
        <v>0.09</v>
      </c>
      <c r="S21" s="160">
        <v>1</v>
      </c>
      <c r="T21" s="37">
        <f t="shared" si="7"/>
        <v>1322.22222222222</v>
      </c>
      <c r="U21" s="159">
        <f t="shared" si="8"/>
        <v>0.396967170814974</v>
      </c>
      <c r="V21" s="161">
        <f t="shared" si="9"/>
        <v>11.1111111111111</v>
      </c>
      <c r="W21" s="161">
        <f t="shared" si="10"/>
        <v>188.888888888889</v>
      </c>
      <c r="X21" s="156"/>
      <c r="Y21" s="37"/>
      <c r="Z21" s="37"/>
      <c r="AA21" s="160"/>
      <c r="AB21" s="37"/>
      <c r="AC21" s="37"/>
      <c r="AD21" s="37"/>
    </row>
    <row r="22" spans="1:30">
      <c r="A22" s="37"/>
      <c r="B22" s="123" t="s">
        <v>114</v>
      </c>
      <c r="C22" s="124">
        <f>价格策略模拟!B7</f>
        <v>27.99</v>
      </c>
      <c r="D22" s="125">
        <f>价格策略模拟!C7</f>
        <v>0.1</v>
      </c>
      <c r="E22" s="126">
        <f>价格策略模拟!D7</f>
        <v>0</v>
      </c>
      <c r="F22" s="127">
        <f t="shared" si="0"/>
        <v>25.191</v>
      </c>
      <c r="G22" s="37"/>
      <c r="H22" s="37"/>
      <c r="I22" s="37"/>
      <c r="J22" s="37"/>
      <c r="K22" s="37"/>
      <c r="L22" s="156"/>
      <c r="M22" s="155"/>
      <c r="N22" s="37"/>
      <c r="O22" s="151">
        <f t="shared" si="6"/>
        <v>1322.22222222222</v>
      </c>
      <c r="P22" s="37"/>
      <c r="Q22" s="151">
        <f>阶段总盈亏!H22</f>
        <v>119</v>
      </c>
      <c r="R22" s="159">
        <v>0.09</v>
      </c>
      <c r="S22" s="160">
        <v>1</v>
      </c>
      <c r="T22" s="37">
        <f t="shared" si="7"/>
        <v>1322.22222222222</v>
      </c>
      <c r="U22" s="159">
        <f t="shared" si="8"/>
        <v>0.396967170814974</v>
      </c>
      <c r="V22" s="161">
        <f t="shared" si="9"/>
        <v>11.1111111111111</v>
      </c>
      <c r="W22" s="161">
        <f t="shared" si="10"/>
        <v>188.888888888889</v>
      </c>
      <c r="X22" s="156"/>
      <c r="Y22" s="37"/>
      <c r="Z22" s="37"/>
      <c r="AA22" s="160"/>
      <c r="AB22" s="37"/>
      <c r="AC22" s="37"/>
      <c r="AD22" s="37"/>
    </row>
    <row r="23" spans="1:30">
      <c r="A23" s="37" t="s">
        <v>32</v>
      </c>
      <c r="B23" s="123" t="s">
        <v>115</v>
      </c>
      <c r="C23" s="124">
        <f>价格策略模拟!B8</f>
        <v>27.99</v>
      </c>
      <c r="D23" s="125">
        <f>价格策略模拟!C8</f>
        <v>0.1</v>
      </c>
      <c r="E23" s="126">
        <f>价格策略模拟!D8</f>
        <v>0</v>
      </c>
      <c r="F23" s="127">
        <f t="shared" si="0"/>
        <v>25.191</v>
      </c>
      <c r="G23" s="37"/>
      <c r="H23" s="37"/>
      <c r="I23" s="37"/>
      <c r="J23" s="37"/>
      <c r="K23" s="37"/>
      <c r="L23" s="156"/>
      <c r="M23" s="155"/>
      <c r="N23" s="37"/>
      <c r="O23" s="151">
        <f t="shared" si="6"/>
        <v>1260</v>
      </c>
      <c r="P23" s="37"/>
      <c r="Q23" s="151">
        <f>阶段总盈亏!H23</f>
        <v>126</v>
      </c>
      <c r="R23" s="159">
        <v>0.1</v>
      </c>
      <c r="S23" s="160">
        <v>0.9</v>
      </c>
      <c r="T23" s="37">
        <f t="shared" si="7"/>
        <v>1134</v>
      </c>
      <c r="U23" s="159">
        <f t="shared" si="8"/>
        <v>0.321543408360129</v>
      </c>
      <c r="V23" s="161">
        <f t="shared" si="9"/>
        <v>9</v>
      </c>
      <c r="W23" s="161">
        <f t="shared" si="10"/>
        <v>162</v>
      </c>
      <c r="X23" s="156"/>
      <c r="Y23" s="37"/>
      <c r="Z23" s="37"/>
      <c r="AA23" s="160"/>
      <c r="AB23" s="37"/>
      <c r="AC23" s="37"/>
      <c r="AD23" s="37"/>
    </row>
    <row r="24" spans="1:30">
      <c r="A24" s="37"/>
      <c r="B24" s="123" t="s">
        <v>116</v>
      </c>
      <c r="C24" s="124">
        <f>价格策略模拟!B8</f>
        <v>27.99</v>
      </c>
      <c r="D24" s="125">
        <f>价格策略模拟!C8</f>
        <v>0.1</v>
      </c>
      <c r="E24" s="126">
        <f>价格策略模拟!D8</f>
        <v>0</v>
      </c>
      <c r="F24" s="127">
        <f t="shared" si="0"/>
        <v>25.191</v>
      </c>
      <c r="G24" s="37"/>
      <c r="H24" s="37"/>
      <c r="I24" s="37"/>
      <c r="J24" s="37"/>
      <c r="K24" s="37"/>
      <c r="L24" s="156"/>
      <c r="M24" s="155"/>
      <c r="N24" s="37"/>
      <c r="O24" s="151">
        <f t="shared" si="6"/>
        <v>1260</v>
      </c>
      <c r="P24" s="37"/>
      <c r="Q24" s="151">
        <f>阶段总盈亏!H24</f>
        <v>126</v>
      </c>
      <c r="R24" s="159">
        <v>0.1</v>
      </c>
      <c r="S24" s="160">
        <v>0.9</v>
      </c>
      <c r="T24" s="37">
        <f t="shared" si="7"/>
        <v>1134</v>
      </c>
      <c r="U24" s="159">
        <f t="shared" si="8"/>
        <v>0.321543408360129</v>
      </c>
      <c r="V24" s="161">
        <f t="shared" si="9"/>
        <v>9</v>
      </c>
      <c r="W24" s="161">
        <f t="shared" si="10"/>
        <v>162</v>
      </c>
      <c r="X24" s="156"/>
      <c r="Y24" s="37"/>
      <c r="Z24" s="37"/>
      <c r="AA24" s="160"/>
      <c r="AB24" s="37"/>
      <c r="AC24" s="37"/>
      <c r="AD24" s="37"/>
    </row>
    <row r="25" spans="1:30">
      <c r="A25" s="37"/>
      <c r="B25" s="123" t="s">
        <v>117</v>
      </c>
      <c r="C25" s="124">
        <f>价格策略模拟!B8</f>
        <v>27.99</v>
      </c>
      <c r="D25" s="125">
        <f>价格策略模拟!C8</f>
        <v>0.1</v>
      </c>
      <c r="E25" s="126">
        <f>价格策略模拟!D8</f>
        <v>0</v>
      </c>
      <c r="F25" s="127">
        <f t="shared" si="0"/>
        <v>25.191</v>
      </c>
      <c r="G25" s="37"/>
      <c r="H25" s="37"/>
      <c r="I25" s="37"/>
      <c r="J25" s="37"/>
      <c r="K25" s="37"/>
      <c r="L25" s="156"/>
      <c r="M25" s="155"/>
      <c r="N25" s="37"/>
      <c r="O25" s="151">
        <f t="shared" si="6"/>
        <v>1330</v>
      </c>
      <c r="P25" s="37"/>
      <c r="Q25" s="151">
        <f>阶段总盈亏!H25</f>
        <v>133</v>
      </c>
      <c r="R25" s="159">
        <v>0.1</v>
      </c>
      <c r="S25" s="160">
        <v>0.9</v>
      </c>
      <c r="T25" s="37">
        <f t="shared" si="7"/>
        <v>1197</v>
      </c>
      <c r="U25" s="159">
        <f t="shared" si="8"/>
        <v>0.321543408360129</v>
      </c>
      <c r="V25" s="161">
        <f t="shared" si="9"/>
        <v>9</v>
      </c>
      <c r="W25" s="161">
        <f t="shared" si="10"/>
        <v>171</v>
      </c>
      <c r="X25" s="156"/>
      <c r="Y25" s="37"/>
      <c r="Z25" s="37"/>
      <c r="AA25" s="160"/>
      <c r="AB25" s="37"/>
      <c r="AC25" s="37"/>
      <c r="AD25" s="37"/>
    </row>
    <row r="26" spans="1:30">
      <c r="A26" s="37"/>
      <c r="B26" s="123" t="s">
        <v>118</v>
      </c>
      <c r="C26" s="124">
        <f>价格策略模拟!B8</f>
        <v>27.99</v>
      </c>
      <c r="D26" s="125">
        <f>价格策略模拟!C8</f>
        <v>0.1</v>
      </c>
      <c r="E26" s="126">
        <f>价格策略模拟!D8</f>
        <v>0</v>
      </c>
      <c r="F26" s="127">
        <f t="shared" si="0"/>
        <v>25.191</v>
      </c>
      <c r="G26" s="37"/>
      <c r="H26" s="37"/>
      <c r="I26" s="37"/>
      <c r="J26" s="37"/>
      <c r="K26" s="37"/>
      <c r="L26" s="156"/>
      <c r="M26" s="155"/>
      <c r="N26" s="37"/>
      <c r="O26" s="151">
        <f t="shared" si="6"/>
        <v>1330</v>
      </c>
      <c r="P26" s="37"/>
      <c r="Q26" s="151">
        <f>阶段总盈亏!H26</f>
        <v>133</v>
      </c>
      <c r="R26" s="159">
        <v>0.1</v>
      </c>
      <c r="S26" s="160">
        <v>0.9</v>
      </c>
      <c r="T26" s="37">
        <f t="shared" si="7"/>
        <v>1197</v>
      </c>
      <c r="U26" s="159">
        <f t="shared" si="8"/>
        <v>0.321543408360129</v>
      </c>
      <c r="V26" s="161">
        <f t="shared" si="9"/>
        <v>9</v>
      </c>
      <c r="W26" s="161">
        <f t="shared" si="10"/>
        <v>171</v>
      </c>
      <c r="X26" s="156"/>
      <c r="Y26" s="37"/>
      <c r="Z26" s="37"/>
      <c r="AA26" s="160"/>
      <c r="AB26" s="37"/>
      <c r="AC26" s="37"/>
      <c r="AD26" s="37"/>
    </row>
    <row r="28" spans="1:27">
      <c r="A28" s="50" t="s">
        <v>144</v>
      </c>
      <c r="C28" s="50"/>
      <c r="D28" s="50"/>
      <c r="E28" s="50"/>
      <c r="F28" s="50"/>
      <c r="L28" s="50"/>
      <c r="M28" s="50"/>
      <c r="R28" s="50"/>
      <c r="S28" s="50"/>
      <c r="U28" s="50"/>
      <c r="V28" s="50"/>
      <c r="W28" s="50"/>
      <c r="X28" s="50"/>
      <c r="AA28" s="50"/>
    </row>
    <row r="29" spans="1:30">
      <c r="A29" s="58" t="s">
        <v>120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72" t="s">
        <v>121</v>
      </c>
      <c r="O29" s="72"/>
      <c r="P29" s="72"/>
      <c r="Q29" s="72"/>
      <c r="R29" s="72"/>
      <c r="S29" s="72"/>
      <c r="T29" s="72"/>
      <c r="U29" s="72"/>
      <c r="V29" s="72"/>
      <c r="W29" s="72"/>
      <c r="AB29" s="97" t="s">
        <v>122</v>
      </c>
      <c r="AC29" s="98" t="s">
        <v>123</v>
      </c>
      <c r="AD29" s="98"/>
    </row>
    <row r="30" s="108" customFormat="1" ht="32.25" customHeight="1" spans="1:30">
      <c r="A30" s="61" t="s">
        <v>40</v>
      </c>
      <c r="B30" s="61" t="s">
        <v>124</v>
      </c>
      <c r="C30" s="61" t="s">
        <v>2</v>
      </c>
      <c r="D30" s="62" t="s">
        <v>3</v>
      </c>
      <c r="E30" s="62" t="s">
        <v>4</v>
      </c>
      <c r="F30" s="62" t="s">
        <v>44</v>
      </c>
      <c r="G30" s="63" t="s">
        <v>125</v>
      </c>
      <c r="H30" s="63" t="s">
        <v>20</v>
      </c>
      <c r="I30" s="74" t="s">
        <v>126</v>
      </c>
      <c r="J30" s="63" t="s">
        <v>127</v>
      </c>
      <c r="K30" s="74" t="s">
        <v>128</v>
      </c>
      <c r="L30" s="75" t="s">
        <v>73</v>
      </c>
      <c r="M30" s="76" t="s">
        <v>129</v>
      </c>
      <c r="N30" s="77" t="s">
        <v>130</v>
      </c>
      <c r="O30" s="77" t="s">
        <v>131</v>
      </c>
      <c r="P30" s="77" t="s">
        <v>132</v>
      </c>
      <c r="Q30" s="77" t="s">
        <v>133</v>
      </c>
      <c r="R30" s="86" t="s">
        <v>128</v>
      </c>
      <c r="S30" s="87" t="s">
        <v>134</v>
      </c>
      <c r="T30" s="88" t="s">
        <v>135</v>
      </c>
      <c r="U30" s="86" t="s">
        <v>136</v>
      </c>
      <c r="V30" s="89" t="s">
        <v>69</v>
      </c>
      <c r="W30" s="87" t="s">
        <v>77</v>
      </c>
      <c r="X30" s="90" t="s">
        <v>137</v>
      </c>
      <c r="Y30" s="91" t="s">
        <v>138</v>
      </c>
      <c r="Z30" s="100" t="s">
        <v>139</v>
      </c>
      <c r="AA30" s="102" t="s">
        <v>140</v>
      </c>
      <c r="AB30" s="103" t="s">
        <v>141</v>
      </c>
      <c r="AC30" s="104" t="s">
        <v>142</v>
      </c>
      <c r="AD30" s="104" t="s">
        <v>143</v>
      </c>
    </row>
    <row r="31" s="49" customFormat="1" ht="20" customHeight="1" spans="1:30">
      <c r="A31" s="37" t="s">
        <v>22</v>
      </c>
      <c r="B31" s="152" t="s">
        <v>84</v>
      </c>
      <c r="C31" s="124"/>
      <c r="D31" s="125"/>
      <c r="E31" s="126"/>
      <c r="F31" s="127"/>
      <c r="G31" s="151"/>
      <c r="H31" s="151"/>
      <c r="I31" s="151"/>
      <c r="J31" s="151"/>
      <c r="K31" s="153"/>
      <c r="L31" s="154"/>
      <c r="M31" s="155"/>
      <c r="N31" s="151"/>
      <c r="O31" s="151"/>
      <c r="P31" s="37"/>
      <c r="Q31" s="151"/>
      <c r="R31" s="159"/>
      <c r="S31" s="160"/>
      <c r="T31" s="37"/>
      <c r="U31" s="159"/>
      <c r="V31" s="161"/>
      <c r="W31" s="161"/>
      <c r="X31" s="154"/>
      <c r="Y31" s="37"/>
      <c r="Z31" s="153"/>
      <c r="AA31" s="161"/>
      <c r="AB31" s="151"/>
      <c r="AC31" s="37"/>
      <c r="AD31" s="37"/>
    </row>
    <row r="32" s="49" customFormat="1" ht="20" customHeight="1" spans="1:30">
      <c r="A32" s="37"/>
      <c r="B32" s="152" t="s">
        <v>86</v>
      </c>
      <c r="C32" s="124"/>
      <c r="D32" s="125"/>
      <c r="E32" s="126"/>
      <c r="F32" s="127"/>
      <c r="G32" s="151"/>
      <c r="H32" s="151"/>
      <c r="I32" s="151"/>
      <c r="J32" s="151"/>
      <c r="K32" s="153"/>
      <c r="L32" s="154"/>
      <c r="M32" s="155"/>
      <c r="N32" s="151"/>
      <c r="O32" s="151"/>
      <c r="P32" s="37"/>
      <c r="Q32" s="151"/>
      <c r="R32" s="159"/>
      <c r="S32" s="160"/>
      <c r="T32" s="37"/>
      <c r="U32" s="159"/>
      <c r="V32" s="161"/>
      <c r="W32" s="161"/>
      <c r="X32" s="154"/>
      <c r="Y32" s="37"/>
      <c r="Z32" s="153"/>
      <c r="AA32" s="161"/>
      <c r="AB32" s="151"/>
      <c r="AC32" s="37"/>
      <c r="AD32" s="37"/>
    </row>
    <row r="33" s="49" customFormat="1" ht="20" customHeight="1" spans="1:30">
      <c r="A33" s="37"/>
      <c r="B33" s="152" t="s">
        <v>88</v>
      </c>
      <c r="C33" s="124"/>
      <c r="D33" s="125"/>
      <c r="E33" s="126"/>
      <c r="F33" s="127"/>
      <c r="G33" s="151"/>
      <c r="H33" s="151"/>
      <c r="I33" s="151"/>
      <c r="J33" s="151"/>
      <c r="K33" s="153"/>
      <c r="L33" s="154"/>
      <c r="M33" s="155"/>
      <c r="N33" s="151"/>
      <c r="O33" s="151"/>
      <c r="P33" s="37"/>
      <c r="Q33" s="151"/>
      <c r="R33" s="159"/>
      <c r="S33" s="160"/>
      <c r="T33" s="37"/>
      <c r="U33" s="159"/>
      <c r="V33" s="161"/>
      <c r="W33" s="161"/>
      <c r="X33" s="154"/>
      <c r="Y33" s="37"/>
      <c r="Z33" s="153"/>
      <c r="AA33" s="161"/>
      <c r="AB33" s="151"/>
      <c r="AC33" s="37"/>
      <c r="AD33" s="37"/>
    </row>
    <row r="34" s="49" customFormat="1" ht="20" customHeight="1" spans="1:30">
      <c r="A34" s="37"/>
      <c r="B34" s="152" t="s">
        <v>90</v>
      </c>
      <c r="C34" s="124"/>
      <c r="D34" s="125"/>
      <c r="E34" s="126"/>
      <c r="F34" s="127"/>
      <c r="G34" s="151"/>
      <c r="H34" s="151"/>
      <c r="I34" s="37"/>
      <c r="J34" s="37"/>
      <c r="K34" s="153"/>
      <c r="L34" s="156"/>
      <c r="M34" s="155"/>
      <c r="N34" s="37"/>
      <c r="O34" s="151"/>
      <c r="P34" s="37"/>
      <c r="Q34" s="151"/>
      <c r="R34" s="159"/>
      <c r="S34" s="160"/>
      <c r="T34" s="37"/>
      <c r="U34" s="159"/>
      <c r="V34" s="161"/>
      <c r="W34" s="161"/>
      <c r="X34" s="156"/>
      <c r="Y34" s="37"/>
      <c r="Z34" s="37"/>
      <c r="AA34" s="160"/>
      <c r="AB34" s="37"/>
      <c r="AC34" s="37"/>
      <c r="AD34" s="37"/>
    </row>
    <row r="35" s="50" customFormat="1" spans="1:30">
      <c r="A35" s="37" t="s">
        <v>24</v>
      </c>
      <c r="B35" s="152" t="s">
        <v>92</v>
      </c>
      <c r="C35" s="124"/>
      <c r="D35" s="125"/>
      <c r="E35" s="126"/>
      <c r="F35" s="127"/>
      <c r="G35" s="37"/>
      <c r="H35" s="37"/>
      <c r="I35" s="37"/>
      <c r="J35" s="37"/>
      <c r="K35" s="37"/>
      <c r="L35" s="156"/>
      <c r="M35" s="155"/>
      <c r="N35" s="37"/>
      <c r="O35" s="151"/>
      <c r="P35" s="37"/>
      <c r="Q35" s="151"/>
      <c r="R35" s="159"/>
      <c r="S35" s="160"/>
      <c r="T35" s="37"/>
      <c r="U35" s="159"/>
      <c r="V35" s="161"/>
      <c r="W35" s="161"/>
      <c r="X35" s="156"/>
      <c r="Y35" s="37"/>
      <c r="Z35" s="37"/>
      <c r="AA35" s="160"/>
      <c r="AB35" s="37"/>
      <c r="AC35" s="37"/>
      <c r="AD35" s="37"/>
    </row>
    <row r="36" spans="1:30">
      <c r="A36" s="37"/>
      <c r="B36" s="152" t="s">
        <v>94</v>
      </c>
      <c r="C36" s="124"/>
      <c r="D36" s="125"/>
      <c r="E36" s="126"/>
      <c r="F36" s="127"/>
      <c r="G36" s="37"/>
      <c r="H36" s="37"/>
      <c r="I36" s="37"/>
      <c r="J36" s="37"/>
      <c r="K36" s="37"/>
      <c r="L36" s="156"/>
      <c r="M36" s="155"/>
      <c r="N36" s="37"/>
      <c r="O36" s="151"/>
      <c r="P36" s="37"/>
      <c r="Q36" s="151"/>
      <c r="R36" s="159"/>
      <c r="S36" s="160"/>
      <c r="T36" s="37"/>
      <c r="U36" s="159"/>
      <c r="V36" s="161"/>
      <c r="W36" s="161"/>
      <c r="X36" s="156"/>
      <c r="Y36" s="37"/>
      <c r="Z36" s="37"/>
      <c r="AA36" s="160"/>
      <c r="AB36" s="37"/>
      <c r="AC36" s="37"/>
      <c r="AD36" s="37"/>
    </row>
    <row r="37" spans="1:30">
      <c r="A37" s="37"/>
      <c r="B37" s="152" t="s">
        <v>96</v>
      </c>
      <c r="C37" s="124"/>
      <c r="D37" s="125"/>
      <c r="E37" s="126"/>
      <c r="F37" s="127"/>
      <c r="G37" s="37"/>
      <c r="H37" s="37"/>
      <c r="I37" s="37"/>
      <c r="J37" s="37"/>
      <c r="K37" s="37"/>
      <c r="L37" s="156"/>
      <c r="M37" s="155"/>
      <c r="N37" s="37"/>
      <c r="O37" s="151"/>
      <c r="P37" s="37"/>
      <c r="Q37" s="151"/>
      <c r="R37" s="159"/>
      <c r="S37" s="160"/>
      <c r="T37" s="37"/>
      <c r="U37" s="159"/>
      <c r="V37" s="161"/>
      <c r="W37" s="161"/>
      <c r="X37" s="156"/>
      <c r="Y37" s="37"/>
      <c r="Z37" s="37"/>
      <c r="AA37" s="160"/>
      <c r="AB37" s="37"/>
      <c r="AC37" s="37"/>
      <c r="AD37" s="37"/>
    </row>
    <row r="38" spans="1:30">
      <c r="A38" s="37"/>
      <c r="B38" s="152" t="s">
        <v>98</v>
      </c>
      <c r="C38" s="124"/>
      <c r="D38" s="125"/>
      <c r="E38" s="126"/>
      <c r="F38" s="127"/>
      <c r="G38" s="37"/>
      <c r="H38" s="37"/>
      <c r="I38" s="37"/>
      <c r="J38" s="37"/>
      <c r="K38" s="37"/>
      <c r="L38" s="156"/>
      <c r="M38" s="155"/>
      <c r="N38" s="37"/>
      <c r="O38" s="151"/>
      <c r="P38" s="37"/>
      <c r="Q38" s="151"/>
      <c r="R38" s="159"/>
      <c r="S38" s="160"/>
      <c r="T38" s="37"/>
      <c r="U38" s="159"/>
      <c r="V38" s="161"/>
      <c r="W38" s="161"/>
      <c r="X38" s="156"/>
      <c r="Y38" s="37"/>
      <c r="Z38" s="37"/>
      <c r="AA38" s="160"/>
      <c r="AB38" s="37"/>
      <c r="AC38" s="37"/>
      <c r="AD38" s="37"/>
    </row>
    <row r="39" spans="1:30">
      <c r="A39" s="37" t="s">
        <v>26</v>
      </c>
      <c r="B39" s="152" t="s">
        <v>100</v>
      </c>
      <c r="C39" s="124"/>
      <c r="D39" s="125"/>
      <c r="E39" s="126"/>
      <c r="F39" s="127"/>
      <c r="G39" s="37"/>
      <c r="H39" s="37"/>
      <c r="I39" s="37"/>
      <c r="J39" s="37"/>
      <c r="K39" s="37"/>
      <c r="L39" s="156"/>
      <c r="M39" s="155"/>
      <c r="N39" s="37"/>
      <c r="O39" s="151"/>
      <c r="P39" s="37"/>
      <c r="Q39" s="151"/>
      <c r="R39" s="159"/>
      <c r="S39" s="160"/>
      <c r="T39" s="37"/>
      <c r="U39" s="159"/>
      <c r="V39" s="161"/>
      <c r="W39" s="161"/>
      <c r="X39" s="156"/>
      <c r="Y39" s="37"/>
      <c r="Z39" s="37"/>
      <c r="AA39" s="160"/>
      <c r="AB39" s="37"/>
      <c r="AC39" s="37"/>
      <c r="AD39" s="37"/>
    </row>
    <row r="40" spans="1:30">
      <c r="A40" s="37"/>
      <c r="B40" s="152" t="s">
        <v>102</v>
      </c>
      <c r="C40" s="124"/>
      <c r="D40" s="125"/>
      <c r="E40" s="126"/>
      <c r="F40" s="127"/>
      <c r="G40" s="37"/>
      <c r="H40" s="37"/>
      <c r="I40" s="37"/>
      <c r="J40" s="37"/>
      <c r="K40" s="37"/>
      <c r="L40" s="156"/>
      <c r="M40" s="155"/>
      <c r="N40" s="37"/>
      <c r="O40" s="151"/>
      <c r="P40" s="37"/>
      <c r="Q40" s="151"/>
      <c r="R40" s="159"/>
      <c r="S40" s="160"/>
      <c r="T40" s="37"/>
      <c r="U40" s="159"/>
      <c r="V40" s="161"/>
      <c r="W40" s="161"/>
      <c r="X40" s="156"/>
      <c r="Y40" s="37"/>
      <c r="Z40" s="37"/>
      <c r="AA40" s="160"/>
      <c r="AB40" s="37"/>
      <c r="AC40" s="37"/>
      <c r="AD40" s="37"/>
    </row>
    <row r="41" spans="1:30">
      <c r="A41" s="37"/>
      <c r="B41" s="152" t="s">
        <v>104</v>
      </c>
      <c r="C41" s="124"/>
      <c r="D41" s="125"/>
      <c r="E41" s="126"/>
      <c r="F41" s="127"/>
      <c r="G41" s="37"/>
      <c r="H41" s="37"/>
      <c r="I41" s="37"/>
      <c r="J41" s="37"/>
      <c r="K41" s="37"/>
      <c r="L41" s="156"/>
      <c r="M41" s="155"/>
      <c r="N41" s="37"/>
      <c r="O41" s="151"/>
      <c r="P41" s="37"/>
      <c r="Q41" s="151"/>
      <c r="R41" s="159"/>
      <c r="S41" s="160"/>
      <c r="T41" s="37"/>
      <c r="U41" s="159"/>
      <c r="V41" s="161"/>
      <c r="W41" s="161"/>
      <c r="X41" s="156"/>
      <c r="Y41" s="37"/>
      <c r="Z41" s="37"/>
      <c r="AA41" s="160"/>
      <c r="AB41" s="37"/>
      <c r="AC41" s="37"/>
      <c r="AD41" s="37"/>
    </row>
    <row r="42" spans="1:30">
      <c r="A42" s="37"/>
      <c r="B42" s="152" t="s">
        <v>106</v>
      </c>
      <c r="C42" s="124"/>
      <c r="D42" s="125"/>
      <c r="E42" s="126"/>
      <c r="F42" s="127"/>
      <c r="G42" s="37"/>
      <c r="H42" s="37"/>
      <c r="I42" s="37"/>
      <c r="J42" s="37"/>
      <c r="K42" s="37"/>
      <c r="L42" s="156"/>
      <c r="M42" s="155"/>
      <c r="N42" s="37"/>
      <c r="O42" s="151"/>
      <c r="P42" s="37"/>
      <c r="Q42" s="151"/>
      <c r="R42" s="159"/>
      <c r="S42" s="160"/>
      <c r="T42" s="37"/>
      <c r="U42" s="159"/>
      <c r="V42" s="161"/>
      <c r="W42" s="161"/>
      <c r="X42" s="156"/>
      <c r="Y42" s="37"/>
      <c r="Z42" s="37"/>
      <c r="AA42" s="160"/>
      <c r="AB42" s="37"/>
      <c r="AC42" s="37"/>
      <c r="AD42" s="37"/>
    </row>
    <row r="43" spans="1:30">
      <c r="A43" s="37" t="s">
        <v>28</v>
      </c>
      <c r="B43" s="152" t="s">
        <v>107</v>
      </c>
      <c r="C43" s="124"/>
      <c r="D43" s="125"/>
      <c r="E43" s="126"/>
      <c r="F43" s="127"/>
      <c r="G43" s="37"/>
      <c r="H43" s="37"/>
      <c r="I43" s="37"/>
      <c r="J43" s="37"/>
      <c r="K43" s="37"/>
      <c r="L43" s="156"/>
      <c r="M43" s="155"/>
      <c r="N43" s="37"/>
      <c r="O43" s="151"/>
      <c r="P43" s="37"/>
      <c r="Q43" s="151"/>
      <c r="R43" s="159"/>
      <c r="S43" s="160"/>
      <c r="T43" s="37"/>
      <c r="U43" s="159"/>
      <c r="V43" s="161"/>
      <c r="W43" s="161"/>
      <c r="X43" s="156"/>
      <c r="Y43" s="37"/>
      <c r="Z43" s="37"/>
      <c r="AA43" s="160"/>
      <c r="AB43" s="37"/>
      <c r="AC43" s="37"/>
      <c r="AD43" s="37"/>
    </row>
    <row r="44" spans="1:30">
      <c r="A44" s="37"/>
      <c r="B44" s="152" t="s">
        <v>108</v>
      </c>
      <c r="C44" s="124"/>
      <c r="D44" s="125"/>
      <c r="E44" s="126"/>
      <c r="F44" s="127"/>
      <c r="G44" s="37"/>
      <c r="H44" s="37"/>
      <c r="I44" s="37"/>
      <c r="J44" s="37"/>
      <c r="K44" s="37"/>
      <c r="L44" s="156"/>
      <c r="M44" s="155"/>
      <c r="N44" s="37"/>
      <c r="O44" s="151"/>
      <c r="P44" s="37"/>
      <c r="Q44" s="151"/>
      <c r="R44" s="159"/>
      <c r="S44" s="160"/>
      <c r="T44" s="37"/>
      <c r="U44" s="159"/>
      <c r="V44" s="161"/>
      <c r="W44" s="161"/>
      <c r="X44" s="156"/>
      <c r="Y44" s="37"/>
      <c r="Z44" s="37"/>
      <c r="AA44" s="160"/>
      <c r="AB44" s="37"/>
      <c r="AC44" s="37"/>
      <c r="AD44" s="37"/>
    </row>
    <row r="45" spans="1:30">
      <c r="A45" s="37"/>
      <c r="B45" s="152" t="s">
        <v>109</v>
      </c>
      <c r="C45" s="124"/>
      <c r="D45" s="125"/>
      <c r="E45" s="126"/>
      <c r="F45" s="127"/>
      <c r="G45" s="37"/>
      <c r="H45" s="37"/>
      <c r="I45" s="37"/>
      <c r="J45" s="37"/>
      <c r="K45" s="37"/>
      <c r="L45" s="156"/>
      <c r="M45" s="155"/>
      <c r="N45" s="37"/>
      <c r="O45" s="151"/>
      <c r="P45" s="37"/>
      <c r="Q45" s="151"/>
      <c r="R45" s="159"/>
      <c r="S45" s="160"/>
      <c r="T45" s="37"/>
      <c r="U45" s="159"/>
      <c r="V45" s="161"/>
      <c r="W45" s="161"/>
      <c r="X45" s="156"/>
      <c r="Y45" s="37"/>
      <c r="Z45" s="37"/>
      <c r="AA45" s="160"/>
      <c r="AB45" s="37"/>
      <c r="AC45" s="37"/>
      <c r="AD45" s="37"/>
    </row>
    <row r="46" spans="1:30">
      <c r="A46" s="37"/>
      <c r="B46" s="152" t="s">
        <v>110</v>
      </c>
      <c r="C46" s="124"/>
      <c r="D46" s="125"/>
      <c r="E46" s="126"/>
      <c r="F46" s="127"/>
      <c r="G46" s="37"/>
      <c r="H46" s="37"/>
      <c r="I46" s="37"/>
      <c r="J46" s="37"/>
      <c r="K46" s="37"/>
      <c r="L46" s="156"/>
      <c r="M46" s="155"/>
      <c r="N46" s="37"/>
      <c r="O46" s="151"/>
      <c r="P46" s="37"/>
      <c r="Q46" s="151"/>
      <c r="R46" s="159"/>
      <c r="S46" s="160"/>
      <c r="T46" s="37"/>
      <c r="U46" s="159"/>
      <c r="V46" s="161"/>
      <c r="W46" s="161"/>
      <c r="X46" s="156"/>
      <c r="Y46" s="37"/>
      <c r="Z46" s="37"/>
      <c r="AA46" s="160"/>
      <c r="AB46" s="37"/>
      <c r="AC46" s="37"/>
      <c r="AD46" s="37"/>
    </row>
    <row r="47" spans="1:30">
      <c r="A47" s="37" t="s">
        <v>30</v>
      </c>
      <c r="B47" s="152" t="s">
        <v>111</v>
      </c>
      <c r="C47" s="124"/>
      <c r="D47" s="125"/>
      <c r="E47" s="126"/>
      <c r="F47" s="127"/>
      <c r="G47" s="37"/>
      <c r="H47" s="37"/>
      <c r="I47" s="37"/>
      <c r="J47" s="37"/>
      <c r="K47" s="37"/>
      <c r="L47" s="156"/>
      <c r="M47" s="155"/>
      <c r="N47" s="37"/>
      <c r="O47" s="151"/>
      <c r="P47" s="37"/>
      <c r="Q47" s="151"/>
      <c r="R47" s="159"/>
      <c r="S47" s="160"/>
      <c r="T47" s="37"/>
      <c r="U47" s="159"/>
      <c r="V47" s="161"/>
      <c r="W47" s="161"/>
      <c r="X47" s="156"/>
      <c r="Y47" s="37"/>
      <c r="Z47" s="37"/>
      <c r="AA47" s="160"/>
      <c r="AB47" s="37"/>
      <c r="AC47" s="37"/>
      <c r="AD47" s="37"/>
    </row>
    <row r="48" spans="1:30">
      <c r="A48" s="37"/>
      <c r="B48" s="152" t="s">
        <v>112</v>
      </c>
      <c r="C48" s="124"/>
      <c r="D48" s="125"/>
      <c r="E48" s="126"/>
      <c r="F48" s="127"/>
      <c r="G48" s="37"/>
      <c r="H48" s="37"/>
      <c r="I48" s="37"/>
      <c r="J48" s="37"/>
      <c r="K48" s="37"/>
      <c r="L48" s="156"/>
      <c r="M48" s="155"/>
      <c r="N48" s="37"/>
      <c r="O48" s="151"/>
      <c r="P48" s="37"/>
      <c r="Q48" s="151"/>
      <c r="R48" s="159"/>
      <c r="S48" s="160"/>
      <c r="T48" s="37"/>
      <c r="U48" s="159"/>
      <c r="V48" s="161"/>
      <c r="W48" s="161"/>
      <c r="X48" s="156"/>
      <c r="Y48" s="37"/>
      <c r="Z48" s="37"/>
      <c r="AA48" s="160"/>
      <c r="AB48" s="37"/>
      <c r="AC48" s="37"/>
      <c r="AD48" s="37"/>
    </row>
    <row r="49" spans="1:30">
      <c r="A49" s="37"/>
      <c r="B49" s="152" t="s">
        <v>113</v>
      </c>
      <c r="C49" s="124"/>
      <c r="D49" s="125"/>
      <c r="E49" s="126"/>
      <c r="F49" s="127"/>
      <c r="G49" s="37"/>
      <c r="H49" s="37"/>
      <c r="I49" s="37"/>
      <c r="J49" s="37"/>
      <c r="K49" s="37"/>
      <c r="L49" s="156"/>
      <c r="M49" s="155"/>
      <c r="N49" s="37"/>
      <c r="O49" s="151"/>
      <c r="P49" s="37"/>
      <c r="Q49" s="151"/>
      <c r="R49" s="159"/>
      <c r="S49" s="160"/>
      <c r="T49" s="37"/>
      <c r="U49" s="159"/>
      <c r="V49" s="161"/>
      <c r="W49" s="161"/>
      <c r="X49" s="156"/>
      <c r="Y49" s="37"/>
      <c r="Z49" s="37"/>
      <c r="AA49" s="160"/>
      <c r="AB49" s="37"/>
      <c r="AC49" s="37"/>
      <c r="AD49" s="37"/>
    </row>
    <row r="50" spans="1:30">
      <c r="A50" s="37"/>
      <c r="B50" s="152" t="s">
        <v>114</v>
      </c>
      <c r="C50" s="124"/>
      <c r="D50" s="125"/>
      <c r="E50" s="126"/>
      <c r="F50" s="127"/>
      <c r="G50" s="37"/>
      <c r="H50" s="37"/>
      <c r="I50" s="37"/>
      <c r="J50" s="37"/>
      <c r="K50" s="37"/>
      <c r="L50" s="156"/>
      <c r="M50" s="155"/>
      <c r="N50" s="37"/>
      <c r="O50" s="151"/>
      <c r="P50" s="37"/>
      <c r="Q50" s="151"/>
      <c r="R50" s="159"/>
      <c r="S50" s="160"/>
      <c r="T50" s="37"/>
      <c r="U50" s="159"/>
      <c r="V50" s="161"/>
      <c r="W50" s="161"/>
      <c r="X50" s="156"/>
      <c r="Y50" s="37"/>
      <c r="Z50" s="37"/>
      <c r="AA50" s="160"/>
      <c r="AB50" s="37"/>
      <c r="AC50" s="37"/>
      <c r="AD50" s="37"/>
    </row>
    <row r="51" spans="1:30">
      <c r="A51" s="37" t="s">
        <v>32</v>
      </c>
      <c r="B51" s="152" t="s">
        <v>115</v>
      </c>
      <c r="C51" s="124"/>
      <c r="D51" s="125"/>
      <c r="E51" s="126"/>
      <c r="F51" s="127"/>
      <c r="G51" s="37"/>
      <c r="H51" s="37"/>
      <c r="I51" s="37"/>
      <c r="J51" s="37"/>
      <c r="K51" s="37"/>
      <c r="L51" s="156"/>
      <c r="M51" s="155"/>
      <c r="N51" s="37"/>
      <c r="O51" s="151"/>
      <c r="P51" s="37"/>
      <c r="Q51" s="151"/>
      <c r="R51" s="159"/>
      <c r="S51" s="160"/>
      <c r="T51" s="37"/>
      <c r="U51" s="159"/>
      <c r="V51" s="161"/>
      <c r="W51" s="161"/>
      <c r="X51" s="156"/>
      <c r="Y51" s="37"/>
      <c r="Z51" s="37"/>
      <c r="AA51" s="160"/>
      <c r="AB51" s="37"/>
      <c r="AC51" s="37"/>
      <c r="AD51" s="37"/>
    </row>
    <row r="52" spans="1:30">
      <c r="A52" s="37"/>
      <c r="B52" s="152" t="s">
        <v>116</v>
      </c>
      <c r="C52" s="124"/>
      <c r="D52" s="125"/>
      <c r="E52" s="126"/>
      <c r="F52" s="127"/>
      <c r="G52" s="37"/>
      <c r="H52" s="37"/>
      <c r="I52" s="37"/>
      <c r="J52" s="37"/>
      <c r="K52" s="37"/>
      <c r="L52" s="156"/>
      <c r="M52" s="155"/>
      <c r="N52" s="37"/>
      <c r="O52" s="151"/>
      <c r="P52" s="37"/>
      <c r="Q52" s="151"/>
      <c r="R52" s="159"/>
      <c r="S52" s="160"/>
      <c r="T52" s="37"/>
      <c r="U52" s="159"/>
      <c r="V52" s="161"/>
      <c r="W52" s="161"/>
      <c r="X52" s="156"/>
      <c r="Y52" s="37"/>
      <c r="Z52" s="37"/>
      <c r="AA52" s="160"/>
      <c r="AB52" s="37"/>
      <c r="AC52" s="37"/>
      <c r="AD52" s="37"/>
    </row>
    <row r="53" spans="1:30">
      <c r="A53" s="37"/>
      <c r="B53" s="152" t="s">
        <v>117</v>
      </c>
      <c r="C53" s="124"/>
      <c r="D53" s="125"/>
      <c r="E53" s="126"/>
      <c r="F53" s="127"/>
      <c r="G53" s="37"/>
      <c r="H53" s="37"/>
      <c r="I53" s="37"/>
      <c r="J53" s="37"/>
      <c r="K53" s="37"/>
      <c r="L53" s="156"/>
      <c r="M53" s="155"/>
      <c r="N53" s="37"/>
      <c r="O53" s="151"/>
      <c r="P53" s="37"/>
      <c r="Q53" s="151"/>
      <c r="R53" s="159"/>
      <c r="S53" s="160"/>
      <c r="T53" s="37"/>
      <c r="U53" s="159"/>
      <c r="V53" s="161"/>
      <c r="W53" s="161"/>
      <c r="X53" s="156"/>
      <c r="Y53" s="37"/>
      <c r="Z53" s="37"/>
      <c r="AA53" s="160"/>
      <c r="AB53" s="37"/>
      <c r="AC53" s="37"/>
      <c r="AD53" s="37"/>
    </row>
    <row r="54" spans="1:30">
      <c r="A54" s="37"/>
      <c r="B54" s="152" t="s">
        <v>118</v>
      </c>
      <c r="C54" s="124"/>
      <c r="D54" s="125"/>
      <c r="E54" s="126"/>
      <c r="F54" s="127"/>
      <c r="G54" s="37"/>
      <c r="H54" s="37"/>
      <c r="I54" s="37"/>
      <c r="J54" s="37"/>
      <c r="K54" s="37"/>
      <c r="L54" s="156"/>
      <c r="M54" s="155"/>
      <c r="N54" s="37"/>
      <c r="O54" s="151"/>
      <c r="P54" s="37"/>
      <c r="Q54" s="151"/>
      <c r="R54" s="159"/>
      <c r="S54" s="160"/>
      <c r="T54" s="37"/>
      <c r="U54" s="159"/>
      <c r="V54" s="161"/>
      <c r="W54" s="161"/>
      <c r="X54" s="156"/>
      <c r="Y54" s="37"/>
      <c r="Z54" s="37"/>
      <c r="AA54" s="160"/>
      <c r="AB54" s="37"/>
      <c r="AC54" s="37"/>
      <c r="AD54" s="37"/>
    </row>
  </sheetData>
  <sheetProtection formatCells="0" insertHyperlinks="0" autoFilter="0"/>
  <mergeCells count="19">
    <mergeCell ref="A1:M1"/>
    <mergeCell ref="N1:W1"/>
    <mergeCell ref="AC1:AD1"/>
    <mergeCell ref="A28:AD28"/>
    <mergeCell ref="A29:M29"/>
    <mergeCell ref="N29:W29"/>
    <mergeCell ref="AC29:AD29"/>
    <mergeCell ref="A3:A6"/>
    <mergeCell ref="A7:A10"/>
    <mergeCell ref="A11:A14"/>
    <mergeCell ref="A15:A18"/>
    <mergeCell ref="A19:A22"/>
    <mergeCell ref="A23:A26"/>
    <mergeCell ref="A31:A34"/>
    <mergeCell ref="A35:A38"/>
    <mergeCell ref="A39:A42"/>
    <mergeCell ref="A43:A46"/>
    <mergeCell ref="A47:A50"/>
    <mergeCell ref="A51:A5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2"/>
  <sheetViews>
    <sheetView zoomScale="110" zoomScaleNormal="110" workbookViewId="0">
      <pane ySplit="2" topLeftCell="A3" activePane="bottomLeft" state="frozen"/>
      <selection/>
      <selection pane="bottomLeft" activeCell="B2" sqref="B2:B6"/>
    </sheetView>
  </sheetViews>
  <sheetFormatPr defaultColWidth="12.5" defaultRowHeight="15.6"/>
  <cols>
    <col min="1" max="1" width="12.5" style="21"/>
    <col min="2" max="3" width="12.5" style="114" customWidth="1"/>
    <col min="4" max="4" width="10.8703703703704" style="114" customWidth="1"/>
    <col min="5" max="5" width="10.5" style="114" customWidth="1"/>
    <col min="6" max="19" width="12.5" style="114" customWidth="1"/>
    <col min="20" max="20" width="12.5" style="116" customWidth="1"/>
    <col min="21" max="16372" width="12.5" style="114" customWidth="1"/>
    <col min="16373" max="16384" width="12.5" style="114"/>
  </cols>
  <sheetData>
    <row r="1" ht="27.75" customHeight="1" spans="1:21">
      <c r="A1" s="117" t="s">
        <v>145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</row>
    <row r="2" ht="50" customHeight="1" spans="1:22">
      <c r="A2" s="118" t="s">
        <v>40</v>
      </c>
      <c r="B2" s="25" t="s">
        <v>67</v>
      </c>
      <c r="C2" s="119" t="s">
        <v>41</v>
      </c>
      <c r="D2" s="120" t="s">
        <v>42</v>
      </c>
      <c r="E2" s="121" t="s">
        <v>43</v>
      </c>
      <c r="F2" s="122" t="s">
        <v>44</v>
      </c>
      <c r="G2" s="122" t="s">
        <v>45</v>
      </c>
      <c r="H2" s="122" t="s">
        <v>46</v>
      </c>
      <c r="I2" s="122" t="s">
        <v>47</v>
      </c>
      <c r="J2" s="122" t="s">
        <v>48</v>
      </c>
      <c r="K2" s="122" t="s">
        <v>49</v>
      </c>
      <c r="L2" s="122" t="s">
        <v>50</v>
      </c>
      <c r="M2" s="122" t="s">
        <v>51</v>
      </c>
      <c r="N2" s="122" t="s">
        <v>52</v>
      </c>
      <c r="O2" s="121" t="s">
        <v>53</v>
      </c>
      <c r="P2" s="122" t="s">
        <v>54</v>
      </c>
      <c r="Q2" s="122" t="s">
        <v>55</v>
      </c>
      <c r="R2" s="121" t="s">
        <v>56</v>
      </c>
      <c r="S2" s="141" t="s">
        <v>57</v>
      </c>
      <c r="T2" s="122" t="s">
        <v>58</v>
      </c>
      <c r="U2" s="142" t="s">
        <v>59</v>
      </c>
      <c r="V2" s="141" t="s">
        <v>78</v>
      </c>
    </row>
    <row r="3" s="114" customFormat="1" ht="25" customHeight="1" spans="1:22">
      <c r="A3" s="37" t="s">
        <v>22</v>
      </c>
      <c r="B3" s="123" t="s">
        <v>84</v>
      </c>
      <c r="C3" s="124">
        <f>价格策略模拟!B3</f>
        <v>23.99</v>
      </c>
      <c r="D3" s="125">
        <f>价格策略模拟!C3</f>
        <v>0.25</v>
      </c>
      <c r="E3" s="126">
        <f>价格策略模拟!D3</f>
        <v>0</v>
      </c>
      <c r="F3" s="127">
        <f>SUM(C3*(1-D3-E3))</f>
        <v>17.9925</v>
      </c>
      <c r="G3" s="33">
        <v>5.5</v>
      </c>
      <c r="H3" s="33">
        <f>SUM(F3*15%)</f>
        <v>2.698875</v>
      </c>
      <c r="I3" s="33">
        <f>SUM(F3-G3-H3)</f>
        <v>9.793625</v>
      </c>
      <c r="J3" s="33">
        <f>0.13+0.21</f>
        <v>0.34</v>
      </c>
      <c r="K3" s="33">
        <v>0.6</v>
      </c>
      <c r="L3" s="33">
        <v>4.5</v>
      </c>
      <c r="M3" s="33">
        <v>1</v>
      </c>
      <c r="N3" s="33">
        <f>SUM(20%*15%*F3+G3+J3+L3+M3+1.04)</f>
        <v>12.919775</v>
      </c>
      <c r="O3" s="41">
        <v>0.15</v>
      </c>
      <c r="P3" s="33">
        <f t="shared" ref="P3:P8" si="0">SUM(N3*O3/(1-O3))</f>
        <v>2.27996029411765</v>
      </c>
      <c r="Q3" s="127">
        <f>SUM(I3-J3-K3-L3-M3-P3)</f>
        <v>1.07366470588235</v>
      </c>
      <c r="R3" s="143">
        <f>SUM(Q3/C3)</f>
        <v>0.0447546771939289</v>
      </c>
      <c r="S3" s="144">
        <f>阶段总盈亏!I3</f>
        <v>14</v>
      </c>
      <c r="T3" s="127">
        <f>SUM(Q3*S3)</f>
        <v>15.031305882353</v>
      </c>
      <c r="U3" s="145">
        <f>SUM(T3:T3)</f>
        <v>15.031305882353</v>
      </c>
      <c r="V3" s="144">
        <f>S3*C3</f>
        <v>335.86</v>
      </c>
    </row>
    <row r="4" s="114" customFormat="1" ht="25" customHeight="1" spans="1:16384">
      <c r="A4" s="37"/>
      <c r="B4" s="123" t="s">
        <v>86</v>
      </c>
      <c r="C4" s="124">
        <f>价格策略模拟!B3</f>
        <v>23.99</v>
      </c>
      <c r="D4" s="125">
        <f>价格策略模拟!C3</f>
        <v>0.25</v>
      </c>
      <c r="E4" s="126">
        <f>价格策略模拟!D3</f>
        <v>0</v>
      </c>
      <c r="F4" s="127">
        <f t="shared" ref="F4:F26" si="1">SUM(C4*(1-D4-E4))</f>
        <v>17.9925</v>
      </c>
      <c r="G4" s="33">
        <v>5.5</v>
      </c>
      <c r="H4" s="33">
        <f>SUM(F4*15%)</f>
        <v>2.698875</v>
      </c>
      <c r="I4" s="33">
        <f>SUM(F4-G4-H4)</f>
        <v>9.793625</v>
      </c>
      <c r="J4" s="33">
        <f>0.13+0.21</f>
        <v>0.34</v>
      </c>
      <c r="K4" s="33">
        <v>0.6</v>
      </c>
      <c r="L4" s="33">
        <v>4.5</v>
      </c>
      <c r="M4" s="33">
        <v>1</v>
      </c>
      <c r="N4" s="33">
        <f>SUM(20%*15%*F4+G4+J4+L4+M4+1.04)</f>
        <v>12.919775</v>
      </c>
      <c r="O4" s="41">
        <v>0.15</v>
      </c>
      <c r="P4" s="33">
        <f t="shared" si="0"/>
        <v>2.27996029411765</v>
      </c>
      <c r="Q4" s="127">
        <f t="shared" ref="Q4:Q26" si="2">SUM(I4-J4-K4-L4-M4-P4)</f>
        <v>1.07366470588235</v>
      </c>
      <c r="R4" s="143">
        <f t="shared" ref="R4:R26" si="3">SUM(Q4/C4)</f>
        <v>0.0447546771939289</v>
      </c>
      <c r="S4" s="144">
        <f>阶段总盈亏!I4</f>
        <v>28</v>
      </c>
      <c r="T4" s="127">
        <f t="shared" ref="T4:T26" si="4">SUM(Q4*S4)</f>
        <v>30.0626117647059</v>
      </c>
      <c r="U4" s="146">
        <f t="shared" ref="U4:U26" si="5">SUM(T4:T4)</f>
        <v>30.0626117647059</v>
      </c>
      <c r="V4" s="144">
        <f t="shared" ref="V4:V26" si="6">S4*C4</f>
        <v>671.72</v>
      </c>
      <c r="XEQ4" s="115"/>
      <c r="XER4" s="115"/>
      <c r="XES4" s="115"/>
      <c r="XET4" s="115"/>
      <c r="XEU4" s="115"/>
      <c r="XEV4" s="115"/>
      <c r="XEW4" s="115"/>
      <c r="XEX4" s="115"/>
      <c r="XEY4" s="115"/>
      <c r="XEZ4" s="115"/>
      <c r="XFA4" s="115"/>
      <c r="XFB4" s="115"/>
      <c r="XFC4" s="115"/>
      <c r="XFD4" s="115"/>
    </row>
    <row r="5" s="114" customFormat="1" ht="25" customHeight="1" spans="1:16384">
      <c r="A5" s="37"/>
      <c r="B5" s="123" t="s">
        <v>88</v>
      </c>
      <c r="C5" s="124">
        <f>价格策略模拟!B3</f>
        <v>23.99</v>
      </c>
      <c r="D5" s="125">
        <f>价格策略模拟!C3</f>
        <v>0.25</v>
      </c>
      <c r="E5" s="126">
        <f>价格策略模拟!D3</f>
        <v>0</v>
      </c>
      <c r="F5" s="127">
        <f t="shared" si="1"/>
        <v>17.9925</v>
      </c>
      <c r="G5" s="33">
        <v>5.5</v>
      </c>
      <c r="H5" s="33">
        <f t="shared" ref="H5:H26" si="7">SUM(F5*15%)</f>
        <v>2.698875</v>
      </c>
      <c r="I5" s="33">
        <f t="shared" ref="I5:I26" si="8">SUM(F5-G5-H5)</f>
        <v>9.793625</v>
      </c>
      <c r="J5" s="33">
        <f t="shared" ref="J5:J14" si="9">0.13+0.21</f>
        <v>0.34</v>
      </c>
      <c r="K5" s="33">
        <v>0.6</v>
      </c>
      <c r="L5" s="33">
        <v>4.5</v>
      </c>
      <c r="M5" s="33">
        <v>1</v>
      </c>
      <c r="N5" s="33">
        <f t="shared" ref="N5:N26" si="10">SUM(20%*15%*F5+G5+J5+L5+M5+1.04)</f>
        <v>12.919775</v>
      </c>
      <c r="O5" s="41">
        <v>0.15</v>
      </c>
      <c r="P5" s="33">
        <f t="shared" si="0"/>
        <v>2.27996029411765</v>
      </c>
      <c r="Q5" s="127">
        <f t="shared" si="2"/>
        <v>1.07366470588235</v>
      </c>
      <c r="R5" s="143">
        <f t="shared" si="3"/>
        <v>0.0447546771939289</v>
      </c>
      <c r="S5" s="144">
        <f>阶段总盈亏!I5</f>
        <v>42</v>
      </c>
      <c r="T5" s="127">
        <f t="shared" si="4"/>
        <v>45.0939176470589</v>
      </c>
      <c r="U5" s="146">
        <f t="shared" si="5"/>
        <v>45.0939176470589</v>
      </c>
      <c r="V5" s="144">
        <f t="shared" si="6"/>
        <v>1007.58</v>
      </c>
      <c r="XEQ5" s="115"/>
      <c r="XER5" s="115"/>
      <c r="XES5" s="115"/>
      <c r="XET5" s="115"/>
      <c r="XEU5" s="115"/>
      <c r="XEV5" s="115"/>
      <c r="XEW5" s="115"/>
      <c r="XEX5" s="115"/>
      <c r="XEY5" s="115"/>
      <c r="XEZ5" s="115"/>
      <c r="XFA5" s="115"/>
      <c r="XFB5" s="115"/>
      <c r="XFC5" s="115"/>
      <c r="XFD5" s="115"/>
    </row>
    <row r="6" s="114" customFormat="1" ht="25" customHeight="1" spans="1:16384">
      <c r="A6" s="37"/>
      <c r="B6" s="123" t="s">
        <v>90</v>
      </c>
      <c r="C6" s="124">
        <f>价格策略模拟!B3</f>
        <v>23.99</v>
      </c>
      <c r="D6" s="125">
        <f>价格策略模拟!C3</f>
        <v>0.25</v>
      </c>
      <c r="E6" s="126">
        <f>价格策略模拟!D3</f>
        <v>0</v>
      </c>
      <c r="F6" s="127">
        <f t="shared" si="1"/>
        <v>17.9925</v>
      </c>
      <c r="G6" s="33">
        <v>5.5</v>
      </c>
      <c r="H6" s="33">
        <f t="shared" si="7"/>
        <v>2.698875</v>
      </c>
      <c r="I6" s="33">
        <f t="shared" si="8"/>
        <v>9.793625</v>
      </c>
      <c r="J6" s="33">
        <f t="shared" si="9"/>
        <v>0.34</v>
      </c>
      <c r="K6" s="33">
        <v>0.6</v>
      </c>
      <c r="L6" s="33">
        <v>4.5</v>
      </c>
      <c r="M6" s="33">
        <v>1</v>
      </c>
      <c r="N6" s="33">
        <f t="shared" si="10"/>
        <v>12.919775</v>
      </c>
      <c r="O6" s="41">
        <v>0.15</v>
      </c>
      <c r="P6" s="33">
        <f t="shared" si="0"/>
        <v>2.27996029411765</v>
      </c>
      <c r="Q6" s="127">
        <f t="shared" si="2"/>
        <v>1.07366470588235</v>
      </c>
      <c r="R6" s="143">
        <f t="shared" si="3"/>
        <v>0.0447546771939289</v>
      </c>
      <c r="S6" s="144">
        <f>阶段总盈亏!I6</f>
        <v>56</v>
      </c>
      <c r="T6" s="127">
        <f t="shared" si="4"/>
        <v>60.1252235294118</v>
      </c>
      <c r="U6" s="146">
        <f t="shared" si="5"/>
        <v>60.1252235294118</v>
      </c>
      <c r="V6" s="144">
        <f t="shared" si="6"/>
        <v>1343.44</v>
      </c>
      <c r="XEQ6" s="115"/>
      <c r="XER6" s="115"/>
      <c r="XES6" s="115"/>
      <c r="XET6" s="115"/>
      <c r="XEU6" s="115"/>
      <c r="XEV6" s="115"/>
      <c r="XEW6" s="115"/>
      <c r="XEX6" s="115"/>
      <c r="XEY6" s="115"/>
      <c r="XEZ6" s="115"/>
      <c r="XFA6" s="115"/>
      <c r="XFB6" s="115"/>
      <c r="XFC6" s="115"/>
      <c r="XFD6" s="115"/>
    </row>
    <row r="7" s="114" customFormat="1" ht="25" customHeight="1" spans="1:16384">
      <c r="A7" s="37" t="s">
        <v>24</v>
      </c>
      <c r="B7" s="123" t="s">
        <v>92</v>
      </c>
      <c r="C7" s="124">
        <f>价格策略模拟!B4</f>
        <v>24.99</v>
      </c>
      <c r="D7" s="125">
        <f>价格策略模拟!C4</f>
        <v>0.2</v>
      </c>
      <c r="E7" s="126">
        <f>价格策略模拟!D4</f>
        <v>0</v>
      </c>
      <c r="F7" s="127">
        <f t="shared" si="1"/>
        <v>19.992</v>
      </c>
      <c r="G7" s="33">
        <v>5.5</v>
      </c>
      <c r="H7" s="33">
        <f t="shared" si="7"/>
        <v>2.9988</v>
      </c>
      <c r="I7" s="33">
        <f t="shared" si="8"/>
        <v>11.4932</v>
      </c>
      <c r="J7" s="33">
        <f t="shared" si="9"/>
        <v>0.34</v>
      </c>
      <c r="K7" s="33">
        <v>0.6</v>
      </c>
      <c r="L7" s="33">
        <v>4.5</v>
      </c>
      <c r="M7" s="33">
        <v>1</v>
      </c>
      <c r="N7" s="33">
        <f t="shared" si="10"/>
        <v>12.97976</v>
      </c>
      <c r="O7" s="41">
        <v>0.15</v>
      </c>
      <c r="P7" s="33">
        <f t="shared" si="0"/>
        <v>2.29054588235294</v>
      </c>
      <c r="Q7" s="127">
        <f t="shared" si="2"/>
        <v>2.76265411764706</v>
      </c>
      <c r="R7" s="143">
        <f t="shared" si="3"/>
        <v>0.110550384859826</v>
      </c>
      <c r="S7" s="144">
        <f>阶段总盈亏!I7</f>
        <v>70</v>
      </c>
      <c r="T7" s="127">
        <f t="shared" si="4"/>
        <v>193.385788235294</v>
      </c>
      <c r="U7" s="146">
        <f t="shared" si="5"/>
        <v>193.385788235294</v>
      </c>
      <c r="V7" s="144">
        <f t="shared" si="6"/>
        <v>1749.3</v>
      </c>
      <c r="XEQ7" s="115"/>
      <c r="XER7" s="115"/>
      <c r="XES7" s="115"/>
      <c r="XET7" s="115"/>
      <c r="XEU7" s="115"/>
      <c r="XEV7" s="115"/>
      <c r="XEW7" s="115"/>
      <c r="XEX7" s="115"/>
      <c r="XEY7" s="115"/>
      <c r="XEZ7" s="115"/>
      <c r="XFA7" s="115"/>
      <c r="XFB7" s="115"/>
      <c r="XFC7" s="115"/>
      <c r="XFD7" s="115"/>
    </row>
    <row r="8" s="115" customFormat="1" ht="25" customHeight="1" spans="1:22">
      <c r="A8" s="37"/>
      <c r="B8" s="123" t="s">
        <v>94</v>
      </c>
      <c r="C8" s="124">
        <f>价格策略模拟!B4</f>
        <v>24.99</v>
      </c>
      <c r="D8" s="125">
        <f>价格策略模拟!C4</f>
        <v>0.2</v>
      </c>
      <c r="E8" s="126">
        <f>价格策略模拟!D4</f>
        <v>0</v>
      </c>
      <c r="F8" s="127">
        <f t="shared" si="1"/>
        <v>19.992</v>
      </c>
      <c r="G8" s="33">
        <v>5.5</v>
      </c>
      <c r="H8" s="33">
        <f t="shared" si="7"/>
        <v>2.9988</v>
      </c>
      <c r="I8" s="33">
        <f t="shared" si="8"/>
        <v>11.4932</v>
      </c>
      <c r="J8" s="33">
        <f t="shared" si="9"/>
        <v>0.34</v>
      </c>
      <c r="K8" s="33">
        <v>0.6</v>
      </c>
      <c r="L8" s="33">
        <v>4.5</v>
      </c>
      <c r="M8" s="33">
        <v>1</v>
      </c>
      <c r="N8" s="33">
        <f t="shared" si="10"/>
        <v>12.97976</v>
      </c>
      <c r="O8" s="41">
        <v>0.15</v>
      </c>
      <c r="P8" s="33">
        <f t="shared" si="0"/>
        <v>2.29054588235294</v>
      </c>
      <c r="Q8" s="127">
        <f t="shared" si="2"/>
        <v>2.76265411764706</v>
      </c>
      <c r="R8" s="143">
        <f t="shared" si="3"/>
        <v>0.110550384859826</v>
      </c>
      <c r="S8" s="144">
        <f>阶段总盈亏!I8</f>
        <v>84</v>
      </c>
      <c r="T8" s="127">
        <f t="shared" si="4"/>
        <v>232.062945882353</v>
      </c>
      <c r="U8" s="146">
        <f t="shared" si="5"/>
        <v>232.062945882353</v>
      </c>
      <c r="V8" s="144">
        <f t="shared" si="6"/>
        <v>2099.16</v>
      </c>
    </row>
    <row r="9" s="114" customFormat="1" ht="25" customHeight="1" spans="1:16384">
      <c r="A9" s="37"/>
      <c r="B9" s="123" t="s">
        <v>96</v>
      </c>
      <c r="C9" s="124">
        <f>价格策略模拟!B4</f>
        <v>24.99</v>
      </c>
      <c r="D9" s="125">
        <f>价格策略模拟!C4</f>
        <v>0.2</v>
      </c>
      <c r="E9" s="126">
        <f>价格策略模拟!D4</f>
        <v>0</v>
      </c>
      <c r="F9" s="127">
        <f t="shared" si="1"/>
        <v>19.992</v>
      </c>
      <c r="G9" s="33">
        <v>5.5</v>
      </c>
      <c r="H9" s="33">
        <f t="shared" si="7"/>
        <v>2.9988</v>
      </c>
      <c r="I9" s="33">
        <f t="shared" si="8"/>
        <v>11.4932</v>
      </c>
      <c r="J9" s="33">
        <f t="shared" si="9"/>
        <v>0.34</v>
      </c>
      <c r="K9" s="33">
        <v>0.6</v>
      </c>
      <c r="L9" s="33">
        <v>4.5</v>
      </c>
      <c r="M9" s="33">
        <v>1</v>
      </c>
      <c r="N9" s="33">
        <f t="shared" si="10"/>
        <v>12.97976</v>
      </c>
      <c r="O9" s="41">
        <v>0.15</v>
      </c>
      <c r="P9" s="127">
        <f t="shared" ref="P4:P26" si="11">SUM(N9*O9/(1-O9))</f>
        <v>2.29054588235294</v>
      </c>
      <c r="Q9" s="127">
        <f t="shared" si="2"/>
        <v>2.76265411764706</v>
      </c>
      <c r="R9" s="143">
        <f t="shared" si="3"/>
        <v>0.110550384859826</v>
      </c>
      <c r="S9" s="144">
        <f>阶段总盈亏!I9</f>
        <v>98</v>
      </c>
      <c r="T9" s="127">
        <f t="shared" si="4"/>
        <v>270.740103529412</v>
      </c>
      <c r="U9" s="146">
        <f t="shared" si="5"/>
        <v>270.740103529412</v>
      </c>
      <c r="V9" s="144">
        <f t="shared" si="6"/>
        <v>2449.02</v>
      </c>
      <c r="XEQ9" s="115"/>
      <c r="XER9" s="115"/>
      <c r="XES9" s="115"/>
      <c r="XET9" s="115"/>
      <c r="XEU9" s="115"/>
      <c r="XEV9" s="115"/>
      <c r="XEW9" s="115"/>
      <c r="XEX9" s="115"/>
      <c r="XEY9" s="115"/>
      <c r="XEZ9" s="115"/>
      <c r="XFA9" s="115"/>
      <c r="XFB9" s="115"/>
      <c r="XFC9" s="115"/>
      <c r="XFD9" s="115"/>
    </row>
    <row r="10" s="114" customFormat="1" ht="25" customHeight="1" spans="1:16384">
      <c r="A10" s="37"/>
      <c r="B10" s="123" t="s">
        <v>98</v>
      </c>
      <c r="C10" s="124">
        <f>价格策略模拟!B4</f>
        <v>24.99</v>
      </c>
      <c r="D10" s="125">
        <f>价格策略模拟!C4</f>
        <v>0.2</v>
      </c>
      <c r="E10" s="126">
        <f>价格策略模拟!D4</f>
        <v>0</v>
      </c>
      <c r="F10" s="127">
        <f t="shared" si="1"/>
        <v>19.992</v>
      </c>
      <c r="G10" s="33">
        <v>5.5</v>
      </c>
      <c r="H10" s="33">
        <f t="shared" si="7"/>
        <v>2.9988</v>
      </c>
      <c r="I10" s="33">
        <f t="shared" si="8"/>
        <v>11.4932</v>
      </c>
      <c r="J10" s="33">
        <f t="shared" si="9"/>
        <v>0.34</v>
      </c>
      <c r="K10" s="33">
        <v>0.6</v>
      </c>
      <c r="L10" s="33">
        <v>4.5</v>
      </c>
      <c r="M10" s="33">
        <v>1</v>
      </c>
      <c r="N10" s="33">
        <f t="shared" si="10"/>
        <v>12.97976</v>
      </c>
      <c r="O10" s="41">
        <v>0.15</v>
      </c>
      <c r="P10" s="127">
        <f t="shared" si="11"/>
        <v>2.29054588235294</v>
      </c>
      <c r="Q10" s="127">
        <f t="shared" si="2"/>
        <v>2.76265411764706</v>
      </c>
      <c r="R10" s="143">
        <f t="shared" si="3"/>
        <v>0.110550384859826</v>
      </c>
      <c r="S10" s="144">
        <f>阶段总盈亏!I10</f>
        <v>112</v>
      </c>
      <c r="T10" s="127">
        <f t="shared" si="4"/>
        <v>309.417261176471</v>
      </c>
      <c r="U10" s="146">
        <f t="shared" si="5"/>
        <v>309.417261176471</v>
      </c>
      <c r="V10" s="144">
        <f t="shared" si="6"/>
        <v>2798.88</v>
      </c>
      <c r="XEQ10" s="115"/>
      <c r="XER10" s="115"/>
      <c r="XES10" s="115"/>
      <c r="XET10" s="115"/>
      <c r="XEU10" s="115"/>
      <c r="XEV10" s="115"/>
      <c r="XEW10" s="115"/>
      <c r="XEX10" s="115"/>
      <c r="XEY10" s="115"/>
      <c r="XEZ10" s="115"/>
      <c r="XFA10" s="115"/>
      <c r="XFB10" s="115"/>
      <c r="XFC10" s="115"/>
      <c r="XFD10" s="115"/>
    </row>
    <row r="11" s="114" customFormat="1" ht="25" customHeight="1" spans="1:16384">
      <c r="A11" s="37" t="s">
        <v>26</v>
      </c>
      <c r="B11" s="123" t="s">
        <v>100</v>
      </c>
      <c r="C11" s="124">
        <f>价格策略模拟!B5</f>
        <v>25.99</v>
      </c>
      <c r="D11" s="125">
        <f>价格策略模拟!C5</f>
        <v>0.15</v>
      </c>
      <c r="E11" s="126">
        <f>价格策略模拟!D5</f>
        <v>0</v>
      </c>
      <c r="F11" s="127">
        <f t="shared" si="1"/>
        <v>22.0915</v>
      </c>
      <c r="G11" s="33">
        <v>5.5</v>
      </c>
      <c r="H11" s="33">
        <f t="shared" si="7"/>
        <v>3.313725</v>
      </c>
      <c r="I11" s="33">
        <f t="shared" si="8"/>
        <v>13.277775</v>
      </c>
      <c r="J11" s="33">
        <f t="shared" si="9"/>
        <v>0.34</v>
      </c>
      <c r="K11" s="33">
        <v>0.6</v>
      </c>
      <c r="L11" s="33">
        <v>4.5</v>
      </c>
      <c r="M11" s="33">
        <v>1</v>
      </c>
      <c r="N11" s="33">
        <f t="shared" si="10"/>
        <v>13.042745</v>
      </c>
      <c r="O11" s="41">
        <v>0.15</v>
      </c>
      <c r="P11" s="127">
        <f t="shared" si="11"/>
        <v>2.30166088235294</v>
      </c>
      <c r="Q11" s="127">
        <f t="shared" si="2"/>
        <v>4.53611411764706</v>
      </c>
      <c r="R11" s="143">
        <f t="shared" si="3"/>
        <v>0.174533055700156</v>
      </c>
      <c r="S11" s="144">
        <f>阶段总盈亏!I11</f>
        <v>126</v>
      </c>
      <c r="T11" s="127">
        <f t="shared" si="4"/>
        <v>571.550378823529</v>
      </c>
      <c r="U11" s="146">
        <f t="shared" si="5"/>
        <v>571.550378823529</v>
      </c>
      <c r="V11" s="144">
        <f t="shared" si="6"/>
        <v>3274.74</v>
      </c>
      <c r="XEQ11" s="115"/>
      <c r="XER11" s="115"/>
      <c r="XES11" s="115"/>
      <c r="XET11" s="115"/>
      <c r="XEU11" s="115"/>
      <c r="XEV11" s="115"/>
      <c r="XEW11" s="115"/>
      <c r="XEX11" s="115"/>
      <c r="XEY11" s="115"/>
      <c r="XEZ11" s="115"/>
      <c r="XFA11" s="115"/>
      <c r="XFB11" s="115"/>
      <c r="XFC11" s="115"/>
      <c r="XFD11" s="115"/>
    </row>
    <row r="12" s="114" customFormat="1" ht="25" customHeight="1" spans="1:16384">
      <c r="A12" s="37"/>
      <c r="B12" s="123" t="s">
        <v>102</v>
      </c>
      <c r="C12" s="124">
        <f>价格策略模拟!B5</f>
        <v>25.99</v>
      </c>
      <c r="D12" s="125">
        <f>价格策略模拟!C5</f>
        <v>0.15</v>
      </c>
      <c r="E12" s="126">
        <f>价格策略模拟!D5</f>
        <v>0</v>
      </c>
      <c r="F12" s="127">
        <f t="shared" si="1"/>
        <v>22.0915</v>
      </c>
      <c r="G12" s="33">
        <v>5.5</v>
      </c>
      <c r="H12" s="33">
        <f t="shared" si="7"/>
        <v>3.313725</v>
      </c>
      <c r="I12" s="33">
        <f t="shared" si="8"/>
        <v>13.277775</v>
      </c>
      <c r="J12" s="33">
        <f t="shared" si="9"/>
        <v>0.34</v>
      </c>
      <c r="K12" s="33">
        <v>0.6</v>
      </c>
      <c r="L12" s="33">
        <v>4.5</v>
      </c>
      <c r="M12" s="33">
        <v>1</v>
      </c>
      <c r="N12" s="33">
        <f t="shared" si="10"/>
        <v>13.042745</v>
      </c>
      <c r="O12" s="41">
        <v>0.15</v>
      </c>
      <c r="P12" s="127">
        <f t="shared" si="11"/>
        <v>2.30166088235294</v>
      </c>
      <c r="Q12" s="127">
        <f t="shared" si="2"/>
        <v>4.53611411764706</v>
      </c>
      <c r="R12" s="143">
        <f t="shared" si="3"/>
        <v>0.174533055700156</v>
      </c>
      <c r="S12" s="144">
        <f>阶段总盈亏!I12</f>
        <v>140</v>
      </c>
      <c r="T12" s="127">
        <f t="shared" si="4"/>
        <v>635.055976470588</v>
      </c>
      <c r="U12" s="146">
        <f t="shared" si="5"/>
        <v>635.055976470588</v>
      </c>
      <c r="V12" s="144">
        <f t="shared" si="6"/>
        <v>3638.6</v>
      </c>
      <c r="XEQ12" s="115"/>
      <c r="XER12" s="115"/>
      <c r="XES12" s="115"/>
      <c r="XET12" s="115"/>
      <c r="XEU12" s="115"/>
      <c r="XEV12" s="115"/>
      <c r="XEW12" s="115"/>
      <c r="XEX12" s="115"/>
      <c r="XEY12" s="115"/>
      <c r="XEZ12" s="115"/>
      <c r="XFA12" s="115"/>
      <c r="XFB12" s="115"/>
      <c r="XFC12" s="115"/>
      <c r="XFD12" s="115"/>
    </row>
    <row r="13" s="114" customFormat="1" ht="25" customHeight="1" spans="1:16384">
      <c r="A13" s="37"/>
      <c r="B13" s="123" t="s">
        <v>104</v>
      </c>
      <c r="C13" s="124">
        <f>价格策略模拟!B5</f>
        <v>25.99</v>
      </c>
      <c r="D13" s="125">
        <f>价格策略模拟!C5</f>
        <v>0.15</v>
      </c>
      <c r="E13" s="126">
        <f>价格策略模拟!D5</f>
        <v>0</v>
      </c>
      <c r="F13" s="127">
        <f t="shared" si="1"/>
        <v>22.0915</v>
      </c>
      <c r="G13" s="33">
        <v>5.5</v>
      </c>
      <c r="H13" s="33">
        <f t="shared" si="7"/>
        <v>3.313725</v>
      </c>
      <c r="I13" s="33">
        <f t="shared" si="8"/>
        <v>13.277775</v>
      </c>
      <c r="J13" s="33">
        <f t="shared" si="9"/>
        <v>0.34</v>
      </c>
      <c r="K13" s="33">
        <v>0.6</v>
      </c>
      <c r="L13" s="33">
        <v>4.5</v>
      </c>
      <c r="M13" s="33">
        <v>1</v>
      </c>
      <c r="N13" s="33">
        <f t="shared" si="10"/>
        <v>13.042745</v>
      </c>
      <c r="O13" s="41">
        <v>0.15</v>
      </c>
      <c r="P13" s="127">
        <f t="shared" si="11"/>
        <v>2.30166088235294</v>
      </c>
      <c r="Q13" s="127">
        <f t="shared" si="2"/>
        <v>4.53611411764706</v>
      </c>
      <c r="R13" s="143">
        <f t="shared" si="3"/>
        <v>0.174533055700156</v>
      </c>
      <c r="S13" s="144">
        <f>阶段总盈亏!I13</f>
        <v>154</v>
      </c>
      <c r="T13" s="127">
        <f t="shared" si="4"/>
        <v>698.561574117647</v>
      </c>
      <c r="U13" s="146">
        <f t="shared" si="5"/>
        <v>698.561574117647</v>
      </c>
      <c r="V13" s="144">
        <f t="shared" si="6"/>
        <v>4002.46</v>
      </c>
      <c r="XEQ13" s="115"/>
      <c r="XER13" s="115"/>
      <c r="XES13" s="115"/>
      <c r="XET13" s="115"/>
      <c r="XEU13" s="115"/>
      <c r="XEV13" s="115"/>
      <c r="XEW13" s="115"/>
      <c r="XEX13" s="115"/>
      <c r="XEY13" s="115"/>
      <c r="XEZ13" s="115"/>
      <c r="XFA13" s="115"/>
      <c r="XFB13" s="115"/>
      <c r="XFC13" s="115"/>
      <c r="XFD13" s="115"/>
    </row>
    <row r="14" s="114" customFormat="1" ht="25" customHeight="1" spans="1:16384">
      <c r="A14" s="37"/>
      <c r="B14" s="123" t="s">
        <v>106</v>
      </c>
      <c r="C14" s="124">
        <f>价格策略模拟!B5</f>
        <v>25.99</v>
      </c>
      <c r="D14" s="125">
        <f>价格策略模拟!C5</f>
        <v>0.15</v>
      </c>
      <c r="E14" s="126">
        <f>价格策略模拟!D5</f>
        <v>0</v>
      </c>
      <c r="F14" s="127">
        <f t="shared" si="1"/>
        <v>22.0915</v>
      </c>
      <c r="G14" s="33">
        <v>5.5</v>
      </c>
      <c r="H14" s="33">
        <f t="shared" si="7"/>
        <v>3.313725</v>
      </c>
      <c r="I14" s="33">
        <f t="shared" si="8"/>
        <v>13.277775</v>
      </c>
      <c r="J14" s="33">
        <f t="shared" si="9"/>
        <v>0.34</v>
      </c>
      <c r="K14" s="33">
        <v>0.6</v>
      </c>
      <c r="L14" s="33">
        <v>4.5</v>
      </c>
      <c r="M14" s="33">
        <v>1</v>
      </c>
      <c r="N14" s="33">
        <f t="shared" si="10"/>
        <v>13.042745</v>
      </c>
      <c r="O14" s="41">
        <v>0.15</v>
      </c>
      <c r="P14" s="127">
        <f t="shared" si="11"/>
        <v>2.30166088235294</v>
      </c>
      <c r="Q14" s="127">
        <f t="shared" si="2"/>
        <v>4.53611411764706</v>
      </c>
      <c r="R14" s="143">
        <f t="shared" si="3"/>
        <v>0.174533055700156</v>
      </c>
      <c r="S14" s="144">
        <f>阶段总盈亏!I14</f>
        <v>168</v>
      </c>
      <c r="T14" s="127">
        <f t="shared" si="4"/>
        <v>762.067171764705</v>
      </c>
      <c r="U14" s="146">
        <f t="shared" si="5"/>
        <v>762.067171764705</v>
      </c>
      <c r="V14" s="144">
        <f t="shared" si="6"/>
        <v>4366.32</v>
      </c>
      <c r="XEQ14" s="115"/>
      <c r="XER14" s="115"/>
      <c r="XES14" s="115"/>
      <c r="XET14" s="115"/>
      <c r="XEU14" s="115"/>
      <c r="XEV14" s="115"/>
      <c r="XEW14" s="115"/>
      <c r="XEX14" s="115"/>
      <c r="XEY14" s="115"/>
      <c r="XEZ14" s="115"/>
      <c r="XFA14" s="115"/>
      <c r="XFB14" s="115"/>
      <c r="XFC14" s="115"/>
      <c r="XFD14" s="115"/>
    </row>
    <row r="15" s="114" customFormat="1" ht="25" customHeight="1" spans="1:16384">
      <c r="A15" s="37" t="s">
        <v>28</v>
      </c>
      <c r="B15" s="123" t="s">
        <v>107</v>
      </c>
      <c r="C15" s="124">
        <f>价格策略模拟!B6</f>
        <v>26.99</v>
      </c>
      <c r="D15" s="125">
        <f>价格策略模拟!C6</f>
        <v>0.1</v>
      </c>
      <c r="E15" s="126">
        <f>价格策略模拟!D6</f>
        <v>0</v>
      </c>
      <c r="F15" s="127">
        <f t="shared" si="1"/>
        <v>24.291</v>
      </c>
      <c r="G15" s="33">
        <v>5.5</v>
      </c>
      <c r="H15" s="33">
        <f t="shared" si="7"/>
        <v>3.64365</v>
      </c>
      <c r="I15" s="33">
        <f t="shared" si="8"/>
        <v>15.14735</v>
      </c>
      <c r="J15" s="33">
        <f t="shared" ref="J15:J26" si="12">0.13+0.21</f>
        <v>0.34</v>
      </c>
      <c r="K15" s="33">
        <v>0.6</v>
      </c>
      <c r="L15" s="33">
        <v>4.5</v>
      </c>
      <c r="M15" s="33">
        <v>1</v>
      </c>
      <c r="N15" s="33">
        <f t="shared" si="10"/>
        <v>13.10873</v>
      </c>
      <c r="O15" s="41">
        <v>0.15</v>
      </c>
      <c r="P15" s="127">
        <f t="shared" si="11"/>
        <v>2.31330529411765</v>
      </c>
      <c r="Q15" s="127">
        <f t="shared" si="2"/>
        <v>6.39404470588235</v>
      </c>
      <c r="R15" s="143">
        <f t="shared" si="3"/>
        <v>0.236904212889305</v>
      </c>
      <c r="S15" s="144">
        <f>阶段总盈亏!I15</f>
        <v>182</v>
      </c>
      <c r="T15" s="127">
        <f t="shared" si="4"/>
        <v>1163.71613647059</v>
      </c>
      <c r="U15" s="146">
        <f t="shared" si="5"/>
        <v>1163.71613647059</v>
      </c>
      <c r="V15" s="144">
        <f t="shared" si="6"/>
        <v>4912.18</v>
      </c>
      <c r="XEQ15" s="115"/>
      <c r="XER15" s="115"/>
      <c r="XES15" s="115"/>
      <c r="XET15" s="115"/>
      <c r="XEU15" s="115"/>
      <c r="XEV15" s="115"/>
      <c r="XEW15" s="115"/>
      <c r="XEX15" s="115"/>
      <c r="XEY15" s="115"/>
      <c r="XEZ15" s="115"/>
      <c r="XFA15" s="115"/>
      <c r="XFB15" s="115"/>
      <c r="XFC15" s="115"/>
      <c r="XFD15" s="115"/>
    </row>
    <row r="16" s="114" customFormat="1" ht="25" customHeight="1" spans="1:16384">
      <c r="A16" s="37"/>
      <c r="B16" s="123" t="s">
        <v>108</v>
      </c>
      <c r="C16" s="124">
        <f>价格策略模拟!B6</f>
        <v>26.99</v>
      </c>
      <c r="D16" s="125">
        <f>价格策略模拟!C6</f>
        <v>0.1</v>
      </c>
      <c r="E16" s="126">
        <f>价格策略模拟!D6</f>
        <v>0</v>
      </c>
      <c r="F16" s="127">
        <f t="shared" si="1"/>
        <v>24.291</v>
      </c>
      <c r="G16" s="33">
        <v>5.5</v>
      </c>
      <c r="H16" s="33">
        <f t="shared" si="7"/>
        <v>3.64365</v>
      </c>
      <c r="I16" s="33">
        <f t="shared" si="8"/>
        <v>15.14735</v>
      </c>
      <c r="J16" s="33">
        <f t="shared" si="12"/>
        <v>0.34</v>
      </c>
      <c r="K16" s="33">
        <v>0.6</v>
      </c>
      <c r="L16" s="33">
        <v>4.5</v>
      </c>
      <c r="M16" s="33">
        <v>1</v>
      </c>
      <c r="N16" s="33">
        <f t="shared" si="10"/>
        <v>13.10873</v>
      </c>
      <c r="O16" s="41">
        <v>0.15</v>
      </c>
      <c r="P16" s="127">
        <f t="shared" si="11"/>
        <v>2.31330529411765</v>
      </c>
      <c r="Q16" s="127">
        <f t="shared" si="2"/>
        <v>6.39404470588235</v>
      </c>
      <c r="R16" s="143">
        <f t="shared" si="3"/>
        <v>0.236904212889305</v>
      </c>
      <c r="S16" s="144">
        <f>阶段总盈亏!I16</f>
        <v>196</v>
      </c>
      <c r="T16" s="127">
        <f t="shared" si="4"/>
        <v>1253.23276235294</v>
      </c>
      <c r="U16" s="146">
        <f t="shared" si="5"/>
        <v>1253.23276235294</v>
      </c>
      <c r="V16" s="144">
        <f t="shared" si="6"/>
        <v>5290.04</v>
      </c>
      <c r="XEQ16" s="115"/>
      <c r="XER16" s="115"/>
      <c r="XES16" s="115"/>
      <c r="XET16" s="115"/>
      <c r="XEU16" s="115"/>
      <c r="XEV16" s="115"/>
      <c r="XEW16" s="115"/>
      <c r="XEX16" s="115"/>
      <c r="XEY16" s="115"/>
      <c r="XEZ16" s="115"/>
      <c r="XFA16" s="115"/>
      <c r="XFB16" s="115"/>
      <c r="XFC16" s="115"/>
      <c r="XFD16" s="115"/>
    </row>
    <row r="17" s="114" customFormat="1" ht="25" customHeight="1" spans="1:16384">
      <c r="A17" s="37"/>
      <c r="B17" s="123" t="s">
        <v>109</v>
      </c>
      <c r="C17" s="124">
        <f>价格策略模拟!B6</f>
        <v>26.99</v>
      </c>
      <c r="D17" s="125">
        <f>价格策略模拟!C6</f>
        <v>0.1</v>
      </c>
      <c r="E17" s="126">
        <f>价格策略模拟!D6</f>
        <v>0</v>
      </c>
      <c r="F17" s="127">
        <f t="shared" si="1"/>
        <v>24.291</v>
      </c>
      <c r="G17" s="33">
        <v>5.5</v>
      </c>
      <c r="H17" s="33">
        <f t="shared" si="7"/>
        <v>3.64365</v>
      </c>
      <c r="I17" s="33">
        <f t="shared" si="8"/>
        <v>15.14735</v>
      </c>
      <c r="J17" s="33">
        <f t="shared" si="12"/>
        <v>0.34</v>
      </c>
      <c r="K17" s="33">
        <v>0.6</v>
      </c>
      <c r="L17" s="33">
        <v>4.5</v>
      </c>
      <c r="M17" s="33">
        <v>1</v>
      </c>
      <c r="N17" s="33">
        <f t="shared" si="10"/>
        <v>13.10873</v>
      </c>
      <c r="O17" s="41">
        <v>0.15</v>
      </c>
      <c r="P17" s="127">
        <f t="shared" si="11"/>
        <v>2.31330529411765</v>
      </c>
      <c r="Q17" s="127">
        <f t="shared" si="2"/>
        <v>6.39404470588235</v>
      </c>
      <c r="R17" s="143">
        <f t="shared" si="3"/>
        <v>0.236904212889305</v>
      </c>
      <c r="S17" s="144">
        <f>阶段总盈亏!I17</f>
        <v>210</v>
      </c>
      <c r="T17" s="127">
        <f t="shared" si="4"/>
        <v>1342.74938823529</v>
      </c>
      <c r="U17" s="146">
        <f t="shared" si="5"/>
        <v>1342.74938823529</v>
      </c>
      <c r="V17" s="144">
        <f t="shared" si="6"/>
        <v>5667.9</v>
      </c>
      <c r="XEQ17" s="115"/>
      <c r="XER17" s="115"/>
      <c r="XES17" s="115"/>
      <c r="XET17" s="115"/>
      <c r="XEU17" s="115"/>
      <c r="XEV17" s="115"/>
      <c r="XEW17" s="115"/>
      <c r="XEX17" s="115"/>
      <c r="XEY17" s="115"/>
      <c r="XEZ17" s="115"/>
      <c r="XFA17" s="115"/>
      <c r="XFB17" s="115"/>
      <c r="XFC17" s="115"/>
      <c r="XFD17" s="115"/>
    </row>
    <row r="18" s="114" customFormat="1" ht="25" customHeight="1" spans="1:16384">
      <c r="A18" s="37"/>
      <c r="B18" s="123" t="s">
        <v>110</v>
      </c>
      <c r="C18" s="124">
        <f>价格策略模拟!B6</f>
        <v>26.99</v>
      </c>
      <c r="D18" s="125">
        <f>价格策略模拟!C6</f>
        <v>0.1</v>
      </c>
      <c r="E18" s="126">
        <f>价格策略模拟!D6</f>
        <v>0</v>
      </c>
      <c r="F18" s="127">
        <f t="shared" si="1"/>
        <v>24.291</v>
      </c>
      <c r="G18" s="33">
        <v>5.5</v>
      </c>
      <c r="H18" s="33">
        <f t="shared" si="7"/>
        <v>3.64365</v>
      </c>
      <c r="I18" s="33">
        <f t="shared" si="8"/>
        <v>15.14735</v>
      </c>
      <c r="J18" s="33">
        <f t="shared" si="12"/>
        <v>0.34</v>
      </c>
      <c r="K18" s="33">
        <v>0.6</v>
      </c>
      <c r="L18" s="33">
        <v>4.5</v>
      </c>
      <c r="M18" s="33">
        <v>1</v>
      </c>
      <c r="N18" s="33">
        <f t="shared" si="10"/>
        <v>13.10873</v>
      </c>
      <c r="O18" s="41">
        <v>0.15</v>
      </c>
      <c r="P18" s="127">
        <f t="shared" si="11"/>
        <v>2.31330529411765</v>
      </c>
      <c r="Q18" s="127">
        <f t="shared" si="2"/>
        <v>6.39404470588235</v>
      </c>
      <c r="R18" s="143">
        <f t="shared" si="3"/>
        <v>0.236904212889305</v>
      </c>
      <c r="S18" s="144">
        <f>阶段总盈亏!I18</f>
        <v>224</v>
      </c>
      <c r="T18" s="127">
        <f t="shared" si="4"/>
        <v>1432.26601411765</v>
      </c>
      <c r="U18" s="146">
        <f t="shared" si="5"/>
        <v>1432.26601411765</v>
      </c>
      <c r="V18" s="144">
        <f t="shared" si="6"/>
        <v>6045.76</v>
      </c>
      <c r="XEQ18" s="115"/>
      <c r="XER18" s="115"/>
      <c r="XES18" s="115"/>
      <c r="XET18" s="115"/>
      <c r="XEU18" s="115"/>
      <c r="XEV18" s="115"/>
      <c r="XEW18" s="115"/>
      <c r="XEX18" s="115"/>
      <c r="XEY18" s="115"/>
      <c r="XEZ18" s="115"/>
      <c r="XFA18" s="115"/>
      <c r="XFB18" s="115"/>
      <c r="XFC18" s="115"/>
      <c r="XFD18" s="115"/>
    </row>
    <row r="19" s="114" customFormat="1" ht="25" customHeight="1" spans="1:16384">
      <c r="A19" s="37" t="s">
        <v>30</v>
      </c>
      <c r="B19" s="123" t="s">
        <v>111</v>
      </c>
      <c r="C19" s="124">
        <f>价格策略模拟!B7</f>
        <v>27.99</v>
      </c>
      <c r="D19" s="125">
        <f>价格策略模拟!C7</f>
        <v>0.1</v>
      </c>
      <c r="E19" s="126">
        <f>价格策略模拟!D7</f>
        <v>0</v>
      </c>
      <c r="F19" s="127">
        <f t="shared" si="1"/>
        <v>25.191</v>
      </c>
      <c r="G19" s="33">
        <v>5.5</v>
      </c>
      <c r="H19" s="33">
        <f t="shared" si="7"/>
        <v>3.77865</v>
      </c>
      <c r="I19" s="33">
        <f t="shared" si="8"/>
        <v>15.91235</v>
      </c>
      <c r="J19" s="33">
        <f t="shared" si="12"/>
        <v>0.34</v>
      </c>
      <c r="K19" s="33">
        <v>0.6</v>
      </c>
      <c r="L19" s="33">
        <v>4.5</v>
      </c>
      <c r="M19" s="33">
        <v>1</v>
      </c>
      <c r="N19" s="33">
        <f t="shared" si="10"/>
        <v>13.13573</v>
      </c>
      <c r="O19" s="41">
        <v>0.15</v>
      </c>
      <c r="P19" s="127">
        <f t="shared" si="11"/>
        <v>2.31807</v>
      </c>
      <c r="Q19" s="127">
        <f t="shared" si="2"/>
        <v>7.15428</v>
      </c>
      <c r="R19" s="143">
        <f t="shared" si="3"/>
        <v>0.255601286173633</v>
      </c>
      <c r="S19" s="144">
        <f>阶段总盈亏!I19</f>
        <v>238</v>
      </c>
      <c r="T19" s="127">
        <f t="shared" si="4"/>
        <v>1702.71864</v>
      </c>
      <c r="U19" s="146">
        <f t="shared" si="5"/>
        <v>1702.71864</v>
      </c>
      <c r="V19" s="144">
        <f t="shared" si="6"/>
        <v>6661.62</v>
      </c>
      <c r="XEQ19" s="115"/>
      <c r="XER19" s="115"/>
      <c r="XES19" s="115"/>
      <c r="XET19" s="115"/>
      <c r="XEU19" s="115"/>
      <c r="XEV19" s="115"/>
      <c r="XEW19" s="115"/>
      <c r="XEX19" s="115"/>
      <c r="XEY19" s="115"/>
      <c r="XEZ19" s="115"/>
      <c r="XFA19" s="115"/>
      <c r="XFB19" s="115"/>
      <c r="XFC19" s="115"/>
      <c r="XFD19" s="115"/>
    </row>
    <row r="20" s="114" customFormat="1" ht="25" customHeight="1" spans="1:16384">
      <c r="A20" s="37"/>
      <c r="B20" s="123" t="s">
        <v>112</v>
      </c>
      <c r="C20" s="124">
        <f>价格策略模拟!B7</f>
        <v>27.99</v>
      </c>
      <c r="D20" s="125">
        <f>价格策略模拟!C7</f>
        <v>0.1</v>
      </c>
      <c r="E20" s="126">
        <f>价格策略模拟!D7</f>
        <v>0</v>
      </c>
      <c r="F20" s="127">
        <f t="shared" si="1"/>
        <v>25.191</v>
      </c>
      <c r="G20" s="33">
        <v>5.5</v>
      </c>
      <c r="H20" s="33">
        <f t="shared" si="7"/>
        <v>3.77865</v>
      </c>
      <c r="I20" s="33">
        <f t="shared" si="8"/>
        <v>15.91235</v>
      </c>
      <c r="J20" s="33">
        <f t="shared" si="12"/>
        <v>0.34</v>
      </c>
      <c r="K20" s="33">
        <v>0.6</v>
      </c>
      <c r="L20" s="33">
        <v>4.5</v>
      </c>
      <c r="M20" s="33">
        <v>1</v>
      </c>
      <c r="N20" s="33">
        <f t="shared" si="10"/>
        <v>13.13573</v>
      </c>
      <c r="O20" s="41">
        <v>0.15</v>
      </c>
      <c r="P20" s="127">
        <f t="shared" si="11"/>
        <v>2.31807</v>
      </c>
      <c r="Q20" s="127">
        <f t="shared" si="2"/>
        <v>7.15428</v>
      </c>
      <c r="R20" s="143">
        <f t="shared" si="3"/>
        <v>0.255601286173633</v>
      </c>
      <c r="S20" s="144">
        <f>阶段总盈亏!I20</f>
        <v>252</v>
      </c>
      <c r="T20" s="127">
        <f t="shared" si="4"/>
        <v>1802.87856</v>
      </c>
      <c r="U20" s="146">
        <f t="shared" si="5"/>
        <v>1802.87856</v>
      </c>
      <c r="V20" s="144">
        <f t="shared" si="6"/>
        <v>7053.48</v>
      </c>
      <c r="XEQ20" s="115"/>
      <c r="XER20" s="115"/>
      <c r="XES20" s="115"/>
      <c r="XET20" s="115"/>
      <c r="XEU20" s="115"/>
      <c r="XEV20" s="115"/>
      <c r="XEW20" s="115"/>
      <c r="XEX20" s="115"/>
      <c r="XEY20" s="115"/>
      <c r="XEZ20" s="115"/>
      <c r="XFA20" s="115"/>
      <c r="XFB20" s="115"/>
      <c r="XFC20" s="115"/>
      <c r="XFD20" s="115"/>
    </row>
    <row r="21" s="114" customFormat="1" ht="25" customHeight="1" spans="1:16384">
      <c r="A21" s="37"/>
      <c r="B21" s="123" t="s">
        <v>113</v>
      </c>
      <c r="C21" s="124">
        <f>价格策略模拟!B7</f>
        <v>27.99</v>
      </c>
      <c r="D21" s="125">
        <f>价格策略模拟!C7</f>
        <v>0.1</v>
      </c>
      <c r="E21" s="126">
        <f>价格策略模拟!D7</f>
        <v>0</v>
      </c>
      <c r="F21" s="127">
        <f t="shared" si="1"/>
        <v>25.191</v>
      </c>
      <c r="G21" s="33">
        <v>5.5</v>
      </c>
      <c r="H21" s="33">
        <f t="shared" si="7"/>
        <v>3.77865</v>
      </c>
      <c r="I21" s="33">
        <f t="shared" si="8"/>
        <v>15.91235</v>
      </c>
      <c r="J21" s="33">
        <f t="shared" si="12"/>
        <v>0.34</v>
      </c>
      <c r="K21" s="33">
        <v>0.6</v>
      </c>
      <c r="L21" s="33">
        <v>4.5</v>
      </c>
      <c r="M21" s="33">
        <v>1</v>
      </c>
      <c r="N21" s="33">
        <f t="shared" si="10"/>
        <v>13.13573</v>
      </c>
      <c r="O21" s="41">
        <v>0.15</v>
      </c>
      <c r="P21" s="127">
        <f t="shared" si="11"/>
        <v>2.31807</v>
      </c>
      <c r="Q21" s="127">
        <f t="shared" si="2"/>
        <v>7.15428</v>
      </c>
      <c r="R21" s="143">
        <f t="shared" si="3"/>
        <v>0.255601286173633</v>
      </c>
      <c r="S21" s="144">
        <f>阶段总盈亏!I21</f>
        <v>266</v>
      </c>
      <c r="T21" s="127">
        <f t="shared" si="4"/>
        <v>1903.03848</v>
      </c>
      <c r="U21" s="146">
        <f t="shared" si="5"/>
        <v>1903.03848</v>
      </c>
      <c r="V21" s="144">
        <f t="shared" si="6"/>
        <v>7445.34</v>
      </c>
      <c r="XEQ21" s="115"/>
      <c r="XER21" s="115"/>
      <c r="XES21" s="115"/>
      <c r="XET21" s="115"/>
      <c r="XEU21" s="115"/>
      <c r="XEV21" s="115"/>
      <c r="XEW21" s="115"/>
      <c r="XEX21" s="115"/>
      <c r="XEY21" s="115"/>
      <c r="XEZ21" s="115"/>
      <c r="XFA21" s="115"/>
      <c r="XFB21" s="115"/>
      <c r="XFC21" s="115"/>
      <c r="XFD21" s="115"/>
    </row>
    <row r="22" s="114" customFormat="1" ht="25" customHeight="1" spans="1:16384">
      <c r="A22" s="37"/>
      <c r="B22" s="123" t="s">
        <v>114</v>
      </c>
      <c r="C22" s="124">
        <f>价格策略模拟!B7</f>
        <v>27.99</v>
      </c>
      <c r="D22" s="125">
        <f>价格策略模拟!C7</f>
        <v>0.1</v>
      </c>
      <c r="E22" s="126">
        <f>价格策略模拟!D7</f>
        <v>0</v>
      </c>
      <c r="F22" s="127">
        <f t="shared" si="1"/>
        <v>25.191</v>
      </c>
      <c r="G22" s="33">
        <v>5.5</v>
      </c>
      <c r="H22" s="33">
        <f t="shared" si="7"/>
        <v>3.77865</v>
      </c>
      <c r="I22" s="33">
        <f t="shared" si="8"/>
        <v>15.91235</v>
      </c>
      <c r="J22" s="33">
        <f t="shared" si="12"/>
        <v>0.34</v>
      </c>
      <c r="K22" s="33">
        <v>0.6</v>
      </c>
      <c r="L22" s="33">
        <v>4.5</v>
      </c>
      <c r="M22" s="33">
        <v>1</v>
      </c>
      <c r="N22" s="33">
        <f t="shared" si="10"/>
        <v>13.13573</v>
      </c>
      <c r="O22" s="41">
        <v>0.15</v>
      </c>
      <c r="P22" s="127">
        <f t="shared" si="11"/>
        <v>2.31807</v>
      </c>
      <c r="Q22" s="127">
        <f t="shared" si="2"/>
        <v>7.15428</v>
      </c>
      <c r="R22" s="143">
        <f t="shared" si="3"/>
        <v>0.255601286173633</v>
      </c>
      <c r="S22" s="144">
        <f>阶段总盈亏!I22</f>
        <v>280</v>
      </c>
      <c r="T22" s="127">
        <f t="shared" si="4"/>
        <v>2003.1984</v>
      </c>
      <c r="U22" s="146">
        <f t="shared" si="5"/>
        <v>2003.1984</v>
      </c>
      <c r="V22" s="144">
        <f t="shared" si="6"/>
        <v>7837.2</v>
      </c>
      <c r="XEQ22" s="115"/>
      <c r="XER22" s="115"/>
      <c r="XES22" s="115"/>
      <c r="XET22" s="115"/>
      <c r="XEU22" s="115"/>
      <c r="XEV22" s="115"/>
      <c r="XEW22" s="115"/>
      <c r="XEX22" s="115"/>
      <c r="XEY22" s="115"/>
      <c r="XEZ22" s="115"/>
      <c r="XFA22" s="115"/>
      <c r="XFB22" s="115"/>
      <c r="XFC22" s="115"/>
      <c r="XFD22" s="115"/>
    </row>
    <row r="23" s="114" customFormat="1" ht="25" customHeight="1" spans="1:16384">
      <c r="A23" s="37" t="s">
        <v>32</v>
      </c>
      <c r="B23" s="123" t="s">
        <v>115</v>
      </c>
      <c r="C23" s="124">
        <f>价格策略模拟!B8</f>
        <v>27.99</v>
      </c>
      <c r="D23" s="125">
        <f>价格策略模拟!C8</f>
        <v>0.1</v>
      </c>
      <c r="E23" s="126">
        <f>价格策略模拟!D8</f>
        <v>0</v>
      </c>
      <c r="F23" s="127">
        <f t="shared" si="1"/>
        <v>25.191</v>
      </c>
      <c r="G23" s="33">
        <v>5.5</v>
      </c>
      <c r="H23" s="33">
        <f t="shared" si="7"/>
        <v>3.77865</v>
      </c>
      <c r="I23" s="33">
        <f t="shared" si="8"/>
        <v>15.91235</v>
      </c>
      <c r="J23" s="33">
        <f t="shared" si="12"/>
        <v>0.34</v>
      </c>
      <c r="K23" s="33">
        <v>0</v>
      </c>
      <c r="L23" s="33">
        <v>4.5</v>
      </c>
      <c r="M23" s="33">
        <v>1</v>
      </c>
      <c r="N23" s="33">
        <f t="shared" si="10"/>
        <v>13.13573</v>
      </c>
      <c r="O23" s="41">
        <v>0.15</v>
      </c>
      <c r="P23" s="127">
        <f t="shared" si="11"/>
        <v>2.31807</v>
      </c>
      <c r="Q23" s="127">
        <f t="shared" si="2"/>
        <v>7.75428</v>
      </c>
      <c r="R23" s="143">
        <f t="shared" si="3"/>
        <v>0.277037513397642</v>
      </c>
      <c r="S23" s="144">
        <f>阶段总盈亏!I23</f>
        <v>294</v>
      </c>
      <c r="T23" s="127">
        <f t="shared" si="4"/>
        <v>2279.75832</v>
      </c>
      <c r="U23" s="146">
        <f t="shared" si="5"/>
        <v>2279.75832</v>
      </c>
      <c r="V23" s="144">
        <f t="shared" si="6"/>
        <v>8229.06</v>
      </c>
      <c r="XEQ23" s="115"/>
      <c r="XER23" s="115"/>
      <c r="XES23" s="115"/>
      <c r="XET23" s="115"/>
      <c r="XEU23" s="115"/>
      <c r="XEV23" s="115"/>
      <c r="XEW23" s="115"/>
      <c r="XEX23" s="115"/>
      <c r="XEY23" s="115"/>
      <c r="XEZ23" s="115"/>
      <c r="XFA23" s="115"/>
      <c r="XFB23" s="115"/>
      <c r="XFC23" s="115"/>
      <c r="XFD23" s="115"/>
    </row>
    <row r="24" s="114" customFormat="1" ht="25" customHeight="1" spans="1:16384">
      <c r="A24" s="37"/>
      <c r="B24" s="123" t="s">
        <v>116</v>
      </c>
      <c r="C24" s="124">
        <f>价格策略模拟!B8</f>
        <v>27.99</v>
      </c>
      <c r="D24" s="125">
        <f>价格策略模拟!C8</f>
        <v>0.1</v>
      </c>
      <c r="E24" s="126">
        <f>价格策略模拟!D8</f>
        <v>0</v>
      </c>
      <c r="F24" s="127">
        <f t="shared" si="1"/>
        <v>25.191</v>
      </c>
      <c r="G24" s="33">
        <v>5.5</v>
      </c>
      <c r="H24" s="33">
        <f t="shared" si="7"/>
        <v>3.77865</v>
      </c>
      <c r="I24" s="33">
        <f t="shared" si="8"/>
        <v>15.91235</v>
      </c>
      <c r="J24" s="33">
        <f t="shared" si="12"/>
        <v>0.34</v>
      </c>
      <c r="K24" s="33">
        <v>0</v>
      </c>
      <c r="L24" s="33">
        <v>4.5</v>
      </c>
      <c r="M24" s="33">
        <v>1</v>
      </c>
      <c r="N24" s="33">
        <f t="shared" si="10"/>
        <v>13.13573</v>
      </c>
      <c r="O24" s="41">
        <v>0.15</v>
      </c>
      <c r="P24" s="127">
        <f t="shared" si="11"/>
        <v>2.31807</v>
      </c>
      <c r="Q24" s="127">
        <f t="shared" si="2"/>
        <v>7.75428</v>
      </c>
      <c r="R24" s="143">
        <f t="shared" si="3"/>
        <v>0.277037513397642</v>
      </c>
      <c r="S24" s="144">
        <f>阶段总盈亏!I24</f>
        <v>308</v>
      </c>
      <c r="T24" s="127">
        <f t="shared" si="4"/>
        <v>2388.31824</v>
      </c>
      <c r="U24" s="146">
        <f t="shared" si="5"/>
        <v>2388.31824</v>
      </c>
      <c r="V24" s="144">
        <f t="shared" si="6"/>
        <v>8620.92</v>
      </c>
      <c r="XEQ24" s="115"/>
      <c r="XER24" s="115"/>
      <c r="XES24" s="115"/>
      <c r="XET24" s="115"/>
      <c r="XEU24" s="115"/>
      <c r="XEV24" s="115"/>
      <c r="XEW24" s="115"/>
      <c r="XEX24" s="115"/>
      <c r="XEY24" s="115"/>
      <c r="XEZ24" s="115"/>
      <c r="XFA24" s="115"/>
      <c r="XFB24" s="115"/>
      <c r="XFC24" s="115"/>
      <c r="XFD24" s="115"/>
    </row>
    <row r="25" s="114" customFormat="1" ht="25" customHeight="1" spans="1:16384">
      <c r="A25" s="37"/>
      <c r="B25" s="123" t="s">
        <v>117</v>
      </c>
      <c r="C25" s="124">
        <f>价格策略模拟!B8</f>
        <v>27.99</v>
      </c>
      <c r="D25" s="125">
        <f>价格策略模拟!C8</f>
        <v>0.1</v>
      </c>
      <c r="E25" s="126">
        <f>价格策略模拟!D8</f>
        <v>0</v>
      </c>
      <c r="F25" s="127">
        <f t="shared" si="1"/>
        <v>25.191</v>
      </c>
      <c r="G25" s="33">
        <v>5.5</v>
      </c>
      <c r="H25" s="33">
        <f t="shared" si="7"/>
        <v>3.77865</v>
      </c>
      <c r="I25" s="33">
        <f t="shared" si="8"/>
        <v>15.91235</v>
      </c>
      <c r="J25" s="33">
        <f t="shared" si="12"/>
        <v>0.34</v>
      </c>
      <c r="K25" s="33">
        <v>0</v>
      </c>
      <c r="L25" s="33">
        <v>4.5</v>
      </c>
      <c r="M25" s="33">
        <v>1</v>
      </c>
      <c r="N25" s="33">
        <f t="shared" si="10"/>
        <v>13.13573</v>
      </c>
      <c r="O25" s="41">
        <v>0.15</v>
      </c>
      <c r="P25" s="127">
        <f t="shared" si="11"/>
        <v>2.31807</v>
      </c>
      <c r="Q25" s="127">
        <f t="shared" si="2"/>
        <v>7.75428</v>
      </c>
      <c r="R25" s="143">
        <f t="shared" si="3"/>
        <v>0.277037513397642</v>
      </c>
      <c r="S25" s="144">
        <f>阶段总盈亏!I25</f>
        <v>322</v>
      </c>
      <c r="T25" s="127">
        <f t="shared" si="4"/>
        <v>2496.87816</v>
      </c>
      <c r="U25" s="146">
        <f t="shared" si="5"/>
        <v>2496.87816</v>
      </c>
      <c r="V25" s="144">
        <f t="shared" si="6"/>
        <v>9012.78</v>
      </c>
      <c r="XEQ25" s="115"/>
      <c r="XER25" s="115"/>
      <c r="XES25" s="115"/>
      <c r="XET25" s="115"/>
      <c r="XEU25" s="115"/>
      <c r="XEV25" s="115"/>
      <c r="XEW25" s="115"/>
      <c r="XEX25" s="115"/>
      <c r="XEY25" s="115"/>
      <c r="XEZ25" s="115"/>
      <c r="XFA25" s="115"/>
      <c r="XFB25" s="115"/>
      <c r="XFC25" s="115"/>
      <c r="XFD25" s="115"/>
    </row>
    <row r="26" s="114" customFormat="1" ht="25" customHeight="1" spans="1:16384">
      <c r="A26" s="37"/>
      <c r="B26" s="123" t="s">
        <v>118</v>
      </c>
      <c r="C26" s="124">
        <f>价格策略模拟!B8</f>
        <v>27.99</v>
      </c>
      <c r="D26" s="125">
        <f>价格策略模拟!C8</f>
        <v>0.1</v>
      </c>
      <c r="E26" s="126">
        <f>价格策略模拟!D8</f>
        <v>0</v>
      </c>
      <c r="F26" s="127">
        <f t="shared" si="1"/>
        <v>25.191</v>
      </c>
      <c r="G26" s="33">
        <v>5.5</v>
      </c>
      <c r="H26" s="33">
        <f t="shared" si="7"/>
        <v>3.77865</v>
      </c>
      <c r="I26" s="33">
        <f t="shared" si="8"/>
        <v>15.91235</v>
      </c>
      <c r="J26" s="33">
        <f t="shared" si="12"/>
        <v>0.34</v>
      </c>
      <c r="K26" s="33">
        <v>0</v>
      </c>
      <c r="L26" s="33">
        <v>4.5</v>
      </c>
      <c r="M26" s="33">
        <v>1</v>
      </c>
      <c r="N26" s="33">
        <f t="shared" si="10"/>
        <v>13.13573</v>
      </c>
      <c r="O26" s="41">
        <v>0.15</v>
      </c>
      <c r="P26" s="127">
        <f t="shared" si="11"/>
        <v>2.31807</v>
      </c>
      <c r="Q26" s="127">
        <f t="shared" si="2"/>
        <v>7.75428</v>
      </c>
      <c r="R26" s="143">
        <f t="shared" si="3"/>
        <v>0.277037513397642</v>
      </c>
      <c r="S26" s="144">
        <f>阶段总盈亏!I26</f>
        <v>336</v>
      </c>
      <c r="T26" s="127">
        <f t="shared" si="4"/>
        <v>2605.43808</v>
      </c>
      <c r="U26" s="146">
        <f t="shared" si="5"/>
        <v>2605.43808</v>
      </c>
      <c r="V26" s="144">
        <f t="shared" si="6"/>
        <v>9404.64</v>
      </c>
      <c r="XEQ26" s="115"/>
      <c r="XER26" s="115"/>
      <c r="XES26" s="115"/>
      <c r="XET26" s="115"/>
      <c r="XEU26" s="115"/>
      <c r="XEV26" s="115"/>
      <c r="XEW26" s="115"/>
      <c r="XEX26" s="115"/>
      <c r="XEY26" s="115"/>
      <c r="XEZ26" s="115"/>
      <c r="XFA26" s="115"/>
      <c r="XFB26" s="115"/>
      <c r="XFC26" s="115"/>
      <c r="XFD26" s="115"/>
    </row>
    <row r="27" s="114" customFormat="1" spans="1:1">
      <c r="A27" s="21"/>
    </row>
    <row r="28" s="114" customFormat="1" ht="26.25" customHeight="1" spans="1:22">
      <c r="A28" s="128" t="s">
        <v>146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47"/>
    </row>
    <row r="29" s="114" customFormat="1" ht="25" customHeight="1" spans="1:22">
      <c r="A29" s="130" t="s">
        <v>22</v>
      </c>
      <c r="B29" s="35" t="s">
        <v>84</v>
      </c>
      <c r="C29" s="131"/>
      <c r="D29" s="132"/>
      <c r="E29" s="133"/>
      <c r="F29" s="134"/>
      <c r="G29" s="134"/>
      <c r="H29" s="134"/>
      <c r="I29" s="134"/>
      <c r="J29" s="135"/>
      <c r="K29" s="134"/>
      <c r="L29" s="136"/>
      <c r="M29" s="134"/>
      <c r="N29" s="134"/>
      <c r="O29" s="137"/>
      <c r="P29" s="134"/>
      <c r="Q29" s="134"/>
      <c r="R29" s="148"/>
      <c r="S29" s="149"/>
      <c r="T29" s="134"/>
      <c r="U29" s="150"/>
      <c r="V29" s="150"/>
    </row>
    <row r="30" s="114" customFormat="1" ht="25" customHeight="1" spans="1:16384">
      <c r="A30" s="37"/>
      <c r="B30" s="123" t="s">
        <v>86</v>
      </c>
      <c r="C30" s="124"/>
      <c r="D30" s="125"/>
      <c r="E30" s="126"/>
      <c r="F30" s="127"/>
      <c r="G30" s="127"/>
      <c r="H30" s="127"/>
      <c r="I30" s="127"/>
      <c r="J30" s="138"/>
      <c r="K30" s="127"/>
      <c r="L30" s="139"/>
      <c r="M30" s="127"/>
      <c r="N30" s="127"/>
      <c r="O30" s="140"/>
      <c r="P30" s="127"/>
      <c r="Q30" s="127"/>
      <c r="R30" s="143"/>
      <c r="S30" s="144"/>
      <c r="T30" s="127"/>
      <c r="U30" s="146"/>
      <c r="V30" s="146"/>
      <c r="XEQ30" s="115"/>
      <c r="XER30" s="115"/>
      <c r="XES30" s="115"/>
      <c r="XET30" s="115"/>
      <c r="XEU30" s="115"/>
      <c r="XEV30" s="115"/>
      <c r="XEW30" s="115"/>
      <c r="XEX30" s="115"/>
      <c r="XEY30" s="115"/>
      <c r="XEZ30" s="115"/>
      <c r="XFA30" s="115"/>
      <c r="XFB30" s="115"/>
      <c r="XFC30" s="115"/>
      <c r="XFD30" s="115"/>
    </row>
    <row r="31" s="114" customFormat="1" ht="25" customHeight="1" spans="1:16384">
      <c r="A31" s="37"/>
      <c r="B31" s="123" t="s">
        <v>88</v>
      </c>
      <c r="C31" s="124"/>
      <c r="D31" s="125"/>
      <c r="E31" s="126"/>
      <c r="F31" s="127"/>
      <c r="G31" s="127"/>
      <c r="H31" s="127"/>
      <c r="I31" s="127"/>
      <c r="J31" s="138"/>
      <c r="K31" s="127"/>
      <c r="L31" s="139"/>
      <c r="M31" s="127"/>
      <c r="N31" s="127"/>
      <c r="O31" s="140"/>
      <c r="P31" s="127"/>
      <c r="Q31" s="127"/>
      <c r="R31" s="143"/>
      <c r="S31" s="144"/>
      <c r="T31" s="127"/>
      <c r="U31" s="146"/>
      <c r="V31" s="146"/>
      <c r="XEQ31" s="115"/>
      <c r="XER31" s="115"/>
      <c r="XES31" s="115"/>
      <c r="XET31" s="115"/>
      <c r="XEU31" s="115"/>
      <c r="XEV31" s="115"/>
      <c r="XEW31" s="115"/>
      <c r="XEX31" s="115"/>
      <c r="XEY31" s="115"/>
      <c r="XEZ31" s="115"/>
      <c r="XFA31" s="115"/>
      <c r="XFB31" s="115"/>
      <c r="XFC31" s="115"/>
      <c r="XFD31" s="115"/>
    </row>
    <row r="32" s="114" customFormat="1" ht="25" customHeight="1" spans="1:16384">
      <c r="A32" s="37"/>
      <c r="B32" s="123" t="s">
        <v>90</v>
      </c>
      <c r="C32" s="124"/>
      <c r="D32" s="125"/>
      <c r="E32" s="126"/>
      <c r="F32" s="127"/>
      <c r="G32" s="127"/>
      <c r="H32" s="127"/>
      <c r="I32" s="127"/>
      <c r="J32" s="138"/>
      <c r="K32" s="127"/>
      <c r="L32" s="139"/>
      <c r="M32" s="127"/>
      <c r="N32" s="127"/>
      <c r="O32" s="140"/>
      <c r="P32" s="127"/>
      <c r="Q32" s="127"/>
      <c r="R32" s="143"/>
      <c r="S32" s="144"/>
      <c r="T32" s="127"/>
      <c r="U32" s="146"/>
      <c r="V32" s="146"/>
      <c r="XEQ32" s="115"/>
      <c r="XER32" s="115"/>
      <c r="XES32" s="115"/>
      <c r="XET32" s="115"/>
      <c r="XEU32" s="115"/>
      <c r="XEV32" s="115"/>
      <c r="XEW32" s="115"/>
      <c r="XEX32" s="115"/>
      <c r="XEY32" s="115"/>
      <c r="XEZ32" s="115"/>
      <c r="XFA32" s="115"/>
      <c r="XFB32" s="115"/>
      <c r="XFC32" s="115"/>
      <c r="XFD32" s="115"/>
    </row>
    <row r="33" s="114" customFormat="1" ht="25" customHeight="1" spans="1:16384">
      <c r="A33" s="37" t="s">
        <v>24</v>
      </c>
      <c r="B33" s="123" t="s">
        <v>92</v>
      </c>
      <c r="C33" s="124"/>
      <c r="D33" s="125"/>
      <c r="E33" s="126"/>
      <c r="F33" s="127"/>
      <c r="G33" s="127"/>
      <c r="H33" s="127"/>
      <c r="I33" s="127"/>
      <c r="J33" s="138"/>
      <c r="K33" s="127"/>
      <c r="L33" s="139"/>
      <c r="M33" s="127"/>
      <c r="N33" s="127"/>
      <c r="O33" s="140"/>
      <c r="P33" s="127"/>
      <c r="Q33" s="127"/>
      <c r="R33" s="143"/>
      <c r="S33" s="144"/>
      <c r="T33" s="127"/>
      <c r="U33" s="146"/>
      <c r="V33" s="146"/>
      <c r="XEQ33" s="115"/>
      <c r="XER33" s="115"/>
      <c r="XES33" s="115"/>
      <c r="XET33" s="115"/>
      <c r="XEU33" s="115"/>
      <c r="XEV33" s="115"/>
      <c r="XEW33" s="115"/>
      <c r="XEX33" s="115"/>
      <c r="XEY33" s="115"/>
      <c r="XEZ33" s="115"/>
      <c r="XFA33" s="115"/>
      <c r="XFB33" s="115"/>
      <c r="XFC33" s="115"/>
      <c r="XFD33" s="115"/>
    </row>
    <row r="34" s="115" customFormat="1" ht="25" customHeight="1" spans="1:22">
      <c r="A34" s="37"/>
      <c r="B34" s="123" t="s">
        <v>94</v>
      </c>
      <c r="C34" s="124"/>
      <c r="D34" s="125"/>
      <c r="E34" s="126"/>
      <c r="F34" s="127"/>
      <c r="G34" s="127"/>
      <c r="H34" s="127"/>
      <c r="I34" s="127"/>
      <c r="J34" s="138"/>
      <c r="K34" s="127"/>
      <c r="L34" s="139"/>
      <c r="M34" s="127"/>
      <c r="N34" s="127"/>
      <c r="O34" s="140"/>
      <c r="P34" s="127"/>
      <c r="Q34" s="127"/>
      <c r="R34" s="143"/>
      <c r="S34" s="144"/>
      <c r="T34" s="127"/>
      <c r="U34" s="146"/>
      <c r="V34" s="146"/>
    </row>
    <row r="35" s="114" customFormat="1" ht="25" customHeight="1" spans="1:16384">
      <c r="A35" s="37"/>
      <c r="B35" s="123" t="s">
        <v>96</v>
      </c>
      <c r="C35" s="124"/>
      <c r="D35" s="125"/>
      <c r="E35" s="126"/>
      <c r="F35" s="127"/>
      <c r="G35" s="127"/>
      <c r="H35" s="127"/>
      <c r="I35" s="127"/>
      <c r="J35" s="138"/>
      <c r="K35" s="127"/>
      <c r="L35" s="139"/>
      <c r="M35" s="127"/>
      <c r="N35" s="127"/>
      <c r="O35" s="140"/>
      <c r="P35" s="127"/>
      <c r="Q35" s="127"/>
      <c r="R35" s="143"/>
      <c r="S35" s="144"/>
      <c r="T35" s="127"/>
      <c r="U35" s="146"/>
      <c r="V35" s="146"/>
      <c r="XEQ35" s="115"/>
      <c r="XER35" s="115"/>
      <c r="XES35" s="115"/>
      <c r="XET35" s="115"/>
      <c r="XEU35" s="115"/>
      <c r="XEV35" s="115"/>
      <c r="XEW35" s="115"/>
      <c r="XEX35" s="115"/>
      <c r="XEY35" s="115"/>
      <c r="XEZ35" s="115"/>
      <c r="XFA35" s="115"/>
      <c r="XFB35" s="115"/>
      <c r="XFC35" s="115"/>
      <c r="XFD35" s="115"/>
    </row>
    <row r="36" s="114" customFormat="1" ht="25" customHeight="1" spans="1:16384">
      <c r="A36" s="37"/>
      <c r="B36" s="123" t="s">
        <v>98</v>
      </c>
      <c r="C36" s="124"/>
      <c r="D36" s="125"/>
      <c r="E36" s="126"/>
      <c r="F36" s="127"/>
      <c r="G36" s="127"/>
      <c r="H36" s="127"/>
      <c r="I36" s="127"/>
      <c r="J36" s="138"/>
      <c r="K36" s="127"/>
      <c r="L36" s="139"/>
      <c r="M36" s="127"/>
      <c r="N36" s="127"/>
      <c r="O36" s="140"/>
      <c r="P36" s="127"/>
      <c r="Q36" s="127"/>
      <c r="R36" s="143"/>
      <c r="S36" s="144"/>
      <c r="T36" s="127"/>
      <c r="U36" s="146"/>
      <c r="V36" s="146"/>
      <c r="XEQ36" s="115"/>
      <c r="XER36" s="115"/>
      <c r="XES36" s="115"/>
      <c r="XET36" s="115"/>
      <c r="XEU36" s="115"/>
      <c r="XEV36" s="115"/>
      <c r="XEW36" s="115"/>
      <c r="XEX36" s="115"/>
      <c r="XEY36" s="115"/>
      <c r="XEZ36" s="115"/>
      <c r="XFA36" s="115"/>
      <c r="XFB36" s="115"/>
      <c r="XFC36" s="115"/>
      <c r="XFD36" s="115"/>
    </row>
    <row r="37" s="114" customFormat="1" ht="25" customHeight="1" spans="1:16384">
      <c r="A37" s="37" t="s">
        <v>26</v>
      </c>
      <c r="B37" s="123" t="s">
        <v>100</v>
      </c>
      <c r="C37" s="124"/>
      <c r="D37" s="125"/>
      <c r="E37" s="126"/>
      <c r="F37" s="127"/>
      <c r="G37" s="127"/>
      <c r="H37" s="127"/>
      <c r="I37" s="127"/>
      <c r="J37" s="138"/>
      <c r="K37" s="127"/>
      <c r="L37" s="139"/>
      <c r="M37" s="127"/>
      <c r="N37" s="127"/>
      <c r="O37" s="140"/>
      <c r="P37" s="127"/>
      <c r="Q37" s="127"/>
      <c r="R37" s="143"/>
      <c r="S37" s="144"/>
      <c r="T37" s="127"/>
      <c r="U37" s="146"/>
      <c r="V37" s="146"/>
      <c r="XEQ37" s="115"/>
      <c r="XER37" s="115"/>
      <c r="XES37" s="115"/>
      <c r="XET37" s="115"/>
      <c r="XEU37" s="115"/>
      <c r="XEV37" s="115"/>
      <c r="XEW37" s="115"/>
      <c r="XEX37" s="115"/>
      <c r="XEY37" s="115"/>
      <c r="XEZ37" s="115"/>
      <c r="XFA37" s="115"/>
      <c r="XFB37" s="115"/>
      <c r="XFC37" s="115"/>
      <c r="XFD37" s="115"/>
    </row>
    <row r="38" s="114" customFormat="1" ht="25" customHeight="1" spans="1:16384">
      <c r="A38" s="37"/>
      <c r="B38" s="123" t="s">
        <v>102</v>
      </c>
      <c r="C38" s="124"/>
      <c r="D38" s="125"/>
      <c r="E38" s="126"/>
      <c r="F38" s="127"/>
      <c r="G38" s="127"/>
      <c r="H38" s="127"/>
      <c r="I38" s="127"/>
      <c r="J38" s="138"/>
      <c r="K38" s="127"/>
      <c r="L38" s="139"/>
      <c r="M38" s="127"/>
      <c r="N38" s="127"/>
      <c r="O38" s="140"/>
      <c r="P38" s="127"/>
      <c r="Q38" s="127"/>
      <c r="R38" s="143"/>
      <c r="S38" s="144"/>
      <c r="T38" s="127"/>
      <c r="U38" s="146"/>
      <c r="V38" s="146"/>
      <c r="XEQ38" s="115"/>
      <c r="XER38" s="115"/>
      <c r="XES38" s="115"/>
      <c r="XET38" s="115"/>
      <c r="XEU38" s="115"/>
      <c r="XEV38" s="115"/>
      <c r="XEW38" s="115"/>
      <c r="XEX38" s="115"/>
      <c r="XEY38" s="115"/>
      <c r="XEZ38" s="115"/>
      <c r="XFA38" s="115"/>
      <c r="XFB38" s="115"/>
      <c r="XFC38" s="115"/>
      <c r="XFD38" s="115"/>
    </row>
    <row r="39" s="114" customFormat="1" ht="25" customHeight="1" spans="1:16384">
      <c r="A39" s="37"/>
      <c r="B39" s="123" t="s">
        <v>104</v>
      </c>
      <c r="C39" s="124"/>
      <c r="D39" s="125"/>
      <c r="E39" s="126"/>
      <c r="F39" s="127"/>
      <c r="G39" s="127"/>
      <c r="H39" s="127"/>
      <c r="I39" s="127"/>
      <c r="J39" s="138"/>
      <c r="K39" s="127"/>
      <c r="L39" s="139"/>
      <c r="M39" s="127"/>
      <c r="N39" s="127"/>
      <c r="O39" s="140"/>
      <c r="P39" s="127"/>
      <c r="Q39" s="127"/>
      <c r="R39" s="143"/>
      <c r="S39" s="144"/>
      <c r="T39" s="127"/>
      <c r="U39" s="146"/>
      <c r="V39" s="146"/>
      <c r="XEQ39" s="115"/>
      <c r="XER39" s="115"/>
      <c r="XES39" s="115"/>
      <c r="XET39" s="115"/>
      <c r="XEU39" s="115"/>
      <c r="XEV39" s="115"/>
      <c r="XEW39" s="115"/>
      <c r="XEX39" s="115"/>
      <c r="XEY39" s="115"/>
      <c r="XEZ39" s="115"/>
      <c r="XFA39" s="115"/>
      <c r="XFB39" s="115"/>
      <c r="XFC39" s="115"/>
      <c r="XFD39" s="115"/>
    </row>
    <row r="40" s="114" customFormat="1" ht="25" customHeight="1" spans="1:16384">
      <c r="A40" s="37"/>
      <c r="B40" s="123" t="s">
        <v>106</v>
      </c>
      <c r="C40" s="124"/>
      <c r="D40" s="125"/>
      <c r="E40" s="126"/>
      <c r="F40" s="127"/>
      <c r="G40" s="127"/>
      <c r="H40" s="127"/>
      <c r="I40" s="127"/>
      <c r="J40" s="138"/>
      <c r="K40" s="127"/>
      <c r="L40" s="139"/>
      <c r="M40" s="127"/>
      <c r="N40" s="127"/>
      <c r="O40" s="140"/>
      <c r="P40" s="127"/>
      <c r="Q40" s="127"/>
      <c r="R40" s="143"/>
      <c r="S40" s="144"/>
      <c r="T40" s="127"/>
      <c r="U40" s="146"/>
      <c r="V40" s="146"/>
      <c r="XEQ40" s="115"/>
      <c r="XER40" s="115"/>
      <c r="XES40" s="115"/>
      <c r="XET40" s="115"/>
      <c r="XEU40" s="115"/>
      <c r="XEV40" s="115"/>
      <c r="XEW40" s="115"/>
      <c r="XEX40" s="115"/>
      <c r="XEY40" s="115"/>
      <c r="XEZ40" s="115"/>
      <c r="XFA40" s="115"/>
      <c r="XFB40" s="115"/>
      <c r="XFC40" s="115"/>
      <c r="XFD40" s="115"/>
    </row>
    <row r="41" s="114" customFormat="1" ht="25" customHeight="1" spans="1:16384">
      <c r="A41" s="37" t="s">
        <v>28</v>
      </c>
      <c r="B41" s="123" t="s">
        <v>107</v>
      </c>
      <c r="C41" s="124"/>
      <c r="D41" s="125"/>
      <c r="E41" s="126"/>
      <c r="F41" s="127"/>
      <c r="G41" s="127"/>
      <c r="H41" s="127"/>
      <c r="I41" s="127"/>
      <c r="J41" s="138"/>
      <c r="K41" s="127"/>
      <c r="L41" s="139"/>
      <c r="M41" s="127"/>
      <c r="N41" s="127"/>
      <c r="O41" s="140"/>
      <c r="P41" s="127"/>
      <c r="Q41" s="127"/>
      <c r="R41" s="143"/>
      <c r="S41" s="144"/>
      <c r="T41" s="127"/>
      <c r="U41" s="146"/>
      <c r="V41" s="146"/>
      <c r="XEQ41" s="115"/>
      <c r="XER41" s="115"/>
      <c r="XES41" s="115"/>
      <c r="XET41" s="115"/>
      <c r="XEU41" s="115"/>
      <c r="XEV41" s="115"/>
      <c r="XEW41" s="115"/>
      <c r="XEX41" s="115"/>
      <c r="XEY41" s="115"/>
      <c r="XEZ41" s="115"/>
      <c r="XFA41" s="115"/>
      <c r="XFB41" s="115"/>
      <c r="XFC41" s="115"/>
      <c r="XFD41" s="115"/>
    </row>
    <row r="42" s="114" customFormat="1" ht="25" customHeight="1" spans="1:16384">
      <c r="A42" s="37"/>
      <c r="B42" s="123" t="s">
        <v>108</v>
      </c>
      <c r="C42" s="124"/>
      <c r="D42" s="125"/>
      <c r="E42" s="126"/>
      <c r="F42" s="127"/>
      <c r="G42" s="127"/>
      <c r="H42" s="127"/>
      <c r="I42" s="127"/>
      <c r="J42" s="138"/>
      <c r="K42" s="127"/>
      <c r="L42" s="139"/>
      <c r="M42" s="127"/>
      <c r="N42" s="127"/>
      <c r="O42" s="140"/>
      <c r="P42" s="127"/>
      <c r="Q42" s="127"/>
      <c r="R42" s="143"/>
      <c r="S42" s="144"/>
      <c r="T42" s="127"/>
      <c r="U42" s="146"/>
      <c r="V42" s="146"/>
      <c r="XEQ42" s="115"/>
      <c r="XER42" s="115"/>
      <c r="XES42" s="115"/>
      <c r="XET42" s="115"/>
      <c r="XEU42" s="115"/>
      <c r="XEV42" s="115"/>
      <c r="XEW42" s="115"/>
      <c r="XEX42" s="115"/>
      <c r="XEY42" s="115"/>
      <c r="XEZ42" s="115"/>
      <c r="XFA42" s="115"/>
      <c r="XFB42" s="115"/>
      <c r="XFC42" s="115"/>
      <c r="XFD42" s="115"/>
    </row>
    <row r="43" s="114" customFormat="1" ht="25" customHeight="1" spans="1:16384">
      <c r="A43" s="37"/>
      <c r="B43" s="123" t="s">
        <v>109</v>
      </c>
      <c r="C43" s="124"/>
      <c r="D43" s="125"/>
      <c r="E43" s="126"/>
      <c r="F43" s="127"/>
      <c r="G43" s="127"/>
      <c r="H43" s="127"/>
      <c r="I43" s="127"/>
      <c r="J43" s="138"/>
      <c r="K43" s="127"/>
      <c r="L43" s="139"/>
      <c r="M43" s="127"/>
      <c r="N43" s="127"/>
      <c r="O43" s="140"/>
      <c r="P43" s="127"/>
      <c r="Q43" s="127"/>
      <c r="R43" s="143"/>
      <c r="S43" s="144"/>
      <c r="T43" s="127"/>
      <c r="U43" s="146"/>
      <c r="V43" s="146"/>
      <c r="XEQ43" s="115"/>
      <c r="XER43" s="115"/>
      <c r="XES43" s="115"/>
      <c r="XET43" s="115"/>
      <c r="XEU43" s="115"/>
      <c r="XEV43" s="115"/>
      <c r="XEW43" s="115"/>
      <c r="XEX43" s="115"/>
      <c r="XEY43" s="115"/>
      <c r="XEZ43" s="115"/>
      <c r="XFA43" s="115"/>
      <c r="XFB43" s="115"/>
      <c r="XFC43" s="115"/>
      <c r="XFD43" s="115"/>
    </row>
    <row r="44" s="114" customFormat="1" ht="25" customHeight="1" spans="1:16384">
      <c r="A44" s="37"/>
      <c r="B44" s="123" t="s">
        <v>110</v>
      </c>
      <c r="C44" s="124"/>
      <c r="D44" s="125"/>
      <c r="E44" s="126"/>
      <c r="F44" s="127"/>
      <c r="G44" s="127"/>
      <c r="H44" s="127"/>
      <c r="I44" s="127"/>
      <c r="J44" s="138"/>
      <c r="K44" s="127"/>
      <c r="L44" s="139"/>
      <c r="M44" s="127"/>
      <c r="N44" s="127"/>
      <c r="O44" s="140"/>
      <c r="P44" s="127"/>
      <c r="Q44" s="127"/>
      <c r="R44" s="143"/>
      <c r="S44" s="144"/>
      <c r="T44" s="127"/>
      <c r="U44" s="146"/>
      <c r="V44" s="146"/>
      <c r="XEQ44" s="115"/>
      <c r="XER44" s="115"/>
      <c r="XES44" s="115"/>
      <c r="XET44" s="115"/>
      <c r="XEU44" s="115"/>
      <c r="XEV44" s="115"/>
      <c r="XEW44" s="115"/>
      <c r="XEX44" s="115"/>
      <c r="XEY44" s="115"/>
      <c r="XEZ44" s="115"/>
      <c r="XFA44" s="115"/>
      <c r="XFB44" s="115"/>
      <c r="XFC44" s="115"/>
      <c r="XFD44" s="115"/>
    </row>
    <row r="45" s="114" customFormat="1" ht="25" customHeight="1" spans="1:16384">
      <c r="A45" s="37" t="s">
        <v>30</v>
      </c>
      <c r="B45" s="123" t="s">
        <v>111</v>
      </c>
      <c r="C45" s="124"/>
      <c r="D45" s="125"/>
      <c r="E45" s="126"/>
      <c r="F45" s="127"/>
      <c r="G45" s="127"/>
      <c r="H45" s="127"/>
      <c r="I45" s="127"/>
      <c r="J45" s="138"/>
      <c r="K45" s="127"/>
      <c r="L45" s="139"/>
      <c r="M45" s="127"/>
      <c r="N45" s="127"/>
      <c r="O45" s="140"/>
      <c r="P45" s="127"/>
      <c r="Q45" s="127"/>
      <c r="R45" s="143"/>
      <c r="S45" s="144"/>
      <c r="T45" s="127"/>
      <c r="U45" s="146"/>
      <c r="V45" s="146"/>
      <c r="XEQ45" s="115"/>
      <c r="XER45" s="115"/>
      <c r="XES45" s="115"/>
      <c r="XET45" s="115"/>
      <c r="XEU45" s="115"/>
      <c r="XEV45" s="115"/>
      <c r="XEW45" s="115"/>
      <c r="XEX45" s="115"/>
      <c r="XEY45" s="115"/>
      <c r="XEZ45" s="115"/>
      <c r="XFA45" s="115"/>
      <c r="XFB45" s="115"/>
      <c r="XFC45" s="115"/>
      <c r="XFD45" s="115"/>
    </row>
    <row r="46" s="114" customFormat="1" ht="25" customHeight="1" spans="1:16384">
      <c r="A46" s="37"/>
      <c r="B46" s="123" t="s">
        <v>112</v>
      </c>
      <c r="C46" s="124"/>
      <c r="D46" s="125"/>
      <c r="E46" s="126"/>
      <c r="F46" s="127"/>
      <c r="G46" s="127"/>
      <c r="H46" s="127"/>
      <c r="I46" s="127"/>
      <c r="J46" s="138"/>
      <c r="K46" s="127"/>
      <c r="L46" s="139"/>
      <c r="M46" s="127"/>
      <c r="N46" s="127"/>
      <c r="O46" s="140"/>
      <c r="P46" s="127"/>
      <c r="Q46" s="127"/>
      <c r="R46" s="143"/>
      <c r="S46" s="144"/>
      <c r="T46" s="127"/>
      <c r="U46" s="146"/>
      <c r="V46" s="146"/>
      <c r="XEQ46" s="115"/>
      <c r="XER46" s="115"/>
      <c r="XES46" s="115"/>
      <c r="XET46" s="115"/>
      <c r="XEU46" s="115"/>
      <c r="XEV46" s="115"/>
      <c r="XEW46" s="115"/>
      <c r="XEX46" s="115"/>
      <c r="XEY46" s="115"/>
      <c r="XEZ46" s="115"/>
      <c r="XFA46" s="115"/>
      <c r="XFB46" s="115"/>
      <c r="XFC46" s="115"/>
      <c r="XFD46" s="115"/>
    </row>
    <row r="47" s="114" customFormat="1" ht="25" customHeight="1" spans="1:16384">
      <c r="A47" s="37"/>
      <c r="B47" s="123" t="s">
        <v>113</v>
      </c>
      <c r="C47" s="124"/>
      <c r="D47" s="125"/>
      <c r="E47" s="126"/>
      <c r="F47" s="127"/>
      <c r="G47" s="127"/>
      <c r="H47" s="127"/>
      <c r="I47" s="127"/>
      <c r="J47" s="138"/>
      <c r="K47" s="127"/>
      <c r="L47" s="139"/>
      <c r="M47" s="127"/>
      <c r="N47" s="127"/>
      <c r="O47" s="140"/>
      <c r="P47" s="127"/>
      <c r="Q47" s="127"/>
      <c r="R47" s="143"/>
      <c r="S47" s="144"/>
      <c r="T47" s="127"/>
      <c r="U47" s="146"/>
      <c r="V47" s="146"/>
      <c r="XEQ47" s="115"/>
      <c r="XER47" s="115"/>
      <c r="XES47" s="115"/>
      <c r="XET47" s="115"/>
      <c r="XEU47" s="115"/>
      <c r="XEV47" s="115"/>
      <c r="XEW47" s="115"/>
      <c r="XEX47" s="115"/>
      <c r="XEY47" s="115"/>
      <c r="XEZ47" s="115"/>
      <c r="XFA47" s="115"/>
      <c r="XFB47" s="115"/>
      <c r="XFC47" s="115"/>
      <c r="XFD47" s="115"/>
    </row>
    <row r="48" s="114" customFormat="1" ht="25" customHeight="1" spans="1:16384">
      <c r="A48" s="37"/>
      <c r="B48" s="123" t="s">
        <v>114</v>
      </c>
      <c r="C48" s="124"/>
      <c r="D48" s="125"/>
      <c r="E48" s="126"/>
      <c r="F48" s="127"/>
      <c r="G48" s="127"/>
      <c r="H48" s="127"/>
      <c r="I48" s="127"/>
      <c r="J48" s="138"/>
      <c r="K48" s="127"/>
      <c r="L48" s="139"/>
      <c r="M48" s="127"/>
      <c r="N48" s="127"/>
      <c r="O48" s="140"/>
      <c r="P48" s="127"/>
      <c r="Q48" s="127"/>
      <c r="R48" s="143"/>
      <c r="S48" s="144"/>
      <c r="T48" s="127"/>
      <c r="U48" s="146"/>
      <c r="V48" s="146"/>
      <c r="XEQ48" s="115"/>
      <c r="XER48" s="115"/>
      <c r="XES48" s="115"/>
      <c r="XET48" s="115"/>
      <c r="XEU48" s="115"/>
      <c r="XEV48" s="115"/>
      <c r="XEW48" s="115"/>
      <c r="XEX48" s="115"/>
      <c r="XEY48" s="115"/>
      <c r="XEZ48" s="115"/>
      <c r="XFA48" s="115"/>
      <c r="XFB48" s="115"/>
      <c r="XFC48" s="115"/>
      <c r="XFD48" s="115"/>
    </row>
    <row r="49" s="114" customFormat="1" ht="25" customHeight="1" spans="1:16384">
      <c r="A49" s="37" t="s">
        <v>32</v>
      </c>
      <c r="B49" s="123" t="s">
        <v>115</v>
      </c>
      <c r="C49" s="124"/>
      <c r="D49" s="125"/>
      <c r="E49" s="126"/>
      <c r="F49" s="127"/>
      <c r="G49" s="127"/>
      <c r="H49" s="127"/>
      <c r="I49" s="127"/>
      <c r="J49" s="138"/>
      <c r="K49" s="127"/>
      <c r="L49" s="139"/>
      <c r="M49" s="127"/>
      <c r="N49" s="127"/>
      <c r="O49" s="140"/>
      <c r="P49" s="127"/>
      <c r="Q49" s="127"/>
      <c r="R49" s="143"/>
      <c r="S49" s="144"/>
      <c r="T49" s="127"/>
      <c r="U49" s="146"/>
      <c r="V49" s="146"/>
      <c r="XEQ49" s="115"/>
      <c r="XER49" s="115"/>
      <c r="XES49" s="115"/>
      <c r="XET49" s="115"/>
      <c r="XEU49" s="115"/>
      <c r="XEV49" s="115"/>
      <c r="XEW49" s="115"/>
      <c r="XEX49" s="115"/>
      <c r="XEY49" s="115"/>
      <c r="XEZ49" s="115"/>
      <c r="XFA49" s="115"/>
      <c r="XFB49" s="115"/>
      <c r="XFC49" s="115"/>
      <c r="XFD49" s="115"/>
    </row>
    <row r="50" s="114" customFormat="1" ht="25" customHeight="1" spans="1:16384">
      <c r="A50" s="37"/>
      <c r="B50" s="123" t="s">
        <v>116</v>
      </c>
      <c r="C50" s="124"/>
      <c r="D50" s="125"/>
      <c r="E50" s="126"/>
      <c r="F50" s="127"/>
      <c r="G50" s="127"/>
      <c r="H50" s="127"/>
      <c r="I50" s="127"/>
      <c r="J50" s="138"/>
      <c r="K50" s="127"/>
      <c r="L50" s="139"/>
      <c r="M50" s="127"/>
      <c r="N50" s="127"/>
      <c r="O50" s="140"/>
      <c r="P50" s="127"/>
      <c r="Q50" s="127"/>
      <c r="R50" s="143"/>
      <c r="S50" s="144"/>
      <c r="T50" s="127"/>
      <c r="U50" s="146"/>
      <c r="V50" s="146"/>
      <c r="XEQ50" s="115"/>
      <c r="XER50" s="115"/>
      <c r="XES50" s="115"/>
      <c r="XET50" s="115"/>
      <c r="XEU50" s="115"/>
      <c r="XEV50" s="115"/>
      <c r="XEW50" s="115"/>
      <c r="XEX50" s="115"/>
      <c r="XEY50" s="115"/>
      <c r="XEZ50" s="115"/>
      <c r="XFA50" s="115"/>
      <c r="XFB50" s="115"/>
      <c r="XFC50" s="115"/>
      <c r="XFD50" s="115"/>
    </row>
    <row r="51" s="114" customFormat="1" ht="25" customHeight="1" spans="1:16384">
      <c r="A51" s="37"/>
      <c r="B51" s="123" t="s">
        <v>117</v>
      </c>
      <c r="C51" s="124"/>
      <c r="D51" s="125"/>
      <c r="E51" s="126"/>
      <c r="F51" s="127"/>
      <c r="G51" s="127"/>
      <c r="H51" s="127"/>
      <c r="I51" s="127"/>
      <c r="J51" s="138"/>
      <c r="K51" s="127"/>
      <c r="L51" s="139"/>
      <c r="M51" s="127"/>
      <c r="N51" s="127"/>
      <c r="O51" s="140"/>
      <c r="P51" s="127"/>
      <c r="Q51" s="127"/>
      <c r="R51" s="143"/>
      <c r="S51" s="144"/>
      <c r="T51" s="127"/>
      <c r="U51" s="146"/>
      <c r="V51" s="146"/>
      <c r="XEQ51" s="115"/>
      <c r="XER51" s="115"/>
      <c r="XES51" s="115"/>
      <c r="XET51" s="115"/>
      <c r="XEU51" s="115"/>
      <c r="XEV51" s="115"/>
      <c r="XEW51" s="115"/>
      <c r="XEX51" s="115"/>
      <c r="XEY51" s="115"/>
      <c r="XEZ51" s="115"/>
      <c r="XFA51" s="115"/>
      <c r="XFB51" s="115"/>
      <c r="XFC51" s="115"/>
      <c r="XFD51" s="115"/>
    </row>
    <row r="52" s="114" customFormat="1" ht="25" customHeight="1" spans="1:16384">
      <c r="A52" s="37"/>
      <c r="B52" s="123" t="s">
        <v>118</v>
      </c>
      <c r="C52" s="124"/>
      <c r="D52" s="125"/>
      <c r="E52" s="126"/>
      <c r="F52" s="127"/>
      <c r="G52" s="127"/>
      <c r="H52" s="127"/>
      <c r="I52" s="127"/>
      <c r="J52" s="138"/>
      <c r="K52" s="127"/>
      <c r="L52" s="139"/>
      <c r="M52" s="127"/>
      <c r="N52" s="127"/>
      <c r="O52" s="140"/>
      <c r="P52" s="127"/>
      <c r="Q52" s="127"/>
      <c r="R52" s="143"/>
      <c r="S52" s="144"/>
      <c r="T52" s="127"/>
      <c r="U52" s="146"/>
      <c r="V52" s="146"/>
      <c r="XEQ52" s="115"/>
      <c r="XER52" s="115"/>
      <c r="XES52" s="115"/>
      <c r="XET52" s="115"/>
      <c r="XEU52" s="115"/>
      <c r="XEV52" s="115"/>
      <c r="XEW52" s="115"/>
      <c r="XEX52" s="115"/>
      <c r="XEY52" s="115"/>
      <c r="XEZ52" s="115"/>
      <c r="XFA52" s="115"/>
      <c r="XFB52" s="115"/>
      <c r="XFC52" s="115"/>
      <c r="XFD52" s="115"/>
    </row>
  </sheetData>
  <sheetProtection formatCells="0" insertHyperlinks="0" autoFilter="0"/>
  <mergeCells count="14">
    <mergeCell ref="A1:U1"/>
    <mergeCell ref="A28:V28"/>
    <mergeCell ref="A3:A6"/>
    <mergeCell ref="A7:A10"/>
    <mergeCell ref="A11:A14"/>
    <mergeCell ref="A15:A18"/>
    <mergeCell ref="A19:A22"/>
    <mergeCell ref="A23:A26"/>
    <mergeCell ref="A29:A32"/>
    <mergeCell ref="A33:A36"/>
    <mergeCell ref="A37:A40"/>
    <mergeCell ref="A41:A44"/>
    <mergeCell ref="A45:A48"/>
    <mergeCell ref="A49:A5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5"/>
  <sheetViews>
    <sheetView topLeftCell="D1" workbookViewId="0">
      <pane ySplit="1" topLeftCell="A2" activePane="bottomLeft" state="frozen"/>
      <selection/>
      <selection pane="bottomLeft" activeCell="I13" sqref="I13"/>
    </sheetView>
  </sheetViews>
  <sheetFormatPr defaultColWidth="9" defaultRowHeight="15.6"/>
  <cols>
    <col min="1" max="1" width="9" style="109"/>
    <col min="2" max="2" width="29.2962962962963" style="109" customWidth="1"/>
    <col min="3" max="5" width="17.4074074074074" style="109" customWidth="1"/>
    <col min="6" max="6" width="14.7592592592593" style="109" customWidth="1"/>
    <col min="7" max="7" width="20.962962962963" style="109" customWidth="1"/>
    <col min="8" max="8" width="9.75" style="109" customWidth="1"/>
    <col min="9" max="9" width="10.1388888888889" style="109" customWidth="1"/>
    <col min="10" max="10" width="10.787037037037" style="109" customWidth="1"/>
    <col min="11" max="11" width="11.537037037037" style="109" customWidth="1"/>
    <col min="12" max="12" width="10.5277777777778" style="109" customWidth="1"/>
    <col min="13" max="13" width="12.1666666666667" style="109" customWidth="1"/>
    <col min="14" max="14" width="13.2314814814815" style="109" customWidth="1"/>
    <col min="15" max="15" width="11.75" style="109" customWidth="1"/>
    <col min="16" max="16" width="13.25" style="109" customWidth="1"/>
    <col min="17" max="17" width="15" style="109" customWidth="1"/>
    <col min="18" max="18" width="9.90740740740741" style="109"/>
    <col min="19" max="16384" width="9" style="109"/>
  </cols>
  <sheetData>
    <row r="1" ht="46.8" spans="1:18">
      <c r="A1" s="109" t="s">
        <v>147</v>
      </c>
      <c r="B1" s="109" t="s">
        <v>148</v>
      </c>
      <c r="C1" s="110" t="s">
        <v>149</v>
      </c>
      <c r="D1" s="110" t="s">
        <v>150</v>
      </c>
      <c r="E1" s="110" t="s">
        <v>151</v>
      </c>
      <c r="F1" s="109" t="s">
        <v>152</v>
      </c>
      <c r="G1" s="109" t="s">
        <v>153</v>
      </c>
      <c r="H1" s="109" t="s">
        <v>154</v>
      </c>
      <c r="I1" s="111" t="s">
        <v>155</v>
      </c>
      <c r="J1" s="109" t="s">
        <v>156</v>
      </c>
      <c r="K1" s="112" t="s">
        <v>157</v>
      </c>
      <c r="L1" s="112" t="s">
        <v>158</v>
      </c>
      <c r="M1" s="111" t="s">
        <v>159</v>
      </c>
      <c r="N1" s="111" t="s">
        <v>160</v>
      </c>
      <c r="O1" s="112" t="s">
        <v>161</v>
      </c>
      <c r="P1" s="112" t="s">
        <v>162</v>
      </c>
      <c r="Q1" s="112" t="s">
        <v>163</v>
      </c>
      <c r="R1" s="109" t="s">
        <v>136</v>
      </c>
    </row>
    <row r="2" spans="1:18">
      <c r="A2" s="109">
        <v>429</v>
      </c>
      <c r="B2" s="109" t="s">
        <v>164</v>
      </c>
      <c r="C2" s="110" t="s">
        <v>165</v>
      </c>
      <c r="D2" s="110" t="s">
        <v>166</v>
      </c>
      <c r="E2" s="110" t="s">
        <v>167</v>
      </c>
      <c r="F2" s="109" t="s">
        <v>168</v>
      </c>
      <c r="G2" s="109" t="s">
        <v>169</v>
      </c>
      <c r="H2" s="109" t="s">
        <v>170</v>
      </c>
      <c r="I2" s="109">
        <v>401</v>
      </c>
      <c r="J2" s="109">
        <v>160890</v>
      </c>
      <c r="K2" s="109" t="s">
        <v>164</v>
      </c>
      <c r="L2" s="109" t="s">
        <v>171</v>
      </c>
      <c r="M2" s="113">
        <v>0.3668</v>
      </c>
      <c r="N2" s="113">
        <v>0.2278</v>
      </c>
      <c r="O2" s="109">
        <v>3</v>
      </c>
      <c r="P2" s="113">
        <v>0.0447</v>
      </c>
      <c r="Q2" s="109">
        <v>68.89</v>
      </c>
      <c r="R2" s="113">
        <v>0.9746</v>
      </c>
    </row>
    <row r="3" spans="1:18">
      <c r="A3" s="109">
        <v>156</v>
      </c>
      <c r="B3" s="109" t="s">
        <v>172</v>
      </c>
      <c r="C3" s="110" t="s">
        <v>173</v>
      </c>
      <c r="D3" s="110" t="s">
        <v>166</v>
      </c>
      <c r="E3" s="110" t="s">
        <v>167</v>
      </c>
      <c r="F3" s="109" t="s">
        <v>168</v>
      </c>
      <c r="G3" s="109" t="s">
        <v>174</v>
      </c>
      <c r="H3" s="109" t="s">
        <v>170</v>
      </c>
      <c r="I3" s="109">
        <v>4603</v>
      </c>
      <c r="J3" s="109">
        <v>42727</v>
      </c>
      <c r="K3" s="109" t="s">
        <v>164</v>
      </c>
      <c r="L3" s="109" t="s">
        <v>171</v>
      </c>
      <c r="M3" s="113">
        <v>0.3783</v>
      </c>
      <c r="N3" s="113">
        <v>0.1987</v>
      </c>
      <c r="O3" s="109">
        <v>2.13</v>
      </c>
      <c r="P3" s="113">
        <v>0.0439</v>
      </c>
      <c r="Q3" s="109">
        <v>68.89</v>
      </c>
      <c r="R3" s="113">
        <v>0.7048</v>
      </c>
    </row>
    <row r="4" spans="1:18">
      <c r="A4" s="109">
        <v>225</v>
      </c>
      <c r="B4" s="109" t="s">
        <v>175</v>
      </c>
      <c r="C4" s="110" t="s">
        <v>175</v>
      </c>
      <c r="D4" s="110" t="s">
        <v>166</v>
      </c>
      <c r="E4" s="110" t="s">
        <v>167</v>
      </c>
      <c r="F4" s="109" t="s">
        <v>168</v>
      </c>
      <c r="G4" s="109" t="s">
        <v>169</v>
      </c>
      <c r="H4" s="109" t="s">
        <v>170</v>
      </c>
      <c r="I4" s="109">
        <v>9483</v>
      </c>
      <c r="J4" s="109">
        <v>23045</v>
      </c>
      <c r="L4" s="109" t="s">
        <v>171</v>
      </c>
      <c r="M4" s="113">
        <v>0.3925</v>
      </c>
      <c r="N4" s="113">
        <v>0.265</v>
      </c>
      <c r="O4" s="109">
        <v>2.34</v>
      </c>
      <c r="P4" s="113">
        <v>0.0479</v>
      </c>
      <c r="Q4" s="109">
        <v>68.89</v>
      </c>
      <c r="R4" s="113">
        <v>0.7089</v>
      </c>
    </row>
    <row r="5" spans="1:18">
      <c r="A5" s="109">
        <v>316</v>
      </c>
      <c r="B5" s="109" t="s">
        <v>176</v>
      </c>
      <c r="F5" s="109" t="s">
        <v>177</v>
      </c>
      <c r="G5" s="109" t="s">
        <v>178</v>
      </c>
      <c r="H5" s="109" t="s">
        <v>179</v>
      </c>
      <c r="I5" s="109">
        <v>14151</v>
      </c>
      <c r="J5" s="109">
        <v>16909</v>
      </c>
      <c r="K5" s="109" t="s">
        <v>164</v>
      </c>
      <c r="M5" s="109" t="e">
        <v>#N/A</v>
      </c>
      <c r="N5" s="109" t="e">
        <v>#N/A</v>
      </c>
      <c r="O5" s="109">
        <v>2.06</v>
      </c>
      <c r="P5" s="113">
        <v>0.0289</v>
      </c>
      <c r="Q5" s="109">
        <v>68.89</v>
      </c>
      <c r="R5" s="113">
        <v>1.0361</v>
      </c>
    </row>
    <row r="6" spans="1:10">
      <c r="A6" s="109">
        <v>167</v>
      </c>
      <c r="B6" s="109" t="s">
        <v>180</v>
      </c>
      <c r="G6" s="109" t="s">
        <v>181</v>
      </c>
      <c r="H6" s="109" t="s">
        <v>182</v>
      </c>
      <c r="I6" s="109">
        <v>17655</v>
      </c>
      <c r="J6" s="109">
        <v>14141</v>
      </c>
    </row>
    <row r="7" spans="1:18">
      <c r="A7" s="109">
        <v>311</v>
      </c>
      <c r="B7" s="109" t="s">
        <v>183</v>
      </c>
      <c r="D7" s="109" t="s">
        <v>166</v>
      </c>
      <c r="E7" s="110" t="s">
        <v>167</v>
      </c>
      <c r="F7" s="109" t="s">
        <v>168</v>
      </c>
      <c r="G7" s="109" t="s">
        <v>184</v>
      </c>
      <c r="H7" s="109" t="s">
        <v>170</v>
      </c>
      <c r="I7" s="109">
        <v>17978</v>
      </c>
      <c r="J7" s="109">
        <v>13919</v>
      </c>
      <c r="K7" s="109" t="s">
        <v>183</v>
      </c>
      <c r="L7" s="109" t="s">
        <v>171</v>
      </c>
      <c r="M7" s="109" t="e">
        <v>#N/A</v>
      </c>
      <c r="N7" s="109" t="e">
        <v>#N/A</v>
      </c>
      <c r="O7" s="109">
        <v>2.28</v>
      </c>
      <c r="P7" s="113">
        <v>0.0385</v>
      </c>
      <c r="Q7" s="109">
        <v>68.89</v>
      </c>
      <c r="R7" s="113">
        <v>0.86</v>
      </c>
    </row>
    <row r="8" spans="1:18">
      <c r="A8" s="109">
        <v>46</v>
      </c>
      <c r="B8" s="109" t="s">
        <v>185</v>
      </c>
      <c r="D8" s="110" t="s">
        <v>166</v>
      </c>
      <c r="E8" s="110" t="s">
        <v>167</v>
      </c>
      <c r="F8" s="109" t="s">
        <v>168</v>
      </c>
      <c r="G8" s="109" t="s">
        <v>169</v>
      </c>
      <c r="H8" s="109" t="s">
        <v>170</v>
      </c>
      <c r="I8" s="109">
        <v>18214</v>
      </c>
      <c r="J8" s="109">
        <v>13747</v>
      </c>
      <c r="K8" s="109" t="s">
        <v>164</v>
      </c>
      <c r="L8" s="109" t="s">
        <v>171</v>
      </c>
      <c r="M8" s="113">
        <v>0.3975</v>
      </c>
      <c r="N8" s="113">
        <v>0.2633</v>
      </c>
      <c r="O8" s="109">
        <v>1.86</v>
      </c>
      <c r="P8" s="113">
        <v>0.043</v>
      </c>
      <c r="Q8" s="109">
        <v>68.89</v>
      </c>
      <c r="R8" s="113">
        <v>0.6284</v>
      </c>
    </row>
    <row r="9" spans="1:18">
      <c r="A9" s="109">
        <v>387</v>
      </c>
      <c r="B9" s="109" t="s">
        <v>186</v>
      </c>
      <c r="D9" s="110" t="s">
        <v>187</v>
      </c>
      <c r="E9" s="110" t="s">
        <v>188</v>
      </c>
      <c r="F9" s="109" t="s">
        <v>168</v>
      </c>
      <c r="G9" s="109" t="s">
        <v>189</v>
      </c>
      <c r="H9" s="109" t="s">
        <v>170</v>
      </c>
      <c r="I9" s="109">
        <v>23785</v>
      </c>
      <c r="J9" s="109">
        <v>10949</v>
      </c>
      <c r="K9" s="109" t="s">
        <v>164</v>
      </c>
      <c r="L9" s="109" t="s">
        <v>171</v>
      </c>
      <c r="M9" s="113">
        <v>0.4541</v>
      </c>
      <c r="N9" s="113">
        <v>0.2681</v>
      </c>
      <c r="O9" s="109">
        <v>1.96</v>
      </c>
      <c r="P9" s="113">
        <v>0.0412</v>
      </c>
      <c r="Q9" s="109">
        <v>68.89</v>
      </c>
      <c r="R9" s="113">
        <v>0.69</v>
      </c>
    </row>
    <row r="10" spans="1:18">
      <c r="A10" s="109">
        <v>15</v>
      </c>
      <c r="B10" s="109" t="s">
        <v>190</v>
      </c>
      <c r="F10" s="109" t="s">
        <v>177</v>
      </c>
      <c r="G10" s="109" t="s">
        <v>191</v>
      </c>
      <c r="H10" s="109" t="s">
        <v>170</v>
      </c>
      <c r="I10" s="109">
        <v>33426</v>
      </c>
      <c r="J10" s="109">
        <v>8131</v>
      </c>
      <c r="K10" s="109" t="s">
        <v>164</v>
      </c>
      <c r="M10" s="109" t="e">
        <v>#N/A</v>
      </c>
      <c r="N10" s="109" t="e">
        <v>#N/A</v>
      </c>
      <c r="O10" s="109">
        <v>3.19</v>
      </c>
      <c r="P10" s="113">
        <v>0.0401</v>
      </c>
      <c r="Q10" s="109">
        <v>68.89</v>
      </c>
      <c r="R10" s="113">
        <v>1.155</v>
      </c>
    </row>
    <row r="11" spans="1:18">
      <c r="A11" s="109">
        <v>33</v>
      </c>
      <c r="B11" s="109" t="s">
        <v>192</v>
      </c>
      <c r="F11" s="109" t="s">
        <v>177</v>
      </c>
      <c r="G11" s="109" t="s">
        <v>193</v>
      </c>
      <c r="H11" s="109" t="s">
        <v>170</v>
      </c>
      <c r="I11" s="109">
        <v>40550</v>
      </c>
      <c r="J11" s="109">
        <v>6858</v>
      </c>
      <c r="K11" s="109" t="s">
        <v>164</v>
      </c>
      <c r="L11" s="109" t="s">
        <v>171</v>
      </c>
      <c r="M11" s="113">
        <v>0.3847</v>
      </c>
      <c r="N11" s="113">
        <v>0.2361</v>
      </c>
      <c r="O11" s="109">
        <v>1.66</v>
      </c>
      <c r="P11" s="113">
        <v>0.0181</v>
      </c>
      <c r="Q11" s="109">
        <v>68.89</v>
      </c>
      <c r="R11" s="113">
        <v>1.3322</v>
      </c>
    </row>
    <row r="12" spans="1:10">
      <c r="A12" s="109">
        <v>110</v>
      </c>
      <c r="B12" s="109" t="s">
        <v>194</v>
      </c>
      <c r="G12" s="109" t="s">
        <v>195</v>
      </c>
      <c r="H12" s="109" t="s">
        <v>182</v>
      </c>
      <c r="I12" s="109">
        <v>45263</v>
      </c>
      <c r="J12" s="109">
        <v>6217</v>
      </c>
    </row>
    <row r="13" spans="1:10">
      <c r="A13" s="109">
        <v>180</v>
      </c>
      <c r="B13" s="109" t="s">
        <v>196</v>
      </c>
      <c r="G13" s="109" t="s">
        <v>197</v>
      </c>
      <c r="H13" s="109" t="s">
        <v>182</v>
      </c>
      <c r="I13" s="109">
        <v>47618</v>
      </c>
      <c r="J13" s="109">
        <v>5949</v>
      </c>
    </row>
    <row r="14" spans="1:18">
      <c r="A14" s="109">
        <v>362</v>
      </c>
      <c r="B14" s="109" t="s">
        <v>198</v>
      </c>
      <c r="F14" s="109" t="s">
        <v>177</v>
      </c>
      <c r="G14" s="109" t="s">
        <v>199</v>
      </c>
      <c r="H14" s="109" t="s">
        <v>170</v>
      </c>
      <c r="I14" s="109">
        <v>48402</v>
      </c>
      <c r="J14" s="109">
        <v>5863</v>
      </c>
      <c r="K14" s="109" t="s">
        <v>164</v>
      </c>
      <c r="M14" s="109" t="e">
        <v>#N/A</v>
      </c>
      <c r="N14" s="109" t="e">
        <v>#N/A</v>
      </c>
      <c r="O14" s="109">
        <v>2.74</v>
      </c>
      <c r="P14" s="113">
        <v>0.0615</v>
      </c>
      <c r="Q14" s="109">
        <v>68.89</v>
      </c>
      <c r="R14" s="113">
        <v>0.647</v>
      </c>
    </row>
    <row r="15" spans="1:18">
      <c r="A15" s="109">
        <v>386</v>
      </c>
      <c r="B15" s="109" t="s">
        <v>200</v>
      </c>
      <c r="D15" s="110" t="s">
        <v>166</v>
      </c>
      <c r="E15" s="110" t="s">
        <v>188</v>
      </c>
      <c r="F15" s="109" t="s">
        <v>168</v>
      </c>
      <c r="G15" s="109" t="s">
        <v>189</v>
      </c>
      <c r="H15" s="109" t="s">
        <v>170</v>
      </c>
      <c r="I15" s="109">
        <v>48493</v>
      </c>
      <c r="J15" s="109">
        <v>5853</v>
      </c>
      <c r="L15" s="109" t="s">
        <v>171</v>
      </c>
      <c r="M15" s="113">
        <v>0.4686</v>
      </c>
      <c r="N15" s="113">
        <v>0.3373</v>
      </c>
      <c r="O15" s="109">
        <v>2.76</v>
      </c>
      <c r="P15" s="113">
        <v>0.045</v>
      </c>
      <c r="Q15" s="109">
        <v>68.89</v>
      </c>
      <c r="R15" s="113">
        <v>0.8897</v>
      </c>
    </row>
    <row r="16" spans="1:18">
      <c r="A16" s="109">
        <v>37</v>
      </c>
      <c r="B16" s="109" t="s">
        <v>201</v>
      </c>
      <c r="D16" s="110" t="s">
        <v>187</v>
      </c>
      <c r="E16" s="110" t="s">
        <v>188</v>
      </c>
      <c r="F16" s="109" t="s">
        <v>168</v>
      </c>
      <c r="G16" s="109" t="s">
        <v>202</v>
      </c>
      <c r="H16" s="109" t="s">
        <v>170</v>
      </c>
      <c r="I16" s="109">
        <v>50021</v>
      </c>
      <c r="J16" s="109">
        <v>5691</v>
      </c>
      <c r="L16" s="109" t="s">
        <v>171</v>
      </c>
      <c r="M16" s="109" t="e">
        <v>#N/A</v>
      </c>
      <c r="N16" s="109" t="e">
        <v>#N/A</v>
      </c>
      <c r="O16" s="109">
        <v>2.17</v>
      </c>
      <c r="P16" s="113">
        <v>0.0328</v>
      </c>
      <c r="Q16" s="109">
        <v>68.89</v>
      </c>
      <c r="R16" s="113">
        <v>0.961</v>
      </c>
    </row>
    <row r="17" spans="1:10">
      <c r="A17" s="109">
        <v>63</v>
      </c>
      <c r="B17" s="109" t="s">
        <v>203</v>
      </c>
      <c r="G17" s="109" t="s">
        <v>204</v>
      </c>
      <c r="H17" s="109" t="s">
        <v>182</v>
      </c>
      <c r="I17" s="109">
        <v>50309</v>
      </c>
      <c r="J17" s="109">
        <v>5661</v>
      </c>
    </row>
    <row r="18" spans="1:18">
      <c r="A18" s="109">
        <v>104</v>
      </c>
      <c r="B18" s="109" t="s">
        <v>205</v>
      </c>
      <c r="F18" s="109" t="s">
        <v>177</v>
      </c>
      <c r="G18" s="109" t="s">
        <v>206</v>
      </c>
      <c r="H18" s="109" t="s">
        <v>170</v>
      </c>
      <c r="I18" s="109">
        <v>59257</v>
      </c>
      <c r="J18" s="109">
        <v>4878</v>
      </c>
      <c r="K18" s="109" t="s">
        <v>164</v>
      </c>
      <c r="M18" s="109" t="e">
        <v>#N/A</v>
      </c>
      <c r="N18" s="109" t="e">
        <v>#N/A</v>
      </c>
      <c r="O18" s="109">
        <v>1.25</v>
      </c>
      <c r="P18" s="113">
        <v>0.0752</v>
      </c>
      <c r="Q18" s="109">
        <v>68.89</v>
      </c>
      <c r="R18" s="113">
        <v>0.2413</v>
      </c>
    </row>
    <row r="19" spans="1:18">
      <c r="A19" s="109">
        <v>165</v>
      </c>
      <c r="B19" s="109" t="s">
        <v>207</v>
      </c>
      <c r="F19" s="109" t="s">
        <v>177</v>
      </c>
      <c r="G19" s="109" t="s">
        <v>208</v>
      </c>
      <c r="H19" s="109" t="s">
        <v>170</v>
      </c>
      <c r="I19" s="109">
        <v>61556</v>
      </c>
      <c r="J19" s="109">
        <v>4717</v>
      </c>
      <c r="K19" s="109" t="s">
        <v>164</v>
      </c>
      <c r="L19" s="109" t="s">
        <v>171</v>
      </c>
      <c r="M19" s="113">
        <v>0.252</v>
      </c>
      <c r="N19" s="113">
        <v>0.1378</v>
      </c>
      <c r="O19" s="109">
        <v>1.57</v>
      </c>
      <c r="P19" s="113">
        <v>0.0544</v>
      </c>
      <c r="Q19" s="109">
        <v>68.89</v>
      </c>
      <c r="R19" s="113">
        <v>0.419</v>
      </c>
    </row>
    <row r="20" spans="1:18">
      <c r="A20" s="109">
        <v>384</v>
      </c>
      <c r="B20" s="109" t="s">
        <v>209</v>
      </c>
      <c r="F20" s="109" t="s">
        <v>177</v>
      </c>
      <c r="G20" s="109" t="s">
        <v>210</v>
      </c>
      <c r="H20" s="109" t="s">
        <v>170</v>
      </c>
      <c r="I20" s="109">
        <v>69217</v>
      </c>
      <c r="J20" s="109">
        <v>4242</v>
      </c>
      <c r="K20" s="109" t="s">
        <v>164</v>
      </c>
      <c r="L20" s="109" t="s">
        <v>171</v>
      </c>
      <c r="M20" s="113">
        <v>0.4711</v>
      </c>
      <c r="N20" s="113">
        <v>0.3112</v>
      </c>
      <c r="O20" s="109">
        <v>1.99</v>
      </c>
      <c r="P20" s="113">
        <v>0.0415</v>
      </c>
      <c r="Q20" s="109">
        <v>68.89</v>
      </c>
      <c r="R20" s="113">
        <v>0.6958</v>
      </c>
    </row>
    <row r="21" spans="1:10">
      <c r="A21" s="109">
        <v>64</v>
      </c>
      <c r="B21" s="109" t="s">
        <v>211</v>
      </c>
      <c r="G21" s="109" t="s">
        <v>212</v>
      </c>
      <c r="H21" s="109" t="s">
        <v>182</v>
      </c>
      <c r="I21" s="109">
        <v>73077</v>
      </c>
      <c r="J21" s="109">
        <v>4040</v>
      </c>
    </row>
    <row r="22" spans="1:18">
      <c r="A22" s="109">
        <v>151</v>
      </c>
      <c r="B22" s="109" t="s">
        <v>213</v>
      </c>
      <c r="F22" s="109" t="s">
        <v>177</v>
      </c>
      <c r="G22" s="109" t="s">
        <v>213</v>
      </c>
      <c r="H22" s="109" t="s">
        <v>170</v>
      </c>
      <c r="I22" s="109">
        <v>74688</v>
      </c>
      <c r="J22" s="109">
        <v>3959</v>
      </c>
      <c r="K22" s="109" t="s">
        <v>164</v>
      </c>
      <c r="M22" s="109" t="e">
        <v>#N/A</v>
      </c>
      <c r="N22" s="109" t="e">
        <v>#N/A</v>
      </c>
      <c r="O22" s="109">
        <v>2.26</v>
      </c>
      <c r="P22" s="113">
        <v>0.0743</v>
      </c>
      <c r="Q22" s="109">
        <v>68.89</v>
      </c>
      <c r="R22" s="113">
        <v>0.4417</v>
      </c>
    </row>
    <row r="23" spans="1:10">
      <c r="A23" s="109">
        <v>409</v>
      </c>
      <c r="B23" s="109" t="s">
        <v>214</v>
      </c>
      <c r="G23" s="109" t="s">
        <v>215</v>
      </c>
      <c r="H23" s="109" t="s">
        <v>182</v>
      </c>
      <c r="I23" s="109">
        <v>82096</v>
      </c>
      <c r="J23" s="109">
        <v>3631</v>
      </c>
    </row>
    <row r="24" spans="1:10">
      <c r="A24" s="109">
        <v>238</v>
      </c>
      <c r="B24" s="109" t="s">
        <v>216</v>
      </c>
      <c r="G24" s="109" t="s">
        <v>216</v>
      </c>
      <c r="H24" s="109" t="s">
        <v>182</v>
      </c>
      <c r="I24" s="109">
        <v>85472</v>
      </c>
      <c r="J24" s="109">
        <v>3499</v>
      </c>
    </row>
    <row r="25" spans="1:10">
      <c r="A25" s="109">
        <v>437</v>
      </c>
      <c r="B25" s="109" t="s">
        <v>217</v>
      </c>
      <c r="G25" s="109" t="s">
        <v>169</v>
      </c>
      <c r="H25" s="109" t="s">
        <v>182</v>
      </c>
      <c r="I25" s="109">
        <v>87963</v>
      </c>
      <c r="J25" s="109">
        <v>3409</v>
      </c>
    </row>
    <row r="26" spans="1:18">
      <c r="A26" s="109">
        <v>200</v>
      </c>
      <c r="B26" s="109" t="s">
        <v>218</v>
      </c>
      <c r="F26" s="109" t="s">
        <v>177</v>
      </c>
      <c r="G26" s="109" t="s">
        <v>219</v>
      </c>
      <c r="H26" s="109" t="s">
        <v>170</v>
      </c>
      <c r="I26" s="109">
        <v>89292</v>
      </c>
      <c r="J26" s="109">
        <v>3363</v>
      </c>
      <c r="M26" s="109" t="e">
        <v>#N/A</v>
      </c>
      <c r="N26" s="109" t="e">
        <v>#N/A</v>
      </c>
      <c r="O26" s="109">
        <v>2.5</v>
      </c>
      <c r="P26" s="113">
        <v>0.0415</v>
      </c>
      <c r="Q26" s="109">
        <v>68.89</v>
      </c>
      <c r="R26" s="113">
        <v>0.8741</v>
      </c>
    </row>
    <row r="27" spans="1:18">
      <c r="A27" s="109">
        <v>91</v>
      </c>
      <c r="B27" s="109" t="s">
        <v>220</v>
      </c>
      <c r="F27" s="109" t="s">
        <v>177</v>
      </c>
      <c r="G27" s="109" t="s">
        <v>221</v>
      </c>
      <c r="H27" s="109" t="s">
        <v>170</v>
      </c>
      <c r="I27" s="109">
        <v>103211</v>
      </c>
      <c r="J27" s="109">
        <v>2944</v>
      </c>
      <c r="K27" s="109" t="s">
        <v>164</v>
      </c>
      <c r="L27" s="109" t="s">
        <v>222</v>
      </c>
      <c r="M27" s="113">
        <v>0.2917</v>
      </c>
      <c r="N27" s="113">
        <v>0.1814</v>
      </c>
      <c r="O27" s="109">
        <v>2.49</v>
      </c>
      <c r="P27" s="113">
        <v>0.0257</v>
      </c>
      <c r="Q27" s="109">
        <v>68.89</v>
      </c>
      <c r="R27" s="113">
        <v>1.4052</v>
      </c>
    </row>
    <row r="28" spans="1:18">
      <c r="A28" s="109">
        <v>198</v>
      </c>
      <c r="B28" s="109" t="s">
        <v>223</v>
      </c>
      <c r="F28" s="109" t="s">
        <v>177</v>
      </c>
      <c r="G28" s="109" t="s">
        <v>224</v>
      </c>
      <c r="H28" s="109" t="s">
        <v>170</v>
      </c>
      <c r="I28" s="109">
        <v>103387</v>
      </c>
      <c r="J28" s="109">
        <v>2939</v>
      </c>
      <c r="K28" s="109" t="s">
        <v>164</v>
      </c>
      <c r="L28" s="109" t="s">
        <v>222</v>
      </c>
      <c r="M28" s="113">
        <v>0.2845</v>
      </c>
      <c r="N28" s="113">
        <v>0.175</v>
      </c>
      <c r="O28" s="109">
        <v>1.68</v>
      </c>
      <c r="P28" s="113">
        <v>0.0327</v>
      </c>
      <c r="Q28" s="109">
        <v>68.89</v>
      </c>
      <c r="R28" s="113">
        <v>0.7462</v>
      </c>
    </row>
    <row r="29" spans="1:10">
      <c r="A29" s="109">
        <v>357</v>
      </c>
      <c r="B29" s="109" t="s">
        <v>225</v>
      </c>
      <c r="G29" s="109" t="s">
        <v>225</v>
      </c>
      <c r="H29" s="109" t="s">
        <v>182</v>
      </c>
      <c r="I29" s="109">
        <v>107832</v>
      </c>
      <c r="J29" s="109">
        <v>2828</v>
      </c>
    </row>
    <row r="30" spans="1:10">
      <c r="A30" s="109">
        <v>275</v>
      </c>
      <c r="B30" s="109" t="s">
        <v>226</v>
      </c>
      <c r="G30" s="109" t="s">
        <v>227</v>
      </c>
      <c r="H30" s="109" t="s">
        <v>182</v>
      </c>
      <c r="I30" s="109">
        <v>110724</v>
      </c>
      <c r="J30" s="109">
        <v>2757</v>
      </c>
    </row>
    <row r="31" spans="1:10">
      <c r="A31" s="109">
        <v>233</v>
      </c>
      <c r="B31" s="109" t="s">
        <v>228</v>
      </c>
      <c r="G31" s="109" t="s">
        <v>229</v>
      </c>
      <c r="H31" s="109" t="s">
        <v>182</v>
      </c>
      <c r="I31" s="109">
        <v>116816</v>
      </c>
      <c r="J31" s="109">
        <v>2621</v>
      </c>
    </row>
    <row r="32" spans="1:10">
      <c r="A32" s="109">
        <v>320</v>
      </c>
      <c r="B32" s="109" t="s">
        <v>230</v>
      </c>
      <c r="G32" s="109" t="s">
        <v>231</v>
      </c>
      <c r="H32" s="109" t="s">
        <v>182</v>
      </c>
      <c r="I32" s="109">
        <v>119037</v>
      </c>
      <c r="J32" s="109">
        <v>2575</v>
      </c>
    </row>
    <row r="33" spans="1:18">
      <c r="A33" s="109">
        <v>348</v>
      </c>
      <c r="B33" s="109" t="s">
        <v>232</v>
      </c>
      <c r="D33" s="110" t="s">
        <v>187</v>
      </c>
      <c r="E33" s="110" t="s">
        <v>188</v>
      </c>
      <c r="F33" s="109" t="s">
        <v>168</v>
      </c>
      <c r="G33" s="109" t="s">
        <v>189</v>
      </c>
      <c r="H33" s="109" t="s">
        <v>170</v>
      </c>
      <c r="I33" s="109">
        <v>119514</v>
      </c>
      <c r="J33" s="109">
        <v>2565</v>
      </c>
      <c r="K33" s="109" t="s">
        <v>164</v>
      </c>
      <c r="L33" s="109" t="s">
        <v>222</v>
      </c>
      <c r="M33" s="113">
        <v>0.4609</v>
      </c>
      <c r="N33" s="113">
        <v>0.2236</v>
      </c>
      <c r="O33" s="109">
        <v>1.75</v>
      </c>
      <c r="P33" s="113">
        <v>0.0415</v>
      </c>
      <c r="Q33" s="109">
        <v>68.89</v>
      </c>
      <c r="R33" s="113">
        <v>0.6119</v>
      </c>
    </row>
    <row r="34" spans="1:18">
      <c r="A34" s="109">
        <v>112</v>
      </c>
      <c r="B34" s="109" t="s">
        <v>233</v>
      </c>
      <c r="F34" s="109" t="s">
        <v>177</v>
      </c>
      <c r="G34" s="109" t="s">
        <v>234</v>
      </c>
      <c r="H34" s="109" t="s">
        <v>170</v>
      </c>
      <c r="I34" s="109">
        <v>140532</v>
      </c>
      <c r="J34" s="109">
        <v>2207</v>
      </c>
      <c r="L34" s="109" t="s">
        <v>222</v>
      </c>
      <c r="M34" s="113">
        <v>0.3334</v>
      </c>
      <c r="N34" s="113">
        <v>0.1274</v>
      </c>
      <c r="O34" s="109">
        <v>2.27</v>
      </c>
      <c r="P34" s="113">
        <v>0.0247</v>
      </c>
      <c r="Q34" s="109">
        <v>68.89</v>
      </c>
      <c r="R34" s="113">
        <v>1.3358</v>
      </c>
    </row>
    <row r="35" spans="1:10">
      <c r="A35" s="109">
        <v>403</v>
      </c>
      <c r="B35" s="109" t="s">
        <v>235</v>
      </c>
      <c r="H35" s="109" t="s">
        <v>182</v>
      </c>
      <c r="I35" s="109">
        <v>153480</v>
      </c>
      <c r="J35" s="109">
        <v>2030</v>
      </c>
    </row>
    <row r="36" spans="1:18">
      <c r="A36" s="109">
        <v>366</v>
      </c>
      <c r="B36" s="109" t="s">
        <v>236</v>
      </c>
      <c r="F36" s="109" t="s">
        <v>177</v>
      </c>
      <c r="G36" s="109" t="s">
        <v>237</v>
      </c>
      <c r="H36" s="109" t="s">
        <v>170</v>
      </c>
      <c r="I36" s="109">
        <v>160164</v>
      </c>
      <c r="J36" s="109">
        <v>1949</v>
      </c>
      <c r="L36" s="109" t="s">
        <v>222</v>
      </c>
      <c r="M36" s="109" t="e">
        <v>#N/A</v>
      </c>
      <c r="N36" s="109" t="e">
        <v>#N/A</v>
      </c>
      <c r="O36" s="109">
        <v>0.75</v>
      </c>
      <c r="P36" s="113">
        <v>0.0513</v>
      </c>
      <c r="Q36" s="109">
        <v>68.89</v>
      </c>
      <c r="R36" s="113">
        <v>0.2124</v>
      </c>
    </row>
    <row r="37" spans="1:18">
      <c r="A37" s="109">
        <v>115</v>
      </c>
      <c r="B37" s="109" t="s">
        <v>238</v>
      </c>
      <c r="F37" s="109" t="s">
        <v>177</v>
      </c>
      <c r="G37" s="109" t="s">
        <v>239</v>
      </c>
      <c r="H37" s="109" t="s">
        <v>170</v>
      </c>
      <c r="I37" s="109">
        <v>165118</v>
      </c>
      <c r="J37" s="109">
        <v>1893</v>
      </c>
      <c r="L37" s="109" t="s">
        <v>222</v>
      </c>
      <c r="M37" s="113">
        <v>0.3632</v>
      </c>
      <c r="N37" s="113">
        <v>0.325</v>
      </c>
      <c r="O37" s="109">
        <v>1.51</v>
      </c>
      <c r="P37" s="113">
        <v>0.0415</v>
      </c>
      <c r="Q37" s="109">
        <v>68.89</v>
      </c>
      <c r="R37" s="113">
        <v>0.528</v>
      </c>
    </row>
    <row r="38" spans="1:18">
      <c r="A38" s="109">
        <v>281</v>
      </c>
      <c r="B38" s="109" t="s">
        <v>240</v>
      </c>
      <c r="D38" s="110" t="s">
        <v>187</v>
      </c>
      <c r="E38" s="110" t="s">
        <v>241</v>
      </c>
      <c r="F38" s="109" t="s">
        <v>168</v>
      </c>
      <c r="G38" s="109" t="s">
        <v>242</v>
      </c>
      <c r="H38" s="109" t="s">
        <v>170</v>
      </c>
      <c r="I38" s="109">
        <v>170318</v>
      </c>
      <c r="J38" s="109">
        <v>1838</v>
      </c>
      <c r="L38" s="109" t="s">
        <v>222</v>
      </c>
      <c r="M38" s="113">
        <v>0.3704</v>
      </c>
      <c r="N38" s="113">
        <v>0.3493</v>
      </c>
      <c r="O38" s="109">
        <v>1.38</v>
      </c>
      <c r="P38" s="113">
        <v>0.0415</v>
      </c>
      <c r="Q38" s="109">
        <v>68.89</v>
      </c>
      <c r="R38" s="113">
        <v>0.4825</v>
      </c>
    </row>
    <row r="39" spans="1:18">
      <c r="A39" s="109">
        <v>72</v>
      </c>
      <c r="B39" s="109" t="s">
        <v>243</v>
      </c>
      <c r="F39" s="109" t="s">
        <v>177</v>
      </c>
      <c r="G39" s="109" t="s">
        <v>244</v>
      </c>
      <c r="H39" s="109" t="s">
        <v>170</v>
      </c>
      <c r="I39" s="109">
        <v>170829</v>
      </c>
      <c r="J39" s="109">
        <v>1833</v>
      </c>
      <c r="K39" s="109" t="s">
        <v>164</v>
      </c>
      <c r="M39" s="109" t="e">
        <v>#N/A</v>
      </c>
      <c r="N39" s="109" t="e">
        <v>#N/A</v>
      </c>
      <c r="O39" s="109">
        <v>2.09</v>
      </c>
      <c r="P39" s="113">
        <v>0.0629</v>
      </c>
      <c r="Q39" s="109">
        <v>68.89</v>
      </c>
      <c r="R39" s="113">
        <v>0.4825</v>
      </c>
    </row>
    <row r="40" spans="1:18">
      <c r="A40" s="109">
        <v>75</v>
      </c>
      <c r="B40" s="109" t="s">
        <v>245</v>
      </c>
      <c r="D40" s="110" t="s">
        <v>187</v>
      </c>
      <c r="E40" s="109" t="s">
        <v>241</v>
      </c>
      <c r="F40" s="109" t="s">
        <v>168</v>
      </c>
      <c r="G40" s="109" t="s">
        <v>246</v>
      </c>
      <c r="H40" s="109" t="s">
        <v>170</v>
      </c>
      <c r="I40" s="109">
        <v>179492</v>
      </c>
      <c r="J40" s="109">
        <v>1747</v>
      </c>
      <c r="L40" s="109" t="s">
        <v>222</v>
      </c>
      <c r="M40" s="109" t="e">
        <v>#N/A</v>
      </c>
      <c r="N40" s="109" t="e">
        <v>#N/A</v>
      </c>
      <c r="O40" s="109">
        <v>2.41</v>
      </c>
      <c r="P40" s="113">
        <v>0.0415</v>
      </c>
      <c r="Q40" s="109">
        <v>68.89</v>
      </c>
      <c r="R40" s="113">
        <v>0.8427</v>
      </c>
    </row>
    <row r="41" spans="1:18">
      <c r="A41" s="109">
        <v>462</v>
      </c>
      <c r="B41" s="109" t="s">
        <v>247</v>
      </c>
      <c r="F41" s="109" t="s">
        <v>177</v>
      </c>
      <c r="G41" s="109" t="s">
        <v>248</v>
      </c>
      <c r="H41" s="109" t="s">
        <v>170</v>
      </c>
      <c r="I41" s="109">
        <v>181172</v>
      </c>
      <c r="J41" s="109">
        <v>1732</v>
      </c>
      <c r="M41" s="109" t="e">
        <v>#N/A</v>
      </c>
      <c r="N41" s="109" t="e">
        <v>#N/A</v>
      </c>
      <c r="O41" s="109">
        <v>1.58</v>
      </c>
      <c r="P41" s="113">
        <v>0.0458</v>
      </c>
      <c r="Q41" s="109">
        <v>68.89</v>
      </c>
      <c r="R41" s="113">
        <v>0.501</v>
      </c>
    </row>
    <row r="42" spans="1:18">
      <c r="A42" s="109">
        <v>55</v>
      </c>
      <c r="B42" s="109" t="s">
        <v>249</v>
      </c>
      <c r="F42" s="109" t="s">
        <v>177</v>
      </c>
      <c r="G42" s="109" t="s">
        <v>250</v>
      </c>
      <c r="H42" s="109" t="s">
        <v>170</v>
      </c>
      <c r="I42" s="109">
        <v>185817</v>
      </c>
      <c r="J42" s="109">
        <v>1691</v>
      </c>
      <c r="M42" s="109" t="e">
        <v>#N/A</v>
      </c>
      <c r="N42" s="109" t="e">
        <v>#N/A</v>
      </c>
      <c r="O42" s="109">
        <v>0.74</v>
      </c>
      <c r="P42" s="113">
        <v>0.0415</v>
      </c>
      <c r="Q42" s="109">
        <v>68.89</v>
      </c>
      <c r="R42" s="113">
        <v>0.2587</v>
      </c>
    </row>
    <row r="43" spans="1:18">
      <c r="A43" s="109">
        <v>408</v>
      </c>
      <c r="B43" s="109" t="s">
        <v>251</v>
      </c>
      <c r="F43" s="109" t="s">
        <v>177</v>
      </c>
      <c r="G43" s="109" t="s">
        <v>252</v>
      </c>
      <c r="H43" s="109" t="s">
        <v>170</v>
      </c>
      <c r="I43" s="109">
        <v>190539</v>
      </c>
      <c r="J43" s="109">
        <v>1651</v>
      </c>
      <c r="K43" s="109" t="s">
        <v>164</v>
      </c>
      <c r="M43" s="109" t="e">
        <v>#N/A</v>
      </c>
      <c r="N43" s="109" t="e">
        <v>#N/A</v>
      </c>
      <c r="O43" s="109">
        <v>2.23</v>
      </c>
      <c r="P43" s="113">
        <v>0.0415</v>
      </c>
      <c r="Q43" s="109">
        <v>68.89</v>
      </c>
      <c r="R43" s="113">
        <v>0.7797</v>
      </c>
    </row>
    <row r="44" spans="1:18">
      <c r="A44" s="109">
        <v>164</v>
      </c>
      <c r="B44" s="109" t="s">
        <v>253</v>
      </c>
      <c r="F44" s="109" t="s">
        <v>177</v>
      </c>
      <c r="G44" s="109" t="s">
        <v>253</v>
      </c>
      <c r="H44" s="109" t="s">
        <v>170</v>
      </c>
      <c r="I44" s="109">
        <v>191162</v>
      </c>
      <c r="J44" s="109">
        <v>1646</v>
      </c>
      <c r="K44" s="109" t="s">
        <v>164</v>
      </c>
      <c r="M44" s="109" t="e">
        <v>#N/A</v>
      </c>
      <c r="N44" s="109" t="e">
        <v>#N/A</v>
      </c>
      <c r="O44" s="109">
        <v>2.75</v>
      </c>
      <c r="P44" s="113">
        <v>0.0415</v>
      </c>
      <c r="Q44" s="109">
        <v>68.89</v>
      </c>
      <c r="R44" s="113">
        <v>0.9615</v>
      </c>
    </row>
    <row r="45" spans="1:10">
      <c r="A45" s="109">
        <v>282</v>
      </c>
      <c r="B45" s="109" t="s">
        <v>254</v>
      </c>
      <c r="G45" s="109" t="s">
        <v>254</v>
      </c>
      <c r="H45" s="109" t="s">
        <v>182</v>
      </c>
      <c r="I45" s="109">
        <v>192379</v>
      </c>
      <c r="J45" s="109">
        <v>1636</v>
      </c>
    </row>
    <row r="46" spans="1:10">
      <c r="A46" s="109">
        <v>20</v>
      </c>
      <c r="B46" s="109" t="s">
        <v>255</v>
      </c>
      <c r="G46" s="109" t="s">
        <v>256</v>
      </c>
      <c r="H46" s="109" t="s">
        <v>182</v>
      </c>
      <c r="I46" s="109">
        <v>194301</v>
      </c>
      <c r="J46" s="109">
        <v>1621</v>
      </c>
    </row>
    <row r="47" spans="1:18">
      <c r="A47" s="109">
        <v>19</v>
      </c>
      <c r="B47" s="109" t="s">
        <v>257</v>
      </c>
      <c r="F47" s="109" t="s">
        <v>177</v>
      </c>
      <c r="G47" s="109" t="s">
        <v>258</v>
      </c>
      <c r="H47" s="109" t="s">
        <v>170</v>
      </c>
      <c r="I47" s="109">
        <v>201994</v>
      </c>
      <c r="J47" s="109">
        <v>1560</v>
      </c>
      <c r="M47" s="109" t="e">
        <v>#N/A</v>
      </c>
      <c r="N47" s="109" t="e">
        <v>#N/A</v>
      </c>
      <c r="O47" s="109">
        <v>0.35</v>
      </c>
      <c r="P47" s="113">
        <v>0.0687</v>
      </c>
      <c r="Q47" s="109">
        <v>68.89</v>
      </c>
      <c r="R47" s="113">
        <v>0.0739</v>
      </c>
    </row>
    <row r="48" spans="1:18">
      <c r="A48" s="109">
        <v>39</v>
      </c>
      <c r="B48" s="109" t="s">
        <v>259</v>
      </c>
      <c r="F48" s="109" t="s">
        <v>177</v>
      </c>
      <c r="G48" s="109" t="s">
        <v>193</v>
      </c>
      <c r="H48" s="109" t="s">
        <v>179</v>
      </c>
      <c r="I48" s="109">
        <v>201994</v>
      </c>
      <c r="J48" s="109">
        <v>1560</v>
      </c>
      <c r="K48" s="109" t="s">
        <v>164</v>
      </c>
      <c r="L48" s="109" t="s">
        <v>222</v>
      </c>
      <c r="M48" s="113">
        <v>0.3582</v>
      </c>
      <c r="N48" s="113">
        <v>0.2413</v>
      </c>
      <c r="O48" s="109">
        <v>1.36</v>
      </c>
      <c r="P48" s="113">
        <v>0.0415</v>
      </c>
      <c r="Q48" s="109">
        <v>68.89</v>
      </c>
      <c r="R48" s="113">
        <v>0.4755</v>
      </c>
    </row>
    <row r="49" spans="1:18">
      <c r="A49" s="109">
        <v>12</v>
      </c>
      <c r="B49" s="109" t="s">
        <v>260</v>
      </c>
      <c r="F49" s="109" t="s">
        <v>177</v>
      </c>
      <c r="G49" s="109" t="s">
        <v>261</v>
      </c>
      <c r="H49" s="109" t="s">
        <v>170</v>
      </c>
      <c r="I49" s="109">
        <v>202692</v>
      </c>
      <c r="J49" s="109">
        <v>1555</v>
      </c>
      <c r="K49" s="109" t="s">
        <v>164</v>
      </c>
      <c r="M49" s="109" t="e">
        <v>#N/A</v>
      </c>
      <c r="N49" s="109" t="e">
        <v>#N/A</v>
      </c>
      <c r="O49" s="109">
        <v>1.61</v>
      </c>
      <c r="P49" s="113">
        <v>0.0298</v>
      </c>
      <c r="Q49" s="109">
        <v>68.89</v>
      </c>
      <c r="R49" s="113">
        <v>0.7854</v>
      </c>
    </row>
    <row r="50" spans="1:18">
      <c r="A50" s="109">
        <v>138</v>
      </c>
      <c r="B50" s="109" t="s">
        <v>262</v>
      </c>
      <c r="D50" s="110" t="s">
        <v>187</v>
      </c>
      <c r="E50" s="110" t="s">
        <v>188</v>
      </c>
      <c r="F50" s="109" t="s">
        <v>168</v>
      </c>
      <c r="G50" s="109" t="s">
        <v>189</v>
      </c>
      <c r="H50" s="109" t="s">
        <v>170</v>
      </c>
      <c r="I50" s="109">
        <v>208325</v>
      </c>
      <c r="J50" s="109">
        <v>1515</v>
      </c>
      <c r="K50" s="109" t="s">
        <v>164</v>
      </c>
      <c r="L50" s="109" t="s">
        <v>222</v>
      </c>
      <c r="M50" s="113">
        <v>0.3551</v>
      </c>
      <c r="N50" s="113">
        <v>0.1539</v>
      </c>
      <c r="O50" s="109">
        <v>3.3</v>
      </c>
      <c r="P50" s="113">
        <v>0.0347</v>
      </c>
      <c r="Q50" s="109">
        <v>68.89</v>
      </c>
      <c r="R50" s="113">
        <v>1.3794</v>
      </c>
    </row>
    <row r="51" spans="1:10">
      <c r="A51" s="109">
        <v>244</v>
      </c>
      <c r="B51" s="109" t="s">
        <v>263</v>
      </c>
      <c r="G51" s="109" t="s">
        <v>264</v>
      </c>
      <c r="H51" s="109" t="s">
        <v>182</v>
      </c>
      <c r="I51" s="109">
        <v>208325</v>
      </c>
      <c r="J51" s="109">
        <v>1515</v>
      </c>
    </row>
    <row r="52" spans="1:10">
      <c r="A52" s="109">
        <v>330</v>
      </c>
      <c r="B52" s="109" t="s">
        <v>265</v>
      </c>
      <c r="G52" s="109" t="s">
        <v>266</v>
      </c>
      <c r="H52" s="109" t="s">
        <v>182</v>
      </c>
      <c r="I52" s="109">
        <v>214300</v>
      </c>
      <c r="J52" s="109">
        <v>1474</v>
      </c>
    </row>
    <row r="53" spans="1:18">
      <c r="A53" s="109">
        <v>107</v>
      </c>
      <c r="B53" s="109" t="s">
        <v>267</v>
      </c>
      <c r="F53" s="109" t="s">
        <v>177</v>
      </c>
      <c r="G53" s="109" t="s">
        <v>268</v>
      </c>
      <c r="H53" s="109" t="s">
        <v>179</v>
      </c>
      <c r="I53" s="109">
        <v>216593</v>
      </c>
      <c r="J53" s="109">
        <v>1459</v>
      </c>
      <c r="K53" s="109" t="s">
        <v>164</v>
      </c>
      <c r="L53" s="109" t="s">
        <v>222</v>
      </c>
      <c r="M53" s="113">
        <v>0.377</v>
      </c>
      <c r="N53" s="113">
        <v>0.3478</v>
      </c>
      <c r="O53" s="109">
        <v>2.82</v>
      </c>
      <c r="P53" s="113">
        <v>0.0415</v>
      </c>
      <c r="Q53" s="109">
        <v>68.89</v>
      </c>
      <c r="R53" s="113">
        <v>0.986</v>
      </c>
    </row>
    <row r="54" spans="1:10">
      <c r="A54" s="109">
        <v>338</v>
      </c>
      <c r="B54" s="109" t="s">
        <v>269</v>
      </c>
      <c r="G54" s="109" t="s">
        <v>237</v>
      </c>
      <c r="H54" s="109" t="s">
        <v>182</v>
      </c>
      <c r="I54" s="109">
        <v>220643</v>
      </c>
      <c r="J54" s="109">
        <v>1434</v>
      </c>
    </row>
    <row r="55" spans="1:18">
      <c r="A55" s="109">
        <v>56</v>
      </c>
      <c r="B55" s="109" t="s">
        <v>270</v>
      </c>
      <c r="F55" s="109" t="s">
        <v>177</v>
      </c>
      <c r="G55" s="109" t="s">
        <v>271</v>
      </c>
      <c r="H55" s="109" t="s">
        <v>170</v>
      </c>
      <c r="I55" s="109">
        <v>236074</v>
      </c>
      <c r="J55" s="109">
        <v>1343</v>
      </c>
      <c r="K55" s="109" t="s">
        <v>164</v>
      </c>
      <c r="L55" s="109" t="s">
        <v>222</v>
      </c>
      <c r="M55" s="113">
        <v>0.3695</v>
      </c>
      <c r="N55" s="113">
        <v>0.3194</v>
      </c>
      <c r="O55" s="109">
        <v>1.74</v>
      </c>
      <c r="P55" s="113">
        <v>0.0415</v>
      </c>
      <c r="Q55" s="109">
        <v>68.89</v>
      </c>
      <c r="R55" s="113">
        <v>0.6084</v>
      </c>
    </row>
    <row r="56" spans="1:10">
      <c r="A56" s="109">
        <v>355</v>
      </c>
      <c r="B56" s="109" t="s">
        <v>272</v>
      </c>
      <c r="G56" s="109" t="s">
        <v>273</v>
      </c>
      <c r="H56" s="109" t="s">
        <v>182</v>
      </c>
      <c r="I56" s="109">
        <v>239807</v>
      </c>
      <c r="J56" s="109">
        <v>1323</v>
      </c>
    </row>
    <row r="57" spans="1:10">
      <c r="A57" s="109">
        <v>427</v>
      </c>
      <c r="B57" s="109" t="s">
        <v>274</v>
      </c>
      <c r="G57" s="109" t="s">
        <v>274</v>
      </c>
      <c r="H57" s="109" t="s">
        <v>182</v>
      </c>
      <c r="I57" s="109">
        <v>242696</v>
      </c>
      <c r="J57" s="109">
        <v>1308</v>
      </c>
    </row>
    <row r="58" spans="1:10">
      <c r="A58" s="109">
        <v>341</v>
      </c>
      <c r="B58" s="109" t="s">
        <v>275</v>
      </c>
      <c r="G58" s="109" t="s">
        <v>276</v>
      </c>
      <c r="H58" s="109" t="s">
        <v>182</v>
      </c>
      <c r="I58" s="109">
        <v>245671</v>
      </c>
      <c r="J58" s="109">
        <v>1292</v>
      </c>
    </row>
    <row r="59" spans="1:18">
      <c r="A59" s="109">
        <v>149</v>
      </c>
      <c r="B59" s="109" t="s">
        <v>277</v>
      </c>
      <c r="F59" s="109" t="s">
        <v>177</v>
      </c>
      <c r="G59" s="109" t="s">
        <v>278</v>
      </c>
      <c r="H59" s="109" t="s">
        <v>170</v>
      </c>
      <c r="I59" s="109">
        <v>252775</v>
      </c>
      <c r="J59" s="109">
        <v>1257</v>
      </c>
      <c r="L59" s="109" t="s">
        <v>222</v>
      </c>
      <c r="M59" s="109" t="e">
        <v>#N/A</v>
      </c>
      <c r="N59" s="109" t="e">
        <v>#N/A</v>
      </c>
      <c r="O59" s="109" t="e">
        <v>#N/A</v>
      </c>
      <c r="P59" s="109" t="e">
        <v>#N/A</v>
      </c>
      <c r="Q59" s="109">
        <v>68.89</v>
      </c>
      <c r="R59" s="109" t="e">
        <v>#N/A</v>
      </c>
    </row>
    <row r="60" spans="1:10">
      <c r="A60" s="109">
        <v>86</v>
      </c>
      <c r="B60" s="109" t="s">
        <v>279</v>
      </c>
      <c r="G60" s="109" t="s">
        <v>280</v>
      </c>
      <c r="H60" s="109" t="s">
        <v>182</v>
      </c>
      <c r="I60" s="109">
        <v>257001</v>
      </c>
      <c r="J60" s="109">
        <v>1237</v>
      </c>
    </row>
    <row r="61" spans="1:10">
      <c r="A61" s="109">
        <v>54</v>
      </c>
      <c r="B61" s="109" t="s">
        <v>281</v>
      </c>
      <c r="G61" s="109" t="s">
        <v>282</v>
      </c>
      <c r="H61" s="109" t="s">
        <v>182</v>
      </c>
      <c r="I61" s="109">
        <v>260224</v>
      </c>
      <c r="J61" s="109">
        <v>1222</v>
      </c>
    </row>
    <row r="62" spans="1:10">
      <c r="A62" s="109">
        <v>243</v>
      </c>
      <c r="B62" s="109" t="s">
        <v>283</v>
      </c>
      <c r="G62" s="109" t="s">
        <v>284</v>
      </c>
      <c r="H62" s="109" t="s">
        <v>182</v>
      </c>
      <c r="I62" s="109">
        <v>270612</v>
      </c>
      <c r="J62" s="109">
        <v>1176</v>
      </c>
    </row>
    <row r="63" spans="1:18">
      <c r="A63" s="109">
        <v>242</v>
      </c>
      <c r="B63" s="109" t="s">
        <v>285</v>
      </c>
      <c r="D63" s="110" t="s">
        <v>187</v>
      </c>
      <c r="E63" s="110" t="s">
        <v>167</v>
      </c>
      <c r="F63" s="109" t="s">
        <v>168</v>
      </c>
      <c r="G63" s="109" t="s">
        <v>169</v>
      </c>
      <c r="H63" s="109" t="s">
        <v>170</v>
      </c>
      <c r="I63" s="109">
        <v>274306</v>
      </c>
      <c r="J63" s="109">
        <v>1161</v>
      </c>
      <c r="L63" s="109" t="s">
        <v>222</v>
      </c>
      <c r="M63" s="113">
        <v>0.418</v>
      </c>
      <c r="N63" s="113">
        <v>0.3728</v>
      </c>
      <c r="O63" s="109">
        <v>1.55</v>
      </c>
      <c r="P63" s="113">
        <v>0.0415</v>
      </c>
      <c r="Q63" s="109">
        <v>68.89</v>
      </c>
      <c r="R63" s="113">
        <v>0.542</v>
      </c>
    </row>
    <row r="64" spans="1:10">
      <c r="A64" s="109">
        <v>94</v>
      </c>
      <c r="B64" s="109" t="s">
        <v>286</v>
      </c>
      <c r="G64" s="109" t="s">
        <v>287</v>
      </c>
      <c r="H64" s="109" t="s">
        <v>182</v>
      </c>
      <c r="I64" s="109">
        <v>275548</v>
      </c>
      <c r="J64" s="109">
        <v>1156</v>
      </c>
    </row>
    <row r="65" spans="1:18">
      <c r="A65" s="109">
        <v>128</v>
      </c>
      <c r="B65" s="109" t="s">
        <v>288</v>
      </c>
      <c r="F65" s="109" t="s">
        <v>177</v>
      </c>
      <c r="G65" s="109" t="s">
        <v>289</v>
      </c>
      <c r="H65" s="109" t="s">
        <v>170</v>
      </c>
      <c r="I65" s="109">
        <v>275548</v>
      </c>
      <c r="J65" s="109">
        <v>1156</v>
      </c>
      <c r="K65" s="109" t="s">
        <v>164</v>
      </c>
      <c r="L65" s="109" t="s">
        <v>222</v>
      </c>
      <c r="M65" s="113">
        <v>0.4368</v>
      </c>
      <c r="N65" s="113">
        <v>0.3282</v>
      </c>
      <c r="O65" s="109">
        <v>2.15</v>
      </c>
      <c r="P65" s="113">
        <v>0.0389</v>
      </c>
      <c r="Q65" s="109">
        <v>68.89</v>
      </c>
      <c r="R65" s="113">
        <v>0.802</v>
      </c>
    </row>
    <row r="66" spans="1:10">
      <c r="A66" s="109">
        <v>339</v>
      </c>
      <c r="B66" s="109" t="s">
        <v>290</v>
      </c>
      <c r="G66" s="109" t="s">
        <v>291</v>
      </c>
      <c r="H66" s="109" t="s">
        <v>182</v>
      </c>
      <c r="I66" s="109">
        <v>275548</v>
      </c>
      <c r="J66" s="109">
        <v>1156</v>
      </c>
    </row>
    <row r="67" spans="1:10">
      <c r="A67" s="109">
        <v>406</v>
      </c>
      <c r="B67" s="109" t="s">
        <v>292</v>
      </c>
      <c r="G67" s="109" t="s">
        <v>293</v>
      </c>
      <c r="H67" s="109" t="s">
        <v>182</v>
      </c>
      <c r="I67" s="109">
        <v>278029</v>
      </c>
      <c r="J67" s="109">
        <v>1146</v>
      </c>
    </row>
    <row r="68" spans="1:10">
      <c r="A68" s="109">
        <v>197</v>
      </c>
      <c r="B68" s="109" t="s">
        <v>294</v>
      </c>
      <c r="G68" s="109" t="s">
        <v>295</v>
      </c>
      <c r="H68" s="109" t="s">
        <v>182</v>
      </c>
      <c r="I68" s="109">
        <v>279356</v>
      </c>
      <c r="J68" s="109">
        <v>1141</v>
      </c>
    </row>
    <row r="69" spans="1:18">
      <c r="A69" s="109">
        <v>34</v>
      </c>
      <c r="B69" s="109" t="s">
        <v>296</v>
      </c>
      <c r="D69" s="110" t="s">
        <v>187</v>
      </c>
      <c r="E69" s="110" t="s">
        <v>188</v>
      </c>
      <c r="F69" s="109" t="s">
        <v>168</v>
      </c>
      <c r="G69" s="109" t="s">
        <v>184</v>
      </c>
      <c r="H69" s="109" t="s">
        <v>170</v>
      </c>
      <c r="I69" s="109">
        <v>284550</v>
      </c>
      <c r="J69" s="109">
        <v>1121</v>
      </c>
      <c r="L69" s="109" t="s">
        <v>222</v>
      </c>
      <c r="M69" s="109" t="e">
        <v>#N/A</v>
      </c>
      <c r="N69" s="109" t="e">
        <v>#N/A</v>
      </c>
      <c r="O69" s="109">
        <v>2.9</v>
      </c>
      <c r="P69" s="113">
        <v>0.0415</v>
      </c>
      <c r="Q69" s="109">
        <v>68.89</v>
      </c>
      <c r="R69" s="113">
        <v>1.014</v>
      </c>
    </row>
    <row r="70" spans="1:10">
      <c r="A70" s="109">
        <v>127</v>
      </c>
      <c r="B70" s="109" t="s">
        <v>297</v>
      </c>
      <c r="G70" s="109" t="s">
        <v>298</v>
      </c>
      <c r="H70" s="109" t="s">
        <v>182</v>
      </c>
      <c r="I70" s="109">
        <v>285832</v>
      </c>
      <c r="J70" s="109">
        <v>1116</v>
      </c>
    </row>
    <row r="71" spans="1:18">
      <c r="A71" s="109">
        <v>456</v>
      </c>
      <c r="B71" s="109" t="s">
        <v>299</v>
      </c>
      <c r="F71" s="109" t="s">
        <v>177</v>
      </c>
      <c r="G71" s="109" t="s">
        <v>300</v>
      </c>
      <c r="H71" s="109" t="s">
        <v>179</v>
      </c>
      <c r="I71" s="109">
        <v>298339</v>
      </c>
      <c r="J71" s="109">
        <v>1070</v>
      </c>
      <c r="K71" s="109" t="s">
        <v>164</v>
      </c>
      <c r="L71" s="109" t="s">
        <v>222</v>
      </c>
      <c r="M71" s="113">
        <v>0.3418</v>
      </c>
      <c r="N71" s="113">
        <v>0.2296</v>
      </c>
      <c r="O71" s="109">
        <v>1.94</v>
      </c>
      <c r="P71" s="113">
        <v>0.0415</v>
      </c>
      <c r="Q71" s="109">
        <v>68.89</v>
      </c>
      <c r="R71" s="113">
        <v>0.6783</v>
      </c>
    </row>
    <row r="72" spans="1:10">
      <c r="A72" s="109">
        <v>436</v>
      </c>
      <c r="B72" s="109" t="s">
        <v>301</v>
      </c>
      <c r="G72" s="109" t="s">
        <v>301</v>
      </c>
      <c r="H72" s="109" t="s">
        <v>182</v>
      </c>
      <c r="I72" s="109">
        <v>301261</v>
      </c>
      <c r="J72" s="109">
        <v>1060</v>
      </c>
    </row>
    <row r="73" spans="1:18">
      <c r="A73" s="109">
        <v>393</v>
      </c>
      <c r="B73" s="109" t="s">
        <v>302</v>
      </c>
      <c r="D73" s="110" t="s">
        <v>187</v>
      </c>
      <c r="E73" s="109" t="s">
        <v>188</v>
      </c>
      <c r="F73" s="109" t="s">
        <v>168</v>
      </c>
      <c r="G73" s="109" t="s">
        <v>189</v>
      </c>
      <c r="H73" s="109" t="s">
        <v>170</v>
      </c>
      <c r="I73" s="109">
        <v>307277</v>
      </c>
      <c r="J73" s="109">
        <v>1040</v>
      </c>
      <c r="K73" s="109" t="s">
        <v>164</v>
      </c>
      <c r="L73" s="109" t="s">
        <v>222</v>
      </c>
      <c r="M73" s="113">
        <v>0.4045</v>
      </c>
      <c r="N73" s="113">
        <v>0.3393</v>
      </c>
      <c r="O73" s="109">
        <v>1.75</v>
      </c>
      <c r="P73" s="113">
        <v>0.0415</v>
      </c>
      <c r="Q73" s="109">
        <v>68.89</v>
      </c>
      <c r="R73" s="113">
        <v>0.6119</v>
      </c>
    </row>
    <row r="74" spans="1:10">
      <c r="A74" s="109">
        <v>257</v>
      </c>
      <c r="B74" s="109" t="s">
        <v>303</v>
      </c>
      <c r="G74" s="109" t="s">
        <v>304</v>
      </c>
      <c r="H74" s="109" t="s">
        <v>182</v>
      </c>
      <c r="I74" s="109">
        <v>308846</v>
      </c>
      <c r="J74" s="109">
        <v>1035</v>
      </c>
    </row>
    <row r="75" spans="1:18">
      <c r="A75" s="109">
        <v>231</v>
      </c>
      <c r="B75" s="109" t="s">
        <v>305</v>
      </c>
      <c r="F75" s="109" t="s">
        <v>177</v>
      </c>
      <c r="G75" s="109" t="s">
        <v>306</v>
      </c>
      <c r="H75" s="109" t="s">
        <v>179</v>
      </c>
      <c r="I75" s="109">
        <v>310423</v>
      </c>
      <c r="J75" s="109">
        <v>1030</v>
      </c>
      <c r="K75" s="109" t="s">
        <v>164</v>
      </c>
      <c r="L75" s="109" t="s">
        <v>222</v>
      </c>
      <c r="M75" s="113">
        <v>0.3718</v>
      </c>
      <c r="N75" s="113">
        <v>0.1979</v>
      </c>
      <c r="O75" s="109">
        <v>1.77</v>
      </c>
      <c r="P75" s="113">
        <v>0.0415</v>
      </c>
      <c r="Q75" s="109">
        <v>68.89</v>
      </c>
      <c r="R75" s="113">
        <v>0.6189</v>
      </c>
    </row>
    <row r="76" spans="1:10">
      <c r="A76" s="109">
        <v>411</v>
      </c>
      <c r="B76" s="109" t="s">
        <v>307</v>
      </c>
      <c r="G76" s="109" t="s">
        <v>184</v>
      </c>
      <c r="H76" s="109" t="s">
        <v>182</v>
      </c>
      <c r="I76" s="109">
        <v>310423</v>
      </c>
      <c r="J76" s="109">
        <v>1030</v>
      </c>
    </row>
    <row r="77" spans="1:18">
      <c r="A77" s="109">
        <v>52</v>
      </c>
      <c r="B77" s="109" t="s">
        <v>308</v>
      </c>
      <c r="F77" s="109" t="s">
        <v>177</v>
      </c>
      <c r="G77" s="109" t="s">
        <v>309</v>
      </c>
      <c r="H77" s="109" t="s">
        <v>170</v>
      </c>
      <c r="I77" s="109">
        <v>318491</v>
      </c>
      <c r="J77" s="109">
        <v>1005</v>
      </c>
      <c r="K77" s="109" t="s">
        <v>164</v>
      </c>
      <c r="L77" s="109" t="s">
        <v>222</v>
      </c>
      <c r="M77" s="113">
        <v>0.465</v>
      </c>
      <c r="N77" s="113">
        <v>0.32</v>
      </c>
      <c r="O77" s="109">
        <v>2.52</v>
      </c>
      <c r="P77" s="113">
        <v>0.0415</v>
      </c>
      <c r="Q77" s="109">
        <v>68.89</v>
      </c>
      <c r="R77" s="113">
        <v>0.8811</v>
      </c>
    </row>
    <row r="78" spans="1:18">
      <c r="A78" s="109">
        <v>385</v>
      </c>
      <c r="B78" s="109" t="s">
        <v>310</v>
      </c>
      <c r="F78" s="109" t="s">
        <v>177</v>
      </c>
      <c r="G78" s="109" t="s">
        <v>311</v>
      </c>
      <c r="H78" s="109" t="s">
        <v>170</v>
      </c>
      <c r="I78" s="109">
        <v>320027</v>
      </c>
      <c r="J78" s="109">
        <v>999</v>
      </c>
      <c r="K78" s="109" t="s">
        <v>164</v>
      </c>
      <c r="L78" s="109" t="s">
        <v>222</v>
      </c>
      <c r="M78" s="113">
        <v>0.3093</v>
      </c>
      <c r="N78" s="113">
        <v>0.1945</v>
      </c>
      <c r="O78" s="109">
        <v>3.33</v>
      </c>
      <c r="P78" s="113">
        <v>0.0415</v>
      </c>
      <c r="Q78" s="109">
        <v>68.89</v>
      </c>
      <c r="R78" s="113">
        <v>1.1643</v>
      </c>
    </row>
    <row r="79" spans="1:18">
      <c r="A79" s="109">
        <v>343</v>
      </c>
      <c r="B79" s="109" t="s">
        <v>312</v>
      </c>
      <c r="F79" s="109" t="s">
        <v>177</v>
      </c>
      <c r="G79" s="109" t="s">
        <v>313</v>
      </c>
      <c r="H79" s="109" t="s">
        <v>170</v>
      </c>
      <c r="I79" s="109">
        <v>321664</v>
      </c>
      <c r="J79" s="109">
        <v>994</v>
      </c>
      <c r="K79" s="109" t="s">
        <v>164</v>
      </c>
      <c r="L79" s="109" t="s">
        <v>222</v>
      </c>
      <c r="M79" s="113">
        <v>0.5878</v>
      </c>
      <c r="N79" s="113">
        <v>0.3846</v>
      </c>
      <c r="O79" s="109">
        <v>2.59</v>
      </c>
      <c r="P79" s="113">
        <v>0.0377</v>
      </c>
      <c r="Q79" s="109">
        <v>68.89</v>
      </c>
      <c r="R79" s="113">
        <v>0.9983</v>
      </c>
    </row>
    <row r="80" spans="1:18">
      <c r="A80" s="109">
        <v>93</v>
      </c>
      <c r="B80" s="109" t="s">
        <v>314</v>
      </c>
      <c r="F80" s="109" t="s">
        <v>177</v>
      </c>
      <c r="G80" s="109" t="s">
        <v>315</v>
      </c>
      <c r="H80" s="109" t="s">
        <v>170</v>
      </c>
      <c r="I80" s="109">
        <v>323288</v>
      </c>
      <c r="J80" s="109">
        <v>989</v>
      </c>
      <c r="K80" s="109" t="s">
        <v>164</v>
      </c>
      <c r="M80" s="109" t="e">
        <v>#N/A</v>
      </c>
      <c r="N80" s="109" t="e">
        <v>#N/A</v>
      </c>
      <c r="O80" s="109">
        <v>2.62</v>
      </c>
      <c r="P80" s="113">
        <v>0.0662</v>
      </c>
      <c r="Q80" s="109">
        <v>68.89</v>
      </c>
      <c r="R80" s="113">
        <v>0.5749</v>
      </c>
    </row>
    <row r="81" spans="1:18">
      <c r="A81" s="109">
        <v>401</v>
      </c>
      <c r="B81" s="109" t="s">
        <v>316</v>
      </c>
      <c r="F81" s="109" t="s">
        <v>177</v>
      </c>
      <c r="G81" s="109" t="s">
        <v>317</v>
      </c>
      <c r="H81" s="109" t="s">
        <v>179</v>
      </c>
      <c r="I81" s="109">
        <v>324986</v>
      </c>
      <c r="J81" s="109">
        <v>984</v>
      </c>
      <c r="K81" s="109" t="s">
        <v>164</v>
      </c>
      <c r="L81" s="109" t="s">
        <v>222</v>
      </c>
      <c r="M81" s="113">
        <v>0.3639</v>
      </c>
      <c r="N81" s="113">
        <v>0.2</v>
      </c>
      <c r="O81" s="109">
        <v>2.02</v>
      </c>
      <c r="P81" s="113">
        <v>0.0415</v>
      </c>
      <c r="Q81" s="109">
        <v>68.89</v>
      </c>
      <c r="R81" s="113">
        <v>0.7063</v>
      </c>
    </row>
    <row r="82" spans="1:10">
      <c r="A82" s="109">
        <v>418</v>
      </c>
      <c r="B82" s="109" t="s">
        <v>318</v>
      </c>
      <c r="G82" s="109" t="s">
        <v>319</v>
      </c>
      <c r="H82" s="109" t="s">
        <v>182</v>
      </c>
      <c r="I82" s="109">
        <v>333659</v>
      </c>
      <c r="J82" s="109">
        <v>959</v>
      </c>
    </row>
    <row r="83" spans="1:10">
      <c r="A83" s="109">
        <v>262</v>
      </c>
      <c r="B83" s="109" t="s">
        <v>320</v>
      </c>
      <c r="G83" s="109" t="s">
        <v>321</v>
      </c>
      <c r="H83" s="109" t="s">
        <v>182</v>
      </c>
      <c r="I83" s="109">
        <v>339188</v>
      </c>
      <c r="J83" s="109">
        <v>944</v>
      </c>
    </row>
    <row r="84" spans="1:10">
      <c r="A84" s="109">
        <v>323</v>
      </c>
      <c r="B84" s="109" t="s">
        <v>322</v>
      </c>
      <c r="G84" s="109" t="s">
        <v>323</v>
      </c>
      <c r="H84" s="109" t="s">
        <v>182</v>
      </c>
      <c r="I84" s="109">
        <v>342959</v>
      </c>
      <c r="J84" s="109">
        <v>934</v>
      </c>
    </row>
    <row r="85" spans="1:18">
      <c r="A85" s="109">
        <v>26</v>
      </c>
      <c r="B85" s="109" t="s">
        <v>324</v>
      </c>
      <c r="F85" s="109" t="s">
        <v>177</v>
      </c>
      <c r="G85" s="109" t="s">
        <v>325</v>
      </c>
      <c r="H85" s="109" t="s">
        <v>170</v>
      </c>
      <c r="I85" s="109">
        <v>344834</v>
      </c>
      <c r="J85" s="109">
        <v>929</v>
      </c>
      <c r="L85" s="109" t="s">
        <v>222</v>
      </c>
      <c r="M85" s="113">
        <v>0.3278</v>
      </c>
      <c r="N85" s="113">
        <v>0.389</v>
      </c>
      <c r="O85" s="109">
        <v>1.6</v>
      </c>
      <c r="P85" s="113">
        <v>0.0415</v>
      </c>
      <c r="Q85" s="109">
        <v>68.89</v>
      </c>
      <c r="R85" s="113">
        <v>0.5594</v>
      </c>
    </row>
    <row r="86" spans="1:18">
      <c r="A86" s="109">
        <v>220</v>
      </c>
      <c r="B86" s="109" t="s">
        <v>326</v>
      </c>
      <c r="D86" s="110" t="s">
        <v>327</v>
      </c>
      <c r="E86" s="110" t="s">
        <v>167</v>
      </c>
      <c r="F86" s="109" t="s">
        <v>168</v>
      </c>
      <c r="G86" s="109" t="s">
        <v>169</v>
      </c>
      <c r="H86" s="109" t="s">
        <v>170</v>
      </c>
      <c r="I86" s="109">
        <v>346756</v>
      </c>
      <c r="J86" s="109">
        <v>924</v>
      </c>
      <c r="K86" s="109" t="s">
        <v>164</v>
      </c>
      <c r="L86" s="109" t="s">
        <v>222</v>
      </c>
      <c r="M86" s="113">
        <v>0.4332</v>
      </c>
      <c r="N86" s="113">
        <v>0.2439</v>
      </c>
      <c r="O86" s="109">
        <v>2.53</v>
      </c>
      <c r="P86" s="113">
        <v>0.0415</v>
      </c>
      <c r="Q86" s="109">
        <v>68.89</v>
      </c>
      <c r="R86" s="113">
        <v>0.8846</v>
      </c>
    </row>
    <row r="87" spans="1:10">
      <c r="A87" s="109">
        <v>434</v>
      </c>
      <c r="B87" s="109" t="s">
        <v>328</v>
      </c>
      <c r="G87" s="109" t="s">
        <v>328</v>
      </c>
      <c r="H87" s="109" t="s">
        <v>182</v>
      </c>
      <c r="I87" s="109">
        <v>346756</v>
      </c>
      <c r="J87" s="109">
        <v>924</v>
      </c>
    </row>
    <row r="88" spans="1:18">
      <c r="A88" s="109">
        <v>143</v>
      </c>
      <c r="B88" s="109" t="s">
        <v>329</v>
      </c>
      <c r="F88" s="109" t="s">
        <v>177</v>
      </c>
      <c r="G88" s="109" t="s">
        <v>330</v>
      </c>
      <c r="H88" s="109" t="s">
        <v>170</v>
      </c>
      <c r="I88" s="109">
        <v>352768</v>
      </c>
      <c r="J88" s="109">
        <v>909</v>
      </c>
      <c r="M88" s="109" t="e">
        <v>#N/A</v>
      </c>
      <c r="N88" s="109" t="e">
        <v>#N/A</v>
      </c>
      <c r="O88" s="109">
        <v>2.52</v>
      </c>
      <c r="P88" s="113">
        <v>0.036</v>
      </c>
      <c r="Q88" s="109">
        <v>68.89</v>
      </c>
      <c r="R88" s="113">
        <v>1.0156</v>
      </c>
    </row>
    <row r="89" spans="1:18">
      <c r="A89" s="109">
        <v>351</v>
      </c>
      <c r="B89" s="109" t="s">
        <v>331</v>
      </c>
      <c r="F89" s="109" t="s">
        <v>177</v>
      </c>
      <c r="G89" s="109" t="s">
        <v>193</v>
      </c>
      <c r="H89" s="109" t="s">
        <v>170</v>
      </c>
      <c r="I89" s="109">
        <v>356851</v>
      </c>
      <c r="J89" s="109">
        <v>898</v>
      </c>
      <c r="K89" s="109" t="s">
        <v>164</v>
      </c>
      <c r="L89" s="109" t="s">
        <v>222</v>
      </c>
      <c r="M89" s="113">
        <v>0.3449</v>
      </c>
      <c r="N89" s="113">
        <v>0.4286</v>
      </c>
      <c r="O89" s="109">
        <v>2.77</v>
      </c>
      <c r="P89" s="113">
        <v>0.0415</v>
      </c>
      <c r="Q89" s="109">
        <v>68.89</v>
      </c>
      <c r="R89" s="113">
        <v>0.9685</v>
      </c>
    </row>
    <row r="90" spans="1:10">
      <c r="A90" s="109">
        <v>254</v>
      </c>
      <c r="B90" s="109" t="s">
        <v>332</v>
      </c>
      <c r="G90" s="109" t="s">
        <v>333</v>
      </c>
      <c r="H90" s="109" t="s">
        <v>182</v>
      </c>
      <c r="I90" s="109">
        <v>376035</v>
      </c>
      <c r="J90" s="109">
        <v>853</v>
      </c>
    </row>
    <row r="91" spans="1:10">
      <c r="A91" s="109">
        <v>258</v>
      </c>
      <c r="B91" s="109" t="s">
        <v>334</v>
      </c>
      <c r="G91" s="109" t="s">
        <v>335</v>
      </c>
      <c r="H91" s="109" t="s">
        <v>182</v>
      </c>
      <c r="I91" s="109">
        <v>390228</v>
      </c>
      <c r="J91" s="109">
        <v>823</v>
      </c>
    </row>
    <row r="92" spans="1:10">
      <c r="A92" s="109">
        <v>29</v>
      </c>
      <c r="B92" s="109" t="s">
        <v>336</v>
      </c>
      <c r="G92" s="109" t="s">
        <v>337</v>
      </c>
      <c r="H92" s="109" t="s">
        <v>182</v>
      </c>
      <c r="I92" s="109">
        <v>397652</v>
      </c>
      <c r="J92" s="109">
        <v>808</v>
      </c>
    </row>
    <row r="93" spans="1:10">
      <c r="A93" s="109">
        <v>239</v>
      </c>
      <c r="B93" s="109" t="s">
        <v>338</v>
      </c>
      <c r="G93" s="109" t="s">
        <v>339</v>
      </c>
      <c r="H93" s="109" t="s">
        <v>182</v>
      </c>
      <c r="I93" s="109">
        <v>397652</v>
      </c>
      <c r="J93" s="109">
        <v>808</v>
      </c>
    </row>
    <row r="94" spans="1:10">
      <c r="A94" s="109">
        <v>251</v>
      </c>
      <c r="B94" s="109" t="s">
        <v>340</v>
      </c>
      <c r="G94" s="109" t="s">
        <v>341</v>
      </c>
      <c r="H94" s="109" t="s">
        <v>182</v>
      </c>
      <c r="I94" s="109">
        <v>410788</v>
      </c>
      <c r="J94" s="109">
        <v>782</v>
      </c>
    </row>
    <row r="95" spans="1:18">
      <c r="A95" s="109">
        <v>99</v>
      </c>
      <c r="B95" s="109" t="s">
        <v>342</v>
      </c>
      <c r="F95" s="109" t="s">
        <v>177</v>
      </c>
      <c r="G95" s="109" t="s">
        <v>343</v>
      </c>
      <c r="H95" s="109" t="s">
        <v>170</v>
      </c>
      <c r="I95" s="109">
        <v>413404</v>
      </c>
      <c r="J95" s="109">
        <v>777</v>
      </c>
      <c r="K95" s="109" t="s">
        <v>164</v>
      </c>
      <c r="M95" s="109" t="e">
        <v>#N/A</v>
      </c>
      <c r="N95" s="109" t="e">
        <v>#N/A</v>
      </c>
      <c r="O95" s="109">
        <v>2.23</v>
      </c>
      <c r="P95" s="113">
        <v>0.0415</v>
      </c>
      <c r="Q95" s="109">
        <v>68.89</v>
      </c>
      <c r="R95" s="113">
        <v>0.7797</v>
      </c>
    </row>
    <row r="96" spans="1:10">
      <c r="A96" s="109">
        <v>114</v>
      </c>
      <c r="B96" s="109" t="s">
        <v>344</v>
      </c>
      <c r="G96" s="109" t="s">
        <v>345</v>
      </c>
      <c r="H96" s="109" t="s">
        <v>182</v>
      </c>
      <c r="I96" s="109">
        <v>427490</v>
      </c>
      <c r="J96" s="109">
        <v>752</v>
      </c>
    </row>
    <row r="97" spans="1:10">
      <c r="A97" s="109">
        <v>36</v>
      </c>
      <c r="B97" s="109" t="s">
        <v>346</v>
      </c>
      <c r="H97" s="109" t="s">
        <v>182</v>
      </c>
      <c r="I97" s="109">
        <v>448713</v>
      </c>
      <c r="J97" s="109">
        <v>717</v>
      </c>
    </row>
    <row r="98" spans="1:10">
      <c r="A98" s="109">
        <v>157</v>
      </c>
      <c r="B98" s="109" t="s">
        <v>347</v>
      </c>
      <c r="G98" s="109" t="s">
        <v>348</v>
      </c>
      <c r="H98" s="109" t="s">
        <v>182</v>
      </c>
      <c r="I98" s="109">
        <v>451920</v>
      </c>
      <c r="J98" s="109">
        <v>712</v>
      </c>
    </row>
    <row r="99" spans="1:10">
      <c r="A99" s="109">
        <v>463</v>
      </c>
      <c r="B99" s="109" t="s">
        <v>349</v>
      </c>
      <c r="G99" s="109" t="s">
        <v>350</v>
      </c>
      <c r="H99" s="109" t="s">
        <v>182</v>
      </c>
      <c r="I99" s="109">
        <v>455129</v>
      </c>
      <c r="J99" s="109">
        <v>707</v>
      </c>
    </row>
    <row r="100" spans="1:18">
      <c r="A100" s="109">
        <v>299</v>
      </c>
      <c r="B100" s="109" t="s">
        <v>351</v>
      </c>
      <c r="F100" s="109" t="s">
        <v>177</v>
      </c>
      <c r="G100" s="109" t="s">
        <v>352</v>
      </c>
      <c r="H100" s="109" t="s">
        <v>170</v>
      </c>
      <c r="I100" s="109">
        <v>458389</v>
      </c>
      <c r="J100" s="109">
        <v>702</v>
      </c>
      <c r="K100" s="109" t="s">
        <v>164</v>
      </c>
      <c r="L100" s="109" t="s">
        <v>222</v>
      </c>
      <c r="M100" s="113">
        <v>0.3501</v>
      </c>
      <c r="N100" s="113">
        <v>0.4286</v>
      </c>
      <c r="O100" s="109">
        <v>1.99</v>
      </c>
      <c r="P100" s="113">
        <v>0.0415</v>
      </c>
      <c r="Q100" s="109">
        <v>68.89</v>
      </c>
      <c r="R100" s="113">
        <v>0.6958</v>
      </c>
    </row>
    <row r="101" spans="1:18">
      <c r="A101" s="109">
        <v>433</v>
      </c>
      <c r="B101" s="109" t="s">
        <v>353</v>
      </c>
      <c r="F101" s="109" t="s">
        <v>177</v>
      </c>
      <c r="G101" s="109" t="s">
        <v>354</v>
      </c>
      <c r="H101" s="109" t="s">
        <v>170</v>
      </c>
      <c r="I101" s="109">
        <v>458389</v>
      </c>
      <c r="J101" s="109">
        <v>702</v>
      </c>
      <c r="L101" s="109" t="s">
        <v>222</v>
      </c>
      <c r="M101" s="113">
        <v>0.3316</v>
      </c>
      <c r="N101" s="113">
        <v>0.1785</v>
      </c>
      <c r="O101" s="109">
        <v>1.7</v>
      </c>
      <c r="P101" s="113">
        <v>0.0415</v>
      </c>
      <c r="Q101" s="109">
        <v>68.89</v>
      </c>
      <c r="R101" s="113">
        <v>0.5944</v>
      </c>
    </row>
    <row r="102" spans="1:10">
      <c r="A102" s="109">
        <v>76</v>
      </c>
      <c r="B102" s="109" t="s">
        <v>355</v>
      </c>
      <c r="G102" s="109" t="s">
        <v>356</v>
      </c>
      <c r="H102" s="109" t="s">
        <v>182</v>
      </c>
      <c r="I102" s="109">
        <v>461762</v>
      </c>
      <c r="J102" s="109">
        <v>696</v>
      </c>
    </row>
    <row r="103" spans="1:18">
      <c r="A103" s="109">
        <v>277</v>
      </c>
      <c r="B103" s="109" t="s">
        <v>357</v>
      </c>
      <c r="F103" s="109" t="s">
        <v>177</v>
      </c>
      <c r="G103" s="109" t="s">
        <v>358</v>
      </c>
      <c r="H103" s="109" t="s">
        <v>170</v>
      </c>
      <c r="I103" s="109">
        <v>465113</v>
      </c>
      <c r="J103" s="109">
        <v>691</v>
      </c>
      <c r="K103" s="109" t="s">
        <v>183</v>
      </c>
      <c r="L103" s="109" t="s">
        <v>222</v>
      </c>
      <c r="M103" s="109" t="e">
        <v>#N/A</v>
      </c>
      <c r="N103" s="109" t="e">
        <v>#N/A</v>
      </c>
      <c r="O103" s="109">
        <v>0.35</v>
      </c>
      <c r="P103" s="113">
        <v>0.0395</v>
      </c>
      <c r="Q103" s="109">
        <v>68.89</v>
      </c>
      <c r="R103" s="113">
        <v>0.1285</v>
      </c>
    </row>
    <row r="104" spans="1:10">
      <c r="A104" s="109">
        <v>142</v>
      </c>
      <c r="B104" s="109" t="s">
        <v>359</v>
      </c>
      <c r="G104" s="109" t="s">
        <v>169</v>
      </c>
      <c r="H104" s="109" t="s">
        <v>182</v>
      </c>
      <c r="I104" s="109">
        <v>468556</v>
      </c>
      <c r="J104" s="109">
        <v>686</v>
      </c>
    </row>
    <row r="105" spans="1:18">
      <c r="A105" s="109">
        <v>202</v>
      </c>
      <c r="B105" s="109" t="s">
        <v>360</v>
      </c>
      <c r="D105" s="110" t="s">
        <v>327</v>
      </c>
      <c r="E105" s="109" t="s">
        <v>188</v>
      </c>
      <c r="F105" s="109" t="s">
        <v>168</v>
      </c>
      <c r="G105" s="109" t="s">
        <v>189</v>
      </c>
      <c r="H105" s="109" t="s">
        <v>170</v>
      </c>
      <c r="I105" s="109">
        <v>475563</v>
      </c>
      <c r="J105" s="109">
        <v>676</v>
      </c>
      <c r="L105" s="109" t="s">
        <v>222</v>
      </c>
      <c r="M105" s="113">
        <v>0.4404</v>
      </c>
      <c r="N105" s="113">
        <v>0.2827</v>
      </c>
      <c r="O105" s="109">
        <v>2.08</v>
      </c>
      <c r="P105" s="113">
        <v>0.0415</v>
      </c>
      <c r="Q105" s="109">
        <v>68.89</v>
      </c>
      <c r="R105" s="113">
        <v>0.7273</v>
      </c>
    </row>
    <row r="106" spans="1:18">
      <c r="A106" s="109">
        <v>80</v>
      </c>
      <c r="B106" s="109" t="s">
        <v>361</v>
      </c>
      <c r="F106" s="109" t="s">
        <v>177</v>
      </c>
      <c r="G106" s="109" t="s">
        <v>362</v>
      </c>
      <c r="H106" s="109" t="s">
        <v>170</v>
      </c>
      <c r="I106" s="109">
        <v>482885</v>
      </c>
      <c r="J106" s="109">
        <v>666</v>
      </c>
      <c r="K106" s="109" t="s">
        <v>164</v>
      </c>
      <c r="L106" s="109" t="s">
        <v>222</v>
      </c>
      <c r="M106" s="113">
        <v>0.3772</v>
      </c>
      <c r="N106" s="113">
        <v>0.2258</v>
      </c>
      <c r="O106" s="109">
        <v>2.16</v>
      </c>
      <c r="P106" s="113">
        <v>0.0415</v>
      </c>
      <c r="Q106" s="109">
        <v>68.89</v>
      </c>
      <c r="R106" s="113">
        <v>0.7553</v>
      </c>
    </row>
    <row r="107" spans="1:10">
      <c r="A107" s="109">
        <v>48</v>
      </c>
      <c r="B107" s="109" t="s">
        <v>363</v>
      </c>
      <c r="G107" s="109" t="s">
        <v>364</v>
      </c>
      <c r="H107" s="109" t="s">
        <v>182</v>
      </c>
      <c r="I107" s="109">
        <v>486567</v>
      </c>
      <c r="J107" s="109">
        <v>661</v>
      </c>
    </row>
    <row r="108" spans="1:18">
      <c r="A108" s="109">
        <v>371</v>
      </c>
      <c r="B108" s="109" t="s">
        <v>365</v>
      </c>
      <c r="D108" s="110" t="s">
        <v>327</v>
      </c>
      <c r="E108" s="109" t="s">
        <v>188</v>
      </c>
      <c r="F108" s="109" t="s">
        <v>168</v>
      </c>
      <c r="G108" s="109" t="s">
        <v>366</v>
      </c>
      <c r="H108" s="109" t="s">
        <v>170</v>
      </c>
      <c r="I108" s="109">
        <v>490379</v>
      </c>
      <c r="J108" s="109">
        <v>656</v>
      </c>
      <c r="L108" s="109" t="s">
        <v>222</v>
      </c>
      <c r="M108" s="109" t="e">
        <v>#N/A</v>
      </c>
      <c r="N108" s="109" t="e">
        <v>#N/A</v>
      </c>
      <c r="O108" s="109">
        <v>0</v>
      </c>
      <c r="P108" s="113">
        <v>0.0415</v>
      </c>
      <c r="Q108" s="109">
        <v>68.89</v>
      </c>
      <c r="R108" s="113">
        <v>0</v>
      </c>
    </row>
    <row r="109" spans="1:18">
      <c r="A109" s="109">
        <v>162</v>
      </c>
      <c r="B109" s="109" t="s">
        <v>367</v>
      </c>
      <c r="F109" s="109" t="s">
        <v>177</v>
      </c>
      <c r="G109" s="109" t="s">
        <v>368</v>
      </c>
      <c r="H109" s="109" t="s">
        <v>170</v>
      </c>
      <c r="I109" s="109">
        <v>498017</v>
      </c>
      <c r="J109" s="109">
        <v>646</v>
      </c>
      <c r="K109" s="109" t="s">
        <v>183</v>
      </c>
      <c r="L109" s="109" t="s">
        <v>222</v>
      </c>
      <c r="M109" s="109" t="e">
        <v>#N/A</v>
      </c>
      <c r="N109" s="109" t="e">
        <v>#N/A</v>
      </c>
      <c r="O109" s="109">
        <v>1.91</v>
      </c>
      <c r="P109" s="113">
        <v>0.0415</v>
      </c>
      <c r="Q109" s="109">
        <v>68.89</v>
      </c>
      <c r="R109" s="113">
        <v>0.6678</v>
      </c>
    </row>
    <row r="110" spans="1:18">
      <c r="A110" s="109">
        <v>459</v>
      </c>
      <c r="B110" s="109" t="s">
        <v>369</v>
      </c>
      <c r="F110" s="109" t="s">
        <v>177</v>
      </c>
      <c r="G110" s="109" t="s">
        <v>370</v>
      </c>
      <c r="H110" s="109" t="s">
        <v>170</v>
      </c>
      <c r="I110" s="109">
        <v>501942</v>
      </c>
      <c r="J110" s="109">
        <v>641</v>
      </c>
      <c r="K110" s="109" t="s">
        <v>164</v>
      </c>
      <c r="L110" s="109" t="s">
        <v>371</v>
      </c>
      <c r="M110" s="113">
        <v>0.3041</v>
      </c>
      <c r="N110" s="113">
        <v>0.2745</v>
      </c>
      <c r="O110" s="109">
        <v>1.4</v>
      </c>
      <c r="P110" s="113">
        <v>0.0415</v>
      </c>
      <c r="Q110" s="109">
        <v>68.89</v>
      </c>
      <c r="R110" s="113">
        <v>0.4895</v>
      </c>
    </row>
    <row r="111" spans="1:18">
      <c r="A111" s="109">
        <v>35</v>
      </c>
      <c r="B111" s="109" t="s">
        <v>372</v>
      </c>
      <c r="F111" s="109" t="s">
        <v>177</v>
      </c>
      <c r="G111" s="109" t="s">
        <v>373</v>
      </c>
      <c r="H111" s="109" t="s">
        <v>170</v>
      </c>
      <c r="I111" s="109">
        <v>505910</v>
      </c>
      <c r="J111" s="109">
        <v>636</v>
      </c>
      <c r="M111" s="109" t="e">
        <v>#N/A</v>
      </c>
      <c r="N111" s="109" t="e">
        <v>#N/A</v>
      </c>
      <c r="O111" s="109">
        <v>0.35</v>
      </c>
      <c r="P111" s="113">
        <v>0.0401</v>
      </c>
      <c r="Q111" s="109">
        <v>68.89</v>
      </c>
      <c r="R111" s="113">
        <v>0.1267</v>
      </c>
    </row>
    <row r="112" spans="1:18">
      <c r="A112" s="109">
        <v>347</v>
      </c>
      <c r="B112" s="109" t="s">
        <v>374</v>
      </c>
      <c r="F112" s="109" t="s">
        <v>177</v>
      </c>
      <c r="G112" s="109" t="s">
        <v>375</v>
      </c>
      <c r="H112" s="109" t="s">
        <v>170</v>
      </c>
      <c r="I112" s="109">
        <v>509951</v>
      </c>
      <c r="J112" s="109">
        <v>631</v>
      </c>
      <c r="K112" s="109" t="s">
        <v>164</v>
      </c>
      <c r="M112" s="109" t="e">
        <v>#N/A</v>
      </c>
      <c r="N112" s="109" t="e">
        <v>#N/A</v>
      </c>
      <c r="O112" s="109">
        <v>2.43</v>
      </c>
      <c r="P112" s="113">
        <v>0.0582</v>
      </c>
      <c r="Q112" s="109">
        <v>68.89</v>
      </c>
      <c r="R112" s="113">
        <v>0.6061</v>
      </c>
    </row>
    <row r="113" spans="1:18">
      <c r="A113" s="109">
        <v>304</v>
      </c>
      <c r="B113" s="109" t="s">
        <v>376</v>
      </c>
      <c r="F113" s="109" t="s">
        <v>177</v>
      </c>
      <c r="G113" s="109" t="s">
        <v>377</v>
      </c>
      <c r="H113" s="109" t="s">
        <v>170</v>
      </c>
      <c r="I113" s="109">
        <v>513987</v>
      </c>
      <c r="J113" s="109">
        <v>626</v>
      </c>
      <c r="K113" s="109" t="s">
        <v>164</v>
      </c>
      <c r="M113" s="109" t="e">
        <v>#N/A</v>
      </c>
      <c r="N113" s="109" t="e">
        <v>#N/A</v>
      </c>
      <c r="O113" s="109">
        <v>0.74</v>
      </c>
      <c r="P113" s="113">
        <v>0.024</v>
      </c>
      <c r="Q113" s="109">
        <v>68.89</v>
      </c>
      <c r="R113" s="113">
        <v>0.4468</v>
      </c>
    </row>
    <row r="114" spans="1:18">
      <c r="A114" s="109">
        <v>430</v>
      </c>
      <c r="B114" s="109" t="s">
        <v>378</v>
      </c>
      <c r="D114" s="110" t="s">
        <v>327</v>
      </c>
      <c r="E114" s="109" t="s">
        <v>188</v>
      </c>
      <c r="F114" s="109" t="s">
        <v>168</v>
      </c>
      <c r="G114" s="109" t="s">
        <v>169</v>
      </c>
      <c r="H114" s="109" t="s">
        <v>170</v>
      </c>
      <c r="I114" s="109">
        <v>513987</v>
      </c>
      <c r="J114" s="109">
        <v>626</v>
      </c>
      <c r="L114" s="109" t="s">
        <v>371</v>
      </c>
      <c r="M114" s="109" t="e">
        <v>#N/A</v>
      </c>
      <c r="N114" s="109" t="e">
        <v>#N/A</v>
      </c>
      <c r="O114" s="109">
        <v>1.3</v>
      </c>
      <c r="P114" s="113">
        <v>0.0415</v>
      </c>
      <c r="Q114" s="109">
        <v>68.89</v>
      </c>
      <c r="R114" s="113">
        <v>0.4546</v>
      </c>
    </row>
    <row r="115" spans="1:18">
      <c r="A115" s="109">
        <v>96</v>
      </c>
      <c r="B115" s="109" t="s">
        <v>379</v>
      </c>
      <c r="F115" s="109" t="s">
        <v>177</v>
      </c>
      <c r="G115" s="109" t="s">
        <v>380</v>
      </c>
      <c r="H115" s="109" t="s">
        <v>170</v>
      </c>
      <c r="I115" s="109">
        <v>518142</v>
      </c>
      <c r="J115" s="109">
        <v>621</v>
      </c>
      <c r="K115" s="109" t="s">
        <v>164</v>
      </c>
      <c r="M115" s="109" t="e">
        <v>#N/A</v>
      </c>
      <c r="N115" s="109" t="e">
        <v>#N/A</v>
      </c>
      <c r="O115" s="109">
        <v>2.53</v>
      </c>
      <c r="P115" s="113">
        <v>0.0509</v>
      </c>
      <c r="Q115" s="109">
        <v>68.89</v>
      </c>
      <c r="R115" s="113">
        <v>0.7211</v>
      </c>
    </row>
    <row r="116" spans="1:18">
      <c r="A116" s="109">
        <v>152</v>
      </c>
      <c r="B116" s="109" t="s">
        <v>381</v>
      </c>
      <c r="F116" s="109" t="s">
        <v>177</v>
      </c>
      <c r="G116" s="109" t="s">
        <v>382</v>
      </c>
      <c r="H116" s="109" t="s">
        <v>170</v>
      </c>
      <c r="I116" s="109">
        <v>518142</v>
      </c>
      <c r="J116" s="109">
        <v>621</v>
      </c>
      <c r="K116" s="109" t="s">
        <v>164</v>
      </c>
      <c r="L116" s="109" t="s">
        <v>371</v>
      </c>
      <c r="M116" s="113">
        <v>0.3977</v>
      </c>
      <c r="N116" s="113">
        <v>0.1429</v>
      </c>
      <c r="O116" s="109">
        <v>1.55</v>
      </c>
      <c r="P116" s="113">
        <v>0.0415</v>
      </c>
      <c r="Q116" s="109">
        <v>68.89</v>
      </c>
      <c r="R116" s="113">
        <v>0.542</v>
      </c>
    </row>
    <row r="117" spans="1:18">
      <c r="A117" s="109">
        <v>189</v>
      </c>
      <c r="B117" s="109" t="s">
        <v>383</v>
      </c>
      <c r="F117" s="109" t="s">
        <v>177</v>
      </c>
      <c r="G117" s="109" t="s">
        <v>362</v>
      </c>
      <c r="H117" s="109" t="s">
        <v>170</v>
      </c>
      <c r="I117" s="109">
        <v>518142</v>
      </c>
      <c r="J117" s="109">
        <v>621</v>
      </c>
      <c r="K117" s="109" t="s">
        <v>164</v>
      </c>
      <c r="L117" s="109" t="s">
        <v>371</v>
      </c>
      <c r="M117" s="113">
        <v>0.3966</v>
      </c>
      <c r="N117" s="113">
        <v>0.3404</v>
      </c>
      <c r="O117" s="109">
        <v>1.73</v>
      </c>
      <c r="P117" s="113">
        <v>0.0415</v>
      </c>
      <c r="Q117" s="109">
        <v>68.89</v>
      </c>
      <c r="R117" s="113">
        <v>0.6049</v>
      </c>
    </row>
    <row r="118" spans="1:18">
      <c r="A118" s="109">
        <v>273</v>
      </c>
      <c r="B118" s="109" t="s">
        <v>384</v>
      </c>
      <c r="F118" s="109" t="s">
        <v>177</v>
      </c>
      <c r="G118" s="109" t="s">
        <v>385</v>
      </c>
      <c r="H118" s="109" t="s">
        <v>170</v>
      </c>
      <c r="I118" s="109">
        <v>518142</v>
      </c>
      <c r="J118" s="109">
        <v>621</v>
      </c>
      <c r="L118" s="109" t="s">
        <v>371</v>
      </c>
      <c r="M118" s="113">
        <v>0.3853</v>
      </c>
      <c r="N118" s="113">
        <v>0.2083</v>
      </c>
      <c r="O118" s="109">
        <v>1.43</v>
      </c>
      <c r="P118" s="113">
        <v>0.0415</v>
      </c>
      <c r="Q118" s="109">
        <v>68.89</v>
      </c>
      <c r="R118" s="113">
        <v>0.5</v>
      </c>
    </row>
    <row r="119" spans="1:18">
      <c r="A119" s="109">
        <v>222</v>
      </c>
      <c r="B119" s="109" t="s">
        <v>386</v>
      </c>
      <c r="F119" s="109" t="s">
        <v>177</v>
      </c>
      <c r="G119" s="109" t="s">
        <v>387</v>
      </c>
      <c r="H119" s="109" t="s">
        <v>179</v>
      </c>
      <c r="I119" s="109">
        <v>522416</v>
      </c>
      <c r="J119" s="109">
        <v>616</v>
      </c>
      <c r="L119" s="109" t="s">
        <v>371</v>
      </c>
      <c r="M119" s="113">
        <v>0.4383</v>
      </c>
      <c r="N119" s="113">
        <v>0.2838</v>
      </c>
      <c r="O119" s="109">
        <v>1.44</v>
      </c>
      <c r="P119" s="113">
        <v>0.0415</v>
      </c>
      <c r="Q119" s="109">
        <v>68.89</v>
      </c>
      <c r="R119" s="113">
        <v>0.5035</v>
      </c>
    </row>
    <row r="120" spans="1:18">
      <c r="A120" s="109">
        <v>129</v>
      </c>
      <c r="B120" s="109" t="s">
        <v>388</v>
      </c>
      <c r="D120" s="110" t="s">
        <v>327</v>
      </c>
      <c r="E120" s="109" t="s">
        <v>188</v>
      </c>
      <c r="F120" s="109" t="s">
        <v>168</v>
      </c>
      <c r="G120" s="109" t="s">
        <v>169</v>
      </c>
      <c r="H120" s="109" t="s">
        <v>170</v>
      </c>
      <c r="I120" s="109">
        <v>526702</v>
      </c>
      <c r="J120" s="109">
        <v>611</v>
      </c>
      <c r="K120" s="109" t="s">
        <v>164</v>
      </c>
      <c r="L120" s="109" t="s">
        <v>371</v>
      </c>
      <c r="M120" s="113">
        <v>0.4753</v>
      </c>
      <c r="N120" s="113">
        <v>0.3333</v>
      </c>
      <c r="O120" s="109">
        <v>2.29</v>
      </c>
      <c r="P120" s="113">
        <v>0.0415</v>
      </c>
      <c r="Q120" s="109">
        <v>68.89</v>
      </c>
      <c r="R120" s="113">
        <v>0.8007</v>
      </c>
    </row>
    <row r="121" spans="1:18">
      <c r="A121" s="109">
        <v>300</v>
      </c>
      <c r="B121" s="109" t="s">
        <v>389</v>
      </c>
      <c r="D121" s="110" t="s">
        <v>327</v>
      </c>
      <c r="E121" s="109" t="s">
        <v>241</v>
      </c>
      <c r="F121" s="109" t="s">
        <v>168</v>
      </c>
      <c r="G121" s="109" t="s">
        <v>390</v>
      </c>
      <c r="H121" s="109" t="s">
        <v>170</v>
      </c>
      <c r="I121" s="109">
        <v>531130</v>
      </c>
      <c r="J121" s="109">
        <v>606</v>
      </c>
      <c r="L121" s="109" t="s">
        <v>371</v>
      </c>
      <c r="M121" s="109" t="e">
        <v>#N/A</v>
      </c>
      <c r="N121" s="109" t="e">
        <v>#N/A</v>
      </c>
      <c r="O121" s="109">
        <v>1.66</v>
      </c>
      <c r="P121" s="113">
        <v>0.0415</v>
      </c>
      <c r="Q121" s="109">
        <v>68.89</v>
      </c>
      <c r="R121" s="113">
        <v>0.5804</v>
      </c>
    </row>
    <row r="122" spans="1:10">
      <c r="A122" s="109">
        <v>425</v>
      </c>
      <c r="B122" s="109" t="s">
        <v>391</v>
      </c>
      <c r="G122" s="109" t="s">
        <v>392</v>
      </c>
      <c r="H122" s="109" t="s">
        <v>182</v>
      </c>
      <c r="I122" s="109">
        <v>531130</v>
      </c>
      <c r="J122" s="109">
        <v>606</v>
      </c>
    </row>
    <row r="123" spans="1:10">
      <c r="A123" s="109">
        <v>50</v>
      </c>
      <c r="B123" s="109" t="s">
        <v>393</v>
      </c>
      <c r="G123" s="109" t="s">
        <v>394</v>
      </c>
      <c r="H123" s="109" t="s">
        <v>182</v>
      </c>
      <c r="I123" s="109">
        <v>535562</v>
      </c>
      <c r="J123" s="109">
        <v>601</v>
      </c>
    </row>
    <row r="124" spans="1:18">
      <c r="A124" s="109">
        <v>141</v>
      </c>
      <c r="B124" s="109" t="s">
        <v>395</v>
      </c>
      <c r="F124" s="109" t="s">
        <v>177</v>
      </c>
      <c r="G124" s="109" t="s">
        <v>396</v>
      </c>
      <c r="H124" s="109" t="s">
        <v>170</v>
      </c>
      <c r="I124" s="109">
        <v>540080</v>
      </c>
      <c r="J124" s="109">
        <v>595</v>
      </c>
      <c r="K124" s="109" t="s">
        <v>164</v>
      </c>
      <c r="L124" s="109" t="s">
        <v>371</v>
      </c>
      <c r="M124" s="113">
        <v>0.3826</v>
      </c>
      <c r="N124" s="113">
        <v>0.3334</v>
      </c>
      <c r="O124" s="109">
        <v>2.06</v>
      </c>
      <c r="P124" s="113">
        <v>0.0415</v>
      </c>
      <c r="Q124" s="109">
        <v>68.89</v>
      </c>
      <c r="R124" s="113">
        <v>0.7203</v>
      </c>
    </row>
    <row r="125" spans="1:18">
      <c r="A125" s="109">
        <v>196</v>
      </c>
      <c r="B125" s="109" t="s">
        <v>397</v>
      </c>
      <c r="F125" s="109" t="s">
        <v>177</v>
      </c>
      <c r="G125" s="109" t="s">
        <v>398</v>
      </c>
      <c r="H125" s="109" t="s">
        <v>179</v>
      </c>
      <c r="I125" s="109">
        <v>544803</v>
      </c>
      <c r="J125" s="109">
        <v>590</v>
      </c>
      <c r="K125" s="109" t="s">
        <v>164</v>
      </c>
      <c r="L125" s="109" t="s">
        <v>371</v>
      </c>
      <c r="M125" s="113">
        <v>0.3093</v>
      </c>
      <c r="N125" s="113">
        <v>0.2632</v>
      </c>
      <c r="O125" s="109">
        <v>1.68</v>
      </c>
      <c r="P125" s="113">
        <v>0.0415</v>
      </c>
      <c r="Q125" s="109">
        <v>68.89</v>
      </c>
      <c r="R125" s="113">
        <v>0.5874</v>
      </c>
    </row>
    <row r="126" spans="1:10">
      <c r="A126" s="109">
        <v>259</v>
      </c>
      <c r="B126" s="109" t="s">
        <v>399</v>
      </c>
      <c r="G126" s="109" t="s">
        <v>400</v>
      </c>
      <c r="H126" s="109" t="s">
        <v>182</v>
      </c>
      <c r="I126" s="109">
        <v>544803</v>
      </c>
      <c r="J126" s="109">
        <v>590</v>
      </c>
    </row>
    <row r="127" spans="1:18">
      <c r="A127" s="109">
        <v>390</v>
      </c>
      <c r="B127" s="109" t="s">
        <v>401</v>
      </c>
      <c r="D127" s="110" t="s">
        <v>327</v>
      </c>
      <c r="E127" s="109" t="s">
        <v>167</v>
      </c>
      <c r="F127" s="109" t="s">
        <v>168</v>
      </c>
      <c r="G127" s="109" t="s">
        <v>189</v>
      </c>
      <c r="H127" s="109" t="s">
        <v>170</v>
      </c>
      <c r="I127" s="109">
        <v>544803</v>
      </c>
      <c r="J127" s="109">
        <v>590</v>
      </c>
      <c r="L127" s="109" t="s">
        <v>371</v>
      </c>
      <c r="M127" s="113">
        <v>0.5018</v>
      </c>
      <c r="N127" s="113">
        <v>0.4444</v>
      </c>
      <c r="O127" s="109">
        <v>2.76</v>
      </c>
      <c r="P127" s="113">
        <v>0.0415</v>
      </c>
      <c r="Q127" s="109">
        <v>68.89</v>
      </c>
      <c r="R127" s="113">
        <v>0.965</v>
      </c>
    </row>
    <row r="128" spans="1:18">
      <c r="A128" s="109">
        <v>423</v>
      </c>
      <c r="B128" s="109" t="s">
        <v>402</v>
      </c>
      <c r="F128" s="109" t="s">
        <v>177</v>
      </c>
      <c r="G128" s="109" t="s">
        <v>403</v>
      </c>
      <c r="H128" s="109" t="s">
        <v>170</v>
      </c>
      <c r="I128" s="109">
        <v>544803</v>
      </c>
      <c r="J128" s="109">
        <v>590</v>
      </c>
      <c r="K128" s="109" t="s">
        <v>164</v>
      </c>
      <c r="M128" s="109" t="e">
        <v>#N/A</v>
      </c>
      <c r="N128" s="109" t="e">
        <v>#N/A</v>
      </c>
      <c r="O128" s="109">
        <v>3.01</v>
      </c>
      <c r="P128" s="113">
        <v>0.0237</v>
      </c>
      <c r="Q128" s="109">
        <v>68.89</v>
      </c>
      <c r="R128" s="113">
        <v>1.8458</v>
      </c>
    </row>
    <row r="129" spans="1:18">
      <c r="A129" s="109">
        <v>195</v>
      </c>
      <c r="B129" s="109" t="s">
        <v>404</v>
      </c>
      <c r="F129" s="109" t="s">
        <v>177</v>
      </c>
      <c r="G129" s="109" t="s">
        <v>405</v>
      </c>
      <c r="H129" s="109" t="s">
        <v>170</v>
      </c>
      <c r="I129" s="109">
        <v>549435</v>
      </c>
      <c r="J129" s="109">
        <v>585</v>
      </c>
      <c r="K129" s="109" t="s">
        <v>164</v>
      </c>
      <c r="M129" s="109" t="e">
        <v>#N/A</v>
      </c>
      <c r="N129" s="109" t="e">
        <v>#N/A</v>
      </c>
      <c r="O129" s="109">
        <v>2.63</v>
      </c>
      <c r="P129" s="113">
        <v>0.0152</v>
      </c>
      <c r="Q129" s="109">
        <v>68.89</v>
      </c>
      <c r="R129" s="113">
        <v>2.5101</v>
      </c>
    </row>
    <row r="130" spans="1:10">
      <c r="A130" s="109">
        <v>398</v>
      </c>
      <c r="B130" s="109" t="s">
        <v>406</v>
      </c>
      <c r="G130" s="109" t="s">
        <v>407</v>
      </c>
      <c r="H130" s="109" t="s">
        <v>182</v>
      </c>
      <c r="I130" s="109">
        <v>549435</v>
      </c>
      <c r="J130" s="109">
        <v>585</v>
      </c>
    </row>
    <row r="131" spans="1:10">
      <c r="A131" s="109">
        <v>447</v>
      </c>
      <c r="B131" s="109" t="s">
        <v>408</v>
      </c>
      <c r="G131" s="109" t="s">
        <v>409</v>
      </c>
      <c r="H131" s="109" t="s">
        <v>182</v>
      </c>
      <c r="I131" s="109">
        <v>549435</v>
      </c>
      <c r="J131" s="109">
        <v>585</v>
      </c>
    </row>
    <row r="132" spans="1:10">
      <c r="A132" s="109">
        <v>203</v>
      </c>
      <c r="B132" s="109" t="s">
        <v>410</v>
      </c>
      <c r="G132" s="109" t="s">
        <v>411</v>
      </c>
      <c r="H132" s="109" t="s">
        <v>182</v>
      </c>
      <c r="I132" s="109">
        <v>558888</v>
      </c>
      <c r="J132" s="109">
        <v>575</v>
      </c>
    </row>
    <row r="133" spans="1:10">
      <c r="A133" s="109">
        <v>210</v>
      </c>
      <c r="B133" s="109" t="s">
        <v>412</v>
      </c>
      <c r="G133" s="109" t="s">
        <v>413</v>
      </c>
      <c r="H133" s="109" t="s">
        <v>182</v>
      </c>
      <c r="I133" s="109">
        <v>558888</v>
      </c>
      <c r="J133" s="109">
        <v>575</v>
      </c>
    </row>
    <row r="134" spans="1:10">
      <c r="A134" s="109">
        <v>280</v>
      </c>
      <c r="B134" s="109" t="s">
        <v>414</v>
      </c>
      <c r="G134" s="109" t="s">
        <v>364</v>
      </c>
      <c r="H134" s="109" t="s">
        <v>182</v>
      </c>
      <c r="I134" s="109">
        <v>558888</v>
      </c>
      <c r="J134" s="109">
        <v>575</v>
      </c>
    </row>
    <row r="135" spans="1:18">
      <c r="A135" s="109">
        <v>67</v>
      </c>
      <c r="B135" s="109" t="s">
        <v>415</v>
      </c>
      <c r="F135" s="109" t="s">
        <v>177</v>
      </c>
      <c r="G135" s="109" t="s">
        <v>416</v>
      </c>
      <c r="H135" s="109" t="s">
        <v>170</v>
      </c>
      <c r="I135" s="109">
        <v>563956</v>
      </c>
      <c r="J135" s="109">
        <v>570</v>
      </c>
      <c r="K135" s="109" t="s">
        <v>164</v>
      </c>
      <c r="M135" s="109" t="e">
        <v>#N/A</v>
      </c>
      <c r="N135" s="109" t="e">
        <v>#N/A</v>
      </c>
      <c r="O135" s="109">
        <v>2.39</v>
      </c>
      <c r="P135" s="113">
        <v>0.0573</v>
      </c>
      <c r="Q135" s="109">
        <v>68.89</v>
      </c>
      <c r="R135" s="113">
        <v>0.605</v>
      </c>
    </row>
    <row r="136" spans="1:18">
      <c r="A136" s="109">
        <v>310</v>
      </c>
      <c r="B136" s="109" t="s">
        <v>417</v>
      </c>
      <c r="F136" s="109" t="s">
        <v>177</v>
      </c>
      <c r="G136" s="109" t="s">
        <v>418</v>
      </c>
      <c r="H136" s="109" t="s">
        <v>170</v>
      </c>
      <c r="I136" s="109">
        <v>563956</v>
      </c>
      <c r="J136" s="109">
        <v>570</v>
      </c>
      <c r="K136" s="109" t="s">
        <v>164</v>
      </c>
      <c r="L136" s="109" t="s">
        <v>371</v>
      </c>
      <c r="M136" s="113">
        <v>0.2572</v>
      </c>
      <c r="N136" s="113">
        <v>0.1206</v>
      </c>
      <c r="O136" s="109">
        <v>1.47</v>
      </c>
      <c r="P136" s="113">
        <v>0.0415</v>
      </c>
      <c r="Q136" s="109">
        <v>68.89</v>
      </c>
      <c r="R136" s="113">
        <v>0.514</v>
      </c>
    </row>
    <row r="137" spans="1:18">
      <c r="A137" s="109">
        <v>368</v>
      </c>
      <c r="B137" s="109" t="s">
        <v>419</v>
      </c>
      <c r="F137" s="109" t="s">
        <v>177</v>
      </c>
      <c r="G137" s="109" t="s">
        <v>420</v>
      </c>
      <c r="H137" s="109" t="s">
        <v>170</v>
      </c>
      <c r="I137" s="109">
        <v>568966</v>
      </c>
      <c r="J137" s="109">
        <v>565</v>
      </c>
      <c r="L137" s="109" t="s">
        <v>371</v>
      </c>
      <c r="M137" s="113">
        <v>0.4444</v>
      </c>
      <c r="N137" s="113">
        <v>0.3125</v>
      </c>
      <c r="O137" s="109">
        <v>2.52</v>
      </c>
      <c r="P137" s="113">
        <v>0.0415</v>
      </c>
      <c r="Q137" s="109">
        <v>68.89</v>
      </c>
      <c r="R137" s="113">
        <v>0.8811</v>
      </c>
    </row>
    <row r="138" spans="1:18">
      <c r="A138" s="109">
        <v>215</v>
      </c>
      <c r="B138" s="109" t="s">
        <v>421</v>
      </c>
      <c r="F138" s="109" t="s">
        <v>177</v>
      </c>
      <c r="G138" s="109" t="s">
        <v>422</v>
      </c>
      <c r="H138" s="109" t="s">
        <v>179</v>
      </c>
      <c r="I138" s="109">
        <v>574057</v>
      </c>
      <c r="J138" s="109">
        <v>560</v>
      </c>
      <c r="K138" s="109" t="s">
        <v>164</v>
      </c>
      <c r="L138" s="109" t="s">
        <v>371</v>
      </c>
      <c r="M138" s="113">
        <v>0.3761</v>
      </c>
      <c r="N138" s="113">
        <v>0.2286</v>
      </c>
      <c r="O138" s="109">
        <v>2.47</v>
      </c>
      <c r="P138" s="113">
        <v>0.0415</v>
      </c>
      <c r="Q138" s="109">
        <v>68.89</v>
      </c>
      <c r="R138" s="113">
        <v>0.8636</v>
      </c>
    </row>
    <row r="139" spans="1:18">
      <c r="A139" s="109">
        <v>380</v>
      </c>
      <c r="B139" s="109" t="s">
        <v>423</v>
      </c>
      <c r="D139" s="110" t="s">
        <v>327</v>
      </c>
      <c r="E139" s="109" t="s">
        <v>241</v>
      </c>
      <c r="F139" s="109" t="s">
        <v>168</v>
      </c>
      <c r="G139" s="109" t="s">
        <v>169</v>
      </c>
      <c r="H139" s="109" t="s">
        <v>170</v>
      </c>
      <c r="I139" s="109">
        <v>574057</v>
      </c>
      <c r="J139" s="109">
        <v>560</v>
      </c>
      <c r="L139" s="109" t="s">
        <v>371</v>
      </c>
      <c r="M139" s="113">
        <v>0.4735</v>
      </c>
      <c r="N139" s="113">
        <v>0.3055</v>
      </c>
      <c r="O139" s="109">
        <v>1.37</v>
      </c>
      <c r="P139" s="113">
        <v>0.0404</v>
      </c>
      <c r="Q139" s="109">
        <v>68.89</v>
      </c>
      <c r="R139" s="113">
        <v>0.4917</v>
      </c>
    </row>
    <row r="140" spans="1:10">
      <c r="A140" s="109">
        <v>87</v>
      </c>
      <c r="B140" s="109" t="s">
        <v>424</v>
      </c>
      <c r="G140" s="109" t="s">
        <v>425</v>
      </c>
      <c r="H140" s="109" t="s">
        <v>182</v>
      </c>
      <c r="I140" s="109">
        <v>579216</v>
      </c>
      <c r="J140" s="109">
        <v>555</v>
      </c>
    </row>
    <row r="141" spans="1:10">
      <c r="A141" s="109">
        <v>101</v>
      </c>
      <c r="B141" s="109" t="s">
        <v>426</v>
      </c>
      <c r="G141" s="109" t="s">
        <v>427</v>
      </c>
      <c r="H141" s="109" t="s">
        <v>182</v>
      </c>
      <c r="I141" s="109">
        <v>579216</v>
      </c>
      <c r="J141" s="109">
        <v>555</v>
      </c>
    </row>
    <row r="142" spans="1:18">
      <c r="A142" s="109">
        <v>289</v>
      </c>
      <c r="B142" s="109" t="s">
        <v>428</v>
      </c>
      <c r="D142" s="110" t="s">
        <v>327</v>
      </c>
      <c r="E142" s="109" t="s">
        <v>188</v>
      </c>
      <c r="F142" s="109" t="s">
        <v>168</v>
      </c>
      <c r="G142" s="109" t="s">
        <v>189</v>
      </c>
      <c r="H142" s="109" t="s">
        <v>170</v>
      </c>
      <c r="I142" s="109">
        <v>579216</v>
      </c>
      <c r="J142" s="109">
        <v>555</v>
      </c>
      <c r="K142" s="109" t="s">
        <v>164</v>
      </c>
      <c r="L142" s="109" t="s">
        <v>371</v>
      </c>
      <c r="M142" s="113">
        <v>0.4065</v>
      </c>
      <c r="N142" s="113">
        <v>0.2188</v>
      </c>
      <c r="O142" s="109">
        <v>1.72</v>
      </c>
      <c r="P142" s="113">
        <v>0.0415</v>
      </c>
      <c r="Q142" s="109">
        <v>68.89</v>
      </c>
      <c r="R142" s="113">
        <v>0.6014</v>
      </c>
    </row>
    <row r="143" spans="1:10">
      <c r="A143" s="109">
        <v>103</v>
      </c>
      <c r="B143" s="109" t="s">
        <v>429</v>
      </c>
      <c r="G143" s="109" t="s">
        <v>430</v>
      </c>
      <c r="H143" s="109" t="s">
        <v>182</v>
      </c>
      <c r="I143" s="109">
        <v>600899</v>
      </c>
      <c r="J143" s="109">
        <v>535</v>
      </c>
    </row>
    <row r="144" spans="1:10">
      <c r="A144" s="109">
        <v>134</v>
      </c>
      <c r="B144" s="109" t="s">
        <v>431</v>
      </c>
      <c r="G144" s="109" t="s">
        <v>432</v>
      </c>
      <c r="H144" s="109" t="s">
        <v>182</v>
      </c>
      <c r="I144" s="109">
        <v>600899</v>
      </c>
      <c r="J144" s="109">
        <v>535</v>
      </c>
    </row>
    <row r="145" spans="1:10">
      <c r="A145" s="109">
        <v>379</v>
      </c>
      <c r="B145" s="109" t="s">
        <v>433</v>
      </c>
      <c r="G145" s="109" t="s">
        <v>434</v>
      </c>
      <c r="H145" s="109" t="s">
        <v>182</v>
      </c>
      <c r="I145" s="109">
        <v>600899</v>
      </c>
      <c r="J145" s="109">
        <v>535</v>
      </c>
    </row>
    <row r="146" spans="1:18">
      <c r="A146" s="109">
        <v>378</v>
      </c>
      <c r="B146" s="109" t="s">
        <v>435</v>
      </c>
      <c r="F146" s="109" t="s">
        <v>177</v>
      </c>
      <c r="G146" s="109" t="s">
        <v>271</v>
      </c>
      <c r="H146" s="109" t="s">
        <v>170</v>
      </c>
      <c r="I146" s="109">
        <v>606688</v>
      </c>
      <c r="J146" s="109">
        <v>530</v>
      </c>
      <c r="K146" s="109" t="s">
        <v>164</v>
      </c>
      <c r="L146" s="109" t="s">
        <v>371</v>
      </c>
      <c r="M146" s="113">
        <v>0.3555</v>
      </c>
      <c r="N146" s="113">
        <v>0.3213</v>
      </c>
      <c r="O146" s="109">
        <v>1.81</v>
      </c>
      <c r="P146" s="113">
        <v>0.0415</v>
      </c>
      <c r="Q146" s="109">
        <v>68.89</v>
      </c>
      <c r="R146" s="113">
        <v>0.6329</v>
      </c>
    </row>
    <row r="147" spans="1:10">
      <c r="A147" s="109">
        <v>443</v>
      </c>
      <c r="B147" s="109" t="s">
        <v>436</v>
      </c>
      <c r="G147" s="109" t="s">
        <v>437</v>
      </c>
      <c r="H147" s="109" t="s">
        <v>182</v>
      </c>
      <c r="I147" s="109">
        <v>606688</v>
      </c>
      <c r="J147" s="109">
        <v>530</v>
      </c>
    </row>
    <row r="148" spans="1:18">
      <c r="A148" s="109">
        <v>457</v>
      </c>
      <c r="B148" s="109" t="s">
        <v>438</v>
      </c>
      <c r="F148" s="109" t="s">
        <v>177</v>
      </c>
      <c r="G148" s="109" t="s">
        <v>439</v>
      </c>
      <c r="H148" s="109" t="s">
        <v>170</v>
      </c>
      <c r="I148" s="109">
        <v>606688</v>
      </c>
      <c r="J148" s="109">
        <v>530</v>
      </c>
      <c r="K148" s="109" t="s">
        <v>164</v>
      </c>
      <c r="M148" s="109" t="e">
        <v>#N/A</v>
      </c>
      <c r="N148" s="109" t="e">
        <v>#N/A</v>
      </c>
      <c r="O148" s="109">
        <v>1.25</v>
      </c>
      <c r="P148" s="113">
        <v>0.0213</v>
      </c>
      <c r="Q148" s="109">
        <v>68.89</v>
      </c>
      <c r="R148" s="113">
        <v>0.8528</v>
      </c>
    </row>
    <row r="149" spans="1:18">
      <c r="A149" s="109">
        <v>297</v>
      </c>
      <c r="B149" s="109" t="s">
        <v>440</v>
      </c>
      <c r="F149" s="109" t="s">
        <v>177</v>
      </c>
      <c r="G149" s="109" t="s">
        <v>382</v>
      </c>
      <c r="H149" s="109" t="s">
        <v>170</v>
      </c>
      <c r="I149" s="109">
        <v>618366</v>
      </c>
      <c r="J149" s="109">
        <v>520</v>
      </c>
      <c r="K149" s="109" t="s">
        <v>164</v>
      </c>
      <c r="L149" s="109" t="s">
        <v>371</v>
      </c>
      <c r="M149" s="113">
        <v>0.3749</v>
      </c>
      <c r="N149" s="113">
        <v>0.4</v>
      </c>
      <c r="O149" s="109">
        <v>1.63</v>
      </c>
      <c r="P149" s="113">
        <v>0.0415</v>
      </c>
      <c r="Q149" s="109">
        <v>68.89</v>
      </c>
      <c r="R149" s="113">
        <v>0.5699</v>
      </c>
    </row>
    <row r="150" spans="1:10">
      <c r="A150" s="109">
        <v>334</v>
      </c>
      <c r="B150" s="109" t="s">
        <v>441</v>
      </c>
      <c r="G150" s="109" t="s">
        <v>441</v>
      </c>
      <c r="H150" s="109" t="s">
        <v>182</v>
      </c>
      <c r="I150" s="109">
        <v>618366</v>
      </c>
      <c r="J150" s="109">
        <v>520</v>
      </c>
    </row>
    <row r="151" spans="1:18">
      <c r="A151" s="109">
        <v>82</v>
      </c>
      <c r="B151" s="109" t="s">
        <v>442</v>
      </c>
      <c r="F151" s="109" t="s">
        <v>177</v>
      </c>
      <c r="G151" s="109" t="s">
        <v>443</v>
      </c>
      <c r="H151" s="109" t="s">
        <v>170</v>
      </c>
      <c r="I151" s="109">
        <v>649628</v>
      </c>
      <c r="J151" s="109">
        <v>494</v>
      </c>
      <c r="K151" s="109" t="s">
        <v>164</v>
      </c>
      <c r="M151" s="109" t="e">
        <v>#N/A</v>
      </c>
      <c r="N151" s="109" t="e">
        <v>#N/A</v>
      </c>
      <c r="O151" s="109">
        <v>0.85</v>
      </c>
      <c r="P151" s="113">
        <v>0.0395</v>
      </c>
      <c r="Q151" s="109">
        <v>68.89</v>
      </c>
      <c r="R151" s="113">
        <v>0.3123</v>
      </c>
    </row>
    <row r="152" spans="1:18">
      <c r="A152" s="109">
        <v>263</v>
      </c>
      <c r="B152" s="109" t="s">
        <v>444</v>
      </c>
      <c r="F152" s="109" t="s">
        <v>177</v>
      </c>
      <c r="G152" s="109" t="s">
        <v>445</v>
      </c>
      <c r="H152" s="109" t="s">
        <v>179</v>
      </c>
      <c r="I152" s="109">
        <v>649628</v>
      </c>
      <c r="J152" s="109">
        <v>494</v>
      </c>
      <c r="K152" s="109" t="s">
        <v>164</v>
      </c>
      <c r="L152" s="109" t="s">
        <v>371</v>
      </c>
      <c r="M152" s="113">
        <v>0.3655</v>
      </c>
      <c r="N152" s="113">
        <v>0.3332</v>
      </c>
      <c r="O152" s="109">
        <v>3.48</v>
      </c>
      <c r="P152" s="113">
        <v>0.0415</v>
      </c>
      <c r="Q152" s="109">
        <v>68.89</v>
      </c>
      <c r="R152" s="113">
        <v>1.2168</v>
      </c>
    </row>
    <row r="153" spans="1:18">
      <c r="A153" s="109">
        <v>445</v>
      </c>
      <c r="B153" s="109" t="s">
        <v>446</v>
      </c>
      <c r="F153" s="109" t="s">
        <v>177</v>
      </c>
      <c r="G153" s="109" t="s">
        <v>447</v>
      </c>
      <c r="H153" s="109" t="s">
        <v>179</v>
      </c>
      <c r="I153" s="109">
        <v>656252</v>
      </c>
      <c r="J153" s="109">
        <v>489</v>
      </c>
      <c r="K153" s="109" t="s">
        <v>164</v>
      </c>
      <c r="L153" s="109" t="s">
        <v>371</v>
      </c>
      <c r="M153" s="113">
        <v>0.3262</v>
      </c>
      <c r="N153" s="113">
        <v>0.0588</v>
      </c>
      <c r="O153" s="109">
        <v>1.47</v>
      </c>
      <c r="P153" s="113">
        <v>0.0415</v>
      </c>
      <c r="Q153" s="109">
        <v>68.89</v>
      </c>
      <c r="R153" s="113">
        <v>0.514</v>
      </c>
    </row>
    <row r="154" spans="1:18">
      <c r="A154" s="109">
        <v>38</v>
      </c>
      <c r="B154" s="109" t="s">
        <v>448</v>
      </c>
      <c r="F154" s="109" t="s">
        <v>177</v>
      </c>
      <c r="G154" s="109" t="s">
        <v>449</v>
      </c>
      <c r="H154" s="109" t="s">
        <v>170</v>
      </c>
      <c r="I154" s="109">
        <v>662877</v>
      </c>
      <c r="J154" s="109">
        <v>484</v>
      </c>
      <c r="M154" s="109" t="e">
        <v>#N/A</v>
      </c>
      <c r="N154" s="109" t="e">
        <v>#N/A</v>
      </c>
      <c r="O154" s="109">
        <v>1.49</v>
      </c>
      <c r="P154" s="113">
        <v>0.0602</v>
      </c>
      <c r="Q154" s="109">
        <v>68.89</v>
      </c>
      <c r="R154" s="113">
        <v>0.3595</v>
      </c>
    </row>
    <row r="155" spans="1:18">
      <c r="A155" s="109">
        <v>208</v>
      </c>
      <c r="B155" s="109" t="s">
        <v>450</v>
      </c>
      <c r="F155" s="109" t="s">
        <v>177</v>
      </c>
      <c r="G155" s="109" t="s">
        <v>451</v>
      </c>
      <c r="H155" s="109" t="s">
        <v>170</v>
      </c>
      <c r="I155" s="109">
        <v>662877</v>
      </c>
      <c r="J155" s="109">
        <v>484</v>
      </c>
      <c r="K155" s="109" t="s">
        <v>164</v>
      </c>
      <c r="M155" s="109" t="e">
        <v>#N/A</v>
      </c>
      <c r="N155" s="109" t="e">
        <v>#N/A</v>
      </c>
      <c r="O155" s="109">
        <v>1.69</v>
      </c>
      <c r="P155" s="113">
        <v>0.0932</v>
      </c>
      <c r="Q155" s="109">
        <v>68.89</v>
      </c>
      <c r="R155" s="113">
        <v>0.2633</v>
      </c>
    </row>
    <row r="156" spans="1:18">
      <c r="A156" s="109">
        <v>253</v>
      </c>
      <c r="B156" s="109" t="s">
        <v>452</v>
      </c>
      <c r="F156" s="109" t="s">
        <v>177</v>
      </c>
      <c r="G156" s="109" t="s">
        <v>362</v>
      </c>
      <c r="H156" s="109" t="s">
        <v>170</v>
      </c>
      <c r="I156" s="109">
        <v>662877</v>
      </c>
      <c r="J156" s="109">
        <v>484</v>
      </c>
      <c r="K156" s="109" t="s">
        <v>164</v>
      </c>
      <c r="L156" s="109" t="s">
        <v>371</v>
      </c>
      <c r="M156" s="113">
        <v>0.3233</v>
      </c>
      <c r="N156" s="113">
        <v>0.1352</v>
      </c>
      <c r="O156" s="109">
        <v>2.2</v>
      </c>
      <c r="P156" s="113">
        <v>0.0415</v>
      </c>
      <c r="Q156" s="109">
        <v>68.89</v>
      </c>
      <c r="R156" s="113">
        <v>0.7692</v>
      </c>
    </row>
    <row r="157" spans="1:10">
      <c r="A157" s="109">
        <v>226</v>
      </c>
      <c r="B157" s="109" t="s">
        <v>453</v>
      </c>
      <c r="G157" s="109" t="s">
        <v>454</v>
      </c>
      <c r="H157" s="109" t="s">
        <v>182</v>
      </c>
      <c r="I157" s="109">
        <v>669818</v>
      </c>
      <c r="J157" s="109">
        <v>479</v>
      </c>
    </row>
    <row r="158" spans="1:10">
      <c r="A158" s="109">
        <v>212</v>
      </c>
      <c r="B158" s="109" t="s">
        <v>455</v>
      </c>
      <c r="G158" s="109" t="s">
        <v>456</v>
      </c>
      <c r="H158" s="109" t="s">
        <v>182</v>
      </c>
      <c r="I158" s="109">
        <v>676945</v>
      </c>
      <c r="J158" s="109">
        <v>474</v>
      </c>
    </row>
    <row r="159" spans="1:10">
      <c r="A159" s="109">
        <v>363</v>
      </c>
      <c r="B159" s="109" t="s">
        <v>457</v>
      </c>
      <c r="G159" s="109" t="s">
        <v>457</v>
      </c>
      <c r="H159" s="109" t="s">
        <v>182</v>
      </c>
      <c r="I159" s="109">
        <v>676945</v>
      </c>
      <c r="J159" s="109">
        <v>474</v>
      </c>
    </row>
    <row r="160" spans="1:18">
      <c r="A160" s="109">
        <v>4</v>
      </c>
      <c r="B160" s="109" t="s">
        <v>458</v>
      </c>
      <c r="F160" s="109" t="s">
        <v>177</v>
      </c>
      <c r="G160" s="109" t="s">
        <v>459</v>
      </c>
      <c r="H160" s="109" t="s">
        <v>170</v>
      </c>
      <c r="I160" s="109">
        <v>684294</v>
      </c>
      <c r="J160" s="109">
        <v>469</v>
      </c>
      <c r="K160" s="109" t="s">
        <v>164</v>
      </c>
      <c r="L160" s="109" t="s">
        <v>371</v>
      </c>
      <c r="M160" s="113">
        <v>0.4004</v>
      </c>
      <c r="N160" s="113">
        <v>0.25</v>
      </c>
      <c r="O160" s="109">
        <v>1.7</v>
      </c>
      <c r="P160" s="113">
        <v>0.0415</v>
      </c>
      <c r="Q160" s="109">
        <v>68.89</v>
      </c>
      <c r="R160" s="113">
        <v>0.5944</v>
      </c>
    </row>
    <row r="161" spans="1:10">
      <c r="A161" s="109">
        <v>30</v>
      </c>
      <c r="B161" s="109" t="s">
        <v>460</v>
      </c>
      <c r="G161" s="109" t="s">
        <v>461</v>
      </c>
      <c r="H161" s="109" t="s">
        <v>182</v>
      </c>
      <c r="I161" s="109">
        <v>684294</v>
      </c>
      <c r="J161" s="109">
        <v>469</v>
      </c>
    </row>
    <row r="162" spans="1:10">
      <c r="A162" s="109">
        <v>121</v>
      </c>
      <c r="B162" s="109" t="s">
        <v>462</v>
      </c>
      <c r="G162" s="109" t="s">
        <v>462</v>
      </c>
      <c r="H162" s="109" t="s">
        <v>182</v>
      </c>
      <c r="I162" s="109">
        <v>684294</v>
      </c>
      <c r="J162" s="109">
        <v>469</v>
      </c>
    </row>
    <row r="163" spans="1:18">
      <c r="A163" s="109">
        <v>451</v>
      </c>
      <c r="B163" s="109" t="s">
        <v>463</v>
      </c>
      <c r="D163" s="110" t="s">
        <v>327</v>
      </c>
      <c r="E163" s="109" t="s">
        <v>188</v>
      </c>
      <c r="F163" s="109" t="s">
        <v>168</v>
      </c>
      <c r="G163" s="109" t="s">
        <v>184</v>
      </c>
      <c r="H163" s="109" t="s">
        <v>170</v>
      </c>
      <c r="I163" s="109">
        <v>691488</v>
      </c>
      <c r="J163" s="109">
        <v>464</v>
      </c>
      <c r="L163" s="109" t="s">
        <v>371</v>
      </c>
      <c r="M163" s="109" t="e">
        <v>#N/A</v>
      </c>
      <c r="N163" s="109" t="e">
        <v>#N/A</v>
      </c>
      <c r="O163" s="109">
        <v>1.59</v>
      </c>
      <c r="P163" s="113">
        <v>0.0415</v>
      </c>
      <c r="Q163" s="109">
        <v>68.89</v>
      </c>
      <c r="R163" s="113">
        <v>0.556</v>
      </c>
    </row>
    <row r="164" spans="1:10">
      <c r="A164" s="109">
        <v>22</v>
      </c>
      <c r="B164" s="109" t="s">
        <v>464</v>
      </c>
      <c r="H164" s="109" t="s">
        <v>182</v>
      </c>
      <c r="I164" s="109">
        <v>699033</v>
      </c>
      <c r="J164" s="109">
        <v>459</v>
      </c>
    </row>
    <row r="165" spans="1:18">
      <c r="A165" s="109">
        <v>290</v>
      </c>
      <c r="B165" s="109" t="s">
        <v>465</v>
      </c>
      <c r="D165" s="110" t="s">
        <v>327</v>
      </c>
      <c r="E165" s="109" t="s">
        <v>241</v>
      </c>
      <c r="F165" s="109" t="s">
        <v>168</v>
      </c>
      <c r="G165" s="109" t="s">
        <v>466</v>
      </c>
      <c r="H165" s="109" t="s">
        <v>170</v>
      </c>
      <c r="I165" s="109">
        <v>699033</v>
      </c>
      <c r="J165" s="109">
        <v>459</v>
      </c>
      <c r="L165" s="109" t="s">
        <v>371</v>
      </c>
      <c r="M165" s="113">
        <v>0.3682</v>
      </c>
      <c r="N165" s="113">
        <v>0.2188</v>
      </c>
      <c r="O165" s="109">
        <v>1.52</v>
      </c>
      <c r="P165" s="113">
        <v>0.0415</v>
      </c>
      <c r="Q165" s="109">
        <v>68.89</v>
      </c>
      <c r="R165" s="113">
        <v>0.5315</v>
      </c>
    </row>
    <row r="166" spans="1:18">
      <c r="A166" s="109">
        <v>175</v>
      </c>
      <c r="B166" s="109" t="s">
        <v>467</v>
      </c>
      <c r="F166" s="109" t="s">
        <v>177</v>
      </c>
      <c r="G166" s="109" t="s">
        <v>468</v>
      </c>
      <c r="H166" s="109" t="s">
        <v>170</v>
      </c>
      <c r="I166" s="109">
        <v>706683</v>
      </c>
      <c r="J166" s="109">
        <v>454</v>
      </c>
      <c r="M166" s="109" t="e">
        <v>#N/A</v>
      </c>
      <c r="N166" s="109" t="e">
        <v>#N/A</v>
      </c>
      <c r="O166" s="109">
        <v>2.04</v>
      </c>
      <c r="P166" s="113">
        <v>0.0288</v>
      </c>
      <c r="Q166" s="109">
        <v>68.89</v>
      </c>
      <c r="R166" s="113">
        <v>1.0274</v>
      </c>
    </row>
    <row r="167" spans="1:18">
      <c r="A167" s="109">
        <v>376</v>
      </c>
      <c r="B167" s="109" t="s">
        <v>469</v>
      </c>
      <c r="F167" s="109" t="s">
        <v>177</v>
      </c>
      <c r="G167" s="109" t="s">
        <v>271</v>
      </c>
      <c r="H167" s="109" t="s">
        <v>170</v>
      </c>
      <c r="I167" s="109">
        <v>706683</v>
      </c>
      <c r="J167" s="109">
        <v>454</v>
      </c>
      <c r="K167" s="109" t="s">
        <v>164</v>
      </c>
      <c r="L167" s="109" t="s">
        <v>371</v>
      </c>
      <c r="M167" s="113">
        <v>0.3634</v>
      </c>
      <c r="N167" s="113">
        <v>0.1667</v>
      </c>
      <c r="O167" s="109">
        <v>1.58</v>
      </c>
      <c r="P167" s="113">
        <v>0.0415</v>
      </c>
      <c r="Q167" s="109">
        <v>68.89</v>
      </c>
      <c r="R167" s="113">
        <v>0.5525</v>
      </c>
    </row>
    <row r="168" spans="1:18">
      <c r="A168" s="109">
        <v>113</v>
      </c>
      <c r="B168" s="109" t="s">
        <v>470</v>
      </c>
      <c r="D168" s="110" t="s">
        <v>327</v>
      </c>
      <c r="E168" s="109" t="s">
        <v>241</v>
      </c>
      <c r="F168" s="109" t="s">
        <v>168</v>
      </c>
      <c r="G168" s="109" t="s">
        <v>471</v>
      </c>
      <c r="H168" s="109" t="s">
        <v>170</v>
      </c>
      <c r="I168" s="109">
        <v>722659</v>
      </c>
      <c r="J168" s="109">
        <v>444</v>
      </c>
      <c r="L168" s="109" t="s">
        <v>371</v>
      </c>
      <c r="M168" s="109" t="e">
        <v>#N/A</v>
      </c>
      <c r="N168" s="109" t="e">
        <v>#N/A</v>
      </c>
      <c r="O168" s="109">
        <v>1.88</v>
      </c>
      <c r="P168" s="113">
        <v>0.0415</v>
      </c>
      <c r="Q168" s="109">
        <v>68.89</v>
      </c>
      <c r="R168" s="113">
        <v>0.6573</v>
      </c>
    </row>
    <row r="169" spans="1:10">
      <c r="A169" s="109">
        <v>126</v>
      </c>
      <c r="B169" s="109" t="s">
        <v>472</v>
      </c>
      <c r="G169" s="109" t="s">
        <v>473</v>
      </c>
      <c r="H169" s="109" t="s">
        <v>182</v>
      </c>
      <c r="I169" s="109">
        <v>722659</v>
      </c>
      <c r="J169" s="109">
        <v>444</v>
      </c>
    </row>
    <row r="170" spans="1:18">
      <c r="A170" s="109">
        <v>18</v>
      </c>
      <c r="B170" s="109" t="s">
        <v>474</v>
      </c>
      <c r="D170" s="110" t="s">
        <v>327</v>
      </c>
      <c r="E170" s="109" t="s">
        <v>188</v>
      </c>
      <c r="F170" s="109" t="s">
        <v>168</v>
      </c>
      <c r="G170" s="109" t="s">
        <v>184</v>
      </c>
      <c r="H170" s="109" t="s">
        <v>170</v>
      </c>
      <c r="I170" s="109">
        <v>730750</v>
      </c>
      <c r="J170" s="109">
        <v>439</v>
      </c>
      <c r="L170" s="109" t="s">
        <v>371</v>
      </c>
      <c r="M170" s="109" t="e">
        <v>#N/A</v>
      </c>
      <c r="N170" s="109" t="e">
        <v>#N/A</v>
      </c>
      <c r="O170" s="109">
        <v>2.17</v>
      </c>
      <c r="P170" s="113">
        <v>0.0415</v>
      </c>
      <c r="Q170" s="109">
        <v>68.89</v>
      </c>
      <c r="R170" s="113">
        <v>0.7587</v>
      </c>
    </row>
    <row r="171" spans="1:18">
      <c r="A171" s="109">
        <v>169</v>
      </c>
      <c r="B171" s="109" t="s">
        <v>475</v>
      </c>
      <c r="F171" s="109" t="s">
        <v>177</v>
      </c>
      <c r="G171" s="109" t="s">
        <v>193</v>
      </c>
      <c r="H171" s="109" t="s">
        <v>170</v>
      </c>
      <c r="I171" s="109">
        <v>730750</v>
      </c>
      <c r="J171" s="109">
        <v>439</v>
      </c>
      <c r="K171" s="109" t="s">
        <v>164</v>
      </c>
      <c r="L171" s="109" t="s">
        <v>371</v>
      </c>
      <c r="M171" s="113">
        <v>0.3262</v>
      </c>
      <c r="N171" s="113">
        <v>0.3333</v>
      </c>
      <c r="O171" s="109">
        <v>1.78</v>
      </c>
      <c r="P171" s="113">
        <v>0.0415</v>
      </c>
      <c r="Q171" s="109">
        <v>68.89</v>
      </c>
      <c r="R171" s="113">
        <v>0.6224</v>
      </c>
    </row>
    <row r="172" spans="1:10">
      <c r="A172" s="109">
        <v>240</v>
      </c>
      <c r="B172" s="109" t="s">
        <v>476</v>
      </c>
      <c r="G172" s="109" t="s">
        <v>477</v>
      </c>
      <c r="H172" s="109" t="s">
        <v>182</v>
      </c>
      <c r="I172" s="109">
        <v>730750</v>
      </c>
      <c r="J172" s="109">
        <v>439</v>
      </c>
    </row>
    <row r="173" spans="1:10">
      <c r="A173" s="109">
        <v>327</v>
      </c>
      <c r="B173" s="109" t="s">
        <v>478</v>
      </c>
      <c r="G173" s="109" t="s">
        <v>479</v>
      </c>
      <c r="H173" s="109" t="s">
        <v>182</v>
      </c>
      <c r="I173" s="109">
        <v>730750</v>
      </c>
      <c r="J173" s="109">
        <v>439</v>
      </c>
    </row>
    <row r="174" spans="1:10">
      <c r="A174" s="109">
        <v>116</v>
      </c>
      <c r="B174" s="109" t="s">
        <v>480</v>
      </c>
      <c r="G174" s="109" t="s">
        <v>481</v>
      </c>
      <c r="H174" s="109" t="s">
        <v>182</v>
      </c>
      <c r="I174" s="109">
        <v>739044</v>
      </c>
      <c r="J174" s="109">
        <v>434</v>
      </c>
    </row>
    <row r="175" spans="1:10">
      <c r="A175" s="109">
        <v>118</v>
      </c>
      <c r="B175" s="109" t="s">
        <v>482</v>
      </c>
      <c r="G175" s="109" t="s">
        <v>483</v>
      </c>
      <c r="H175" s="109" t="s">
        <v>182</v>
      </c>
      <c r="I175" s="109">
        <v>739044</v>
      </c>
      <c r="J175" s="109">
        <v>434</v>
      </c>
    </row>
    <row r="176" spans="1:18">
      <c r="A176" s="109">
        <v>154</v>
      </c>
      <c r="B176" s="109" t="s">
        <v>484</v>
      </c>
      <c r="F176" s="109" t="s">
        <v>177</v>
      </c>
      <c r="G176" s="109" t="s">
        <v>485</v>
      </c>
      <c r="H176" s="109" t="s">
        <v>179</v>
      </c>
      <c r="I176" s="109">
        <v>739044</v>
      </c>
      <c r="J176" s="109">
        <v>434</v>
      </c>
      <c r="K176" s="109" t="s">
        <v>164</v>
      </c>
      <c r="L176" s="109" t="s">
        <v>371</v>
      </c>
      <c r="M176" s="113">
        <v>0.3039</v>
      </c>
      <c r="N176" s="113">
        <v>0.1667</v>
      </c>
      <c r="O176" s="109">
        <v>2.03</v>
      </c>
      <c r="P176" s="113">
        <v>0.0415</v>
      </c>
      <c r="Q176" s="109">
        <v>68.89</v>
      </c>
      <c r="R176" s="113">
        <v>0.7098</v>
      </c>
    </row>
    <row r="177" spans="1:10">
      <c r="A177" s="109">
        <v>223</v>
      </c>
      <c r="B177" s="109" t="s">
        <v>486</v>
      </c>
      <c r="G177" s="109" t="s">
        <v>487</v>
      </c>
      <c r="H177" s="109" t="s">
        <v>182</v>
      </c>
      <c r="I177" s="109">
        <v>739044</v>
      </c>
      <c r="J177" s="109">
        <v>434</v>
      </c>
    </row>
    <row r="178" spans="1:18">
      <c r="A178" s="109">
        <v>232</v>
      </c>
      <c r="B178" s="109" t="s">
        <v>488</v>
      </c>
      <c r="F178" s="109" t="s">
        <v>177</v>
      </c>
      <c r="G178" s="109" t="s">
        <v>489</v>
      </c>
      <c r="H178" s="109" t="s">
        <v>179</v>
      </c>
      <c r="I178" s="109">
        <v>756552</v>
      </c>
      <c r="J178" s="109">
        <v>424</v>
      </c>
      <c r="L178" s="109" t="s">
        <v>371</v>
      </c>
      <c r="M178" s="109" t="e">
        <v>#N/A</v>
      </c>
      <c r="N178" s="109" t="e">
        <v>#N/A</v>
      </c>
      <c r="O178" s="109">
        <v>0.35</v>
      </c>
      <c r="P178" s="113">
        <v>0.0424</v>
      </c>
      <c r="Q178" s="109">
        <v>68.89</v>
      </c>
      <c r="R178" s="113">
        <v>0.1198</v>
      </c>
    </row>
    <row r="179" spans="1:18">
      <c r="A179" s="109">
        <v>284</v>
      </c>
      <c r="B179" s="109" t="s">
        <v>490</v>
      </c>
      <c r="F179" s="109" t="s">
        <v>177</v>
      </c>
      <c r="G179" s="109" t="s">
        <v>491</v>
      </c>
      <c r="H179" s="109" t="s">
        <v>170</v>
      </c>
      <c r="I179" s="109">
        <v>765633</v>
      </c>
      <c r="J179" s="109">
        <v>419</v>
      </c>
      <c r="L179" s="109" t="s">
        <v>371</v>
      </c>
      <c r="M179" s="109" t="e">
        <v>#N/A</v>
      </c>
      <c r="N179" s="109" t="e">
        <v>#N/A</v>
      </c>
      <c r="O179" s="109">
        <v>1.84</v>
      </c>
      <c r="P179" s="113">
        <v>0.0402</v>
      </c>
      <c r="Q179" s="109">
        <v>68.89</v>
      </c>
      <c r="R179" s="113">
        <v>0.6648</v>
      </c>
    </row>
    <row r="180" spans="1:18">
      <c r="A180" s="109">
        <v>184</v>
      </c>
      <c r="B180" s="109" t="s">
        <v>492</v>
      </c>
      <c r="F180" s="109" t="s">
        <v>177</v>
      </c>
      <c r="G180" s="109" t="s">
        <v>493</v>
      </c>
      <c r="H180" s="109" t="s">
        <v>170</v>
      </c>
      <c r="I180" s="109">
        <v>774783</v>
      </c>
      <c r="J180" s="109">
        <v>414</v>
      </c>
      <c r="K180" s="109" t="s">
        <v>164</v>
      </c>
      <c r="M180" s="109" t="e">
        <v>#N/A</v>
      </c>
      <c r="N180" s="109" t="e">
        <v>#N/A</v>
      </c>
      <c r="O180" s="109">
        <v>2.04</v>
      </c>
      <c r="P180" s="113">
        <v>0.0415</v>
      </c>
      <c r="Q180" s="109">
        <v>68.89</v>
      </c>
      <c r="R180" s="113">
        <v>0.7133</v>
      </c>
    </row>
    <row r="181" spans="1:18">
      <c r="A181" s="109">
        <v>188</v>
      </c>
      <c r="B181" s="109" t="s">
        <v>494</v>
      </c>
      <c r="F181" s="109" t="s">
        <v>177</v>
      </c>
      <c r="G181" s="109" t="s">
        <v>495</v>
      </c>
      <c r="H181" s="109" t="s">
        <v>170</v>
      </c>
      <c r="I181" s="109">
        <v>774783</v>
      </c>
      <c r="J181" s="109">
        <v>414</v>
      </c>
      <c r="K181" s="109" t="s">
        <v>164</v>
      </c>
      <c r="M181" s="109" t="e">
        <v>#N/A</v>
      </c>
      <c r="N181" s="109" t="e">
        <v>#N/A</v>
      </c>
      <c r="O181" s="109">
        <v>3.19</v>
      </c>
      <c r="P181" s="113">
        <v>0.0292</v>
      </c>
      <c r="Q181" s="109">
        <v>68.89</v>
      </c>
      <c r="R181" s="113">
        <v>1.588</v>
      </c>
    </row>
    <row r="182" spans="1:10">
      <c r="A182" s="109">
        <v>395</v>
      </c>
      <c r="B182" s="109" t="s">
        <v>496</v>
      </c>
      <c r="G182" s="109" t="s">
        <v>497</v>
      </c>
      <c r="H182" s="109" t="s">
        <v>182</v>
      </c>
      <c r="I182" s="109">
        <v>774783</v>
      </c>
      <c r="J182" s="109">
        <v>414</v>
      </c>
    </row>
    <row r="183" spans="1:10">
      <c r="A183" s="109">
        <v>81</v>
      </c>
      <c r="B183" s="109" t="s">
        <v>498</v>
      </c>
      <c r="G183" s="109" t="s">
        <v>499</v>
      </c>
      <c r="H183" s="109" t="s">
        <v>182</v>
      </c>
      <c r="I183" s="109">
        <v>784058</v>
      </c>
      <c r="J183" s="109">
        <v>409</v>
      </c>
    </row>
    <row r="184" spans="1:18">
      <c r="A184" s="109">
        <v>353</v>
      </c>
      <c r="B184" s="109" t="s">
        <v>500</v>
      </c>
      <c r="F184" s="109" t="s">
        <v>177</v>
      </c>
      <c r="G184" s="109" t="s">
        <v>501</v>
      </c>
      <c r="H184" s="109" t="s">
        <v>170</v>
      </c>
      <c r="I184" s="109">
        <v>813622</v>
      </c>
      <c r="J184" s="109">
        <v>393</v>
      </c>
      <c r="M184" s="109" t="e">
        <v>#N/A</v>
      </c>
      <c r="N184" s="109" t="e">
        <v>#N/A</v>
      </c>
      <c r="O184" s="109">
        <v>0.35</v>
      </c>
      <c r="P184" s="113">
        <v>0.0406</v>
      </c>
      <c r="Q184" s="109">
        <v>68.89</v>
      </c>
      <c r="R184" s="113">
        <v>0.1251</v>
      </c>
    </row>
    <row r="185" spans="1:18">
      <c r="A185" s="109">
        <v>286</v>
      </c>
      <c r="B185" s="109" t="s">
        <v>502</v>
      </c>
      <c r="F185" s="109" t="s">
        <v>177</v>
      </c>
      <c r="G185" s="109" t="s">
        <v>503</v>
      </c>
      <c r="H185" s="109" t="s">
        <v>170</v>
      </c>
      <c r="I185" s="109">
        <v>824104</v>
      </c>
      <c r="J185" s="109">
        <v>388</v>
      </c>
      <c r="K185" s="109" t="s">
        <v>164</v>
      </c>
      <c r="M185" s="109" t="e">
        <v>#N/A</v>
      </c>
      <c r="N185" s="109" t="e">
        <v>#N/A</v>
      </c>
      <c r="O185" s="109">
        <v>0.94</v>
      </c>
      <c r="P185" s="113">
        <v>0.0348</v>
      </c>
      <c r="Q185" s="109">
        <v>68.89</v>
      </c>
      <c r="R185" s="113">
        <v>0.3926</v>
      </c>
    </row>
    <row r="186" spans="1:18">
      <c r="A186" s="109">
        <v>454</v>
      </c>
      <c r="B186" s="109" t="s">
        <v>504</v>
      </c>
      <c r="F186" s="109" t="s">
        <v>177</v>
      </c>
      <c r="G186" s="109" t="s">
        <v>278</v>
      </c>
      <c r="H186" s="109" t="s">
        <v>170</v>
      </c>
      <c r="I186" s="109">
        <v>824104</v>
      </c>
      <c r="J186" s="109">
        <v>388</v>
      </c>
      <c r="L186" s="109" t="s">
        <v>371</v>
      </c>
      <c r="M186" s="109" t="e">
        <v>#N/A</v>
      </c>
      <c r="N186" s="109" t="e">
        <v>#N/A</v>
      </c>
      <c r="O186" s="109">
        <v>1.01</v>
      </c>
      <c r="P186" s="113">
        <v>0.0435</v>
      </c>
      <c r="Q186" s="109">
        <v>68.89</v>
      </c>
      <c r="R186" s="113">
        <v>0.3372</v>
      </c>
    </row>
    <row r="187" spans="1:10">
      <c r="A187" s="109">
        <v>77</v>
      </c>
      <c r="B187" s="109" t="s">
        <v>505</v>
      </c>
      <c r="G187" s="109" t="s">
        <v>506</v>
      </c>
      <c r="H187" s="109" t="s">
        <v>182</v>
      </c>
      <c r="I187" s="109">
        <v>834926</v>
      </c>
      <c r="J187" s="109">
        <v>383</v>
      </c>
    </row>
    <row r="188" spans="1:10">
      <c r="A188" s="109">
        <v>168</v>
      </c>
      <c r="B188" s="109" t="s">
        <v>507</v>
      </c>
      <c r="G188" s="109" t="s">
        <v>508</v>
      </c>
      <c r="H188" s="109" t="s">
        <v>182</v>
      </c>
      <c r="I188" s="109">
        <v>834926</v>
      </c>
      <c r="J188" s="109">
        <v>383</v>
      </c>
    </row>
    <row r="189" spans="1:18">
      <c r="A189" s="109">
        <v>287</v>
      </c>
      <c r="B189" s="109" t="s">
        <v>509</v>
      </c>
      <c r="F189" s="109" t="s">
        <v>177</v>
      </c>
      <c r="G189" s="109" t="s">
        <v>510</v>
      </c>
      <c r="H189" s="109" t="s">
        <v>170</v>
      </c>
      <c r="I189" s="109">
        <v>834926</v>
      </c>
      <c r="J189" s="109">
        <v>383</v>
      </c>
      <c r="K189" s="109" t="s">
        <v>164</v>
      </c>
      <c r="M189" s="109" t="e">
        <v>#N/A</v>
      </c>
      <c r="N189" s="109" t="e">
        <v>#N/A</v>
      </c>
      <c r="O189" s="109">
        <v>1.41</v>
      </c>
      <c r="P189" s="113">
        <v>0.0417</v>
      </c>
      <c r="Q189" s="109">
        <v>68.89</v>
      </c>
      <c r="R189" s="113">
        <v>0.4912</v>
      </c>
    </row>
    <row r="190" spans="1:18">
      <c r="A190" s="109">
        <v>7</v>
      </c>
      <c r="B190" s="109" t="s">
        <v>511</v>
      </c>
      <c r="F190" s="109" t="s">
        <v>177</v>
      </c>
      <c r="G190" s="109" t="s">
        <v>512</v>
      </c>
      <c r="H190" s="109" t="s">
        <v>179</v>
      </c>
      <c r="I190" s="109">
        <v>845905</v>
      </c>
      <c r="J190" s="109">
        <v>378</v>
      </c>
      <c r="K190" s="109" t="s">
        <v>164</v>
      </c>
      <c r="L190" s="109" t="s">
        <v>371</v>
      </c>
      <c r="M190" s="113">
        <v>0.3955</v>
      </c>
      <c r="N190" s="113">
        <v>0</v>
      </c>
      <c r="O190" s="109">
        <v>1.73</v>
      </c>
      <c r="P190" s="113">
        <v>0.0415</v>
      </c>
      <c r="Q190" s="109">
        <v>68.89</v>
      </c>
      <c r="R190" s="113">
        <v>0.6049</v>
      </c>
    </row>
    <row r="191" spans="1:10">
      <c r="A191" s="109">
        <v>255</v>
      </c>
      <c r="B191" s="109" t="s">
        <v>513</v>
      </c>
      <c r="G191" s="109" t="s">
        <v>514</v>
      </c>
      <c r="H191" s="109" t="s">
        <v>182</v>
      </c>
      <c r="I191" s="109">
        <v>845905</v>
      </c>
      <c r="J191" s="109">
        <v>378</v>
      </c>
    </row>
    <row r="192" spans="1:18">
      <c r="A192" s="109">
        <v>171</v>
      </c>
      <c r="B192" s="109" t="s">
        <v>515</v>
      </c>
      <c r="F192" s="109" t="s">
        <v>177</v>
      </c>
      <c r="G192" s="109" t="s">
        <v>516</v>
      </c>
      <c r="H192" s="109" t="s">
        <v>179</v>
      </c>
      <c r="I192" s="109">
        <v>857010</v>
      </c>
      <c r="J192" s="109">
        <v>373</v>
      </c>
      <c r="K192" s="109" t="s">
        <v>164</v>
      </c>
      <c r="L192" s="109" t="s">
        <v>371</v>
      </c>
      <c r="M192" s="113">
        <v>0.4614</v>
      </c>
      <c r="N192" s="113">
        <v>0</v>
      </c>
      <c r="O192" s="109">
        <v>2.19</v>
      </c>
      <c r="P192" s="113">
        <v>0.0415</v>
      </c>
      <c r="Q192" s="109">
        <v>68.89</v>
      </c>
      <c r="R192" s="113">
        <v>0.7657</v>
      </c>
    </row>
    <row r="193" spans="1:10">
      <c r="A193" s="109">
        <v>227</v>
      </c>
      <c r="B193" s="109" t="s">
        <v>517</v>
      </c>
      <c r="G193" s="109" t="s">
        <v>518</v>
      </c>
      <c r="H193" s="109" t="s">
        <v>182</v>
      </c>
      <c r="I193" s="109">
        <v>857010</v>
      </c>
      <c r="J193" s="109">
        <v>373</v>
      </c>
    </row>
    <row r="194" spans="1:10">
      <c r="A194" s="109">
        <v>283</v>
      </c>
      <c r="B194" s="109" t="s">
        <v>519</v>
      </c>
      <c r="G194" s="109" t="s">
        <v>520</v>
      </c>
      <c r="H194" s="109" t="s">
        <v>182</v>
      </c>
      <c r="I194" s="109">
        <v>857010</v>
      </c>
      <c r="J194" s="109">
        <v>373</v>
      </c>
    </row>
    <row r="195" spans="1:10">
      <c r="A195" s="109">
        <v>336</v>
      </c>
      <c r="B195" s="109" t="s">
        <v>521</v>
      </c>
      <c r="G195" s="109" t="s">
        <v>522</v>
      </c>
      <c r="H195" s="109" t="s">
        <v>182</v>
      </c>
      <c r="I195" s="109">
        <v>857010</v>
      </c>
      <c r="J195" s="109">
        <v>373</v>
      </c>
    </row>
    <row r="196" spans="1:10">
      <c r="A196" s="109">
        <v>440</v>
      </c>
      <c r="B196" s="109" t="s">
        <v>523</v>
      </c>
      <c r="G196" s="109" t="s">
        <v>524</v>
      </c>
      <c r="H196" s="109" t="s">
        <v>182</v>
      </c>
      <c r="I196" s="109">
        <v>857010</v>
      </c>
      <c r="J196" s="109">
        <v>373</v>
      </c>
    </row>
    <row r="197" spans="1:18">
      <c r="A197" s="109">
        <v>69</v>
      </c>
      <c r="B197" s="109" t="s">
        <v>525</v>
      </c>
      <c r="F197" s="109" t="s">
        <v>177</v>
      </c>
      <c r="G197" s="109" t="s">
        <v>224</v>
      </c>
      <c r="H197" s="109" t="s">
        <v>170</v>
      </c>
      <c r="I197" s="109">
        <v>868382</v>
      </c>
      <c r="J197" s="109">
        <v>368</v>
      </c>
      <c r="L197" s="109" t="s">
        <v>371</v>
      </c>
      <c r="M197" s="113">
        <v>0.3264</v>
      </c>
      <c r="N197" s="113">
        <v>0.2424</v>
      </c>
      <c r="O197" s="109">
        <v>2.82</v>
      </c>
      <c r="P197" s="113">
        <v>0.0415</v>
      </c>
      <c r="Q197" s="109">
        <v>68.89</v>
      </c>
      <c r="R197" s="113">
        <v>0.986</v>
      </c>
    </row>
    <row r="198" spans="1:18">
      <c r="A198" s="109">
        <v>201</v>
      </c>
      <c r="B198" s="109" t="s">
        <v>526</v>
      </c>
      <c r="F198" s="109" t="s">
        <v>177</v>
      </c>
      <c r="G198" s="109" t="s">
        <v>527</v>
      </c>
      <c r="H198" s="109" t="s">
        <v>170</v>
      </c>
      <c r="I198" s="109">
        <v>868382</v>
      </c>
      <c r="J198" s="109">
        <v>368</v>
      </c>
      <c r="K198" s="109" t="s">
        <v>164</v>
      </c>
      <c r="L198" s="109" t="s">
        <v>371</v>
      </c>
      <c r="M198" s="113">
        <v>0.4246</v>
      </c>
      <c r="N198" s="113">
        <v>0.1666</v>
      </c>
      <c r="O198" s="109">
        <v>1.51</v>
      </c>
      <c r="P198" s="113">
        <v>0.0415</v>
      </c>
      <c r="Q198" s="109">
        <v>68.89</v>
      </c>
      <c r="R198" s="113">
        <v>0.528</v>
      </c>
    </row>
    <row r="199" spans="1:18">
      <c r="A199" s="109">
        <v>389</v>
      </c>
      <c r="B199" s="109" t="s">
        <v>528</v>
      </c>
      <c r="D199" s="110" t="s">
        <v>327</v>
      </c>
      <c r="E199" s="109" t="s">
        <v>241</v>
      </c>
      <c r="F199" s="109" t="s">
        <v>168</v>
      </c>
      <c r="G199" s="109" t="s">
        <v>529</v>
      </c>
      <c r="H199" s="109" t="s">
        <v>170</v>
      </c>
      <c r="I199" s="109">
        <v>868382</v>
      </c>
      <c r="J199" s="109">
        <v>368</v>
      </c>
      <c r="L199" s="109" t="s">
        <v>371</v>
      </c>
      <c r="M199" s="109" t="e">
        <v>#N/A</v>
      </c>
      <c r="N199" s="109" t="e">
        <v>#N/A</v>
      </c>
      <c r="O199" s="109">
        <v>0.53</v>
      </c>
      <c r="P199" s="113">
        <v>0.0396</v>
      </c>
      <c r="Q199" s="109">
        <v>68.89</v>
      </c>
      <c r="R199" s="113">
        <v>0.1941</v>
      </c>
    </row>
    <row r="200" spans="1:18">
      <c r="A200" s="109">
        <v>412</v>
      </c>
      <c r="B200" s="109" t="s">
        <v>530</v>
      </c>
      <c r="F200" s="109" t="s">
        <v>177</v>
      </c>
      <c r="G200" s="109" t="s">
        <v>531</v>
      </c>
      <c r="H200" s="109" t="s">
        <v>170</v>
      </c>
      <c r="I200" s="109">
        <v>880142</v>
      </c>
      <c r="J200" s="109">
        <v>363</v>
      </c>
      <c r="M200" s="109" t="e">
        <v>#N/A</v>
      </c>
      <c r="N200" s="109" t="e">
        <v>#N/A</v>
      </c>
      <c r="O200" s="109">
        <v>2.93</v>
      </c>
      <c r="P200" s="113">
        <v>0.0566</v>
      </c>
      <c r="Q200" s="109">
        <v>68.89</v>
      </c>
      <c r="R200" s="113">
        <v>0.751</v>
      </c>
    </row>
    <row r="201" spans="1:10">
      <c r="A201" s="109">
        <v>71</v>
      </c>
      <c r="B201" s="109" t="s">
        <v>532</v>
      </c>
      <c r="G201" s="109" t="s">
        <v>533</v>
      </c>
      <c r="H201" s="109" t="s">
        <v>182</v>
      </c>
      <c r="I201" s="109">
        <v>892107</v>
      </c>
      <c r="J201" s="109">
        <v>358</v>
      </c>
    </row>
    <row r="202" spans="1:10">
      <c r="A202" s="109">
        <v>179</v>
      </c>
      <c r="B202" s="109" t="s">
        <v>534</v>
      </c>
      <c r="G202" s="109" t="s">
        <v>535</v>
      </c>
      <c r="H202" s="109" t="s">
        <v>182</v>
      </c>
      <c r="I202" s="109">
        <v>904409</v>
      </c>
      <c r="J202" s="109">
        <v>353</v>
      </c>
    </row>
    <row r="203" spans="1:10">
      <c r="A203" s="109">
        <v>441</v>
      </c>
      <c r="B203" s="109" t="s">
        <v>536</v>
      </c>
      <c r="G203" s="109" t="s">
        <v>537</v>
      </c>
      <c r="H203" s="109" t="s">
        <v>182</v>
      </c>
      <c r="I203" s="109">
        <v>904409</v>
      </c>
      <c r="J203" s="109">
        <v>353</v>
      </c>
    </row>
    <row r="204" spans="1:18">
      <c r="A204" s="109">
        <v>217</v>
      </c>
      <c r="B204" s="109" t="s">
        <v>538</v>
      </c>
      <c r="F204" s="109" t="s">
        <v>177</v>
      </c>
      <c r="G204" s="109" t="s">
        <v>539</v>
      </c>
      <c r="H204" s="109" t="s">
        <v>170</v>
      </c>
      <c r="I204" s="109">
        <v>917326</v>
      </c>
      <c r="J204" s="109">
        <v>348</v>
      </c>
      <c r="K204" s="109" t="s">
        <v>164</v>
      </c>
      <c r="L204" s="109" t="s">
        <v>371</v>
      </c>
      <c r="M204" s="113">
        <v>0.4205</v>
      </c>
      <c r="N204" s="113">
        <v>0</v>
      </c>
      <c r="O204" s="109">
        <v>1.11</v>
      </c>
      <c r="P204" s="113">
        <v>0.0376</v>
      </c>
      <c r="Q204" s="109">
        <v>68.89</v>
      </c>
      <c r="R204" s="113">
        <v>0.4282</v>
      </c>
    </row>
    <row r="205" spans="1:10">
      <c r="A205" s="109">
        <v>246</v>
      </c>
      <c r="B205" s="109" t="s">
        <v>540</v>
      </c>
      <c r="G205" s="109" t="s">
        <v>541</v>
      </c>
      <c r="H205" s="109" t="s">
        <v>182</v>
      </c>
      <c r="I205" s="109">
        <v>917326</v>
      </c>
      <c r="J205" s="109">
        <v>348</v>
      </c>
    </row>
    <row r="206" spans="1:10">
      <c r="A206" s="109">
        <v>442</v>
      </c>
      <c r="B206" s="109" t="s">
        <v>542</v>
      </c>
      <c r="G206" s="109" t="s">
        <v>542</v>
      </c>
      <c r="H206" s="109" t="s">
        <v>182</v>
      </c>
      <c r="I206" s="109">
        <v>917326</v>
      </c>
      <c r="J206" s="109">
        <v>348</v>
      </c>
    </row>
    <row r="207" spans="1:10">
      <c r="A207" s="109">
        <v>60</v>
      </c>
      <c r="B207" s="109" t="s">
        <v>543</v>
      </c>
      <c r="G207" s="109" t="s">
        <v>215</v>
      </c>
      <c r="H207" s="109" t="s">
        <v>182</v>
      </c>
      <c r="I207" s="109">
        <v>930516</v>
      </c>
      <c r="J207" s="109">
        <v>343</v>
      </c>
    </row>
    <row r="208" spans="1:10">
      <c r="A208" s="109">
        <v>145</v>
      </c>
      <c r="B208" s="109" t="s">
        <v>544</v>
      </c>
      <c r="G208" s="109" t="s">
        <v>545</v>
      </c>
      <c r="H208" s="109" t="s">
        <v>182</v>
      </c>
      <c r="I208" s="109">
        <v>930516</v>
      </c>
      <c r="J208" s="109">
        <v>343</v>
      </c>
    </row>
    <row r="209" spans="1:10">
      <c r="A209" s="109">
        <v>148</v>
      </c>
      <c r="B209" s="109" t="s">
        <v>546</v>
      </c>
      <c r="G209" s="109" t="s">
        <v>547</v>
      </c>
      <c r="H209" s="109" t="s">
        <v>182</v>
      </c>
      <c r="I209" s="109">
        <v>930516</v>
      </c>
      <c r="J209" s="109">
        <v>343</v>
      </c>
    </row>
    <row r="210" spans="1:18">
      <c r="A210" s="109">
        <v>285</v>
      </c>
      <c r="B210" s="109" t="s">
        <v>548</v>
      </c>
      <c r="F210" s="109" t="s">
        <v>177</v>
      </c>
      <c r="G210" s="109" t="s">
        <v>549</v>
      </c>
      <c r="H210" s="109" t="s">
        <v>170</v>
      </c>
      <c r="I210" s="109">
        <v>930516</v>
      </c>
      <c r="J210" s="109">
        <v>343</v>
      </c>
      <c r="L210" s="109" t="s">
        <v>371</v>
      </c>
      <c r="M210" s="109" t="e">
        <v>#N/A</v>
      </c>
      <c r="N210" s="109" t="e">
        <v>#N/A</v>
      </c>
      <c r="O210" s="109">
        <v>1.76</v>
      </c>
      <c r="P210" s="113">
        <v>0.0433</v>
      </c>
      <c r="Q210" s="109">
        <v>68.89</v>
      </c>
      <c r="R210" s="113">
        <v>0.5903</v>
      </c>
    </row>
    <row r="211" spans="1:18">
      <c r="A211" s="109">
        <v>394</v>
      </c>
      <c r="B211" s="109" t="s">
        <v>550</v>
      </c>
      <c r="F211" s="109" t="s">
        <v>177</v>
      </c>
      <c r="G211" s="109" t="s">
        <v>551</v>
      </c>
      <c r="H211" s="109" t="s">
        <v>170</v>
      </c>
      <c r="I211" s="109">
        <v>930516</v>
      </c>
      <c r="J211" s="109">
        <v>343</v>
      </c>
      <c r="K211" s="109" t="s">
        <v>164</v>
      </c>
      <c r="L211" s="109" t="s">
        <v>371</v>
      </c>
      <c r="M211" s="113">
        <v>0.3587</v>
      </c>
      <c r="N211" s="113">
        <v>0.3</v>
      </c>
      <c r="O211" s="109">
        <v>3.52</v>
      </c>
      <c r="P211" s="113">
        <v>0.0415</v>
      </c>
      <c r="Q211" s="109">
        <v>68.89</v>
      </c>
      <c r="R211" s="113">
        <v>1.2308</v>
      </c>
    </row>
    <row r="212" spans="1:18">
      <c r="A212" s="109">
        <v>396</v>
      </c>
      <c r="B212" s="109" t="s">
        <v>552</v>
      </c>
      <c r="F212" s="109" t="s">
        <v>177</v>
      </c>
      <c r="G212" s="109" t="s">
        <v>553</v>
      </c>
      <c r="H212" s="109" t="s">
        <v>170</v>
      </c>
      <c r="I212" s="109">
        <v>930516</v>
      </c>
      <c r="J212" s="109">
        <v>343</v>
      </c>
      <c r="K212" s="109" t="s">
        <v>164</v>
      </c>
      <c r="L212" s="109" t="s">
        <v>371</v>
      </c>
      <c r="M212" s="113">
        <v>0.3736</v>
      </c>
      <c r="N212" s="113">
        <v>0.1875</v>
      </c>
      <c r="O212" s="109">
        <v>1.34</v>
      </c>
      <c r="P212" s="113">
        <v>0.0415</v>
      </c>
      <c r="Q212" s="109">
        <v>68.89</v>
      </c>
      <c r="R212" s="113">
        <v>0.4685</v>
      </c>
    </row>
    <row r="213" spans="1:10">
      <c r="A213" s="109">
        <v>432</v>
      </c>
      <c r="B213" s="109" t="s">
        <v>554</v>
      </c>
      <c r="G213" s="109" t="s">
        <v>555</v>
      </c>
      <c r="H213" s="109" t="s">
        <v>182</v>
      </c>
      <c r="I213" s="109">
        <v>930516</v>
      </c>
      <c r="J213" s="109">
        <v>343</v>
      </c>
    </row>
    <row r="214" spans="1:10">
      <c r="A214" s="109">
        <v>57</v>
      </c>
      <c r="B214" s="109" t="s">
        <v>556</v>
      </c>
      <c r="G214" s="109" t="s">
        <v>557</v>
      </c>
      <c r="H214" s="109" t="s">
        <v>182</v>
      </c>
      <c r="I214" s="109">
        <v>943965</v>
      </c>
      <c r="J214" s="109">
        <v>338</v>
      </c>
    </row>
    <row r="215" spans="1:10">
      <c r="A215" s="109">
        <v>78</v>
      </c>
      <c r="B215" s="109" t="s">
        <v>558</v>
      </c>
      <c r="H215" s="109" t="s">
        <v>182</v>
      </c>
      <c r="I215" s="109">
        <v>943965</v>
      </c>
      <c r="J215" s="109">
        <v>338</v>
      </c>
    </row>
    <row r="216" spans="1:10">
      <c r="A216" s="109">
        <v>31</v>
      </c>
      <c r="B216" s="109" t="s">
        <v>559</v>
      </c>
      <c r="G216" s="109" t="s">
        <v>560</v>
      </c>
      <c r="H216" s="109" t="s">
        <v>182</v>
      </c>
      <c r="I216" s="109">
        <v>957787</v>
      </c>
      <c r="J216" s="109">
        <v>333</v>
      </c>
    </row>
    <row r="217" spans="1:10">
      <c r="A217" s="109">
        <v>58</v>
      </c>
      <c r="B217" s="109" t="s">
        <v>561</v>
      </c>
      <c r="G217" s="109" t="s">
        <v>562</v>
      </c>
      <c r="H217" s="109" t="s">
        <v>182</v>
      </c>
      <c r="I217" s="109">
        <v>957787</v>
      </c>
      <c r="J217" s="109">
        <v>333</v>
      </c>
    </row>
    <row r="218" spans="1:10">
      <c r="A218" s="109">
        <v>32</v>
      </c>
      <c r="B218" s="109" t="s">
        <v>563</v>
      </c>
      <c r="G218" s="109" t="s">
        <v>564</v>
      </c>
      <c r="H218" s="109" t="s">
        <v>182</v>
      </c>
      <c r="I218" s="109">
        <v>972212</v>
      </c>
      <c r="J218" s="109">
        <v>328</v>
      </c>
    </row>
    <row r="219" spans="1:10">
      <c r="A219" s="109">
        <v>70</v>
      </c>
      <c r="B219" s="109" t="s">
        <v>565</v>
      </c>
      <c r="G219" s="109" t="s">
        <v>566</v>
      </c>
      <c r="H219" s="109" t="s">
        <v>182</v>
      </c>
      <c r="I219" s="109">
        <v>972212</v>
      </c>
      <c r="J219" s="109">
        <v>328</v>
      </c>
    </row>
    <row r="220" spans="1:18">
      <c r="A220" s="109">
        <v>84</v>
      </c>
      <c r="B220" s="109" t="s">
        <v>567</v>
      </c>
      <c r="F220" s="109" t="s">
        <v>177</v>
      </c>
      <c r="G220" s="109" t="s">
        <v>221</v>
      </c>
      <c r="H220" s="109" t="s">
        <v>170</v>
      </c>
      <c r="I220" s="109">
        <v>972212</v>
      </c>
      <c r="J220" s="109">
        <v>328</v>
      </c>
      <c r="L220" s="109" t="s">
        <v>371</v>
      </c>
      <c r="M220" s="113">
        <v>0.2851</v>
      </c>
      <c r="N220" s="113">
        <v>0.1819</v>
      </c>
      <c r="O220" s="109">
        <v>2.22</v>
      </c>
      <c r="P220" s="113">
        <v>0.0415</v>
      </c>
      <c r="Q220" s="109">
        <v>68.89</v>
      </c>
      <c r="R220" s="113">
        <v>0.7762</v>
      </c>
    </row>
    <row r="221" spans="1:10">
      <c r="A221" s="109">
        <v>100</v>
      </c>
      <c r="B221" s="109" t="s">
        <v>568</v>
      </c>
      <c r="G221" s="109" t="s">
        <v>569</v>
      </c>
      <c r="H221" s="109" t="s">
        <v>182</v>
      </c>
      <c r="I221" s="109">
        <v>972212</v>
      </c>
      <c r="J221" s="109">
        <v>328</v>
      </c>
    </row>
    <row r="222" spans="1:10">
      <c r="A222" s="109">
        <v>264</v>
      </c>
      <c r="B222" s="109" t="s">
        <v>570</v>
      </c>
      <c r="G222" s="109" t="s">
        <v>571</v>
      </c>
      <c r="H222" s="109" t="s">
        <v>182</v>
      </c>
      <c r="I222" s="109">
        <v>972212</v>
      </c>
      <c r="J222" s="109">
        <v>328</v>
      </c>
    </row>
    <row r="223" spans="1:10">
      <c r="A223" s="109">
        <v>350</v>
      </c>
      <c r="B223" s="109" t="s">
        <v>572</v>
      </c>
      <c r="G223" s="109" t="s">
        <v>573</v>
      </c>
      <c r="H223" s="109" t="s">
        <v>182</v>
      </c>
      <c r="I223" s="109">
        <v>972212</v>
      </c>
      <c r="J223" s="109">
        <v>328</v>
      </c>
    </row>
    <row r="224" spans="1:10">
      <c r="A224" s="109">
        <v>21</v>
      </c>
      <c r="B224" s="109" t="s">
        <v>574</v>
      </c>
      <c r="G224" s="109" t="s">
        <v>575</v>
      </c>
      <c r="H224" s="109" t="s">
        <v>182</v>
      </c>
      <c r="I224" s="109">
        <v>987104</v>
      </c>
      <c r="J224" s="109">
        <v>323</v>
      </c>
    </row>
    <row r="225" spans="1:18">
      <c r="A225" s="109">
        <v>68</v>
      </c>
      <c r="B225" s="109" t="s">
        <v>576</v>
      </c>
      <c r="F225" s="109" t="s">
        <v>177</v>
      </c>
      <c r="G225" s="109" t="s">
        <v>577</v>
      </c>
      <c r="H225" s="109" t="s">
        <v>170</v>
      </c>
      <c r="I225" s="109">
        <v>987104</v>
      </c>
      <c r="J225" s="109">
        <v>323</v>
      </c>
      <c r="K225" s="109" t="s">
        <v>164</v>
      </c>
      <c r="M225" s="109" t="e">
        <v>#N/A</v>
      </c>
      <c r="N225" s="109" t="e">
        <v>#N/A</v>
      </c>
      <c r="O225" s="109">
        <v>1.1</v>
      </c>
      <c r="P225" s="113">
        <v>0</v>
      </c>
      <c r="Q225" s="109">
        <v>68.89</v>
      </c>
      <c r="R225" s="109" t="e">
        <v>#DIV/0!</v>
      </c>
    </row>
    <row r="226" spans="1:10">
      <c r="A226" s="109">
        <v>88</v>
      </c>
      <c r="B226" s="109" t="s">
        <v>578</v>
      </c>
      <c r="G226" s="109" t="s">
        <v>579</v>
      </c>
      <c r="H226" s="109" t="s">
        <v>182</v>
      </c>
      <c r="I226" s="109">
        <v>987104</v>
      </c>
      <c r="J226" s="109">
        <v>323</v>
      </c>
    </row>
    <row r="227" spans="1:18">
      <c r="A227" s="109">
        <v>224</v>
      </c>
      <c r="B227" s="109" t="s">
        <v>580</v>
      </c>
      <c r="D227" s="110" t="s">
        <v>327</v>
      </c>
      <c r="E227" s="109" t="s">
        <v>167</v>
      </c>
      <c r="F227" s="109" t="s">
        <v>168</v>
      </c>
      <c r="G227" s="109" t="s">
        <v>580</v>
      </c>
      <c r="H227" s="109" t="s">
        <v>170</v>
      </c>
      <c r="I227" s="109">
        <v>987104</v>
      </c>
      <c r="J227" s="109">
        <v>323</v>
      </c>
      <c r="L227" s="109" t="s">
        <v>371</v>
      </c>
      <c r="M227" s="109" t="e">
        <v>#N/A</v>
      </c>
      <c r="N227" s="109" t="e">
        <v>#N/A</v>
      </c>
      <c r="O227" s="109">
        <v>0</v>
      </c>
      <c r="P227" s="113">
        <v>0.0415</v>
      </c>
      <c r="Q227" s="109">
        <v>68.89</v>
      </c>
      <c r="R227" s="113">
        <v>0</v>
      </c>
    </row>
    <row r="228" spans="1:18">
      <c r="A228" s="109">
        <v>349</v>
      </c>
      <c r="B228" s="109" t="s">
        <v>581</v>
      </c>
      <c r="F228" s="109" t="s">
        <v>177</v>
      </c>
      <c r="G228" s="109" t="s">
        <v>582</v>
      </c>
      <c r="H228" s="109" t="s">
        <v>170</v>
      </c>
      <c r="I228" s="109">
        <v>987104</v>
      </c>
      <c r="J228" s="109">
        <v>323</v>
      </c>
      <c r="L228" s="109" t="s">
        <v>371</v>
      </c>
      <c r="M228" s="109" t="e">
        <v>#N/A</v>
      </c>
      <c r="N228" s="109" t="e">
        <v>#N/A</v>
      </c>
      <c r="O228" s="109">
        <v>0.35</v>
      </c>
      <c r="P228" s="113">
        <v>0.0415</v>
      </c>
      <c r="Q228" s="109">
        <v>68.89</v>
      </c>
      <c r="R228" s="113">
        <v>0.1224</v>
      </c>
    </row>
    <row r="229" spans="1:18">
      <c r="A229" s="109">
        <v>369</v>
      </c>
      <c r="B229" s="109" t="s">
        <v>583</v>
      </c>
      <c r="F229" s="109" t="s">
        <v>177</v>
      </c>
      <c r="G229" s="109" t="s">
        <v>584</v>
      </c>
      <c r="H229" s="109" t="s">
        <v>170</v>
      </c>
      <c r="I229" s="109">
        <v>987104</v>
      </c>
      <c r="J229" s="109">
        <v>323</v>
      </c>
      <c r="L229" s="109" t="s">
        <v>371</v>
      </c>
      <c r="M229" s="109" t="e">
        <v>#N/A</v>
      </c>
      <c r="N229" s="109" t="e">
        <v>#N/A</v>
      </c>
      <c r="O229" s="109">
        <v>0.45</v>
      </c>
      <c r="P229" s="113">
        <v>0.0398</v>
      </c>
      <c r="Q229" s="109">
        <v>68.89</v>
      </c>
      <c r="R229" s="113">
        <v>0.1642</v>
      </c>
    </row>
    <row r="230" spans="1:10">
      <c r="A230" s="109">
        <v>8</v>
      </c>
      <c r="B230" s="109" t="s">
        <v>585</v>
      </c>
      <c r="G230" s="109" t="s">
        <v>586</v>
      </c>
      <c r="H230" s="109" t="s">
        <v>182</v>
      </c>
      <c r="I230" s="109">
        <v>1002404</v>
      </c>
      <c r="J230" s="109">
        <v>318</v>
      </c>
    </row>
    <row r="231" spans="1:18">
      <c r="A231" s="109">
        <v>66</v>
      </c>
      <c r="B231" s="109" t="s">
        <v>587</v>
      </c>
      <c r="D231" s="110" t="s">
        <v>327</v>
      </c>
      <c r="E231" s="109" t="s">
        <v>241</v>
      </c>
      <c r="F231" s="109" t="s">
        <v>168</v>
      </c>
      <c r="G231" s="109" t="s">
        <v>588</v>
      </c>
      <c r="H231" s="109" t="s">
        <v>170</v>
      </c>
      <c r="I231" s="109">
        <v>1002404</v>
      </c>
      <c r="J231" s="109">
        <v>318</v>
      </c>
      <c r="L231" s="109" t="s">
        <v>371</v>
      </c>
      <c r="M231" s="109" t="e">
        <v>#N/A</v>
      </c>
      <c r="N231" s="109" t="e">
        <v>#N/A</v>
      </c>
      <c r="O231" s="109">
        <v>1.42</v>
      </c>
      <c r="P231" s="113">
        <v>0.0415</v>
      </c>
      <c r="Q231" s="109">
        <v>68.89</v>
      </c>
      <c r="R231" s="113">
        <v>0.4965</v>
      </c>
    </row>
    <row r="232" spans="1:18">
      <c r="A232" s="109">
        <v>111</v>
      </c>
      <c r="B232" s="109" t="s">
        <v>589</v>
      </c>
      <c r="F232" s="109" t="s">
        <v>177</v>
      </c>
      <c r="G232" s="109" t="s">
        <v>590</v>
      </c>
      <c r="H232" s="109" t="s">
        <v>179</v>
      </c>
      <c r="I232" s="109">
        <v>1002404</v>
      </c>
      <c r="J232" s="109">
        <v>318</v>
      </c>
      <c r="K232" s="109" t="s">
        <v>164</v>
      </c>
      <c r="L232" s="109" t="s">
        <v>371</v>
      </c>
      <c r="M232" s="113">
        <v>0.3059</v>
      </c>
      <c r="N232" s="113">
        <v>0.25</v>
      </c>
      <c r="O232" s="109">
        <v>1.94</v>
      </c>
      <c r="P232" s="113">
        <v>0.0415</v>
      </c>
      <c r="Q232" s="109">
        <v>68.89</v>
      </c>
      <c r="R232" s="113">
        <v>0.6783</v>
      </c>
    </row>
    <row r="233" spans="1:10">
      <c r="A233" s="109">
        <v>364</v>
      </c>
      <c r="B233" s="109" t="s">
        <v>591</v>
      </c>
      <c r="G233" s="109" t="s">
        <v>592</v>
      </c>
      <c r="H233" s="109" t="s">
        <v>182</v>
      </c>
      <c r="I233" s="109">
        <v>1002404</v>
      </c>
      <c r="J233" s="109">
        <v>318</v>
      </c>
    </row>
    <row r="234" spans="1:18">
      <c r="A234" s="109">
        <v>372</v>
      </c>
      <c r="B234" s="109" t="s">
        <v>593</v>
      </c>
      <c r="F234" s="109" t="s">
        <v>177</v>
      </c>
      <c r="G234" s="109" t="s">
        <v>594</v>
      </c>
      <c r="H234" s="109" t="s">
        <v>170</v>
      </c>
      <c r="I234" s="109">
        <v>1002404</v>
      </c>
      <c r="J234" s="109">
        <v>318</v>
      </c>
      <c r="K234" s="109" t="s">
        <v>164</v>
      </c>
      <c r="M234" s="109" t="e">
        <v>#N/A</v>
      </c>
      <c r="N234" s="109" t="e">
        <v>#N/A</v>
      </c>
      <c r="O234" s="109">
        <v>2.38</v>
      </c>
      <c r="P234" s="113">
        <v>0.0629</v>
      </c>
      <c r="Q234" s="109">
        <v>68.89</v>
      </c>
      <c r="R234" s="113">
        <v>0.5491</v>
      </c>
    </row>
    <row r="235" spans="1:18">
      <c r="A235" s="109">
        <v>43</v>
      </c>
      <c r="B235" s="109" t="s">
        <v>595</v>
      </c>
      <c r="F235" s="109" t="s">
        <v>177</v>
      </c>
      <c r="G235" s="109" t="s">
        <v>596</v>
      </c>
      <c r="H235" s="109" t="s">
        <v>170</v>
      </c>
      <c r="I235" s="109">
        <v>1018030</v>
      </c>
      <c r="J235" s="109">
        <v>313</v>
      </c>
      <c r="K235" s="109" t="s">
        <v>164</v>
      </c>
      <c r="M235" s="109" t="e">
        <v>#N/A</v>
      </c>
      <c r="N235" s="109" t="e">
        <v>#N/A</v>
      </c>
      <c r="O235" s="109">
        <v>1.8</v>
      </c>
      <c r="P235" s="113">
        <v>0.0296</v>
      </c>
      <c r="Q235" s="109">
        <v>68.89</v>
      </c>
      <c r="R235" s="113">
        <v>0.884</v>
      </c>
    </row>
    <row r="236" spans="1:18">
      <c r="A236" s="109">
        <v>328</v>
      </c>
      <c r="B236" s="109" t="s">
        <v>597</v>
      </c>
      <c r="F236" s="109" t="s">
        <v>177</v>
      </c>
      <c r="G236" s="109" t="s">
        <v>598</v>
      </c>
      <c r="H236" s="109" t="s">
        <v>170</v>
      </c>
      <c r="I236" s="109">
        <v>1018030</v>
      </c>
      <c r="J236" s="109">
        <v>313</v>
      </c>
      <c r="K236" s="109" t="s">
        <v>164</v>
      </c>
      <c r="L236" s="109" t="s">
        <v>371</v>
      </c>
      <c r="M236" s="113">
        <v>0.3571</v>
      </c>
      <c r="N236" s="113">
        <v>0.25</v>
      </c>
      <c r="O236" s="109">
        <v>2.17</v>
      </c>
      <c r="P236" s="113">
        <v>0.0415</v>
      </c>
      <c r="Q236" s="109">
        <v>68.89</v>
      </c>
      <c r="R236" s="113">
        <v>0.7587</v>
      </c>
    </row>
    <row r="237" spans="1:10">
      <c r="A237" s="109">
        <v>388</v>
      </c>
      <c r="B237" s="109" t="s">
        <v>599</v>
      </c>
      <c r="H237" s="109" t="s">
        <v>182</v>
      </c>
      <c r="I237" s="109">
        <v>1018030</v>
      </c>
      <c r="J237" s="109">
        <v>313</v>
      </c>
    </row>
    <row r="238" spans="1:18">
      <c r="A238" s="109">
        <v>308</v>
      </c>
      <c r="B238" s="109" t="s">
        <v>600</v>
      </c>
      <c r="F238" s="109" t="s">
        <v>177</v>
      </c>
      <c r="G238" s="109" t="s">
        <v>601</v>
      </c>
      <c r="H238" s="109" t="s">
        <v>170</v>
      </c>
      <c r="I238" s="109">
        <v>1034234</v>
      </c>
      <c r="J238" s="109">
        <v>308</v>
      </c>
      <c r="K238" s="109" t="s">
        <v>164</v>
      </c>
      <c r="L238" s="109" t="s">
        <v>371</v>
      </c>
      <c r="M238" s="113">
        <v>0.4106</v>
      </c>
      <c r="N238" s="113">
        <v>0.2857</v>
      </c>
      <c r="O238" s="109">
        <v>2.13</v>
      </c>
      <c r="P238" s="113">
        <v>0.0415</v>
      </c>
      <c r="Q238" s="109">
        <v>68.89</v>
      </c>
      <c r="R238" s="113">
        <v>0.7448</v>
      </c>
    </row>
    <row r="239" spans="1:10">
      <c r="A239" s="109">
        <v>352</v>
      </c>
      <c r="B239" s="109" t="s">
        <v>602</v>
      </c>
      <c r="G239" s="109" t="s">
        <v>602</v>
      </c>
      <c r="H239" s="109" t="s">
        <v>182</v>
      </c>
      <c r="I239" s="109">
        <v>1034234</v>
      </c>
      <c r="J239" s="109">
        <v>308</v>
      </c>
    </row>
    <row r="240" spans="1:18">
      <c r="A240" s="109">
        <v>97</v>
      </c>
      <c r="B240" s="109" t="s">
        <v>603</v>
      </c>
      <c r="F240" s="109" t="s">
        <v>177</v>
      </c>
      <c r="G240" s="109" t="s">
        <v>604</v>
      </c>
      <c r="H240" s="109" t="s">
        <v>170</v>
      </c>
      <c r="I240" s="109">
        <v>1051136</v>
      </c>
      <c r="J240" s="109">
        <v>303</v>
      </c>
      <c r="K240" s="109" t="s">
        <v>164</v>
      </c>
      <c r="L240" s="109" t="s">
        <v>371</v>
      </c>
      <c r="M240" s="113">
        <v>0.3343</v>
      </c>
      <c r="N240" s="113">
        <v>0.1667</v>
      </c>
      <c r="O240" s="109">
        <v>1.68</v>
      </c>
      <c r="P240" s="113">
        <v>0.0415</v>
      </c>
      <c r="Q240" s="109">
        <v>68.89</v>
      </c>
      <c r="R240" s="113">
        <v>0.5874</v>
      </c>
    </row>
    <row r="241" spans="1:10">
      <c r="A241" s="109">
        <v>326</v>
      </c>
      <c r="B241" s="109" t="s">
        <v>605</v>
      </c>
      <c r="G241" s="109" t="s">
        <v>606</v>
      </c>
      <c r="H241" s="109" t="s">
        <v>182</v>
      </c>
      <c r="I241" s="109">
        <v>1051136</v>
      </c>
      <c r="J241" s="109">
        <v>303</v>
      </c>
    </row>
    <row r="242" spans="1:18">
      <c r="A242" s="109">
        <v>452</v>
      </c>
      <c r="B242" s="109" t="s">
        <v>607</v>
      </c>
      <c r="F242" s="109" t="s">
        <v>177</v>
      </c>
      <c r="G242" s="109" t="s">
        <v>608</v>
      </c>
      <c r="H242" s="109" t="s">
        <v>170</v>
      </c>
      <c r="I242" s="109">
        <v>1051136</v>
      </c>
      <c r="J242" s="109">
        <v>303</v>
      </c>
      <c r="K242" s="109" t="s">
        <v>164</v>
      </c>
      <c r="L242" s="109" t="s">
        <v>371</v>
      </c>
      <c r="M242" s="113">
        <v>0.2623</v>
      </c>
      <c r="N242" s="113">
        <v>0.4444</v>
      </c>
      <c r="O242" s="109">
        <v>1.24</v>
      </c>
      <c r="P242" s="113">
        <v>0.0415</v>
      </c>
      <c r="Q242" s="109">
        <v>68.89</v>
      </c>
      <c r="R242" s="113">
        <v>0.4336</v>
      </c>
    </row>
    <row r="243" spans="1:10">
      <c r="A243" s="109">
        <v>105</v>
      </c>
      <c r="B243" s="109" t="s">
        <v>609</v>
      </c>
      <c r="G243" s="109" t="s">
        <v>208</v>
      </c>
      <c r="H243" s="109" t="s">
        <v>182</v>
      </c>
      <c r="I243" s="109">
        <v>1068691</v>
      </c>
      <c r="J243" s="109">
        <v>297</v>
      </c>
    </row>
    <row r="244" spans="1:10">
      <c r="A244" s="109">
        <v>158</v>
      </c>
      <c r="B244" s="109" t="s">
        <v>610</v>
      </c>
      <c r="G244" s="109" t="s">
        <v>611</v>
      </c>
      <c r="H244" s="109" t="s">
        <v>182</v>
      </c>
      <c r="I244" s="109">
        <v>1068691</v>
      </c>
      <c r="J244" s="109">
        <v>297</v>
      </c>
    </row>
    <row r="245" spans="1:10">
      <c r="A245" s="109">
        <v>160</v>
      </c>
      <c r="B245" s="109" t="s">
        <v>612</v>
      </c>
      <c r="H245" s="109" t="s">
        <v>182</v>
      </c>
      <c r="I245" s="109">
        <v>1086441</v>
      </c>
      <c r="J245" s="109">
        <v>292</v>
      </c>
    </row>
    <row r="246" spans="1:10">
      <c r="A246" s="109">
        <v>11</v>
      </c>
      <c r="B246" s="109" t="s">
        <v>613</v>
      </c>
      <c r="G246" s="109" t="s">
        <v>614</v>
      </c>
      <c r="H246" s="109" t="s">
        <v>182</v>
      </c>
      <c r="I246" s="109">
        <v>1104990</v>
      </c>
      <c r="J246" s="109">
        <v>287</v>
      </c>
    </row>
    <row r="247" spans="1:10">
      <c r="A247" s="109">
        <v>174</v>
      </c>
      <c r="B247" s="109" t="s">
        <v>615</v>
      </c>
      <c r="G247" s="109" t="s">
        <v>616</v>
      </c>
      <c r="H247" s="109" t="s">
        <v>182</v>
      </c>
      <c r="I247" s="109">
        <v>1104990</v>
      </c>
      <c r="J247" s="109">
        <v>287</v>
      </c>
    </row>
    <row r="248" spans="1:10">
      <c r="A248" s="109">
        <v>194</v>
      </c>
      <c r="B248" s="109" t="s">
        <v>617</v>
      </c>
      <c r="G248" s="109" t="s">
        <v>618</v>
      </c>
      <c r="H248" s="109" t="s">
        <v>182</v>
      </c>
      <c r="I248" s="109">
        <v>1104990</v>
      </c>
      <c r="J248" s="109">
        <v>287</v>
      </c>
    </row>
    <row r="249" spans="1:10">
      <c r="A249" s="109">
        <v>410</v>
      </c>
      <c r="B249" s="109" t="s">
        <v>619</v>
      </c>
      <c r="G249" s="109" t="s">
        <v>620</v>
      </c>
      <c r="H249" s="109" t="s">
        <v>182</v>
      </c>
      <c r="I249" s="109">
        <v>1104990</v>
      </c>
      <c r="J249" s="109">
        <v>287</v>
      </c>
    </row>
    <row r="250" spans="1:10">
      <c r="A250" s="109">
        <v>25</v>
      </c>
      <c r="B250" s="109" t="s">
        <v>621</v>
      </c>
      <c r="G250" s="109" t="s">
        <v>622</v>
      </c>
      <c r="H250" s="109" t="s">
        <v>182</v>
      </c>
      <c r="I250" s="109">
        <v>1123999</v>
      </c>
      <c r="J250" s="109">
        <v>282</v>
      </c>
    </row>
    <row r="251" spans="1:10">
      <c r="A251" s="109">
        <v>146</v>
      </c>
      <c r="B251" s="109" t="s">
        <v>623</v>
      </c>
      <c r="G251" s="109" t="s">
        <v>501</v>
      </c>
      <c r="H251" s="109" t="s">
        <v>182</v>
      </c>
      <c r="I251" s="109">
        <v>1123999</v>
      </c>
      <c r="J251" s="109">
        <v>282</v>
      </c>
    </row>
    <row r="252" spans="1:10">
      <c r="A252" s="109">
        <v>260</v>
      </c>
      <c r="B252" s="109" t="s">
        <v>624</v>
      </c>
      <c r="G252" s="109" t="s">
        <v>625</v>
      </c>
      <c r="H252" s="109" t="s">
        <v>182</v>
      </c>
      <c r="I252" s="109">
        <v>1123999</v>
      </c>
      <c r="J252" s="109">
        <v>282</v>
      </c>
    </row>
    <row r="253" spans="1:18">
      <c r="A253" s="109">
        <v>321</v>
      </c>
      <c r="B253" s="109" t="s">
        <v>626</v>
      </c>
      <c r="F253" s="109" t="s">
        <v>177</v>
      </c>
      <c r="G253" s="109" t="s">
        <v>627</v>
      </c>
      <c r="H253" s="109" t="s">
        <v>170</v>
      </c>
      <c r="I253" s="109">
        <v>1123999</v>
      </c>
      <c r="J253" s="109">
        <v>282</v>
      </c>
      <c r="K253" s="109" t="s">
        <v>164</v>
      </c>
      <c r="L253" s="109" t="s">
        <v>371</v>
      </c>
      <c r="M253" s="113">
        <v>0.4837</v>
      </c>
      <c r="N253" s="113">
        <v>0.3636</v>
      </c>
      <c r="O253" s="109">
        <v>3.06</v>
      </c>
      <c r="P253" s="113">
        <v>0.0415</v>
      </c>
      <c r="Q253" s="109">
        <v>68.89</v>
      </c>
      <c r="R253" s="113">
        <v>1.0699</v>
      </c>
    </row>
    <row r="254" spans="1:10">
      <c r="A254" s="109">
        <v>216</v>
      </c>
      <c r="B254" s="109" t="s">
        <v>628</v>
      </c>
      <c r="G254" s="109" t="s">
        <v>629</v>
      </c>
      <c r="H254" s="109" t="s">
        <v>182</v>
      </c>
      <c r="I254" s="109">
        <v>1143775</v>
      </c>
      <c r="J254" s="109">
        <v>277</v>
      </c>
    </row>
    <row r="255" spans="1:10">
      <c r="A255" s="109">
        <v>361</v>
      </c>
      <c r="B255" s="109" t="s">
        <v>630</v>
      </c>
      <c r="G255" s="109" t="s">
        <v>631</v>
      </c>
      <c r="H255" s="109" t="s">
        <v>182</v>
      </c>
      <c r="I255" s="109">
        <v>1143775</v>
      </c>
      <c r="J255" s="109">
        <v>277</v>
      </c>
    </row>
    <row r="256" spans="1:10">
      <c r="A256" s="109">
        <v>421</v>
      </c>
      <c r="B256" s="109" t="s">
        <v>632</v>
      </c>
      <c r="G256" s="109" t="s">
        <v>633</v>
      </c>
      <c r="H256" s="109" t="s">
        <v>182</v>
      </c>
      <c r="I256" s="109">
        <v>1143775</v>
      </c>
      <c r="J256" s="109">
        <v>277</v>
      </c>
    </row>
    <row r="257" spans="1:10">
      <c r="A257" s="109">
        <v>59</v>
      </c>
      <c r="B257" s="109" t="s">
        <v>634</v>
      </c>
      <c r="G257" s="109" t="s">
        <v>635</v>
      </c>
      <c r="H257" s="109" t="s">
        <v>182</v>
      </c>
      <c r="I257" s="109">
        <v>1163874</v>
      </c>
      <c r="J257" s="109">
        <v>272</v>
      </c>
    </row>
    <row r="258" spans="1:10">
      <c r="A258" s="109">
        <v>163</v>
      </c>
      <c r="B258" s="109" t="s">
        <v>636</v>
      </c>
      <c r="G258" s="109" t="s">
        <v>637</v>
      </c>
      <c r="H258" s="109" t="s">
        <v>182</v>
      </c>
      <c r="I258" s="109">
        <v>1163874</v>
      </c>
      <c r="J258" s="109">
        <v>272</v>
      </c>
    </row>
    <row r="259" spans="1:10">
      <c r="A259" s="109">
        <v>256</v>
      </c>
      <c r="B259" s="109" t="s">
        <v>638</v>
      </c>
      <c r="G259" s="109" t="s">
        <v>639</v>
      </c>
      <c r="H259" s="109" t="s">
        <v>182</v>
      </c>
      <c r="I259" s="109">
        <v>1163874</v>
      </c>
      <c r="J259" s="109">
        <v>272</v>
      </c>
    </row>
    <row r="260" spans="1:10">
      <c r="A260" s="109">
        <v>135</v>
      </c>
      <c r="B260" s="109" t="s">
        <v>640</v>
      </c>
      <c r="G260" s="109" t="s">
        <v>641</v>
      </c>
      <c r="H260" s="109" t="s">
        <v>182</v>
      </c>
      <c r="I260" s="109">
        <v>1185001</v>
      </c>
      <c r="J260" s="109">
        <v>267</v>
      </c>
    </row>
    <row r="261" spans="1:10">
      <c r="A261" s="109">
        <v>337</v>
      </c>
      <c r="B261" s="109" t="s">
        <v>642</v>
      </c>
      <c r="G261" s="109" t="s">
        <v>642</v>
      </c>
      <c r="H261" s="109" t="s">
        <v>182</v>
      </c>
      <c r="I261" s="109">
        <v>1185001</v>
      </c>
      <c r="J261" s="109">
        <v>267</v>
      </c>
    </row>
    <row r="262" spans="1:10">
      <c r="A262" s="109">
        <v>431</v>
      </c>
      <c r="B262" s="109" t="s">
        <v>643</v>
      </c>
      <c r="H262" s="109" t="s">
        <v>182</v>
      </c>
      <c r="I262" s="109">
        <v>1185001</v>
      </c>
      <c r="J262" s="109">
        <v>267</v>
      </c>
    </row>
    <row r="263" spans="1:10">
      <c r="A263" s="109">
        <v>123</v>
      </c>
      <c r="B263" s="109" t="s">
        <v>644</v>
      </c>
      <c r="H263" s="109" t="s">
        <v>182</v>
      </c>
      <c r="I263" s="109">
        <v>1206777</v>
      </c>
      <c r="J263" s="109">
        <v>262</v>
      </c>
    </row>
    <row r="264" spans="1:10">
      <c r="A264" s="109">
        <v>295</v>
      </c>
      <c r="B264" s="109" t="s">
        <v>645</v>
      </c>
      <c r="G264" s="109" t="s">
        <v>646</v>
      </c>
      <c r="H264" s="109" t="s">
        <v>182</v>
      </c>
      <c r="I264" s="109">
        <v>1206777</v>
      </c>
      <c r="J264" s="109">
        <v>262</v>
      </c>
    </row>
    <row r="265" spans="1:10">
      <c r="A265" s="109">
        <v>402</v>
      </c>
      <c r="B265" s="109" t="s">
        <v>647</v>
      </c>
      <c r="G265" s="109" t="s">
        <v>648</v>
      </c>
      <c r="H265" s="109" t="s">
        <v>182</v>
      </c>
      <c r="I265" s="109">
        <v>1206777</v>
      </c>
      <c r="J265" s="109">
        <v>262</v>
      </c>
    </row>
    <row r="266" spans="1:10">
      <c r="A266" s="109">
        <v>464</v>
      </c>
      <c r="B266" s="109" t="s">
        <v>649</v>
      </c>
      <c r="G266" s="109" t="s">
        <v>650</v>
      </c>
      <c r="H266" s="109" t="s">
        <v>182</v>
      </c>
      <c r="I266" s="109">
        <v>1206777</v>
      </c>
      <c r="J266" s="109">
        <v>262</v>
      </c>
    </row>
    <row r="267" spans="1:10">
      <c r="A267" s="109">
        <v>177</v>
      </c>
      <c r="B267" s="109" t="s">
        <v>651</v>
      </c>
      <c r="G267" s="109" t="s">
        <v>652</v>
      </c>
      <c r="H267" s="109" t="s">
        <v>182</v>
      </c>
      <c r="I267" s="109">
        <v>1229418</v>
      </c>
      <c r="J267" s="109">
        <v>257</v>
      </c>
    </row>
    <row r="268" spans="1:10">
      <c r="A268" s="109">
        <v>419</v>
      </c>
      <c r="B268" s="109" t="s">
        <v>653</v>
      </c>
      <c r="G268" s="109" t="s">
        <v>654</v>
      </c>
      <c r="H268" s="109" t="s">
        <v>182</v>
      </c>
      <c r="I268" s="109">
        <v>1229418</v>
      </c>
      <c r="J268" s="109">
        <v>257</v>
      </c>
    </row>
    <row r="269" spans="1:10">
      <c r="A269" s="109">
        <v>354</v>
      </c>
      <c r="B269" s="109" t="s">
        <v>655</v>
      </c>
      <c r="G269" s="109" t="s">
        <v>169</v>
      </c>
      <c r="H269" s="109" t="s">
        <v>182</v>
      </c>
      <c r="I269" s="109">
        <v>1253071</v>
      </c>
      <c r="J269" s="109">
        <v>252</v>
      </c>
    </row>
    <row r="270" spans="1:18">
      <c r="A270" s="109">
        <v>74</v>
      </c>
      <c r="B270" s="109" t="s">
        <v>656</v>
      </c>
      <c r="D270" s="110" t="s">
        <v>327</v>
      </c>
      <c r="F270" s="109" t="s">
        <v>168</v>
      </c>
      <c r="G270" s="109" t="s">
        <v>189</v>
      </c>
      <c r="H270" s="109" t="s">
        <v>170</v>
      </c>
      <c r="I270" s="109">
        <v>1277446</v>
      </c>
      <c r="J270" s="109">
        <v>247</v>
      </c>
      <c r="K270" s="109" t="s">
        <v>164</v>
      </c>
      <c r="L270" s="109" t="s">
        <v>371</v>
      </c>
      <c r="M270" s="113">
        <v>0.3727</v>
      </c>
      <c r="N270" s="113">
        <v>0.2143</v>
      </c>
      <c r="O270" s="109">
        <v>2.14</v>
      </c>
      <c r="P270" s="113">
        <v>0.0415</v>
      </c>
      <c r="Q270" s="109">
        <v>68.89</v>
      </c>
      <c r="R270" s="113">
        <v>0.7483</v>
      </c>
    </row>
    <row r="271" spans="1:10">
      <c r="A271" s="109">
        <v>130</v>
      </c>
      <c r="B271" s="109" t="s">
        <v>657</v>
      </c>
      <c r="H271" s="109" t="s">
        <v>182</v>
      </c>
      <c r="I271" s="109">
        <v>1277446</v>
      </c>
      <c r="J271" s="109">
        <v>247</v>
      </c>
    </row>
    <row r="272" spans="1:10">
      <c r="A272" s="109">
        <v>249</v>
      </c>
      <c r="B272" s="109" t="s">
        <v>658</v>
      </c>
      <c r="G272" s="109" t="s">
        <v>659</v>
      </c>
      <c r="H272" s="109" t="s">
        <v>182</v>
      </c>
      <c r="I272" s="109">
        <v>1277446</v>
      </c>
      <c r="J272" s="109">
        <v>247</v>
      </c>
    </row>
    <row r="273" spans="1:10">
      <c r="A273" s="109">
        <v>458</v>
      </c>
      <c r="B273" s="109" t="s">
        <v>660</v>
      </c>
      <c r="G273" s="109" t="s">
        <v>661</v>
      </c>
      <c r="H273" s="109" t="s">
        <v>182</v>
      </c>
      <c r="I273" s="109">
        <v>1277446</v>
      </c>
      <c r="J273" s="109">
        <v>247</v>
      </c>
    </row>
    <row r="274" spans="1:10">
      <c r="A274" s="109">
        <v>3</v>
      </c>
      <c r="B274" s="109" t="s">
        <v>662</v>
      </c>
      <c r="G274" s="109" t="s">
        <v>663</v>
      </c>
      <c r="H274" s="109" t="s">
        <v>182</v>
      </c>
      <c r="I274" s="109">
        <v>1303115</v>
      </c>
      <c r="J274" s="109">
        <v>242</v>
      </c>
    </row>
    <row r="275" spans="1:10">
      <c r="A275" s="109">
        <v>219</v>
      </c>
      <c r="B275" s="109" t="s">
        <v>664</v>
      </c>
      <c r="G275" s="109" t="s">
        <v>665</v>
      </c>
      <c r="H275" s="109" t="s">
        <v>182</v>
      </c>
      <c r="I275" s="109">
        <v>1303115</v>
      </c>
      <c r="J275" s="109">
        <v>242</v>
      </c>
    </row>
    <row r="276" spans="1:10">
      <c r="A276" s="109">
        <v>271</v>
      </c>
      <c r="B276" s="109" t="s">
        <v>666</v>
      </c>
      <c r="G276" s="109" t="s">
        <v>667</v>
      </c>
      <c r="H276" s="109" t="s">
        <v>182</v>
      </c>
      <c r="I276" s="109">
        <v>1303115</v>
      </c>
      <c r="J276" s="109">
        <v>242</v>
      </c>
    </row>
    <row r="277" spans="1:10">
      <c r="A277" s="109">
        <v>399</v>
      </c>
      <c r="B277" s="109" t="s">
        <v>668</v>
      </c>
      <c r="G277" s="109" t="s">
        <v>193</v>
      </c>
      <c r="H277" s="109" t="s">
        <v>182</v>
      </c>
      <c r="I277" s="109">
        <v>1303115</v>
      </c>
      <c r="J277" s="109">
        <v>242</v>
      </c>
    </row>
    <row r="278" spans="1:10">
      <c r="A278" s="109">
        <v>413</v>
      </c>
      <c r="B278" s="109" t="s">
        <v>669</v>
      </c>
      <c r="G278" s="109" t="s">
        <v>670</v>
      </c>
      <c r="H278" s="109" t="s">
        <v>182</v>
      </c>
      <c r="I278" s="109">
        <v>1303115</v>
      </c>
      <c r="J278" s="109">
        <v>242</v>
      </c>
    </row>
    <row r="279" spans="1:10">
      <c r="A279" s="109">
        <v>455</v>
      </c>
      <c r="B279" s="109" t="s">
        <v>671</v>
      </c>
      <c r="G279" s="109" t="s">
        <v>672</v>
      </c>
      <c r="H279" s="109" t="s">
        <v>182</v>
      </c>
      <c r="I279" s="109">
        <v>1303115</v>
      </c>
      <c r="J279" s="109">
        <v>242</v>
      </c>
    </row>
    <row r="280" spans="1:10">
      <c r="A280" s="109">
        <v>461</v>
      </c>
      <c r="B280" s="109" t="s">
        <v>673</v>
      </c>
      <c r="G280" s="109" t="s">
        <v>674</v>
      </c>
      <c r="H280" s="109" t="s">
        <v>182</v>
      </c>
      <c r="I280" s="109">
        <v>1303115</v>
      </c>
      <c r="J280" s="109">
        <v>242</v>
      </c>
    </row>
    <row r="281" spans="1:18">
      <c r="A281" s="109">
        <v>61</v>
      </c>
      <c r="B281" s="109" t="s">
        <v>675</v>
      </c>
      <c r="F281" s="109" t="s">
        <v>177</v>
      </c>
      <c r="G281" s="109" t="s">
        <v>676</v>
      </c>
      <c r="H281" s="109" t="s">
        <v>170</v>
      </c>
      <c r="I281" s="109">
        <v>1329652</v>
      </c>
      <c r="J281" s="109">
        <v>237</v>
      </c>
      <c r="K281" s="109" t="s">
        <v>164</v>
      </c>
      <c r="L281" s="109" t="s">
        <v>371</v>
      </c>
      <c r="M281" s="113">
        <v>0.3332</v>
      </c>
      <c r="N281" s="113">
        <v>0</v>
      </c>
      <c r="O281" s="109">
        <v>1.76</v>
      </c>
      <c r="P281" s="113">
        <v>0.0415</v>
      </c>
      <c r="Q281" s="109">
        <v>68.89</v>
      </c>
      <c r="R281" s="113">
        <v>0.6154</v>
      </c>
    </row>
    <row r="282" spans="1:10">
      <c r="A282" s="109">
        <v>62</v>
      </c>
      <c r="B282" s="109" t="s">
        <v>677</v>
      </c>
      <c r="G282" s="109" t="s">
        <v>678</v>
      </c>
      <c r="H282" s="109" t="s">
        <v>182</v>
      </c>
      <c r="I282" s="109">
        <v>1329652</v>
      </c>
      <c r="J282" s="109">
        <v>237</v>
      </c>
    </row>
    <row r="283" spans="1:10">
      <c r="A283" s="109">
        <v>176</v>
      </c>
      <c r="B283" s="109" t="s">
        <v>679</v>
      </c>
      <c r="G283" s="109" t="s">
        <v>680</v>
      </c>
      <c r="H283" s="109" t="s">
        <v>182</v>
      </c>
      <c r="I283" s="109">
        <v>1329652</v>
      </c>
      <c r="J283" s="109">
        <v>237</v>
      </c>
    </row>
    <row r="284" spans="1:10">
      <c r="A284" s="109">
        <v>265</v>
      </c>
      <c r="B284" s="109" t="s">
        <v>681</v>
      </c>
      <c r="G284" s="109" t="s">
        <v>682</v>
      </c>
      <c r="H284" s="109" t="s">
        <v>182</v>
      </c>
      <c r="I284" s="109">
        <v>1329652</v>
      </c>
      <c r="J284" s="109">
        <v>237</v>
      </c>
    </row>
    <row r="285" spans="1:10">
      <c r="A285" s="109">
        <v>274</v>
      </c>
      <c r="B285" s="109" t="s">
        <v>683</v>
      </c>
      <c r="G285" s="109" t="s">
        <v>684</v>
      </c>
      <c r="H285" s="109" t="s">
        <v>182</v>
      </c>
      <c r="I285" s="109">
        <v>1329652</v>
      </c>
      <c r="J285" s="109">
        <v>237</v>
      </c>
    </row>
    <row r="286" spans="1:10">
      <c r="A286" s="109">
        <v>325</v>
      </c>
      <c r="B286" s="109" t="s">
        <v>685</v>
      </c>
      <c r="G286" s="109" t="s">
        <v>686</v>
      </c>
      <c r="H286" s="109" t="s">
        <v>182</v>
      </c>
      <c r="I286" s="109">
        <v>1329652</v>
      </c>
      <c r="J286" s="109">
        <v>237</v>
      </c>
    </row>
    <row r="287" spans="1:10">
      <c r="A287" s="109">
        <v>85</v>
      </c>
      <c r="B287" s="109" t="s">
        <v>687</v>
      </c>
      <c r="G287" s="109" t="s">
        <v>300</v>
      </c>
      <c r="H287" s="109" t="s">
        <v>182</v>
      </c>
      <c r="I287" s="109">
        <v>1357003</v>
      </c>
      <c r="J287" s="109">
        <v>232</v>
      </c>
    </row>
    <row r="288" spans="1:10">
      <c r="A288" s="109">
        <v>92</v>
      </c>
      <c r="B288" s="109" t="s">
        <v>688</v>
      </c>
      <c r="G288" s="109" t="s">
        <v>689</v>
      </c>
      <c r="H288" s="109" t="s">
        <v>182</v>
      </c>
      <c r="I288" s="109">
        <v>1357003</v>
      </c>
      <c r="J288" s="109">
        <v>232</v>
      </c>
    </row>
    <row r="289" spans="1:18">
      <c r="A289" s="109">
        <v>102</v>
      </c>
      <c r="B289" s="109" t="s">
        <v>690</v>
      </c>
      <c r="D289" s="110" t="s">
        <v>327</v>
      </c>
      <c r="F289" s="109" t="s">
        <v>168</v>
      </c>
      <c r="G289" s="109" t="s">
        <v>691</v>
      </c>
      <c r="H289" s="109" t="s">
        <v>170</v>
      </c>
      <c r="I289" s="109">
        <v>1357003</v>
      </c>
      <c r="J289" s="109">
        <v>232</v>
      </c>
      <c r="K289" s="109" t="s">
        <v>164</v>
      </c>
      <c r="L289" s="109" t="s">
        <v>371</v>
      </c>
      <c r="M289" s="113">
        <v>0.31</v>
      </c>
      <c r="N289" s="113">
        <v>0.1875</v>
      </c>
      <c r="O289" s="109">
        <v>1.78</v>
      </c>
      <c r="P289" s="113">
        <v>0.0415</v>
      </c>
      <c r="Q289" s="109">
        <v>68.89</v>
      </c>
      <c r="R289" s="113">
        <v>0.6224</v>
      </c>
    </row>
    <row r="290" spans="1:18">
      <c r="A290" s="109">
        <v>206</v>
      </c>
      <c r="B290" s="109" t="s">
        <v>692</v>
      </c>
      <c r="F290" s="109" t="s">
        <v>177</v>
      </c>
      <c r="G290" s="109" t="s">
        <v>693</v>
      </c>
      <c r="H290" s="109" t="s">
        <v>170</v>
      </c>
      <c r="I290" s="109">
        <v>1357003</v>
      </c>
      <c r="J290" s="109">
        <v>232</v>
      </c>
      <c r="K290" s="109" t="s">
        <v>164</v>
      </c>
      <c r="M290" s="109" t="e">
        <v>#N/A</v>
      </c>
      <c r="N290" s="109" t="e">
        <v>#N/A</v>
      </c>
      <c r="O290" s="109">
        <v>1.94</v>
      </c>
      <c r="P290" s="113">
        <v>0.0251</v>
      </c>
      <c r="Q290" s="109">
        <v>68.89</v>
      </c>
      <c r="R290" s="113">
        <v>1.1217</v>
      </c>
    </row>
    <row r="291" spans="1:10">
      <c r="A291" s="109">
        <v>322</v>
      </c>
      <c r="B291" s="109" t="s">
        <v>694</v>
      </c>
      <c r="H291" s="109" t="s">
        <v>182</v>
      </c>
      <c r="I291" s="109">
        <v>1357003</v>
      </c>
      <c r="J291" s="109">
        <v>232</v>
      </c>
    </row>
    <row r="292" spans="1:10">
      <c r="A292" s="109">
        <v>209</v>
      </c>
      <c r="B292" s="109" t="s">
        <v>695</v>
      </c>
      <c r="G292" s="109" t="s">
        <v>696</v>
      </c>
      <c r="H292" s="109" t="s">
        <v>182</v>
      </c>
      <c r="I292" s="109">
        <v>1385855</v>
      </c>
      <c r="J292" s="109">
        <v>227</v>
      </c>
    </row>
    <row r="293" spans="1:10">
      <c r="A293" s="109">
        <v>241</v>
      </c>
      <c r="B293" s="109" t="s">
        <v>697</v>
      </c>
      <c r="H293" s="109" t="s">
        <v>182</v>
      </c>
      <c r="I293" s="109">
        <v>1385855</v>
      </c>
      <c r="J293" s="109">
        <v>227</v>
      </c>
    </row>
    <row r="294" spans="1:10">
      <c r="A294" s="109">
        <v>248</v>
      </c>
      <c r="B294" s="109" t="s">
        <v>698</v>
      </c>
      <c r="G294" s="109" t="s">
        <v>699</v>
      </c>
      <c r="H294" s="109" t="s">
        <v>182</v>
      </c>
      <c r="I294" s="109">
        <v>1385855</v>
      </c>
      <c r="J294" s="109">
        <v>227</v>
      </c>
    </row>
    <row r="295" spans="1:18">
      <c r="A295" s="109">
        <v>420</v>
      </c>
      <c r="B295" s="109" t="s">
        <v>700</v>
      </c>
      <c r="D295" s="110" t="s">
        <v>327</v>
      </c>
      <c r="F295" s="109" t="s">
        <v>168</v>
      </c>
      <c r="G295" s="109" t="s">
        <v>701</v>
      </c>
      <c r="H295" s="109" t="s">
        <v>170</v>
      </c>
      <c r="I295" s="109">
        <v>1385855</v>
      </c>
      <c r="J295" s="109">
        <v>227</v>
      </c>
      <c r="L295" s="109" t="s">
        <v>371</v>
      </c>
      <c r="M295" s="109" t="e">
        <v>#N/A</v>
      </c>
      <c r="N295" s="109" t="e">
        <v>#N/A</v>
      </c>
      <c r="O295" s="109">
        <v>1.35</v>
      </c>
      <c r="P295" s="113">
        <v>0.0368</v>
      </c>
      <c r="Q295" s="109">
        <v>68.89</v>
      </c>
      <c r="R295" s="113">
        <v>0.5327</v>
      </c>
    </row>
    <row r="296" spans="1:10">
      <c r="A296" s="109">
        <v>6</v>
      </c>
      <c r="B296" s="109" t="s">
        <v>702</v>
      </c>
      <c r="G296" s="109" t="s">
        <v>703</v>
      </c>
      <c r="H296" s="109" t="s">
        <v>182</v>
      </c>
      <c r="I296" s="109">
        <v>1415840</v>
      </c>
      <c r="J296" s="109">
        <v>222</v>
      </c>
    </row>
    <row r="297" spans="1:10">
      <c r="A297" s="109">
        <v>28</v>
      </c>
      <c r="B297" s="109" t="s">
        <v>704</v>
      </c>
      <c r="G297" s="109" t="s">
        <v>705</v>
      </c>
      <c r="H297" s="109" t="s">
        <v>182</v>
      </c>
      <c r="I297" s="109">
        <v>1415840</v>
      </c>
      <c r="J297" s="109">
        <v>222</v>
      </c>
    </row>
    <row r="298" spans="1:10">
      <c r="A298" s="109">
        <v>147</v>
      </c>
      <c r="B298" s="109" t="s">
        <v>706</v>
      </c>
      <c r="G298" s="109" t="s">
        <v>706</v>
      </c>
      <c r="H298" s="109" t="s">
        <v>182</v>
      </c>
      <c r="I298" s="109">
        <v>1415840</v>
      </c>
      <c r="J298" s="109">
        <v>222</v>
      </c>
    </row>
    <row r="299" spans="1:10">
      <c r="A299" s="109">
        <v>301</v>
      </c>
      <c r="B299" s="109" t="s">
        <v>707</v>
      </c>
      <c r="G299" s="109" t="s">
        <v>191</v>
      </c>
      <c r="H299" s="109" t="s">
        <v>182</v>
      </c>
      <c r="I299" s="109">
        <v>1415840</v>
      </c>
      <c r="J299" s="109">
        <v>222</v>
      </c>
    </row>
    <row r="300" spans="1:10">
      <c r="A300" s="109">
        <v>415</v>
      </c>
      <c r="B300" s="109" t="s">
        <v>708</v>
      </c>
      <c r="G300" s="109" t="s">
        <v>459</v>
      </c>
      <c r="H300" s="109" t="s">
        <v>182</v>
      </c>
      <c r="I300" s="109">
        <v>1415840</v>
      </c>
      <c r="J300" s="109">
        <v>222</v>
      </c>
    </row>
    <row r="301" spans="1:10">
      <c r="A301" s="109">
        <v>95</v>
      </c>
      <c r="B301" s="109" t="s">
        <v>709</v>
      </c>
      <c r="G301" s="109">
        <v>360</v>
      </c>
      <c r="H301" s="109" t="s">
        <v>182</v>
      </c>
      <c r="I301" s="109">
        <v>1447121</v>
      </c>
      <c r="J301" s="109">
        <v>217</v>
      </c>
    </row>
    <row r="302" spans="1:10">
      <c r="A302" s="109">
        <v>318</v>
      </c>
      <c r="B302" s="109" t="s">
        <v>710</v>
      </c>
      <c r="G302" s="109" t="s">
        <v>711</v>
      </c>
      <c r="H302" s="109" t="s">
        <v>182</v>
      </c>
      <c r="I302" s="109">
        <v>1447121</v>
      </c>
      <c r="J302" s="109">
        <v>217</v>
      </c>
    </row>
    <row r="303" spans="1:10">
      <c r="A303" s="109">
        <v>365</v>
      </c>
      <c r="B303" s="109" t="s">
        <v>712</v>
      </c>
      <c r="G303" s="109" t="s">
        <v>713</v>
      </c>
      <c r="H303" s="109" t="s">
        <v>182</v>
      </c>
      <c r="I303" s="109">
        <v>1447121</v>
      </c>
      <c r="J303" s="109">
        <v>217</v>
      </c>
    </row>
    <row r="304" spans="1:10">
      <c r="A304" s="109">
        <v>89</v>
      </c>
      <c r="B304" s="109" t="s">
        <v>714</v>
      </c>
      <c r="G304" s="109" t="s">
        <v>715</v>
      </c>
      <c r="H304" s="109" t="s">
        <v>182</v>
      </c>
      <c r="I304" s="109">
        <v>1479577</v>
      </c>
      <c r="J304" s="109">
        <v>212</v>
      </c>
    </row>
    <row r="305" spans="1:10">
      <c r="A305" s="109">
        <v>140</v>
      </c>
      <c r="B305" s="109" t="s">
        <v>716</v>
      </c>
      <c r="G305" s="109" t="s">
        <v>717</v>
      </c>
      <c r="H305" s="109" t="s">
        <v>182</v>
      </c>
      <c r="I305" s="109">
        <v>1479577</v>
      </c>
      <c r="J305" s="109">
        <v>212</v>
      </c>
    </row>
    <row r="306" spans="1:10">
      <c r="A306" s="109">
        <v>150</v>
      </c>
      <c r="B306" s="109" t="s">
        <v>718</v>
      </c>
      <c r="G306" s="109" t="s">
        <v>719</v>
      </c>
      <c r="H306" s="109" t="s">
        <v>182</v>
      </c>
      <c r="I306" s="109">
        <v>1479577</v>
      </c>
      <c r="J306" s="109">
        <v>212</v>
      </c>
    </row>
    <row r="307" spans="1:10">
      <c r="A307" s="109">
        <v>373</v>
      </c>
      <c r="B307" s="109" t="s">
        <v>720</v>
      </c>
      <c r="G307" s="109" t="s">
        <v>268</v>
      </c>
      <c r="H307" s="109" t="s">
        <v>182</v>
      </c>
      <c r="I307" s="109">
        <v>1479577</v>
      </c>
      <c r="J307" s="109">
        <v>212</v>
      </c>
    </row>
    <row r="308" spans="1:10">
      <c r="A308" s="109">
        <v>400</v>
      </c>
      <c r="B308" s="109" t="s">
        <v>721</v>
      </c>
      <c r="G308" s="109" t="s">
        <v>422</v>
      </c>
      <c r="H308" s="109" t="s">
        <v>182</v>
      </c>
      <c r="I308" s="109">
        <v>1479577</v>
      </c>
      <c r="J308" s="109">
        <v>212</v>
      </c>
    </row>
    <row r="309" spans="1:10">
      <c r="A309" s="109">
        <v>404</v>
      </c>
      <c r="B309" s="109" t="s">
        <v>722</v>
      </c>
      <c r="G309" s="109" t="s">
        <v>723</v>
      </c>
      <c r="H309" s="109" t="s">
        <v>182</v>
      </c>
      <c r="I309" s="109">
        <v>1479577</v>
      </c>
      <c r="J309" s="109">
        <v>212</v>
      </c>
    </row>
    <row r="310" spans="1:10">
      <c r="A310" s="109">
        <v>449</v>
      </c>
      <c r="B310" s="109" t="s">
        <v>724</v>
      </c>
      <c r="G310" s="109" t="s">
        <v>445</v>
      </c>
      <c r="H310" s="109" t="s">
        <v>182</v>
      </c>
      <c r="I310" s="109">
        <v>1479577</v>
      </c>
      <c r="J310" s="109">
        <v>212</v>
      </c>
    </row>
    <row r="311" spans="1:10">
      <c r="A311" s="109">
        <v>40</v>
      </c>
      <c r="B311" s="109" t="s">
        <v>725</v>
      </c>
      <c r="G311" s="109" t="s">
        <v>726</v>
      </c>
      <c r="H311" s="109" t="s">
        <v>182</v>
      </c>
      <c r="I311" s="109">
        <v>1513779</v>
      </c>
      <c r="J311" s="109">
        <v>207</v>
      </c>
    </row>
    <row r="312" spans="1:10">
      <c r="A312" s="109">
        <v>136</v>
      </c>
      <c r="B312" s="109" t="s">
        <v>727</v>
      </c>
      <c r="G312" s="109" t="s">
        <v>728</v>
      </c>
      <c r="H312" s="109" t="s">
        <v>182</v>
      </c>
      <c r="I312" s="109">
        <v>1513779</v>
      </c>
      <c r="J312" s="109">
        <v>207</v>
      </c>
    </row>
    <row r="313" spans="1:10">
      <c r="A313" s="109">
        <v>73</v>
      </c>
      <c r="B313" s="109" t="s">
        <v>729</v>
      </c>
      <c r="G313" s="109" t="s">
        <v>730</v>
      </c>
      <c r="H313" s="109" t="s">
        <v>182</v>
      </c>
      <c r="I313" s="109">
        <v>1549150</v>
      </c>
      <c r="J313" s="109">
        <v>202</v>
      </c>
    </row>
    <row r="314" spans="1:10">
      <c r="A314" s="109">
        <v>183</v>
      </c>
      <c r="B314" s="109" t="s">
        <v>731</v>
      </c>
      <c r="G314" s="109" t="s">
        <v>732</v>
      </c>
      <c r="H314" s="109" t="s">
        <v>182</v>
      </c>
      <c r="I314" s="109">
        <v>1549150</v>
      </c>
      <c r="J314" s="109">
        <v>202</v>
      </c>
    </row>
    <row r="315" spans="1:10">
      <c r="A315" s="109">
        <v>247</v>
      </c>
      <c r="B315" s="109" t="s">
        <v>733</v>
      </c>
      <c r="H315" s="109" t="s">
        <v>182</v>
      </c>
      <c r="I315" s="109">
        <v>1549150</v>
      </c>
      <c r="J315" s="109">
        <v>202</v>
      </c>
    </row>
    <row r="316" spans="1:10">
      <c r="A316" s="109">
        <v>342</v>
      </c>
      <c r="B316" s="109" t="s">
        <v>734</v>
      </c>
      <c r="G316" s="109" t="s">
        <v>735</v>
      </c>
      <c r="H316" s="109" t="s">
        <v>182</v>
      </c>
      <c r="I316" s="109">
        <v>1549150</v>
      </c>
      <c r="J316" s="109">
        <v>202</v>
      </c>
    </row>
    <row r="317" spans="1:10">
      <c r="A317" s="109">
        <v>9</v>
      </c>
      <c r="B317" s="109" t="s">
        <v>736</v>
      </c>
      <c r="G317" s="109" t="s">
        <v>737</v>
      </c>
      <c r="H317" s="109" t="s">
        <v>182</v>
      </c>
      <c r="I317" s="109">
        <v>1586551</v>
      </c>
      <c r="J317" s="109">
        <v>196</v>
      </c>
    </row>
    <row r="318" spans="1:10">
      <c r="A318" s="109">
        <v>24</v>
      </c>
      <c r="B318" s="109" t="s">
        <v>738</v>
      </c>
      <c r="G318" s="109" t="s">
        <v>739</v>
      </c>
      <c r="H318" s="109" t="s">
        <v>182</v>
      </c>
      <c r="I318" s="109">
        <v>1586551</v>
      </c>
      <c r="J318" s="109">
        <v>196</v>
      </c>
    </row>
    <row r="319" spans="1:10">
      <c r="A319" s="109">
        <v>234</v>
      </c>
      <c r="B319" s="109" t="s">
        <v>740</v>
      </c>
      <c r="H319" s="109" t="s">
        <v>182</v>
      </c>
      <c r="I319" s="109">
        <v>1586551</v>
      </c>
      <c r="J319" s="109">
        <v>196</v>
      </c>
    </row>
    <row r="320" spans="1:10">
      <c r="A320" s="109">
        <v>235</v>
      </c>
      <c r="B320" s="109" t="s">
        <v>741</v>
      </c>
      <c r="G320" s="109" t="s">
        <v>189</v>
      </c>
      <c r="H320" s="109" t="s">
        <v>182</v>
      </c>
      <c r="I320" s="109">
        <v>1586551</v>
      </c>
      <c r="J320" s="109">
        <v>196</v>
      </c>
    </row>
    <row r="321" spans="1:10">
      <c r="A321" s="109">
        <v>266</v>
      </c>
      <c r="B321" s="109" t="s">
        <v>742</v>
      </c>
      <c r="G321" s="109" t="s">
        <v>743</v>
      </c>
      <c r="H321" s="109" t="s">
        <v>182</v>
      </c>
      <c r="I321" s="109">
        <v>1586551</v>
      </c>
      <c r="J321" s="109">
        <v>196</v>
      </c>
    </row>
    <row r="322" spans="1:10">
      <c r="A322" s="109">
        <v>278</v>
      </c>
      <c r="B322" s="109" t="s">
        <v>744</v>
      </c>
      <c r="G322" s="109" t="s">
        <v>745</v>
      </c>
      <c r="H322" s="109" t="s">
        <v>182</v>
      </c>
      <c r="I322" s="109">
        <v>1586551</v>
      </c>
      <c r="J322" s="109">
        <v>196</v>
      </c>
    </row>
    <row r="323" spans="1:10">
      <c r="A323" s="109">
        <v>439</v>
      </c>
      <c r="B323" s="109" t="s">
        <v>746</v>
      </c>
      <c r="G323" s="109" t="s">
        <v>191</v>
      </c>
      <c r="H323" s="109" t="s">
        <v>182</v>
      </c>
      <c r="I323" s="109">
        <v>1586551</v>
      </c>
      <c r="J323" s="109">
        <v>196</v>
      </c>
    </row>
    <row r="324" spans="1:10">
      <c r="A324" s="109">
        <v>199</v>
      </c>
      <c r="B324" s="109" t="s">
        <v>747</v>
      </c>
      <c r="G324" s="109" t="s">
        <v>748</v>
      </c>
      <c r="H324" s="109" t="s">
        <v>182</v>
      </c>
      <c r="I324" s="109">
        <v>1625979</v>
      </c>
      <c r="J324" s="109">
        <v>191</v>
      </c>
    </row>
    <row r="325" spans="1:10">
      <c r="A325" s="109">
        <v>213</v>
      </c>
      <c r="B325" s="109" t="s">
        <v>749</v>
      </c>
      <c r="G325" s="109" t="s">
        <v>750</v>
      </c>
      <c r="H325" s="109" t="s">
        <v>182</v>
      </c>
      <c r="I325" s="109">
        <v>1625979</v>
      </c>
      <c r="J325" s="109">
        <v>191</v>
      </c>
    </row>
    <row r="326" spans="1:10">
      <c r="A326" s="109">
        <v>288</v>
      </c>
      <c r="B326" s="109" t="s">
        <v>751</v>
      </c>
      <c r="G326" s="109" t="s">
        <v>751</v>
      </c>
      <c r="H326" s="109" t="s">
        <v>182</v>
      </c>
      <c r="I326" s="109">
        <v>1625979</v>
      </c>
      <c r="J326" s="109">
        <v>191</v>
      </c>
    </row>
    <row r="327" spans="1:10">
      <c r="A327" s="109">
        <v>345</v>
      </c>
      <c r="B327" s="109" t="s">
        <v>752</v>
      </c>
      <c r="G327" s="109" t="s">
        <v>753</v>
      </c>
      <c r="H327" s="109" t="s">
        <v>182</v>
      </c>
      <c r="I327" s="109">
        <v>1625979</v>
      </c>
      <c r="J327" s="109">
        <v>191</v>
      </c>
    </row>
    <row r="328" spans="1:10">
      <c r="A328" s="109">
        <v>51</v>
      </c>
      <c r="B328" s="109" t="s">
        <v>754</v>
      </c>
      <c r="G328" s="109" t="s">
        <v>754</v>
      </c>
      <c r="H328" s="109" t="s">
        <v>182</v>
      </c>
      <c r="I328" s="109">
        <v>1667111</v>
      </c>
      <c r="J328" s="109">
        <v>186</v>
      </c>
    </row>
    <row r="329" spans="1:10">
      <c r="A329" s="109">
        <v>303</v>
      </c>
      <c r="B329" s="109" t="s">
        <v>755</v>
      </c>
      <c r="G329" s="109" t="s">
        <v>756</v>
      </c>
      <c r="H329" s="109" t="s">
        <v>182</v>
      </c>
      <c r="I329" s="109">
        <v>1667111</v>
      </c>
      <c r="J329" s="109">
        <v>186</v>
      </c>
    </row>
    <row r="330" spans="1:10">
      <c r="A330" s="109">
        <v>307</v>
      </c>
      <c r="B330" s="109" t="s">
        <v>757</v>
      </c>
      <c r="G330" s="109" t="s">
        <v>758</v>
      </c>
      <c r="H330" s="109" t="s">
        <v>182</v>
      </c>
      <c r="I330" s="109">
        <v>1667111</v>
      </c>
      <c r="J330" s="109">
        <v>186</v>
      </c>
    </row>
    <row r="331" spans="1:10">
      <c r="A331" s="109">
        <v>329</v>
      </c>
      <c r="B331" s="109" t="s">
        <v>759</v>
      </c>
      <c r="G331" s="109" t="s">
        <v>760</v>
      </c>
      <c r="H331" s="109" t="s">
        <v>182</v>
      </c>
      <c r="I331" s="109">
        <v>1667111</v>
      </c>
      <c r="J331" s="109">
        <v>186</v>
      </c>
    </row>
    <row r="332" spans="1:10">
      <c r="A332" s="109">
        <v>428</v>
      </c>
      <c r="B332" s="109" t="s">
        <v>761</v>
      </c>
      <c r="G332" s="109" t="s">
        <v>762</v>
      </c>
      <c r="H332" s="109" t="s">
        <v>182</v>
      </c>
      <c r="I332" s="109">
        <v>1667111</v>
      </c>
      <c r="J332" s="109">
        <v>186</v>
      </c>
    </row>
    <row r="333" spans="1:10">
      <c r="A333" s="109">
        <v>214</v>
      </c>
      <c r="B333" s="109" t="s">
        <v>763</v>
      </c>
      <c r="G333" s="109" t="s">
        <v>764</v>
      </c>
      <c r="H333" s="109" t="s">
        <v>182</v>
      </c>
      <c r="I333" s="109">
        <v>1710436</v>
      </c>
      <c r="J333" s="109">
        <v>181</v>
      </c>
    </row>
    <row r="334" spans="1:10">
      <c r="A334" s="109">
        <v>237</v>
      </c>
      <c r="B334" s="109" t="s">
        <v>765</v>
      </c>
      <c r="G334" s="109" t="s">
        <v>765</v>
      </c>
      <c r="H334" s="109" t="s">
        <v>182</v>
      </c>
      <c r="I334" s="109">
        <v>1710436</v>
      </c>
      <c r="J334" s="109">
        <v>181</v>
      </c>
    </row>
    <row r="335" spans="1:10">
      <c r="A335" s="109">
        <v>276</v>
      </c>
      <c r="B335" s="109" t="s">
        <v>766</v>
      </c>
      <c r="G335" s="109" t="s">
        <v>767</v>
      </c>
      <c r="H335" s="109" t="s">
        <v>182</v>
      </c>
      <c r="I335" s="109">
        <v>1710436</v>
      </c>
      <c r="J335" s="109">
        <v>181</v>
      </c>
    </row>
    <row r="336" spans="1:10">
      <c r="A336" s="109">
        <v>298</v>
      </c>
      <c r="B336" s="109" t="s">
        <v>768</v>
      </c>
      <c r="H336" s="109" t="s">
        <v>182</v>
      </c>
      <c r="I336" s="109">
        <v>1710436</v>
      </c>
      <c r="J336" s="109">
        <v>181</v>
      </c>
    </row>
    <row r="337" spans="1:10">
      <c r="A337" s="109">
        <v>370</v>
      </c>
      <c r="B337" s="109" t="s">
        <v>769</v>
      </c>
      <c r="G337" s="109" t="s">
        <v>770</v>
      </c>
      <c r="H337" s="109" t="s">
        <v>182</v>
      </c>
      <c r="I337" s="109">
        <v>1710436</v>
      </c>
      <c r="J337" s="109">
        <v>181</v>
      </c>
    </row>
    <row r="338" spans="1:10">
      <c r="A338" s="109">
        <v>381</v>
      </c>
      <c r="B338" s="109" t="s">
        <v>771</v>
      </c>
      <c r="G338" s="109" t="s">
        <v>772</v>
      </c>
      <c r="H338" s="109" t="s">
        <v>182</v>
      </c>
      <c r="I338" s="109">
        <v>1710436</v>
      </c>
      <c r="J338" s="109">
        <v>181</v>
      </c>
    </row>
    <row r="339" spans="1:10">
      <c r="A339" s="109">
        <v>397</v>
      </c>
      <c r="B339" s="109" t="s">
        <v>773</v>
      </c>
      <c r="G339" s="109" t="s">
        <v>774</v>
      </c>
      <c r="H339" s="109" t="s">
        <v>182</v>
      </c>
      <c r="I339" s="109">
        <v>1710436</v>
      </c>
      <c r="J339" s="109">
        <v>181</v>
      </c>
    </row>
    <row r="340" spans="1:10">
      <c r="A340" s="109">
        <v>416</v>
      </c>
      <c r="B340" s="109" t="s">
        <v>775</v>
      </c>
      <c r="G340" s="109" t="s">
        <v>776</v>
      </c>
      <c r="H340" s="109" t="s">
        <v>182</v>
      </c>
      <c r="I340" s="109">
        <v>1710436</v>
      </c>
      <c r="J340" s="109">
        <v>181</v>
      </c>
    </row>
    <row r="341" spans="1:10">
      <c r="A341" s="109">
        <v>424</v>
      </c>
      <c r="B341" s="109" t="s">
        <v>777</v>
      </c>
      <c r="G341" s="109" t="s">
        <v>778</v>
      </c>
      <c r="H341" s="109" t="s">
        <v>182</v>
      </c>
      <c r="I341" s="109">
        <v>1710436</v>
      </c>
      <c r="J341" s="109">
        <v>181</v>
      </c>
    </row>
    <row r="342" spans="1:10">
      <c r="A342" s="109">
        <v>435</v>
      </c>
      <c r="B342" s="109" t="s">
        <v>779</v>
      </c>
      <c r="G342" s="109" t="s">
        <v>780</v>
      </c>
      <c r="H342" s="109" t="s">
        <v>182</v>
      </c>
      <c r="I342" s="109">
        <v>1710436</v>
      </c>
      <c r="J342" s="109">
        <v>181</v>
      </c>
    </row>
    <row r="343" spans="1:10">
      <c r="A343" s="109">
        <v>120</v>
      </c>
      <c r="B343" s="109" t="s">
        <v>781</v>
      </c>
      <c r="G343" s="109" t="s">
        <v>782</v>
      </c>
      <c r="H343" s="109" t="s">
        <v>182</v>
      </c>
      <c r="I343" s="109">
        <v>1755910</v>
      </c>
      <c r="J343" s="109">
        <v>176</v>
      </c>
    </row>
    <row r="344" spans="1:10">
      <c r="A344" s="109">
        <v>346</v>
      </c>
      <c r="B344" s="109" t="s">
        <v>783</v>
      </c>
      <c r="G344" s="109" t="s">
        <v>784</v>
      </c>
      <c r="H344" s="109" t="s">
        <v>182</v>
      </c>
      <c r="I344" s="109">
        <v>1755910</v>
      </c>
      <c r="J344" s="109">
        <v>176</v>
      </c>
    </row>
    <row r="345" spans="1:10">
      <c r="A345" s="109">
        <v>375</v>
      </c>
      <c r="B345" s="109" t="s">
        <v>785</v>
      </c>
      <c r="G345" s="109" t="s">
        <v>786</v>
      </c>
      <c r="H345" s="109" t="s">
        <v>182</v>
      </c>
      <c r="I345" s="109">
        <v>1755910</v>
      </c>
      <c r="J345" s="109">
        <v>176</v>
      </c>
    </row>
    <row r="346" spans="1:10">
      <c r="A346" s="109">
        <v>446</v>
      </c>
      <c r="B346" s="109" t="s">
        <v>787</v>
      </c>
      <c r="G346" s="109" t="s">
        <v>788</v>
      </c>
      <c r="H346" s="109" t="s">
        <v>182</v>
      </c>
      <c r="I346" s="109">
        <v>1755910</v>
      </c>
      <c r="J346" s="109">
        <v>176</v>
      </c>
    </row>
    <row r="347" spans="1:10">
      <c r="A347" s="109">
        <v>230</v>
      </c>
      <c r="B347" s="109" t="s">
        <v>789</v>
      </c>
      <c r="G347" s="109" t="s">
        <v>790</v>
      </c>
      <c r="H347" s="109" t="s">
        <v>182</v>
      </c>
      <c r="I347" s="109">
        <v>1803788</v>
      </c>
      <c r="J347" s="109">
        <v>171</v>
      </c>
    </row>
    <row r="348" spans="1:10">
      <c r="A348" s="109">
        <v>315</v>
      </c>
      <c r="B348" s="109" t="s">
        <v>791</v>
      </c>
      <c r="G348" s="109" t="s">
        <v>792</v>
      </c>
      <c r="H348" s="109" t="s">
        <v>182</v>
      </c>
      <c r="I348" s="109">
        <v>1803788</v>
      </c>
      <c r="J348" s="109">
        <v>171</v>
      </c>
    </row>
    <row r="349" spans="1:10">
      <c r="A349" s="109">
        <v>438</v>
      </c>
      <c r="B349" s="109" t="s">
        <v>793</v>
      </c>
      <c r="G349" s="109" t="s">
        <v>794</v>
      </c>
      <c r="H349" s="109" t="s">
        <v>182</v>
      </c>
      <c r="I349" s="109">
        <v>1803788</v>
      </c>
      <c r="J349" s="109">
        <v>171</v>
      </c>
    </row>
    <row r="350" spans="1:10">
      <c r="A350" s="109">
        <v>42</v>
      </c>
      <c r="B350" s="109" t="s">
        <v>795</v>
      </c>
      <c r="H350" s="109" t="s">
        <v>182</v>
      </c>
      <c r="I350" s="109">
        <v>1854671</v>
      </c>
      <c r="J350" s="109">
        <v>166</v>
      </c>
    </row>
    <row r="351" spans="1:10">
      <c r="A351" s="109">
        <v>131</v>
      </c>
      <c r="B351" s="109" t="s">
        <v>796</v>
      </c>
      <c r="G351" s="109" t="s">
        <v>797</v>
      </c>
      <c r="H351" s="109" t="s">
        <v>182</v>
      </c>
      <c r="I351" s="109">
        <v>1854671</v>
      </c>
      <c r="J351" s="109">
        <v>166</v>
      </c>
    </row>
    <row r="352" spans="1:10">
      <c r="A352" s="109">
        <v>207</v>
      </c>
      <c r="B352" s="109" t="s">
        <v>798</v>
      </c>
      <c r="G352" s="109" t="s">
        <v>799</v>
      </c>
      <c r="H352" s="109" t="s">
        <v>182</v>
      </c>
      <c r="I352" s="109">
        <v>1854671</v>
      </c>
      <c r="J352" s="109">
        <v>166</v>
      </c>
    </row>
    <row r="353" spans="1:10">
      <c r="A353" s="109">
        <v>236</v>
      </c>
      <c r="B353" s="109" t="s">
        <v>800</v>
      </c>
      <c r="G353" s="109" t="s">
        <v>801</v>
      </c>
      <c r="H353" s="109" t="s">
        <v>182</v>
      </c>
      <c r="I353" s="109">
        <v>1854671</v>
      </c>
      <c r="J353" s="109">
        <v>166</v>
      </c>
    </row>
    <row r="354" spans="1:10">
      <c r="A354" s="109">
        <v>245</v>
      </c>
      <c r="B354" s="109" t="s">
        <v>802</v>
      </c>
      <c r="G354" s="109" t="s">
        <v>803</v>
      </c>
      <c r="H354" s="109" t="s">
        <v>182</v>
      </c>
      <c r="I354" s="109">
        <v>1854671</v>
      </c>
      <c r="J354" s="109">
        <v>166</v>
      </c>
    </row>
    <row r="355" spans="1:10">
      <c r="A355" s="109">
        <v>332</v>
      </c>
      <c r="B355" s="109" t="s">
        <v>804</v>
      </c>
      <c r="H355" s="109" t="s">
        <v>182</v>
      </c>
      <c r="I355" s="109">
        <v>1854671</v>
      </c>
      <c r="J355" s="109">
        <v>166</v>
      </c>
    </row>
    <row r="356" spans="1:10">
      <c r="A356" s="109">
        <v>1</v>
      </c>
      <c r="B356" s="109" t="s">
        <v>805</v>
      </c>
      <c r="G356" s="109" t="s">
        <v>806</v>
      </c>
      <c r="H356" s="109" t="s">
        <v>182</v>
      </c>
      <c r="I356" s="109">
        <v>1907849</v>
      </c>
      <c r="J356" s="109">
        <v>161</v>
      </c>
    </row>
    <row r="357" spans="1:10">
      <c r="A357" s="109">
        <v>5</v>
      </c>
      <c r="B357" s="109" t="s">
        <v>807</v>
      </c>
      <c r="G357" s="109" t="s">
        <v>808</v>
      </c>
      <c r="H357" s="109" t="s">
        <v>182</v>
      </c>
      <c r="I357" s="109">
        <v>1907849</v>
      </c>
      <c r="J357" s="109">
        <v>161</v>
      </c>
    </row>
    <row r="358" spans="1:10">
      <c r="A358" s="109">
        <v>10</v>
      </c>
      <c r="B358" s="109" t="s">
        <v>809</v>
      </c>
      <c r="G358" s="109" t="s">
        <v>810</v>
      </c>
      <c r="H358" s="109" t="s">
        <v>182</v>
      </c>
      <c r="I358" s="109">
        <v>1907849</v>
      </c>
      <c r="J358" s="109">
        <v>161</v>
      </c>
    </row>
    <row r="359" spans="1:10">
      <c r="A359" s="109">
        <v>16</v>
      </c>
      <c r="B359" s="109" t="s">
        <v>811</v>
      </c>
      <c r="G359" s="109" t="s">
        <v>812</v>
      </c>
      <c r="H359" s="109" t="s">
        <v>182</v>
      </c>
      <c r="I359" s="109">
        <v>1907849</v>
      </c>
      <c r="J359" s="109">
        <v>161</v>
      </c>
    </row>
    <row r="360" spans="1:10">
      <c r="A360" s="109">
        <v>79</v>
      </c>
      <c r="B360" s="109" t="s">
        <v>813</v>
      </c>
      <c r="G360" s="109" t="s">
        <v>814</v>
      </c>
      <c r="H360" s="109" t="s">
        <v>182</v>
      </c>
      <c r="I360" s="109">
        <v>1907849</v>
      </c>
      <c r="J360" s="109">
        <v>161</v>
      </c>
    </row>
    <row r="361" spans="1:10">
      <c r="A361" s="109">
        <v>172</v>
      </c>
      <c r="B361" s="109" t="s">
        <v>815</v>
      </c>
      <c r="G361" s="109" t="s">
        <v>242</v>
      </c>
      <c r="H361" s="109" t="s">
        <v>182</v>
      </c>
      <c r="I361" s="109">
        <v>1907849</v>
      </c>
      <c r="J361" s="109">
        <v>161</v>
      </c>
    </row>
    <row r="362" spans="1:10">
      <c r="A362" s="109">
        <v>187</v>
      </c>
      <c r="B362" s="109" t="s">
        <v>816</v>
      </c>
      <c r="G362" s="109" t="s">
        <v>817</v>
      </c>
      <c r="H362" s="109" t="s">
        <v>182</v>
      </c>
      <c r="I362" s="109">
        <v>1907849</v>
      </c>
      <c r="J362" s="109">
        <v>161</v>
      </c>
    </row>
    <row r="363" spans="1:10">
      <c r="A363" s="109">
        <v>205</v>
      </c>
      <c r="B363" s="109" t="s">
        <v>818</v>
      </c>
      <c r="G363" s="109" t="s">
        <v>819</v>
      </c>
      <c r="H363" s="109" t="s">
        <v>182</v>
      </c>
      <c r="I363" s="109">
        <v>1907849</v>
      </c>
      <c r="J363" s="109">
        <v>161</v>
      </c>
    </row>
    <row r="364" spans="1:10">
      <c r="A364" s="109">
        <v>228</v>
      </c>
      <c r="B364" s="109" t="s">
        <v>820</v>
      </c>
      <c r="G364" s="109" t="s">
        <v>821</v>
      </c>
      <c r="H364" s="109" t="s">
        <v>182</v>
      </c>
      <c r="I364" s="109">
        <v>1907849</v>
      </c>
      <c r="J364" s="109">
        <v>161</v>
      </c>
    </row>
    <row r="365" spans="1:10">
      <c r="A365" s="109">
        <v>268</v>
      </c>
      <c r="B365" s="109" t="s">
        <v>822</v>
      </c>
      <c r="G365" s="109" t="s">
        <v>169</v>
      </c>
      <c r="H365" s="109" t="s">
        <v>182</v>
      </c>
      <c r="I365" s="109">
        <v>1907849</v>
      </c>
      <c r="J365" s="109">
        <v>161</v>
      </c>
    </row>
    <row r="366" spans="1:10">
      <c r="A366" s="109">
        <v>279</v>
      </c>
      <c r="B366" s="109" t="s">
        <v>823</v>
      </c>
      <c r="H366" s="109" t="s">
        <v>182</v>
      </c>
      <c r="I366" s="109">
        <v>1907849</v>
      </c>
      <c r="J366" s="109">
        <v>161</v>
      </c>
    </row>
    <row r="367" spans="1:10">
      <c r="A367" s="109">
        <v>296</v>
      </c>
      <c r="B367" s="109" t="s">
        <v>824</v>
      </c>
      <c r="G367" s="109" t="s">
        <v>825</v>
      </c>
      <c r="H367" s="109" t="s">
        <v>182</v>
      </c>
      <c r="I367" s="109">
        <v>1907849</v>
      </c>
      <c r="J367" s="109">
        <v>161</v>
      </c>
    </row>
    <row r="368" spans="1:10">
      <c r="A368" s="109">
        <v>13</v>
      </c>
      <c r="B368" s="109" t="s">
        <v>826</v>
      </c>
      <c r="G368" s="109" t="s">
        <v>827</v>
      </c>
      <c r="H368" s="109" t="s">
        <v>182</v>
      </c>
      <c r="I368" s="109">
        <v>1964625</v>
      </c>
      <c r="J368" s="109">
        <v>156</v>
      </c>
    </row>
    <row r="369" spans="1:10">
      <c r="A369" s="109">
        <v>23</v>
      </c>
      <c r="B369" s="109" t="s">
        <v>828</v>
      </c>
      <c r="G369" s="109" t="s">
        <v>829</v>
      </c>
      <c r="H369" s="109" t="s">
        <v>182</v>
      </c>
      <c r="I369" s="109">
        <v>1964625</v>
      </c>
      <c r="J369" s="109">
        <v>156</v>
      </c>
    </row>
    <row r="370" spans="1:10">
      <c r="A370" s="109">
        <v>27</v>
      </c>
      <c r="B370" s="109" t="s">
        <v>830</v>
      </c>
      <c r="G370" s="109" t="s">
        <v>224</v>
      </c>
      <c r="H370" s="109" t="s">
        <v>182</v>
      </c>
      <c r="I370" s="109">
        <v>1964625</v>
      </c>
      <c r="J370" s="109">
        <v>156</v>
      </c>
    </row>
    <row r="371" spans="1:10">
      <c r="A371" s="109">
        <v>125</v>
      </c>
      <c r="B371" s="109" t="s">
        <v>831</v>
      </c>
      <c r="G371" s="109" t="s">
        <v>832</v>
      </c>
      <c r="H371" s="109" t="s">
        <v>182</v>
      </c>
      <c r="I371" s="109">
        <v>1964625</v>
      </c>
      <c r="J371" s="109">
        <v>156</v>
      </c>
    </row>
    <row r="372" spans="1:10">
      <c r="A372" s="109">
        <v>269</v>
      </c>
      <c r="B372" s="109" t="s">
        <v>833</v>
      </c>
      <c r="G372" s="109" t="s">
        <v>834</v>
      </c>
      <c r="H372" s="109" t="s">
        <v>182</v>
      </c>
      <c r="I372" s="109">
        <v>1964625</v>
      </c>
      <c r="J372" s="109">
        <v>156</v>
      </c>
    </row>
    <row r="373" spans="1:10">
      <c r="A373" s="109">
        <v>358</v>
      </c>
      <c r="B373" s="109" t="s">
        <v>835</v>
      </c>
      <c r="G373" s="109" t="s">
        <v>835</v>
      </c>
      <c r="H373" s="109" t="s">
        <v>182</v>
      </c>
      <c r="I373" s="109">
        <v>1964625</v>
      </c>
      <c r="J373" s="109">
        <v>156</v>
      </c>
    </row>
    <row r="374" spans="1:10">
      <c r="A374" s="109">
        <v>392</v>
      </c>
      <c r="B374" s="109" t="s">
        <v>836</v>
      </c>
      <c r="G374" s="109" t="s">
        <v>836</v>
      </c>
      <c r="H374" s="109" t="s">
        <v>182</v>
      </c>
      <c r="I374" s="109">
        <v>1964625</v>
      </c>
      <c r="J374" s="109">
        <v>156</v>
      </c>
    </row>
    <row r="375" spans="1:10">
      <c r="A375" s="109">
        <v>422</v>
      </c>
      <c r="B375" s="109" t="s">
        <v>837</v>
      </c>
      <c r="G375" s="109" t="s">
        <v>838</v>
      </c>
      <c r="H375" s="109" t="s">
        <v>182</v>
      </c>
      <c r="I375" s="109">
        <v>1964625</v>
      </c>
      <c r="J375" s="109">
        <v>156</v>
      </c>
    </row>
    <row r="376" spans="1:10">
      <c r="A376" s="109">
        <v>453</v>
      </c>
      <c r="B376" s="109" t="s">
        <v>839</v>
      </c>
      <c r="G376" s="109" t="s">
        <v>189</v>
      </c>
      <c r="H376" s="109" t="s">
        <v>182</v>
      </c>
      <c r="I376" s="109">
        <v>1964625</v>
      </c>
      <c r="J376" s="109">
        <v>156</v>
      </c>
    </row>
    <row r="377" spans="1:10">
      <c r="A377" s="109">
        <v>17</v>
      </c>
      <c r="B377" s="109" t="s">
        <v>840</v>
      </c>
      <c r="H377" s="109" t="s">
        <v>182</v>
      </c>
      <c r="I377" s="109">
        <v>2024374</v>
      </c>
      <c r="J377" s="109">
        <v>151</v>
      </c>
    </row>
    <row r="378" spans="1:10">
      <c r="A378" s="109">
        <v>65</v>
      </c>
      <c r="B378" s="109" t="s">
        <v>841</v>
      </c>
      <c r="G378" s="109" t="s">
        <v>842</v>
      </c>
      <c r="H378" s="109" t="s">
        <v>182</v>
      </c>
      <c r="I378" s="109">
        <v>2024374</v>
      </c>
      <c r="J378" s="109">
        <v>151</v>
      </c>
    </row>
    <row r="379" spans="1:10">
      <c r="A379" s="109">
        <v>83</v>
      </c>
      <c r="B379" s="109" t="s">
        <v>843</v>
      </c>
      <c r="G379" s="109" t="s">
        <v>844</v>
      </c>
      <c r="H379" s="109" t="s">
        <v>182</v>
      </c>
      <c r="I379" s="109">
        <v>2024374</v>
      </c>
      <c r="J379" s="109">
        <v>151</v>
      </c>
    </row>
    <row r="380" spans="1:10">
      <c r="A380" s="109">
        <v>170</v>
      </c>
      <c r="B380" s="109" t="s">
        <v>845</v>
      </c>
      <c r="G380" s="109" t="s">
        <v>846</v>
      </c>
      <c r="H380" s="109" t="s">
        <v>182</v>
      </c>
      <c r="I380" s="109">
        <v>2024374</v>
      </c>
      <c r="J380" s="109">
        <v>151</v>
      </c>
    </row>
    <row r="381" spans="1:10">
      <c r="A381" s="109">
        <v>185</v>
      </c>
      <c r="B381" s="109" t="s">
        <v>847</v>
      </c>
      <c r="G381" s="109" t="s">
        <v>848</v>
      </c>
      <c r="H381" s="109" t="s">
        <v>182</v>
      </c>
      <c r="I381" s="109">
        <v>2024374</v>
      </c>
      <c r="J381" s="109">
        <v>151</v>
      </c>
    </row>
    <row r="382" spans="1:10">
      <c r="A382" s="109">
        <v>340</v>
      </c>
      <c r="B382" s="109" t="s">
        <v>849</v>
      </c>
      <c r="G382" s="109" t="s">
        <v>850</v>
      </c>
      <c r="H382" s="109" t="s">
        <v>182</v>
      </c>
      <c r="I382" s="109">
        <v>2024374</v>
      </c>
      <c r="J382" s="109">
        <v>151</v>
      </c>
    </row>
    <row r="383" spans="1:10">
      <c r="A383" s="109">
        <v>344</v>
      </c>
      <c r="B383" s="109" t="s">
        <v>851</v>
      </c>
      <c r="G383" s="109" t="s">
        <v>852</v>
      </c>
      <c r="H383" s="109" t="s">
        <v>182</v>
      </c>
      <c r="I383" s="109">
        <v>2024374</v>
      </c>
      <c r="J383" s="109">
        <v>151</v>
      </c>
    </row>
    <row r="384" spans="1:10">
      <c r="A384" s="109">
        <v>374</v>
      </c>
      <c r="B384" s="109" t="s">
        <v>853</v>
      </c>
      <c r="H384" s="109" t="s">
        <v>182</v>
      </c>
      <c r="I384" s="109">
        <v>2024374</v>
      </c>
      <c r="J384" s="109">
        <v>151</v>
      </c>
    </row>
    <row r="385" spans="1:10">
      <c r="A385" s="109">
        <v>391</v>
      </c>
      <c r="B385" s="109" t="s">
        <v>854</v>
      </c>
      <c r="G385" s="109" t="s">
        <v>855</v>
      </c>
      <c r="H385" s="109" t="s">
        <v>182</v>
      </c>
      <c r="I385" s="109">
        <v>2024374</v>
      </c>
      <c r="J385" s="109">
        <v>151</v>
      </c>
    </row>
    <row r="386" spans="1:10">
      <c r="A386" s="109">
        <v>405</v>
      </c>
      <c r="B386" s="109" t="s">
        <v>856</v>
      </c>
      <c r="G386" s="109" t="s">
        <v>857</v>
      </c>
      <c r="H386" s="109" t="s">
        <v>182</v>
      </c>
      <c r="I386" s="109">
        <v>2024374</v>
      </c>
      <c r="J386" s="109">
        <v>151</v>
      </c>
    </row>
    <row r="387" spans="1:10">
      <c r="A387" s="109">
        <v>414</v>
      </c>
      <c r="B387" s="109" t="s">
        <v>858</v>
      </c>
      <c r="G387" s="109" t="s">
        <v>859</v>
      </c>
      <c r="H387" s="109" t="s">
        <v>182</v>
      </c>
      <c r="I387" s="109">
        <v>2024374</v>
      </c>
      <c r="J387" s="109">
        <v>151</v>
      </c>
    </row>
    <row r="388" spans="1:10">
      <c r="A388" s="109">
        <v>2</v>
      </c>
      <c r="B388" s="109" t="s">
        <v>860</v>
      </c>
      <c r="G388" s="109" t="s">
        <v>670</v>
      </c>
      <c r="H388" s="109" t="s">
        <v>182</v>
      </c>
      <c r="I388" s="109">
        <v>2087692</v>
      </c>
      <c r="J388" s="109">
        <v>146</v>
      </c>
    </row>
    <row r="389" spans="1:10">
      <c r="A389" s="109">
        <v>47</v>
      </c>
      <c r="B389" s="109" t="s">
        <v>861</v>
      </c>
      <c r="G389" s="109" t="s">
        <v>271</v>
      </c>
      <c r="H389" s="109" t="s">
        <v>182</v>
      </c>
      <c r="I389" s="109">
        <v>2087692</v>
      </c>
      <c r="J389" s="109">
        <v>146</v>
      </c>
    </row>
    <row r="390" spans="1:10">
      <c r="A390" s="109">
        <v>117</v>
      </c>
      <c r="B390" s="109" t="s">
        <v>862</v>
      </c>
      <c r="G390" s="109" t="s">
        <v>862</v>
      </c>
      <c r="H390" s="109" t="s">
        <v>182</v>
      </c>
      <c r="I390" s="109">
        <v>2087692</v>
      </c>
      <c r="J390" s="109">
        <v>146</v>
      </c>
    </row>
    <row r="391" spans="1:10">
      <c r="A391" s="109">
        <v>124</v>
      </c>
      <c r="B391" s="109" t="s">
        <v>863</v>
      </c>
      <c r="H391" s="109" t="s">
        <v>182</v>
      </c>
      <c r="I391" s="109">
        <v>2087692</v>
      </c>
      <c r="J391" s="109">
        <v>146</v>
      </c>
    </row>
    <row r="392" spans="1:10">
      <c r="A392" s="109">
        <v>137</v>
      </c>
      <c r="B392" s="109" t="s">
        <v>864</v>
      </c>
      <c r="G392" s="109" t="s">
        <v>865</v>
      </c>
      <c r="H392" s="109" t="s">
        <v>182</v>
      </c>
      <c r="I392" s="109">
        <v>2087692</v>
      </c>
      <c r="J392" s="109">
        <v>146</v>
      </c>
    </row>
    <row r="393" spans="1:10">
      <c r="A393" s="109">
        <v>144</v>
      </c>
      <c r="B393" s="109" t="s">
        <v>866</v>
      </c>
      <c r="G393" s="109" t="s">
        <v>382</v>
      </c>
      <c r="H393" s="109" t="s">
        <v>182</v>
      </c>
      <c r="I393" s="109">
        <v>2087692</v>
      </c>
      <c r="J393" s="109">
        <v>146</v>
      </c>
    </row>
    <row r="394" spans="1:10">
      <c r="A394" s="109">
        <v>204</v>
      </c>
      <c r="B394" s="109" t="s">
        <v>867</v>
      </c>
      <c r="G394" s="109" t="s">
        <v>242</v>
      </c>
      <c r="H394" s="109" t="s">
        <v>182</v>
      </c>
      <c r="I394" s="109">
        <v>2087692</v>
      </c>
      <c r="J394" s="109">
        <v>146</v>
      </c>
    </row>
    <row r="395" spans="1:10">
      <c r="A395" s="109">
        <v>305</v>
      </c>
      <c r="B395" s="109" t="s">
        <v>868</v>
      </c>
      <c r="G395" s="109" t="s">
        <v>782</v>
      </c>
      <c r="H395" s="109" t="s">
        <v>182</v>
      </c>
      <c r="I395" s="109">
        <v>2087692</v>
      </c>
      <c r="J395" s="109">
        <v>146</v>
      </c>
    </row>
    <row r="396" spans="1:10">
      <c r="A396" s="109">
        <v>331</v>
      </c>
      <c r="B396" s="109" t="s">
        <v>869</v>
      </c>
      <c r="G396" s="109" t="s">
        <v>870</v>
      </c>
      <c r="H396" s="109" t="s">
        <v>182</v>
      </c>
      <c r="I396" s="109">
        <v>2087692</v>
      </c>
      <c r="J396" s="109">
        <v>146</v>
      </c>
    </row>
    <row r="397" spans="1:10">
      <c r="A397" s="109">
        <v>367</v>
      </c>
      <c r="B397" s="109" t="s">
        <v>871</v>
      </c>
      <c r="G397" s="109" t="s">
        <v>193</v>
      </c>
      <c r="H397" s="109" t="s">
        <v>182</v>
      </c>
      <c r="I397" s="109">
        <v>2087692</v>
      </c>
      <c r="J397" s="109">
        <v>146</v>
      </c>
    </row>
    <row r="398" spans="1:10">
      <c r="A398" s="109">
        <v>465</v>
      </c>
      <c r="B398" s="109" t="s">
        <v>872</v>
      </c>
      <c r="G398" s="109" t="s">
        <v>873</v>
      </c>
      <c r="H398" s="109" t="s">
        <v>182</v>
      </c>
      <c r="I398" s="109">
        <v>2087692</v>
      </c>
      <c r="J398" s="109">
        <v>146</v>
      </c>
    </row>
    <row r="399" spans="1:10">
      <c r="A399" s="109">
        <v>119</v>
      </c>
      <c r="B399" s="109" t="s">
        <v>874</v>
      </c>
      <c r="G399" s="109" t="s">
        <v>875</v>
      </c>
      <c r="H399" s="109" t="s">
        <v>182</v>
      </c>
      <c r="I399" s="109">
        <v>2155228</v>
      </c>
      <c r="J399" s="109">
        <v>141</v>
      </c>
    </row>
    <row r="400" spans="1:10">
      <c r="A400" s="109">
        <v>166</v>
      </c>
      <c r="B400" s="109" t="s">
        <v>876</v>
      </c>
      <c r="G400" s="109" t="s">
        <v>877</v>
      </c>
      <c r="H400" s="109" t="s">
        <v>182</v>
      </c>
      <c r="I400" s="109">
        <v>2155228</v>
      </c>
      <c r="J400" s="109">
        <v>141</v>
      </c>
    </row>
    <row r="401" spans="1:10">
      <c r="A401" s="109">
        <v>211</v>
      </c>
      <c r="B401" s="109" t="s">
        <v>878</v>
      </c>
      <c r="G401" s="109" t="s">
        <v>879</v>
      </c>
      <c r="H401" s="109" t="s">
        <v>182</v>
      </c>
      <c r="I401" s="109">
        <v>2155228</v>
      </c>
      <c r="J401" s="109">
        <v>141</v>
      </c>
    </row>
    <row r="402" spans="1:10">
      <c r="A402" s="109">
        <v>270</v>
      </c>
      <c r="B402" s="109" t="s">
        <v>880</v>
      </c>
      <c r="G402" s="109" t="s">
        <v>881</v>
      </c>
      <c r="H402" s="109" t="s">
        <v>182</v>
      </c>
      <c r="I402" s="109">
        <v>2155228</v>
      </c>
      <c r="J402" s="109">
        <v>141</v>
      </c>
    </row>
    <row r="403" spans="1:10">
      <c r="A403" s="109">
        <v>294</v>
      </c>
      <c r="B403" s="109" t="s">
        <v>882</v>
      </c>
      <c r="G403" s="109" t="s">
        <v>883</v>
      </c>
      <c r="H403" s="109" t="s">
        <v>182</v>
      </c>
      <c r="I403" s="109">
        <v>2155228</v>
      </c>
      <c r="J403" s="109">
        <v>141</v>
      </c>
    </row>
    <row r="404" spans="1:10">
      <c r="A404" s="109">
        <v>309</v>
      </c>
      <c r="B404" s="109" t="s">
        <v>884</v>
      </c>
      <c r="G404" s="109" t="s">
        <v>885</v>
      </c>
      <c r="H404" s="109" t="s">
        <v>182</v>
      </c>
      <c r="I404" s="109">
        <v>2155228</v>
      </c>
      <c r="J404" s="109">
        <v>141</v>
      </c>
    </row>
    <row r="405" spans="1:10">
      <c r="A405" s="109">
        <v>377</v>
      </c>
      <c r="B405" s="109" t="s">
        <v>886</v>
      </c>
      <c r="G405" s="109" t="s">
        <v>887</v>
      </c>
      <c r="H405" s="109" t="s">
        <v>182</v>
      </c>
      <c r="I405" s="109">
        <v>2155228</v>
      </c>
      <c r="J405" s="109">
        <v>141</v>
      </c>
    </row>
    <row r="406" spans="1:10">
      <c r="A406" s="109">
        <v>407</v>
      </c>
      <c r="B406" s="109" t="s">
        <v>888</v>
      </c>
      <c r="H406" s="109" t="s">
        <v>182</v>
      </c>
      <c r="I406" s="109">
        <v>2155228</v>
      </c>
      <c r="J406" s="109">
        <v>141</v>
      </c>
    </row>
    <row r="407" spans="1:10">
      <c r="A407" s="109">
        <v>44</v>
      </c>
      <c r="B407" s="109" t="s">
        <v>889</v>
      </c>
      <c r="G407" s="109" t="s">
        <v>890</v>
      </c>
      <c r="H407" s="109" t="s">
        <v>182</v>
      </c>
      <c r="I407" s="109">
        <v>2227509</v>
      </c>
      <c r="J407" s="109">
        <v>136</v>
      </c>
    </row>
    <row r="408" spans="1:10">
      <c r="A408" s="109">
        <v>173</v>
      </c>
      <c r="B408" s="109" t="s">
        <v>891</v>
      </c>
      <c r="G408" s="109" t="s">
        <v>892</v>
      </c>
      <c r="H408" s="109" t="s">
        <v>182</v>
      </c>
      <c r="I408" s="109">
        <v>2227509</v>
      </c>
      <c r="J408" s="109">
        <v>136</v>
      </c>
    </row>
    <row r="409" spans="1:10">
      <c r="A409" s="109">
        <v>178</v>
      </c>
      <c r="B409" s="109" t="s">
        <v>893</v>
      </c>
      <c r="G409" s="109" t="s">
        <v>894</v>
      </c>
      <c r="H409" s="109" t="s">
        <v>182</v>
      </c>
      <c r="I409" s="109">
        <v>2227509</v>
      </c>
      <c r="J409" s="109">
        <v>136</v>
      </c>
    </row>
    <row r="410" spans="1:10">
      <c r="A410" s="109">
        <v>181</v>
      </c>
      <c r="B410" s="109" t="s">
        <v>895</v>
      </c>
      <c r="G410" s="109" t="s">
        <v>896</v>
      </c>
      <c r="H410" s="109" t="s">
        <v>182</v>
      </c>
      <c r="I410" s="109">
        <v>2227509</v>
      </c>
      <c r="J410" s="109">
        <v>136</v>
      </c>
    </row>
    <row r="411" spans="1:10">
      <c r="A411" s="109">
        <v>182</v>
      </c>
      <c r="B411" s="109" t="s">
        <v>897</v>
      </c>
      <c r="G411" s="109" t="s">
        <v>898</v>
      </c>
      <c r="H411" s="109" t="s">
        <v>182</v>
      </c>
      <c r="I411" s="109">
        <v>2227509</v>
      </c>
      <c r="J411" s="109">
        <v>136</v>
      </c>
    </row>
    <row r="412" spans="1:10">
      <c r="A412" s="109">
        <v>218</v>
      </c>
      <c r="B412" s="109" t="s">
        <v>899</v>
      </c>
      <c r="G412" s="109" t="s">
        <v>899</v>
      </c>
      <c r="H412" s="109" t="s">
        <v>182</v>
      </c>
      <c r="I412" s="109">
        <v>2227509</v>
      </c>
      <c r="J412" s="109">
        <v>136</v>
      </c>
    </row>
    <row r="413" spans="1:10">
      <c r="A413" s="109">
        <v>302</v>
      </c>
      <c r="B413" s="109" t="s">
        <v>900</v>
      </c>
      <c r="G413" s="109" t="s">
        <v>901</v>
      </c>
      <c r="H413" s="109" t="s">
        <v>182</v>
      </c>
      <c r="I413" s="109">
        <v>2227509</v>
      </c>
      <c r="J413" s="109">
        <v>136</v>
      </c>
    </row>
    <row r="414" spans="1:10">
      <c r="A414" s="109">
        <v>324</v>
      </c>
      <c r="B414" s="109" t="s">
        <v>902</v>
      </c>
      <c r="G414" s="109" t="s">
        <v>903</v>
      </c>
      <c r="H414" s="109" t="s">
        <v>182</v>
      </c>
      <c r="I414" s="109">
        <v>2227509</v>
      </c>
      <c r="J414" s="109">
        <v>136</v>
      </c>
    </row>
    <row r="415" spans="1:10">
      <c r="A415" s="109">
        <v>333</v>
      </c>
      <c r="B415" s="109" t="s">
        <v>904</v>
      </c>
      <c r="G415" s="109" t="s">
        <v>905</v>
      </c>
      <c r="H415" s="109" t="s">
        <v>182</v>
      </c>
      <c r="I415" s="109">
        <v>2227509</v>
      </c>
      <c r="J415" s="109">
        <v>136</v>
      </c>
    </row>
    <row r="416" spans="1:10">
      <c r="A416" s="109">
        <v>383</v>
      </c>
      <c r="B416" s="109" t="s">
        <v>906</v>
      </c>
      <c r="G416" s="109" t="s">
        <v>907</v>
      </c>
      <c r="H416" s="109" t="s">
        <v>182</v>
      </c>
      <c r="I416" s="109">
        <v>2227509</v>
      </c>
      <c r="J416" s="109">
        <v>136</v>
      </c>
    </row>
    <row r="417" spans="1:10">
      <c r="A417" s="109">
        <v>450</v>
      </c>
      <c r="B417" s="109" t="s">
        <v>908</v>
      </c>
      <c r="G417" s="109" t="s">
        <v>184</v>
      </c>
      <c r="H417" s="109" t="s">
        <v>182</v>
      </c>
      <c r="I417" s="109">
        <v>2227509</v>
      </c>
      <c r="J417" s="109">
        <v>136</v>
      </c>
    </row>
    <row r="418" spans="1:10">
      <c r="A418" s="109">
        <v>49</v>
      </c>
      <c r="B418" s="109" t="s">
        <v>909</v>
      </c>
      <c r="G418" s="109" t="s">
        <v>910</v>
      </c>
      <c r="H418" s="109" t="s">
        <v>182</v>
      </c>
      <c r="I418" s="109">
        <v>2303861</v>
      </c>
      <c r="J418" s="109">
        <v>131</v>
      </c>
    </row>
    <row r="419" spans="1:10">
      <c r="A419" s="109">
        <v>190</v>
      </c>
      <c r="B419" s="109" t="s">
        <v>911</v>
      </c>
      <c r="H419" s="109" t="s">
        <v>182</v>
      </c>
      <c r="I419" s="109">
        <v>2303861</v>
      </c>
      <c r="J419" s="109">
        <v>131</v>
      </c>
    </row>
    <row r="420" spans="1:10">
      <c r="A420" s="109">
        <v>221</v>
      </c>
      <c r="B420" s="109" t="s">
        <v>912</v>
      </c>
      <c r="G420" s="109" t="s">
        <v>189</v>
      </c>
      <c r="H420" s="109" t="s">
        <v>182</v>
      </c>
      <c r="I420" s="109">
        <v>2303861</v>
      </c>
      <c r="J420" s="109">
        <v>131</v>
      </c>
    </row>
    <row r="421" spans="1:10">
      <c r="A421" s="109">
        <v>267</v>
      </c>
      <c r="B421" s="109" t="s">
        <v>913</v>
      </c>
      <c r="G421" s="109" t="s">
        <v>914</v>
      </c>
      <c r="H421" s="109" t="s">
        <v>182</v>
      </c>
      <c r="I421" s="109">
        <v>2303861</v>
      </c>
      <c r="J421" s="109">
        <v>131</v>
      </c>
    </row>
    <row r="422" spans="1:10">
      <c r="A422" s="109">
        <v>312</v>
      </c>
      <c r="B422" s="109" t="s">
        <v>915</v>
      </c>
      <c r="G422" s="109" t="s">
        <v>916</v>
      </c>
      <c r="H422" s="109" t="s">
        <v>182</v>
      </c>
      <c r="I422" s="109">
        <v>2303861</v>
      </c>
      <c r="J422" s="109">
        <v>131</v>
      </c>
    </row>
    <row r="423" spans="1:10">
      <c r="A423" s="109">
        <v>313</v>
      </c>
      <c r="B423" s="109" t="s">
        <v>917</v>
      </c>
      <c r="G423" s="109" t="s">
        <v>918</v>
      </c>
      <c r="H423" s="109" t="s">
        <v>182</v>
      </c>
      <c r="I423" s="109">
        <v>2303861</v>
      </c>
      <c r="J423" s="109">
        <v>131</v>
      </c>
    </row>
    <row r="424" spans="1:10">
      <c r="A424" s="109">
        <v>335</v>
      </c>
      <c r="B424" s="109" t="s">
        <v>919</v>
      </c>
      <c r="G424" s="109" t="s">
        <v>920</v>
      </c>
      <c r="H424" s="109" t="s">
        <v>182</v>
      </c>
      <c r="I424" s="109">
        <v>2303861</v>
      </c>
      <c r="J424" s="109">
        <v>131</v>
      </c>
    </row>
    <row r="425" spans="1:10">
      <c r="A425" s="109">
        <v>382</v>
      </c>
      <c r="B425" s="109" t="s">
        <v>921</v>
      </c>
      <c r="G425" s="109" t="s">
        <v>922</v>
      </c>
      <c r="H425" s="109" t="s">
        <v>182</v>
      </c>
      <c r="I425" s="109">
        <v>2303861</v>
      </c>
      <c r="J425" s="109">
        <v>131</v>
      </c>
    </row>
    <row r="426" spans="1:10">
      <c r="A426" s="109">
        <v>45</v>
      </c>
      <c r="B426" s="109" t="s">
        <v>923</v>
      </c>
      <c r="H426" s="109" t="s">
        <v>182</v>
      </c>
      <c r="I426" s="109">
        <v>2385541</v>
      </c>
      <c r="J426" s="109">
        <v>126</v>
      </c>
    </row>
    <row r="427" spans="1:10">
      <c r="A427" s="109">
        <v>53</v>
      </c>
      <c r="B427" s="109" t="s">
        <v>924</v>
      </c>
      <c r="H427" s="109" t="s">
        <v>182</v>
      </c>
      <c r="I427" s="109">
        <v>2385541</v>
      </c>
      <c r="J427" s="109">
        <v>126</v>
      </c>
    </row>
    <row r="428" spans="1:10">
      <c r="A428" s="109">
        <v>98</v>
      </c>
      <c r="B428" s="109" t="s">
        <v>925</v>
      </c>
      <c r="G428" s="109" t="s">
        <v>926</v>
      </c>
      <c r="H428" s="109" t="s">
        <v>182</v>
      </c>
      <c r="I428" s="109">
        <v>2385541</v>
      </c>
      <c r="J428" s="109">
        <v>126</v>
      </c>
    </row>
    <row r="429" spans="1:10">
      <c r="A429" s="109">
        <v>109</v>
      </c>
      <c r="B429" s="109" t="s">
        <v>927</v>
      </c>
      <c r="H429" s="109" t="s">
        <v>182</v>
      </c>
      <c r="I429" s="109">
        <v>2385541</v>
      </c>
      <c r="J429" s="109">
        <v>126</v>
      </c>
    </row>
    <row r="430" spans="1:10">
      <c r="A430" s="109">
        <v>122</v>
      </c>
      <c r="B430" s="109" t="s">
        <v>928</v>
      </c>
      <c r="G430" s="109" t="s">
        <v>929</v>
      </c>
      <c r="H430" s="109" t="s">
        <v>182</v>
      </c>
      <c r="I430" s="109">
        <v>2385541</v>
      </c>
      <c r="J430" s="109">
        <v>126</v>
      </c>
    </row>
    <row r="431" spans="1:10">
      <c r="A431" s="109">
        <v>153</v>
      </c>
      <c r="B431" s="109" t="s">
        <v>930</v>
      </c>
      <c r="G431" s="109" t="s">
        <v>931</v>
      </c>
      <c r="H431" s="109" t="s">
        <v>182</v>
      </c>
      <c r="I431" s="109">
        <v>2385541</v>
      </c>
      <c r="J431" s="109">
        <v>126</v>
      </c>
    </row>
    <row r="432" spans="1:10">
      <c r="A432" s="109">
        <v>250</v>
      </c>
      <c r="B432" s="109" t="s">
        <v>932</v>
      </c>
      <c r="H432" s="109" t="s">
        <v>182</v>
      </c>
      <c r="I432" s="109">
        <v>2385541</v>
      </c>
      <c r="J432" s="109">
        <v>126</v>
      </c>
    </row>
    <row r="433" spans="1:10">
      <c r="A433" s="109">
        <v>292</v>
      </c>
      <c r="B433" s="109" t="s">
        <v>933</v>
      </c>
      <c r="G433" s="109" t="s">
        <v>934</v>
      </c>
      <c r="H433" s="109" t="s">
        <v>182</v>
      </c>
      <c r="I433" s="109">
        <v>2385541</v>
      </c>
      <c r="J433" s="109">
        <v>126</v>
      </c>
    </row>
    <row r="434" spans="1:10">
      <c r="A434" s="109">
        <v>306</v>
      </c>
      <c r="B434" s="109" t="s">
        <v>935</v>
      </c>
      <c r="G434" s="109" t="s">
        <v>936</v>
      </c>
      <c r="H434" s="109" t="s">
        <v>182</v>
      </c>
      <c r="I434" s="109">
        <v>2385541</v>
      </c>
      <c r="J434" s="109">
        <v>126</v>
      </c>
    </row>
    <row r="435" spans="1:10">
      <c r="A435" s="109">
        <v>460</v>
      </c>
      <c r="B435" s="109" t="s">
        <v>937</v>
      </c>
      <c r="G435" s="109" t="s">
        <v>938</v>
      </c>
      <c r="H435" s="109" t="s">
        <v>182</v>
      </c>
      <c r="I435" s="109">
        <v>2385541</v>
      </c>
      <c r="J435" s="109">
        <v>126</v>
      </c>
    </row>
  </sheetData>
  <sheetProtection formatCells="0" insertHyperlinks="0" autoFilter="0"/>
  <autoFilter xmlns:etc="http://www.wps.cn/officeDocument/2017/etCustomData" ref="A1:R435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.6"/>
  <cols>
    <col min="1" max="1" width="34.6666666666667" style="20" customWidth="1"/>
    <col min="2" max="2" width="13.5833333333333" style="20" customWidth="1"/>
    <col min="3" max="3" width="10.3703703703704" style="20" customWidth="1"/>
    <col min="4" max="4" width="12.0833333333333" style="20" customWidth="1"/>
    <col min="5" max="5" width="42.9537037037037" style="20" customWidth="1"/>
    <col min="6" max="6" width="43.75" style="20" customWidth="1"/>
    <col min="7" max="7" width="38.9537037037037" style="20" customWidth="1"/>
    <col min="8" max="8" width="39.287037037037" style="20" customWidth="1"/>
    <col min="9" max="9" width="17.0462962962963" style="20" customWidth="1"/>
    <col min="10" max="10" width="14.8703703703704" style="20" customWidth="1"/>
    <col min="11" max="16384" width="9" style="20"/>
  </cols>
  <sheetData>
    <row r="1" ht="31.2" spans="1:10">
      <c r="A1" s="20" t="s">
        <v>148</v>
      </c>
      <c r="B1" s="20" t="s">
        <v>152</v>
      </c>
      <c r="C1" s="107" t="s">
        <v>155</v>
      </c>
      <c r="D1" s="20" t="s">
        <v>156</v>
      </c>
      <c r="E1" s="108" t="s">
        <v>939</v>
      </c>
      <c r="F1" s="108" t="s">
        <v>940</v>
      </c>
      <c r="G1" s="108" t="s">
        <v>941</v>
      </c>
      <c r="H1" s="108" t="s">
        <v>942</v>
      </c>
      <c r="I1" s="108" t="s">
        <v>943</v>
      </c>
      <c r="J1" s="108" t="s">
        <v>944</v>
      </c>
    </row>
    <row r="2" spans="1:8">
      <c r="A2" s="20" t="s">
        <v>164</v>
      </c>
      <c r="B2" s="20" t="s">
        <v>168</v>
      </c>
      <c r="C2" s="20">
        <v>401</v>
      </c>
      <c r="D2" s="20">
        <v>160890</v>
      </c>
      <c r="E2" s="20" t="str">
        <f>"front "&amp;A2</f>
        <v>front dash cam</v>
      </c>
      <c r="F2" s="20" t="str">
        <f>A2&amp;" front"</f>
        <v>dash cam front</v>
      </c>
      <c r="G2" s="20" t="str">
        <f>"4k "&amp;A2</f>
        <v>4k dash cam</v>
      </c>
      <c r="H2" s="20" t="str">
        <f>A2&amp;" 4k"</f>
        <v>dash cam 4k</v>
      </c>
    </row>
    <row r="3" spans="1:8">
      <c r="A3" s="20" t="s">
        <v>172</v>
      </c>
      <c r="B3" s="20" t="s">
        <v>168</v>
      </c>
      <c r="C3" s="20">
        <v>4603</v>
      </c>
      <c r="D3" s="20">
        <v>42727</v>
      </c>
      <c r="E3" s="20" t="str">
        <f t="shared" ref="E3:E36" si="0">"front "&amp;A3</f>
        <v>front dash camera for cars</v>
      </c>
      <c r="F3" s="20" t="str">
        <f t="shared" ref="F3:F36" si="1">A3&amp;" front"</f>
        <v>dash camera for cars front</v>
      </c>
      <c r="G3" s="20" t="str">
        <f t="shared" ref="G3:G36" si="2">"4k "&amp;A3</f>
        <v>4k dash camera for cars</v>
      </c>
      <c r="H3" s="20" t="str">
        <f t="shared" ref="H3:H36" si="3">A3&amp;" 4k"</f>
        <v>dash camera for cars 4k</v>
      </c>
    </row>
    <row r="4" spans="1:8">
      <c r="A4" s="20" t="s">
        <v>175</v>
      </c>
      <c r="B4" s="20" t="s">
        <v>168</v>
      </c>
      <c r="C4" s="20">
        <v>9483</v>
      </c>
      <c r="D4" s="20">
        <v>23045</v>
      </c>
      <c r="E4" s="20" t="str">
        <f t="shared" si="0"/>
        <v>front dashcam</v>
      </c>
      <c r="F4" s="20" t="str">
        <f t="shared" si="1"/>
        <v>dashcam front</v>
      </c>
      <c r="G4" s="20" t="str">
        <f t="shared" si="2"/>
        <v>4k dashcam</v>
      </c>
      <c r="H4" s="20" t="str">
        <f t="shared" si="3"/>
        <v>dashcam 4k</v>
      </c>
    </row>
    <row r="5" spans="1:8">
      <c r="A5" s="20" t="s">
        <v>183</v>
      </c>
      <c r="B5" s="20" t="s">
        <v>168</v>
      </c>
      <c r="C5" s="20">
        <v>17978</v>
      </c>
      <c r="D5" s="20">
        <v>13919</v>
      </c>
      <c r="E5" s="20" t="str">
        <f t="shared" si="0"/>
        <v>front car camera</v>
      </c>
      <c r="F5" s="20" t="str">
        <f t="shared" si="1"/>
        <v>car camera front</v>
      </c>
      <c r="G5" s="20" t="str">
        <f t="shared" si="2"/>
        <v>4k car camera</v>
      </c>
      <c r="H5" s="20" t="str">
        <f t="shared" si="3"/>
        <v>car camera 4k</v>
      </c>
    </row>
    <row r="6" spans="1:8">
      <c r="A6" s="20" t="s">
        <v>185</v>
      </c>
      <c r="B6" s="20" t="s">
        <v>168</v>
      </c>
      <c r="C6" s="20">
        <v>18214</v>
      </c>
      <c r="D6" s="20">
        <v>13747</v>
      </c>
      <c r="E6" s="20" t="str">
        <f t="shared" si="0"/>
        <v>front dash camera</v>
      </c>
      <c r="F6" s="20" t="str">
        <f t="shared" si="1"/>
        <v>dash camera front</v>
      </c>
      <c r="G6" s="20" t="str">
        <f t="shared" si="2"/>
        <v>4k dash camera</v>
      </c>
      <c r="H6" s="20" t="str">
        <f t="shared" si="3"/>
        <v>dash camera 4k</v>
      </c>
    </row>
    <row r="7" spans="1:8">
      <c r="A7" s="20" t="s">
        <v>186</v>
      </c>
      <c r="B7" s="20" t="s">
        <v>168</v>
      </c>
      <c r="C7" s="20">
        <v>23785</v>
      </c>
      <c r="D7" s="20">
        <v>10949</v>
      </c>
      <c r="E7" s="20" t="str">
        <f t="shared" si="0"/>
        <v>front car dash cam</v>
      </c>
      <c r="F7" s="20" t="str">
        <f t="shared" si="1"/>
        <v>car dash cam front</v>
      </c>
      <c r="G7" s="20" t="str">
        <f t="shared" si="2"/>
        <v>4k car dash cam</v>
      </c>
      <c r="H7" s="20" t="str">
        <f t="shared" si="3"/>
        <v>car dash cam 4k</v>
      </c>
    </row>
    <row r="8" spans="1:8">
      <c r="A8" s="20" t="s">
        <v>200</v>
      </c>
      <c r="B8" s="20" t="s">
        <v>168</v>
      </c>
      <c r="C8" s="20">
        <v>48493</v>
      </c>
      <c r="D8" s="20">
        <v>5853</v>
      </c>
      <c r="E8" s="20" t="str">
        <f t="shared" si="0"/>
        <v>front dashcams for cars</v>
      </c>
      <c r="F8" s="20" t="str">
        <f t="shared" si="1"/>
        <v>dashcams for cars front</v>
      </c>
      <c r="G8" s="20" t="str">
        <f t="shared" si="2"/>
        <v>4k dashcams for cars</v>
      </c>
      <c r="H8" s="20" t="str">
        <f t="shared" si="3"/>
        <v>dashcams for cars 4k</v>
      </c>
    </row>
    <row r="9" spans="1:8">
      <c r="A9" s="20" t="s">
        <v>201</v>
      </c>
      <c r="B9" s="20" t="s">
        <v>168</v>
      </c>
      <c r="C9" s="20">
        <v>50021</v>
      </c>
      <c r="D9" s="20">
        <v>5691</v>
      </c>
      <c r="E9" s="20" t="str">
        <f t="shared" si="0"/>
        <v>front camera for car</v>
      </c>
      <c r="F9" s="20" t="str">
        <f t="shared" si="1"/>
        <v>camera for car front</v>
      </c>
      <c r="G9" s="20" t="str">
        <f t="shared" si="2"/>
        <v>4k camera for car</v>
      </c>
      <c r="H9" s="20" t="str">
        <f t="shared" si="3"/>
        <v>camera for car 4k</v>
      </c>
    </row>
    <row r="10" spans="1:8">
      <c r="A10" s="20" t="s">
        <v>232</v>
      </c>
      <c r="B10" s="20" t="s">
        <v>168</v>
      </c>
      <c r="C10" s="20">
        <v>119514</v>
      </c>
      <c r="D10" s="20">
        <v>2565</v>
      </c>
      <c r="E10" s="20" t="str">
        <f t="shared" si="0"/>
        <v>front dash cams for cars</v>
      </c>
      <c r="F10" s="20" t="str">
        <f t="shared" si="1"/>
        <v>dash cams for cars front</v>
      </c>
      <c r="G10" s="20" t="str">
        <f t="shared" si="2"/>
        <v>4k dash cams for cars</v>
      </c>
      <c r="H10" s="20" t="str">
        <f t="shared" si="3"/>
        <v>dash cams for cars 4k</v>
      </c>
    </row>
    <row r="11" spans="1:8">
      <c r="A11" s="20" t="s">
        <v>240</v>
      </c>
      <c r="B11" s="20" t="s">
        <v>168</v>
      </c>
      <c r="C11" s="20">
        <v>170318</v>
      </c>
      <c r="D11" s="20">
        <v>1838</v>
      </c>
      <c r="E11" s="20" t="str">
        <f t="shared" si="0"/>
        <v>front dashboard camera</v>
      </c>
      <c r="F11" s="20" t="str">
        <f t="shared" si="1"/>
        <v>dashboard camera front</v>
      </c>
      <c r="G11" s="20" t="str">
        <f t="shared" si="2"/>
        <v>4k dashboard camera</v>
      </c>
      <c r="H11" s="20" t="str">
        <f t="shared" si="3"/>
        <v>dashboard camera 4k</v>
      </c>
    </row>
    <row r="12" spans="1:8">
      <c r="A12" s="20" t="s">
        <v>245</v>
      </c>
      <c r="B12" s="20" t="s">
        <v>168</v>
      </c>
      <c r="C12" s="20">
        <v>179492</v>
      </c>
      <c r="D12" s="20">
        <v>1747</v>
      </c>
      <c r="E12" s="20" t="str">
        <f t="shared" si="0"/>
        <v>front cámara para carro</v>
      </c>
      <c r="F12" s="20" t="str">
        <f t="shared" si="1"/>
        <v>cámara para carro front</v>
      </c>
      <c r="G12" s="20" t="str">
        <f t="shared" si="2"/>
        <v>4k cámara para carro</v>
      </c>
      <c r="H12" s="20" t="str">
        <f t="shared" si="3"/>
        <v>cámara para carro 4k</v>
      </c>
    </row>
    <row r="13" spans="1:8">
      <c r="A13" s="20" t="s">
        <v>262</v>
      </c>
      <c r="B13" s="20" t="s">
        <v>168</v>
      </c>
      <c r="C13" s="20">
        <v>208325</v>
      </c>
      <c r="D13" s="20">
        <v>1515</v>
      </c>
      <c r="E13" s="20" t="str">
        <f t="shared" si="0"/>
        <v>front car dash camera</v>
      </c>
      <c r="F13" s="20" t="str">
        <f t="shared" si="1"/>
        <v>car dash camera front</v>
      </c>
      <c r="G13" s="20" t="str">
        <f t="shared" si="2"/>
        <v>4k car dash camera</v>
      </c>
      <c r="H13" s="20" t="str">
        <f t="shared" si="3"/>
        <v>car dash camera 4k</v>
      </c>
    </row>
    <row r="14" spans="1:8">
      <c r="A14" s="20" t="s">
        <v>285</v>
      </c>
      <c r="B14" s="20" t="s">
        <v>168</v>
      </c>
      <c r="C14" s="20">
        <v>274306</v>
      </c>
      <c r="D14" s="20">
        <v>1161</v>
      </c>
      <c r="E14" s="20" t="str">
        <f t="shared" si="0"/>
        <v>front dashcams</v>
      </c>
      <c r="F14" s="20" t="str">
        <f t="shared" si="1"/>
        <v>dashcams front</v>
      </c>
      <c r="G14" s="20" t="str">
        <f t="shared" si="2"/>
        <v>4k dashcams</v>
      </c>
      <c r="H14" s="20" t="str">
        <f t="shared" si="3"/>
        <v>dashcams 4k</v>
      </c>
    </row>
    <row r="15" spans="1:8">
      <c r="A15" s="20" t="s">
        <v>296</v>
      </c>
      <c r="B15" s="20" t="s">
        <v>168</v>
      </c>
      <c r="C15" s="20">
        <v>284550</v>
      </c>
      <c r="D15" s="20">
        <v>1121</v>
      </c>
      <c r="E15" s="20" t="str">
        <f t="shared" si="0"/>
        <v>front car cam</v>
      </c>
      <c r="F15" s="20" t="str">
        <f t="shared" si="1"/>
        <v>car cam front</v>
      </c>
      <c r="G15" s="20" t="str">
        <f t="shared" si="2"/>
        <v>4k car cam</v>
      </c>
      <c r="H15" s="20" t="str">
        <f t="shared" si="3"/>
        <v>car cam 4k</v>
      </c>
    </row>
    <row r="16" spans="1:8">
      <c r="A16" s="20" t="s">
        <v>302</v>
      </c>
      <c r="B16" s="20" t="s">
        <v>168</v>
      </c>
      <c r="C16" s="20">
        <v>307277</v>
      </c>
      <c r="D16" s="20">
        <v>1040</v>
      </c>
      <c r="E16" s="20" t="str">
        <f t="shared" si="0"/>
        <v>front dash cam for car</v>
      </c>
      <c r="F16" s="20" t="str">
        <f t="shared" si="1"/>
        <v>dash cam for car front</v>
      </c>
      <c r="G16" s="20" t="str">
        <f t="shared" si="2"/>
        <v>4k dash cam for car</v>
      </c>
      <c r="H16" s="20" t="str">
        <f t="shared" si="3"/>
        <v>dash cam for car 4k</v>
      </c>
    </row>
    <row r="17" spans="1:8">
      <c r="A17" s="20" t="s">
        <v>169</v>
      </c>
      <c r="B17" s="20" t="s">
        <v>168</v>
      </c>
      <c r="C17" s="20">
        <v>311970</v>
      </c>
      <c r="D17" s="20">
        <v>1025</v>
      </c>
      <c r="E17" s="20" t="str">
        <f t="shared" si="0"/>
        <v>front 行车记录仪</v>
      </c>
      <c r="F17" s="20" t="str">
        <f t="shared" si="1"/>
        <v>行车记录仪 front</v>
      </c>
      <c r="G17" s="20" t="str">
        <f t="shared" si="2"/>
        <v>4k 行车记录仪</v>
      </c>
      <c r="H17" s="20" t="str">
        <f t="shared" si="3"/>
        <v>行车记录仪 4k</v>
      </c>
    </row>
    <row r="18" spans="1:8">
      <c r="A18" s="20" t="s">
        <v>326</v>
      </c>
      <c r="B18" s="20" t="s">
        <v>168</v>
      </c>
      <c r="C18" s="20">
        <v>346756</v>
      </c>
      <c r="D18" s="20">
        <v>924</v>
      </c>
      <c r="E18" s="20" t="str">
        <f t="shared" si="0"/>
        <v>front dash cameras</v>
      </c>
      <c r="F18" s="20" t="str">
        <f t="shared" si="1"/>
        <v>dash cameras front</v>
      </c>
      <c r="G18" s="20" t="str">
        <f t="shared" si="2"/>
        <v>4k dash cameras</v>
      </c>
      <c r="H18" s="20" t="str">
        <f t="shared" si="3"/>
        <v>dash cameras 4k</v>
      </c>
    </row>
    <row r="19" spans="1:8">
      <c r="A19" s="20" t="s">
        <v>360</v>
      </c>
      <c r="B19" s="20" t="s">
        <v>168</v>
      </c>
      <c r="C19" s="20">
        <v>475563</v>
      </c>
      <c r="D19" s="20">
        <v>676</v>
      </c>
      <c r="E19" s="20" t="str">
        <f t="shared" si="0"/>
        <v>front car dashcam</v>
      </c>
      <c r="F19" s="20" t="str">
        <f t="shared" si="1"/>
        <v>car dashcam front</v>
      </c>
      <c r="G19" s="20" t="str">
        <f t="shared" si="2"/>
        <v>4k car dashcam</v>
      </c>
      <c r="H19" s="20" t="str">
        <f t="shared" si="3"/>
        <v>car dashcam 4k</v>
      </c>
    </row>
    <row r="20" spans="1:8">
      <c r="A20" s="20" t="s">
        <v>365</v>
      </c>
      <c r="B20" s="20" t="s">
        <v>168</v>
      </c>
      <c r="C20" s="20">
        <v>490379</v>
      </c>
      <c r="D20" s="20">
        <v>656</v>
      </c>
      <c r="E20" s="20" t="str">
        <f t="shared" si="0"/>
        <v>front dadh cam</v>
      </c>
      <c r="F20" s="20" t="str">
        <f t="shared" si="1"/>
        <v>dadh cam front</v>
      </c>
      <c r="G20" s="20" t="str">
        <f t="shared" si="2"/>
        <v>4k dadh cam</v>
      </c>
      <c r="H20" s="20" t="str">
        <f t="shared" si="3"/>
        <v>dadh cam 4k</v>
      </c>
    </row>
    <row r="21" spans="1:8">
      <c r="A21" s="20" t="s">
        <v>378</v>
      </c>
      <c r="B21" s="20" t="s">
        <v>168</v>
      </c>
      <c r="C21" s="20">
        <v>513987</v>
      </c>
      <c r="D21" s="20">
        <v>626</v>
      </c>
      <c r="E21" s="20" t="str">
        <f t="shared" si="0"/>
        <v>front dash can</v>
      </c>
      <c r="F21" s="20" t="str">
        <f t="shared" si="1"/>
        <v>dash can front</v>
      </c>
      <c r="G21" s="20" t="str">
        <f t="shared" si="2"/>
        <v>4k dash can</v>
      </c>
      <c r="H21" s="20" t="str">
        <f t="shared" si="3"/>
        <v>dash can 4k</v>
      </c>
    </row>
    <row r="22" spans="1:8">
      <c r="A22" s="20" t="s">
        <v>388</v>
      </c>
      <c r="B22" s="20" t="s">
        <v>168</v>
      </c>
      <c r="C22" s="20">
        <v>526702</v>
      </c>
      <c r="D22" s="20">
        <v>611</v>
      </c>
      <c r="E22" s="20" t="str">
        <f t="shared" si="0"/>
        <v>front dash cam car</v>
      </c>
      <c r="F22" s="20" t="str">
        <f t="shared" si="1"/>
        <v>dash cam car front</v>
      </c>
      <c r="G22" s="20" t="str">
        <f t="shared" si="2"/>
        <v>4k dash cam car</v>
      </c>
      <c r="H22" s="20" t="str">
        <f t="shared" si="3"/>
        <v>dash cam car 4k</v>
      </c>
    </row>
    <row r="23" spans="1:8">
      <c r="A23" s="20" t="s">
        <v>389</v>
      </c>
      <c r="B23" s="20" t="s">
        <v>168</v>
      </c>
      <c r="C23" s="20">
        <v>531130</v>
      </c>
      <c r="D23" s="20">
        <v>606</v>
      </c>
      <c r="E23" s="20" t="str">
        <f t="shared" si="0"/>
        <v>front vehicle camera</v>
      </c>
      <c r="F23" s="20" t="str">
        <f t="shared" si="1"/>
        <v>vehicle camera front</v>
      </c>
      <c r="G23" s="20" t="str">
        <f t="shared" si="2"/>
        <v>4k vehicle camera</v>
      </c>
      <c r="H23" s="20" t="str">
        <f t="shared" si="3"/>
        <v>vehicle camera 4k</v>
      </c>
    </row>
    <row r="24" spans="1:8">
      <c r="A24" s="20" t="s">
        <v>401</v>
      </c>
      <c r="B24" s="20" t="s">
        <v>168</v>
      </c>
      <c r="C24" s="20">
        <v>544803</v>
      </c>
      <c r="D24" s="20">
        <v>590</v>
      </c>
      <c r="E24" s="20" t="str">
        <f t="shared" si="0"/>
        <v>front dashcam for cars</v>
      </c>
      <c r="F24" s="20" t="str">
        <f t="shared" si="1"/>
        <v>dashcam for cars front</v>
      </c>
      <c r="G24" s="20" t="str">
        <f t="shared" si="2"/>
        <v>4k dashcam for cars</v>
      </c>
      <c r="H24" s="20" t="str">
        <f t="shared" si="3"/>
        <v>dashcam for cars 4k</v>
      </c>
    </row>
    <row r="25" spans="1:8">
      <c r="A25" s="20" t="s">
        <v>423</v>
      </c>
      <c r="B25" s="20" t="s">
        <v>168</v>
      </c>
      <c r="C25" s="20">
        <v>574057</v>
      </c>
      <c r="D25" s="20">
        <v>560</v>
      </c>
      <c r="E25" s="20" t="str">
        <f t="shared" si="0"/>
        <v>front driving camera dash recorder</v>
      </c>
      <c r="F25" s="20" t="str">
        <f t="shared" si="1"/>
        <v>driving camera dash recorder front</v>
      </c>
      <c r="G25" s="20" t="str">
        <f t="shared" si="2"/>
        <v>4k driving camera dash recorder</v>
      </c>
      <c r="H25" s="20" t="str">
        <f t="shared" si="3"/>
        <v>driving camera dash recorder 4k</v>
      </c>
    </row>
    <row r="26" spans="1:8">
      <c r="A26" s="20" t="s">
        <v>428</v>
      </c>
      <c r="B26" s="20" t="s">
        <v>168</v>
      </c>
      <c r="C26" s="20">
        <v>579216</v>
      </c>
      <c r="D26" s="20">
        <v>555</v>
      </c>
      <c r="E26" s="20" t="str">
        <f t="shared" si="0"/>
        <v>front dash cam for cars</v>
      </c>
      <c r="F26" s="20" t="str">
        <f t="shared" si="1"/>
        <v>dash cam for cars front</v>
      </c>
      <c r="G26" s="20" t="str">
        <f t="shared" si="2"/>
        <v>4k dash cam for cars</v>
      </c>
      <c r="H26" s="20" t="str">
        <f t="shared" si="3"/>
        <v>dash cam for cars 4k</v>
      </c>
    </row>
    <row r="27" spans="1:8">
      <c r="A27" s="20" t="s">
        <v>463</v>
      </c>
      <c r="B27" s="20" t="s">
        <v>168</v>
      </c>
      <c r="C27" s="20">
        <v>691488</v>
      </c>
      <c r="D27" s="20">
        <v>464</v>
      </c>
      <c r="E27" s="20" t="str">
        <f t="shared" si="0"/>
        <v>front cameras for cars</v>
      </c>
      <c r="F27" s="20" t="str">
        <f t="shared" si="1"/>
        <v>cameras for cars front</v>
      </c>
      <c r="G27" s="20" t="str">
        <f t="shared" si="2"/>
        <v>4k cameras for cars</v>
      </c>
      <c r="H27" s="20" t="str">
        <f t="shared" si="3"/>
        <v>cameras for cars 4k</v>
      </c>
    </row>
    <row r="28" spans="1:8">
      <c r="A28" s="20" t="s">
        <v>465</v>
      </c>
      <c r="B28" s="20" t="s">
        <v>168</v>
      </c>
      <c r="C28" s="20">
        <v>699033</v>
      </c>
      <c r="D28" s="20">
        <v>459</v>
      </c>
      <c r="E28" s="20" t="str">
        <f t="shared" si="0"/>
        <v>front dashboard camera for cars</v>
      </c>
      <c r="F28" s="20" t="str">
        <f t="shared" si="1"/>
        <v>dashboard camera for cars front</v>
      </c>
      <c r="G28" s="20" t="str">
        <f t="shared" si="2"/>
        <v>4k dashboard camera for cars</v>
      </c>
      <c r="H28" s="20" t="str">
        <f t="shared" si="3"/>
        <v>dashboard camera for cars 4k</v>
      </c>
    </row>
    <row r="29" spans="1:8">
      <c r="A29" s="20" t="s">
        <v>470</v>
      </c>
      <c r="B29" s="20" t="s">
        <v>168</v>
      </c>
      <c r="C29" s="20">
        <v>722659</v>
      </c>
      <c r="D29" s="20">
        <v>444</v>
      </c>
      <c r="E29" s="20" t="str">
        <f t="shared" si="0"/>
        <v>front video recorder for car</v>
      </c>
      <c r="F29" s="20" t="str">
        <f t="shared" si="1"/>
        <v>video recorder for car front</v>
      </c>
      <c r="G29" s="20" t="str">
        <f t="shared" si="2"/>
        <v>4k video recorder for car</v>
      </c>
      <c r="H29" s="20" t="str">
        <f t="shared" si="3"/>
        <v>video recorder for car 4k</v>
      </c>
    </row>
    <row r="30" spans="1:8">
      <c r="A30" s="20" t="s">
        <v>474</v>
      </c>
      <c r="B30" s="20" t="s">
        <v>168</v>
      </c>
      <c r="C30" s="20">
        <v>730750</v>
      </c>
      <c r="D30" s="20">
        <v>439</v>
      </c>
      <c r="E30" s="20" t="str">
        <f t="shared" si="0"/>
        <v>front camera for cars</v>
      </c>
      <c r="F30" s="20" t="str">
        <f t="shared" si="1"/>
        <v>camera for cars front</v>
      </c>
      <c r="G30" s="20" t="str">
        <f t="shared" si="2"/>
        <v>4k camera for cars</v>
      </c>
      <c r="H30" s="20" t="str">
        <f t="shared" si="3"/>
        <v>camera for cars 4k</v>
      </c>
    </row>
    <row r="31" spans="1:8">
      <c r="A31" s="20" t="s">
        <v>528</v>
      </c>
      <c r="B31" s="20" t="s">
        <v>168</v>
      </c>
      <c r="C31" s="20">
        <v>868382</v>
      </c>
      <c r="D31" s="20">
        <v>368</v>
      </c>
      <c r="E31" s="20" t="str">
        <f t="shared" si="0"/>
        <v>front drive camera for car</v>
      </c>
      <c r="F31" s="20" t="str">
        <f t="shared" si="1"/>
        <v>drive camera for car front</v>
      </c>
      <c r="G31" s="20" t="str">
        <f t="shared" si="2"/>
        <v>4k drive camera for car</v>
      </c>
      <c r="H31" s="20" t="str">
        <f t="shared" si="3"/>
        <v>drive camera for car 4k</v>
      </c>
    </row>
    <row r="32" spans="1:8">
      <c r="A32" s="20" t="s">
        <v>580</v>
      </c>
      <c r="B32" s="20" t="s">
        <v>168</v>
      </c>
      <c r="C32" s="20">
        <v>987104</v>
      </c>
      <c r="D32" s="20">
        <v>323</v>
      </c>
      <c r="E32" s="20" t="str">
        <f t="shared" si="0"/>
        <v>front dashcan</v>
      </c>
      <c r="F32" s="20" t="str">
        <f t="shared" si="1"/>
        <v>dashcan front</v>
      </c>
      <c r="G32" s="20" t="str">
        <f t="shared" si="2"/>
        <v>4k dashcan</v>
      </c>
      <c r="H32" s="20" t="str">
        <f t="shared" si="3"/>
        <v>dashcan 4k</v>
      </c>
    </row>
    <row r="33" spans="1:8">
      <c r="A33" s="20" t="s">
        <v>587</v>
      </c>
      <c r="B33" s="20" t="s">
        <v>168</v>
      </c>
      <c r="C33" s="20">
        <v>1002404</v>
      </c>
      <c r="D33" s="20">
        <v>318</v>
      </c>
      <c r="E33" s="20" t="str">
        <f t="shared" si="0"/>
        <v>front car recorder</v>
      </c>
      <c r="F33" s="20" t="str">
        <f t="shared" si="1"/>
        <v>car recorder front</v>
      </c>
      <c r="G33" s="20" t="str">
        <f t="shared" si="2"/>
        <v>4k car recorder</v>
      </c>
      <c r="H33" s="20" t="str">
        <f t="shared" si="3"/>
        <v>car recorder 4k</v>
      </c>
    </row>
    <row r="34" spans="1:8">
      <c r="A34" s="20" t="s">
        <v>656</v>
      </c>
      <c r="B34" s="20" t="s">
        <v>168</v>
      </c>
      <c r="C34" s="20">
        <v>1277446</v>
      </c>
      <c r="D34" s="20">
        <v>247</v>
      </c>
      <c r="E34" s="20" t="str">
        <f t="shared" si="0"/>
        <v>front dash cameras for cars</v>
      </c>
      <c r="F34" s="20" t="str">
        <f t="shared" si="1"/>
        <v>dash cameras for cars front</v>
      </c>
      <c r="G34" s="20" t="str">
        <f t="shared" si="2"/>
        <v>4k dash cameras for cars</v>
      </c>
      <c r="H34" s="20" t="str">
        <f t="shared" si="3"/>
        <v>dash cameras for cars 4k</v>
      </c>
    </row>
    <row r="35" spans="1:8">
      <c r="A35" s="20" t="s">
        <v>690</v>
      </c>
      <c r="B35" s="20" t="s">
        <v>168</v>
      </c>
      <c r="C35" s="20">
        <v>1357003</v>
      </c>
      <c r="D35" s="20">
        <v>232</v>
      </c>
      <c r="E35" s="20" t="str">
        <f t="shared" si="0"/>
        <v>front camera dash cam</v>
      </c>
      <c r="F35" s="20" t="str">
        <f t="shared" si="1"/>
        <v>camera dash cam front</v>
      </c>
      <c r="G35" s="20" t="str">
        <f t="shared" si="2"/>
        <v>4k camera dash cam</v>
      </c>
      <c r="H35" s="20" t="str">
        <f t="shared" si="3"/>
        <v>camera dash cam 4k</v>
      </c>
    </row>
    <row r="36" spans="1:8">
      <c r="A36" s="20" t="s">
        <v>700</v>
      </c>
      <c r="B36" s="20" t="s">
        <v>168</v>
      </c>
      <c r="C36" s="20">
        <v>1385855</v>
      </c>
      <c r="D36" s="20">
        <v>227</v>
      </c>
      <c r="E36" s="20" t="str">
        <f t="shared" si="0"/>
        <v>front drive cam</v>
      </c>
      <c r="F36" s="20" t="str">
        <f t="shared" si="1"/>
        <v>drive cam front</v>
      </c>
      <c r="G36" s="20" t="str">
        <f t="shared" si="2"/>
        <v>4k drive cam</v>
      </c>
      <c r="H36" s="20" t="str">
        <f t="shared" si="3"/>
        <v>drive cam 4k</v>
      </c>
    </row>
  </sheetData>
  <sheetProtection formatCells="0" insertHyperlinks="0" autoFilter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"/>
  <sheetViews>
    <sheetView zoomScale="80" zoomScaleNormal="80" workbookViewId="0">
      <selection activeCell="C3" sqref="C3"/>
    </sheetView>
  </sheetViews>
  <sheetFormatPr defaultColWidth="25.5" defaultRowHeight="26" customHeight="1" outlineLevelRow="4" outlineLevelCol="1"/>
  <sheetData>
    <row r="5" customHeight="1" spans="2:2">
      <c r="B5" s="1"/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2"/>
  <sheetViews>
    <sheetView zoomScale="70" zoomScaleNormal="70" workbookViewId="0">
      <pane ySplit="3" topLeftCell="A4" activePane="bottomLeft" state="frozen"/>
      <selection/>
      <selection pane="bottomLeft" activeCell="AB4" sqref="AB4"/>
    </sheetView>
  </sheetViews>
  <sheetFormatPr defaultColWidth="9" defaultRowHeight="15.6"/>
  <cols>
    <col min="1" max="1" width="13.787037037037" style="21" customWidth="1"/>
    <col min="2" max="2" width="10.0833333333333" style="21" customWidth="1"/>
    <col min="3" max="3" width="13.787037037037" style="21" customWidth="1"/>
    <col min="4" max="4" width="7" style="51" customWidth="1"/>
    <col min="5" max="6" width="5.87037037037037" style="52" customWidth="1"/>
    <col min="7" max="7" width="6.25" style="21" customWidth="1"/>
    <col min="8" max="8" width="7" style="21" customWidth="1"/>
    <col min="9" max="9" width="7.37037037037037" style="21" customWidth="1"/>
    <col min="10" max="10" width="6.37037037037037" style="21" customWidth="1"/>
    <col min="11" max="11" width="8.62962962962963" style="21" customWidth="1"/>
    <col min="12" max="12" width="6.37037037037037" style="53" customWidth="1"/>
    <col min="13" max="13" width="5.5" style="54" customWidth="1"/>
    <col min="14" max="17" width="6.12962962962963" style="21" customWidth="1"/>
    <col min="18" max="18" width="7.12962962962963" style="55" customWidth="1"/>
    <col min="19" max="19" width="6.12962962962963" style="51" customWidth="1"/>
    <col min="20" max="20" width="6.12962962962963" style="21" customWidth="1"/>
    <col min="21" max="21" width="10" style="55" customWidth="1"/>
    <col min="22" max="22" width="9.37037037037037" style="51" customWidth="1"/>
    <col min="23" max="23" width="6.62962962962963" style="53" customWidth="1"/>
    <col min="24" max="24" width="7.62962962962963" style="21" customWidth="1"/>
    <col min="25" max="25" width="8.87037037037037" style="21" customWidth="1"/>
    <col min="26" max="26" width="6.87037037037037" style="56" customWidth="1"/>
    <col min="27" max="27" width="8.37037037037037" style="51" customWidth="1"/>
    <col min="28" max="28" width="8.9537037037037" style="21" customWidth="1"/>
    <col min="29" max="29" width="33" style="21" customWidth="1"/>
    <col min="30" max="30" width="35.1296296296296" style="21" customWidth="1"/>
    <col min="31" max="16383" width="12.75" style="21"/>
    <col min="16384" max="16384" width="9" style="21"/>
  </cols>
  <sheetData>
    <row r="1" s="21" customFormat="1" ht="20" customHeight="1" spans="1:22">
      <c r="A1" s="57" t="s">
        <v>945</v>
      </c>
      <c r="B1" s="57"/>
      <c r="C1" s="57"/>
      <c r="M1" s="54"/>
      <c r="U1" s="55"/>
      <c r="V1" s="51"/>
    </row>
    <row r="2" s="21" customFormat="1" ht="20" customHeight="1" spans="4:30">
      <c r="D2" s="58" t="s">
        <v>120</v>
      </c>
      <c r="E2" s="59"/>
      <c r="F2" s="59"/>
      <c r="G2" s="59"/>
      <c r="H2" s="59"/>
      <c r="I2" s="59"/>
      <c r="J2" s="59"/>
      <c r="K2" s="59"/>
      <c r="L2" s="59"/>
      <c r="M2" s="71"/>
      <c r="N2" s="72" t="s">
        <v>121</v>
      </c>
      <c r="O2" s="73"/>
      <c r="P2" s="73"/>
      <c r="Q2" s="73"/>
      <c r="R2" s="84"/>
      <c r="S2" s="85"/>
      <c r="T2" s="73"/>
      <c r="U2" s="84"/>
      <c r="V2" s="85"/>
      <c r="W2" s="53"/>
      <c r="Z2" s="56"/>
      <c r="AA2" s="51"/>
      <c r="AB2" s="97" t="s">
        <v>122</v>
      </c>
      <c r="AC2" s="98" t="s">
        <v>123</v>
      </c>
      <c r="AD2" s="99"/>
    </row>
    <row r="3" s="20" customFormat="1" ht="32.25" customHeight="1" spans="1:30">
      <c r="A3" s="60" t="s">
        <v>124</v>
      </c>
      <c r="B3" s="60" t="s">
        <v>946</v>
      </c>
      <c r="C3" s="60" t="s">
        <v>67</v>
      </c>
      <c r="D3" s="61" t="s">
        <v>2</v>
      </c>
      <c r="E3" s="62" t="s">
        <v>3</v>
      </c>
      <c r="F3" s="62" t="s">
        <v>4</v>
      </c>
      <c r="G3" s="63" t="s">
        <v>125</v>
      </c>
      <c r="H3" s="63" t="s">
        <v>20</v>
      </c>
      <c r="I3" s="74" t="s">
        <v>126</v>
      </c>
      <c r="J3" s="63" t="s">
        <v>127</v>
      </c>
      <c r="K3" s="74" t="s">
        <v>947</v>
      </c>
      <c r="L3" s="75" t="s">
        <v>73</v>
      </c>
      <c r="M3" s="76" t="s">
        <v>129</v>
      </c>
      <c r="N3" s="77" t="s">
        <v>130</v>
      </c>
      <c r="O3" s="77" t="s">
        <v>131</v>
      </c>
      <c r="P3" s="77" t="s">
        <v>132</v>
      </c>
      <c r="Q3" s="77" t="s">
        <v>133</v>
      </c>
      <c r="R3" s="86" t="s">
        <v>128</v>
      </c>
      <c r="S3" s="87" t="s">
        <v>134</v>
      </c>
      <c r="T3" s="88" t="s">
        <v>135</v>
      </c>
      <c r="U3" s="86" t="s">
        <v>136</v>
      </c>
      <c r="V3" s="89" t="s">
        <v>69</v>
      </c>
      <c r="W3" s="90" t="s">
        <v>137</v>
      </c>
      <c r="X3" s="91" t="s">
        <v>138</v>
      </c>
      <c r="Y3" s="100" t="s">
        <v>139</v>
      </c>
      <c r="Z3" s="101" t="s">
        <v>948</v>
      </c>
      <c r="AA3" s="102" t="s">
        <v>140</v>
      </c>
      <c r="AB3" s="103" t="s">
        <v>949</v>
      </c>
      <c r="AC3" s="104" t="s">
        <v>142</v>
      </c>
      <c r="AD3" s="104" t="s">
        <v>143</v>
      </c>
    </row>
    <row r="4" s="49" customFormat="1" ht="20" customHeight="1" spans="1:28">
      <c r="A4" s="64" t="s">
        <v>84</v>
      </c>
      <c r="B4" s="64" t="s">
        <v>950</v>
      </c>
      <c r="C4" s="64">
        <v>45397</v>
      </c>
      <c r="E4" s="65">
        <v>0</v>
      </c>
      <c r="F4" s="65">
        <v>0</v>
      </c>
      <c r="G4" s="66"/>
      <c r="H4" s="66"/>
      <c r="I4" s="66"/>
      <c r="J4" s="66"/>
      <c r="K4" s="78"/>
      <c r="L4" s="79"/>
      <c r="M4" s="80"/>
      <c r="N4" s="66"/>
      <c r="O4" s="66">
        <f>SUM(Q4/R4)</f>
        <v>0</v>
      </c>
      <c r="Q4" s="66"/>
      <c r="R4" s="92">
        <v>0.05</v>
      </c>
      <c r="S4" s="93">
        <v>1.5</v>
      </c>
      <c r="T4" s="49">
        <f>SUM(O4*S4)</f>
        <v>0</v>
      </c>
      <c r="U4" s="92" t="e">
        <f>SUM(S4/R4/D4)</f>
        <v>#DIV/0!</v>
      </c>
      <c r="V4" s="94" t="e">
        <f>SUM(T4/Q4)</f>
        <v>#DIV/0!</v>
      </c>
      <c r="W4" s="79"/>
      <c r="Y4" s="78"/>
      <c r="Z4" s="105"/>
      <c r="AA4" s="94"/>
      <c r="AB4" s="66"/>
    </row>
    <row r="5" s="49" customFormat="1" ht="20" customHeight="1" spans="1:28">
      <c r="A5" s="64" t="s">
        <v>84</v>
      </c>
      <c r="B5" s="64" t="s">
        <v>951</v>
      </c>
      <c r="C5" s="64">
        <v>45398</v>
      </c>
      <c r="E5" s="65">
        <v>0</v>
      </c>
      <c r="F5" s="65">
        <v>0</v>
      </c>
      <c r="G5" s="66"/>
      <c r="H5" s="66"/>
      <c r="I5" s="66"/>
      <c r="J5" s="66"/>
      <c r="K5" s="78"/>
      <c r="L5" s="79"/>
      <c r="M5" s="80"/>
      <c r="N5" s="66"/>
      <c r="O5" s="66">
        <f>SUM(Q5/R5)</f>
        <v>0</v>
      </c>
      <c r="Q5" s="66"/>
      <c r="R5" s="92">
        <v>0.05</v>
      </c>
      <c r="S5" s="93">
        <v>1.5</v>
      </c>
      <c r="T5" s="49">
        <f>SUM(O5*S5)</f>
        <v>0</v>
      </c>
      <c r="U5" s="92" t="e">
        <f>SUM(S5/R5/D5)</f>
        <v>#DIV/0!</v>
      </c>
      <c r="V5" s="94" t="e">
        <f>SUM(T5/Q5)</f>
        <v>#DIV/0!</v>
      </c>
      <c r="W5" s="79"/>
      <c r="Y5" s="78"/>
      <c r="Z5" s="105"/>
      <c r="AA5" s="94"/>
      <c r="AB5" s="66"/>
    </row>
    <row r="6" s="49" customFormat="1" ht="20" customHeight="1" spans="1:28">
      <c r="A6" s="64" t="s">
        <v>84</v>
      </c>
      <c r="B6" s="64" t="s">
        <v>952</v>
      </c>
      <c r="C6" s="64">
        <v>45399</v>
      </c>
      <c r="E6" s="65">
        <v>0</v>
      </c>
      <c r="F6" s="65">
        <v>0</v>
      </c>
      <c r="G6" s="66"/>
      <c r="H6" s="66"/>
      <c r="I6" s="66"/>
      <c r="J6" s="66"/>
      <c r="K6" s="78"/>
      <c r="L6" s="79"/>
      <c r="M6" s="80"/>
      <c r="N6" s="66"/>
      <c r="O6" s="66">
        <f>SUM(Q6/R6)</f>
        <v>0</v>
      </c>
      <c r="Q6" s="66"/>
      <c r="R6" s="92">
        <v>0.05</v>
      </c>
      <c r="S6" s="93">
        <v>1.5</v>
      </c>
      <c r="T6" s="49">
        <f>SUM(O6*S6)</f>
        <v>0</v>
      </c>
      <c r="U6" s="92" t="e">
        <f>SUM(S6/R6/D6)</f>
        <v>#DIV/0!</v>
      </c>
      <c r="V6" s="94" t="e">
        <f>SUM(T6/Q6)</f>
        <v>#DIV/0!</v>
      </c>
      <c r="W6" s="79"/>
      <c r="Y6" s="78"/>
      <c r="Z6" s="105"/>
      <c r="AA6" s="94"/>
      <c r="AB6" s="66"/>
    </row>
    <row r="7" s="49" customFormat="1" ht="20" customHeight="1" spans="1:27">
      <c r="A7" s="64" t="s">
        <v>84</v>
      </c>
      <c r="B7" s="64" t="s">
        <v>953</v>
      </c>
      <c r="C7" s="64">
        <v>45400</v>
      </c>
      <c r="E7" s="65">
        <v>0</v>
      </c>
      <c r="F7" s="65">
        <v>0</v>
      </c>
      <c r="G7" s="66"/>
      <c r="H7" s="66"/>
      <c r="K7" s="78"/>
      <c r="L7" s="81"/>
      <c r="M7" s="80"/>
      <c r="O7" s="66">
        <f>SUM(Q7/R7)</f>
        <v>0</v>
      </c>
      <c r="Q7" s="66"/>
      <c r="R7" s="92">
        <v>0.05</v>
      </c>
      <c r="S7" s="93">
        <v>1.5</v>
      </c>
      <c r="T7" s="49">
        <f>SUM(O7*S7)</f>
        <v>0</v>
      </c>
      <c r="U7" s="92" t="e">
        <f>SUM(S7/R7/D7)</f>
        <v>#DIV/0!</v>
      </c>
      <c r="V7" s="94" t="e">
        <f>SUM(T7/Q7)</f>
        <v>#DIV/0!</v>
      </c>
      <c r="W7" s="81"/>
      <c r="AA7" s="93"/>
    </row>
    <row r="8" s="50" customFormat="1" spans="1:27">
      <c r="A8" s="64" t="s">
        <v>84</v>
      </c>
      <c r="B8" s="64" t="s">
        <v>954</v>
      </c>
      <c r="C8" s="64">
        <v>45401</v>
      </c>
      <c r="D8" s="49"/>
      <c r="E8" s="65">
        <v>0</v>
      </c>
      <c r="F8" s="65">
        <v>0</v>
      </c>
      <c r="L8" s="82"/>
      <c r="M8" s="83"/>
      <c r="R8" s="95"/>
      <c r="S8" s="96"/>
      <c r="U8" s="95"/>
      <c r="V8" s="96"/>
      <c r="W8" s="82"/>
      <c r="Z8" s="106"/>
      <c r="AA8" s="96"/>
    </row>
    <row r="9" s="50" customFormat="1" spans="1:27">
      <c r="A9" s="64" t="s">
        <v>84</v>
      </c>
      <c r="B9" s="64" t="s">
        <v>955</v>
      </c>
      <c r="C9" s="64">
        <v>45402</v>
      </c>
      <c r="D9" s="49"/>
      <c r="E9" s="65">
        <v>0</v>
      </c>
      <c r="F9" s="65">
        <v>0</v>
      </c>
      <c r="L9" s="82"/>
      <c r="M9" s="83"/>
      <c r="R9" s="95"/>
      <c r="S9" s="96"/>
      <c r="U9" s="95"/>
      <c r="V9" s="96"/>
      <c r="W9" s="82"/>
      <c r="Z9" s="106"/>
      <c r="AA9" s="96"/>
    </row>
    <row r="10" s="50" customFormat="1" spans="1:27">
      <c r="A10" s="64" t="s">
        <v>84</v>
      </c>
      <c r="B10" s="64" t="s">
        <v>956</v>
      </c>
      <c r="C10" s="64">
        <v>45403</v>
      </c>
      <c r="D10" s="49"/>
      <c r="E10" s="65"/>
      <c r="F10" s="65"/>
      <c r="L10" s="82"/>
      <c r="M10" s="83"/>
      <c r="R10" s="95"/>
      <c r="S10" s="96"/>
      <c r="U10" s="95"/>
      <c r="V10" s="96"/>
      <c r="W10" s="82"/>
      <c r="Z10" s="106"/>
      <c r="AA10" s="96"/>
    </row>
    <row r="11" s="50" customFormat="1" spans="1:27">
      <c r="A11" s="67" t="s">
        <v>957</v>
      </c>
      <c r="B11" s="67"/>
      <c r="C11" s="64"/>
      <c r="D11" s="49"/>
      <c r="E11" s="65"/>
      <c r="F11" s="65"/>
      <c r="L11" s="82"/>
      <c r="M11" s="83"/>
      <c r="R11" s="95"/>
      <c r="S11" s="96"/>
      <c r="U11" s="95"/>
      <c r="V11" s="96"/>
      <c r="W11" s="82"/>
      <c r="Z11" s="106"/>
      <c r="AA11" s="96"/>
    </row>
    <row r="12" spans="1:6">
      <c r="A12" s="50" t="s">
        <v>86</v>
      </c>
      <c r="B12" s="50" t="s">
        <v>950</v>
      </c>
      <c r="C12" s="64">
        <v>45404</v>
      </c>
      <c r="D12" s="68"/>
      <c r="E12" s="65">
        <v>0</v>
      </c>
      <c r="F12" s="65">
        <v>0</v>
      </c>
    </row>
    <row r="13" spans="1:6">
      <c r="A13" s="50" t="s">
        <v>86</v>
      </c>
      <c r="B13" s="50" t="s">
        <v>951</v>
      </c>
      <c r="C13" s="64">
        <v>45405</v>
      </c>
      <c r="D13" s="68"/>
      <c r="E13" s="65">
        <v>0</v>
      </c>
      <c r="F13" s="65">
        <v>0</v>
      </c>
    </row>
    <row r="14" spans="1:6">
      <c r="A14" s="50" t="s">
        <v>86</v>
      </c>
      <c r="B14" s="50" t="s">
        <v>952</v>
      </c>
      <c r="C14" s="64">
        <v>45406</v>
      </c>
      <c r="D14" s="68"/>
      <c r="E14" s="65">
        <v>0</v>
      </c>
      <c r="F14" s="65">
        <v>0</v>
      </c>
    </row>
    <row r="15" spans="1:6">
      <c r="A15" s="50" t="s">
        <v>86</v>
      </c>
      <c r="B15" s="50" t="s">
        <v>953</v>
      </c>
      <c r="C15" s="64">
        <v>45407</v>
      </c>
      <c r="D15" s="68"/>
      <c r="E15" s="65">
        <v>0</v>
      </c>
      <c r="F15" s="65">
        <v>0</v>
      </c>
    </row>
    <row r="16" spans="1:6">
      <c r="A16" s="50" t="s">
        <v>86</v>
      </c>
      <c r="B16" s="50" t="s">
        <v>954</v>
      </c>
      <c r="C16" s="64">
        <v>45408</v>
      </c>
      <c r="D16" s="68"/>
      <c r="E16" s="65">
        <v>0</v>
      </c>
      <c r="F16" s="65">
        <v>0</v>
      </c>
    </row>
    <row r="17" spans="1:6">
      <c r="A17" s="50" t="s">
        <v>86</v>
      </c>
      <c r="B17" s="50" t="s">
        <v>955</v>
      </c>
      <c r="C17" s="64">
        <v>45409</v>
      </c>
      <c r="D17" s="68"/>
      <c r="E17" s="65">
        <v>0</v>
      </c>
      <c r="F17" s="65">
        <v>0</v>
      </c>
    </row>
    <row r="18" spans="1:6">
      <c r="A18" s="50" t="s">
        <v>86</v>
      </c>
      <c r="B18" s="50" t="s">
        <v>956</v>
      </c>
      <c r="C18" s="64">
        <v>45410</v>
      </c>
      <c r="D18" s="68"/>
      <c r="E18" s="65">
        <v>0</v>
      </c>
      <c r="F18" s="65">
        <v>0</v>
      </c>
    </row>
    <row r="19" spans="1:6">
      <c r="A19" s="50" t="s">
        <v>958</v>
      </c>
      <c r="B19" s="50"/>
      <c r="C19" s="64"/>
      <c r="D19" s="69"/>
      <c r="E19" s="65"/>
      <c r="F19" s="65"/>
    </row>
    <row r="20" spans="1:6">
      <c r="A20" s="50" t="s">
        <v>88</v>
      </c>
      <c r="B20" s="50" t="s">
        <v>950</v>
      </c>
      <c r="C20" s="64">
        <v>45411</v>
      </c>
      <c r="E20" s="65">
        <v>0</v>
      </c>
      <c r="F20" s="65">
        <v>0</v>
      </c>
    </row>
    <row r="21" spans="1:6">
      <c r="A21" s="50" t="s">
        <v>88</v>
      </c>
      <c r="B21" s="50" t="s">
        <v>951</v>
      </c>
      <c r="C21" s="64">
        <v>45412</v>
      </c>
      <c r="E21" s="65">
        <v>0</v>
      </c>
      <c r="F21" s="65">
        <v>0</v>
      </c>
    </row>
    <row r="22" spans="1:6">
      <c r="A22" s="50" t="s">
        <v>88</v>
      </c>
      <c r="B22" s="50" t="s">
        <v>952</v>
      </c>
      <c r="C22" s="64">
        <v>45413</v>
      </c>
      <c r="E22" s="65">
        <v>0</v>
      </c>
      <c r="F22" s="65">
        <v>0</v>
      </c>
    </row>
    <row r="23" spans="1:6">
      <c r="A23" s="50" t="s">
        <v>88</v>
      </c>
      <c r="B23" s="50" t="s">
        <v>953</v>
      </c>
      <c r="C23" s="64">
        <v>45414</v>
      </c>
      <c r="E23" s="65">
        <v>0</v>
      </c>
      <c r="F23" s="65">
        <v>0</v>
      </c>
    </row>
    <row r="24" spans="1:6">
      <c r="A24" s="50" t="s">
        <v>88</v>
      </c>
      <c r="B24" s="50" t="s">
        <v>954</v>
      </c>
      <c r="C24" s="64">
        <v>45415</v>
      </c>
      <c r="E24" s="65">
        <v>0</v>
      </c>
      <c r="F24" s="65">
        <v>0</v>
      </c>
    </row>
    <row r="25" spans="1:6">
      <c r="A25" s="50" t="s">
        <v>88</v>
      </c>
      <c r="B25" s="50" t="s">
        <v>955</v>
      </c>
      <c r="C25" s="64">
        <v>45416</v>
      </c>
      <c r="E25" s="65">
        <v>0</v>
      </c>
      <c r="F25" s="65">
        <v>0</v>
      </c>
    </row>
    <row r="26" spans="1:6">
      <c r="A26" s="50" t="s">
        <v>88</v>
      </c>
      <c r="B26" s="50" t="s">
        <v>956</v>
      </c>
      <c r="C26" s="64">
        <v>45417</v>
      </c>
      <c r="E26" s="65">
        <v>0</v>
      </c>
      <c r="F26" s="65">
        <v>0</v>
      </c>
    </row>
    <row r="27" spans="1:6">
      <c r="A27" s="50" t="s">
        <v>959</v>
      </c>
      <c r="B27" s="50"/>
      <c r="C27" s="64"/>
      <c r="E27" s="65"/>
      <c r="F27" s="65"/>
    </row>
    <row r="28" spans="1:6">
      <c r="A28" s="50" t="s">
        <v>90</v>
      </c>
      <c r="B28" s="50" t="s">
        <v>950</v>
      </c>
      <c r="C28" s="64">
        <v>45418</v>
      </c>
      <c r="E28" s="65">
        <v>0</v>
      </c>
      <c r="F28" s="65">
        <v>0</v>
      </c>
    </row>
    <row r="29" spans="1:6">
      <c r="A29" s="50" t="s">
        <v>90</v>
      </c>
      <c r="B29" s="50" t="s">
        <v>951</v>
      </c>
      <c r="C29" s="64">
        <v>45419</v>
      </c>
      <c r="E29" s="65">
        <v>0</v>
      </c>
      <c r="F29" s="65">
        <v>0</v>
      </c>
    </row>
    <row r="30" spans="1:6">
      <c r="A30" s="50" t="s">
        <v>90</v>
      </c>
      <c r="B30" s="50" t="s">
        <v>952</v>
      </c>
      <c r="C30" s="64">
        <v>45420</v>
      </c>
      <c r="E30" s="65">
        <v>0</v>
      </c>
      <c r="F30" s="65">
        <v>0</v>
      </c>
    </row>
    <row r="31" spans="1:6">
      <c r="A31" s="50" t="s">
        <v>90</v>
      </c>
      <c r="B31" s="50" t="s">
        <v>953</v>
      </c>
      <c r="C31" s="64">
        <v>45421</v>
      </c>
      <c r="E31" s="65">
        <v>0</v>
      </c>
      <c r="F31" s="65">
        <v>0</v>
      </c>
    </row>
    <row r="32" spans="1:6">
      <c r="A32" s="50" t="s">
        <v>90</v>
      </c>
      <c r="B32" s="50" t="s">
        <v>954</v>
      </c>
      <c r="C32" s="64">
        <v>45422</v>
      </c>
      <c r="E32" s="65">
        <v>0</v>
      </c>
      <c r="F32" s="65">
        <v>0</v>
      </c>
    </row>
    <row r="33" spans="1:6">
      <c r="A33" s="50" t="s">
        <v>90</v>
      </c>
      <c r="B33" s="50" t="s">
        <v>955</v>
      </c>
      <c r="C33" s="64">
        <v>45423</v>
      </c>
      <c r="E33" s="65">
        <v>0</v>
      </c>
      <c r="F33" s="65">
        <v>0</v>
      </c>
    </row>
    <row r="34" spans="1:6">
      <c r="A34" s="50" t="s">
        <v>90</v>
      </c>
      <c r="B34" s="50" t="s">
        <v>956</v>
      </c>
      <c r="C34" s="64">
        <v>45424</v>
      </c>
      <c r="E34" s="65">
        <v>0</v>
      </c>
      <c r="F34" s="65">
        <v>0</v>
      </c>
    </row>
    <row r="35" spans="1:6">
      <c r="A35" s="50" t="s">
        <v>960</v>
      </c>
      <c r="B35" s="50"/>
      <c r="C35" s="64"/>
      <c r="E35" s="70"/>
      <c r="F35" s="70"/>
    </row>
    <row r="36" spans="1:3">
      <c r="A36" s="50" t="s">
        <v>92</v>
      </c>
      <c r="B36" s="50" t="s">
        <v>950</v>
      </c>
      <c r="C36" s="64">
        <v>45425</v>
      </c>
    </row>
    <row r="37" spans="1:3">
      <c r="A37" s="50" t="s">
        <v>92</v>
      </c>
      <c r="B37" s="50" t="s">
        <v>951</v>
      </c>
      <c r="C37" s="64">
        <v>45426</v>
      </c>
    </row>
    <row r="38" spans="1:3">
      <c r="A38" s="50" t="s">
        <v>92</v>
      </c>
      <c r="B38" s="50" t="s">
        <v>952</v>
      </c>
      <c r="C38" s="64">
        <v>45427</v>
      </c>
    </row>
    <row r="39" spans="1:3">
      <c r="A39" s="50" t="s">
        <v>92</v>
      </c>
      <c r="B39" s="50" t="s">
        <v>953</v>
      </c>
      <c r="C39" s="64">
        <v>45428</v>
      </c>
    </row>
    <row r="40" spans="1:3">
      <c r="A40" s="50" t="s">
        <v>92</v>
      </c>
      <c r="B40" s="50" t="s">
        <v>954</v>
      </c>
      <c r="C40" s="64">
        <v>45429</v>
      </c>
    </row>
    <row r="41" spans="1:3">
      <c r="A41" s="50" t="s">
        <v>92</v>
      </c>
      <c r="B41" s="50" t="s">
        <v>955</v>
      </c>
      <c r="C41" s="64">
        <v>45430</v>
      </c>
    </row>
    <row r="42" spans="1:3">
      <c r="A42" s="50" t="s">
        <v>92</v>
      </c>
      <c r="B42" s="50" t="s">
        <v>956</v>
      </c>
      <c r="C42" s="64">
        <v>45431</v>
      </c>
    </row>
  </sheetData>
  <sheetProtection formatCells="0" insertHyperlinks="0" autoFilter="0"/>
  <mergeCells count="4">
    <mergeCell ref="A1:AB1"/>
    <mergeCell ref="D2:M2"/>
    <mergeCell ref="N2:V2"/>
    <mergeCell ref="AC2:AD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V24" sqref="V24"/>
    </sheetView>
  </sheetViews>
  <sheetFormatPr defaultColWidth="8.73148148148148" defaultRowHeight="14.4"/>
  <sheetData>
    <row r="1" s="20" customFormat="1" ht="20.4" spans="1:21">
      <c r="A1" s="22" t="s">
        <v>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42"/>
    </row>
    <row r="2" s="20" customFormat="1" ht="47.25" customHeight="1" spans="1:21">
      <c r="A2" s="24" t="s">
        <v>40</v>
      </c>
      <c r="B2" s="25" t="s">
        <v>67</v>
      </c>
      <c r="C2" s="26" t="s">
        <v>41</v>
      </c>
      <c r="D2" s="26" t="s">
        <v>42</v>
      </c>
      <c r="E2" s="27" t="s">
        <v>43</v>
      </c>
      <c r="F2" s="28" t="s">
        <v>44</v>
      </c>
      <c r="G2" s="28" t="s">
        <v>45</v>
      </c>
      <c r="H2" s="28" t="s">
        <v>46</v>
      </c>
      <c r="I2" s="28" t="s">
        <v>47</v>
      </c>
      <c r="J2" s="28" t="s">
        <v>48</v>
      </c>
      <c r="K2" s="39" t="s">
        <v>49</v>
      </c>
      <c r="L2" s="28" t="s">
        <v>50</v>
      </c>
      <c r="M2" s="28" t="s">
        <v>51</v>
      </c>
      <c r="N2" s="28" t="s">
        <v>52</v>
      </c>
      <c r="O2" s="40" t="s">
        <v>53</v>
      </c>
      <c r="P2" s="28" t="s">
        <v>54</v>
      </c>
      <c r="Q2" s="28" t="s">
        <v>55</v>
      </c>
      <c r="R2" s="40" t="s">
        <v>56</v>
      </c>
      <c r="S2" s="43" t="s">
        <v>57</v>
      </c>
      <c r="T2" s="28" t="s">
        <v>58</v>
      </c>
      <c r="U2" s="44" t="s">
        <v>59</v>
      </c>
    </row>
    <row r="3" s="21" customFormat="1" ht="19" customHeight="1" spans="1:16384">
      <c r="A3" s="29" t="s">
        <v>22</v>
      </c>
      <c r="B3" s="30" t="s">
        <v>84</v>
      </c>
      <c r="C3" s="31">
        <v>23.99</v>
      </c>
      <c r="D3" s="32">
        <v>0.25</v>
      </c>
      <c r="E3" s="32">
        <v>0</v>
      </c>
      <c r="F3" s="33">
        <f t="shared" ref="F3:F15" si="0">SUM(C3*(1-D3-E3))</f>
        <v>17.9925</v>
      </c>
      <c r="G3" s="33">
        <v>5.5</v>
      </c>
      <c r="H3" s="33">
        <f t="shared" ref="H3:H15" si="1">SUM(F3*15%)</f>
        <v>2.698875</v>
      </c>
      <c r="I3" s="33">
        <f t="shared" ref="I3:I15" si="2">SUM(F3-G3-H3)</f>
        <v>9.793625</v>
      </c>
      <c r="J3" s="33">
        <f t="shared" ref="J3:J15" si="3">0.13+0.21</f>
        <v>0.34</v>
      </c>
      <c r="K3" s="33">
        <v>0.6</v>
      </c>
      <c r="L3" s="33">
        <v>4.5</v>
      </c>
      <c r="M3" s="33">
        <v>1</v>
      </c>
      <c r="N3" s="33">
        <f t="shared" ref="N3:N15" si="4">SUM(20%*15%*F3+G3+J3+L3+M3+1.04)</f>
        <v>12.919775</v>
      </c>
      <c r="O3" s="41">
        <v>0.15</v>
      </c>
      <c r="P3" s="33">
        <f t="shared" ref="P3:P15" si="5">SUM(N3*O3/(1-O3))</f>
        <v>2.27996029411765</v>
      </c>
      <c r="Q3" s="33">
        <f t="shared" ref="Q3:Q15" si="6">SUM(I3-J3-K3-L3-M3-P3)</f>
        <v>1.07366470588235</v>
      </c>
      <c r="R3" s="45">
        <f t="shared" ref="R3:R15" si="7">SUM(Q3/C3)</f>
        <v>0.0447546771939289</v>
      </c>
      <c r="S3" s="46">
        <v>7</v>
      </c>
      <c r="T3" s="33">
        <f t="shared" ref="T3:T15" si="8">SUM(Q3*S3)</f>
        <v>7.51565294117648</v>
      </c>
      <c r="U3" s="47">
        <f t="shared" ref="U3:U15" si="9">SUM(T3:T3)</f>
        <v>7.51565294117648</v>
      </c>
      <c r="XEQ3" s="48"/>
      <c r="XER3" s="48"/>
      <c r="XES3" s="48"/>
      <c r="XET3" s="48"/>
      <c r="XEU3" s="48"/>
      <c r="XEV3" s="48"/>
      <c r="XEW3" s="48"/>
      <c r="XEX3" s="48"/>
      <c r="XEY3" s="48"/>
      <c r="XEZ3" s="48"/>
      <c r="XFA3" s="48"/>
      <c r="XFB3" s="48"/>
      <c r="XFC3" s="48"/>
      <c r="XFD3" s="48"/>
    </row>
    <row r="4" s="21" customFormat="1" ht="19" customHeight="1" spans="1:16384">
      <c r="A4" s="34"/>
      <c r="B4" s="35"/>
      <c r="C4" s="31">
        <v>23.99</v>
      </c>
      <c r="D4" s="32">
        <v>0</v>
      </c>
      <c r="E4" s="32">
        <v>0</v>
      </c>
      <c r="F4" s="33">
        <f t="shared" si="0"/>
        <v>23.99</v>
      </c>
      <c r="G4" s="33">
        <v>5.5</v>
      </c>
      <c r="H4" s="33">
        <f t="shared" si="1"/>
        <v>3.5985</v>
      </c>
      <c r="I4" s="33">
        <f t="shared" si="2"/>
        <v>14.8915</v>
      </c>
      <c r="J4" s="33">
        <f t="shared" si="3"/>
        <v>0.34</v>
      </c>
      <c r="K4" s="33">
        <v>0</v>
      </c>
      <c r="L4" s="33">
        <v>4.5</v>
      </c>
      <c r="M4" s="33">
        <v>1</v>
      </c>
      <c r="N4" s="33">
        <f t="shared" si="4"/>
        <v>13.0997</v>
      </c>
      <c r="O4" s="41">
        <v>0.15</v>
      </c>
      <c r="P4" s="33">
        <f t="shared" si="5"/>
        <v>2.31171176470588</v>
      </c>
      <c r="Q4" s="33">
        <f t="shared" si="6"/>
        <v>6.73978823529412</v>
      </c>
      <c r="R4" s="45">
        <f t="shared" si="7"/>
        <v>0.280941568790918</v>
      </c>
      <c r="S4" s="46">
        <v>7</v>
      </c>
      <c r="T4" s="33">
        <f t="shared" si="8"/>
        <v>47.1785176470588</v>
      </c>
      <c r="U4" s="47">
        <f t="shared" si="9"/>
        <v>47.1785176470588</v>
      </c>
      <c r="XEQ4" s="48"/>
      <c r="XER4" s="48"/>
      <c r="XES4" s="48"/>
      <c r="XET4" s="48"/>
      <c r="XEU4" s="48"/>
      <c r="XEV4" s="48"/>
      <c r="XEW4" s="48"/>
      <c r="XEX4" s="48"/>
      <c r="XEY4" s="48"/>
      <c r="XEZ4" s="48"/>
      <c r="XFA4" s="48"/>
      <c r="XFB4" s="48"/>
      <c r="XFC4" s="48"/>
      <c r="XFD4" s="48"/>
    </row>
    <row r="5" s="21" customFormat="1" ht="19" customHeight="1" spans="1:16384">
      <c r="A5" s="34"/>
      <c r="B5" s="30" t="s">
        <v>86</v>
      </c>
      <c r="C5" s="31">
        <v>23.99</v>
      </c>
      <c r="D5" s="32">
        <v>0.25</v>
      </c>
      <c r="E5" s="32">
        <v>0</v>
      </c>
      <c r="F5" s="33">
        <f t="shared" si="0"/>
        <v>17.9925</v>
      </c>
      <c r="G5" s="33">
        <v>5.5</v>
      </c>
      <c r="H5" s="33">
        <f t="shared" si="1"/>
        <v>2.698875</v>
      </c>
      <c r="I5" s="33">
        <f t="shared" si="2"/>
        <v>9.793625</v>
      </c>
      <c r="J5" s="33">
        <f t="shared" si="3"/>
        <v>0.34</v>
      </c>
      <c r="K5" s="33">
        <v>0.6</v>
      </c>
      <c r="L5" s="33">
        <v>4.5</v>
      </c>
      <c r="M5" s="33">
        <v>1</v>
      </c>
      <c r="N5" s="33">
        <f t="shared" si="4"/>
        <v>12.919775</v>
      </c>
      <c r="O5" s="41">
        <v>0.15</v>
      </c>
      <c r="P5" s="33">
        <f t="shared" si="5"/>
        <v>2.27996029411765</v>
      </c>
      <c r="Q5" s="33">
        <f t="shared" si="6"/>
        <v>1.07366470588235</v>
      </c>
      <c r="R5" s="45">
        <f t="shared" si="7"/>
        <v>0.0447546771939289</v>
      </c>
      <c r="S5" s="46">
        <v>14</v>
      </c>
      <c r="T5" s="33">
        <f t="shared" si="8"/>
        <v>15.031305882353</v>
      </c>
      <c r="U5" s="47">
        <f t="shared" si="9"/>
        <v>15.031305882353</v>
      </c>
      <c r="XEQ5" s="48"/>
      <c r="XER5" s="48"/>
      <c r="XES5" s="48"/>
      <c r="XET5" s="48"/>
      <c r="XEU5" s="48"/>
      <c r="XEV5" s="48"/>
      <c r="XEW5" s="48"/>
      <c r="XEX5" s="48"/>
      <c r="XEY5" s="48"/>
      <c r="XEZ5" s="48"/>
      <c r="XFA5" s="48"/>
      <c r="XFB5" s="48"/>
      <c r="XFC5" s="48"/>
      <c r="XFD5" s="48"/>
    </row>
    <row r="6" s="21" customFormat="1" ht="19" customHeight="1" spans="1:16384">
      <c r="A6" s="34"/>
      <c r="B6" s="35"/>
      <c r="C6" s="31">
        <v>23.99</v>
      </c>
      <c r="D6" s="32">
        <v>0</v>
      </c>
      <c r="E6" s="32">
        <v>0</v>
      </c>
      <c r="F6" s="33">
        <f t="shared" si="0"/>
        <v>23.99</v>
      </c>
      <c r="G6" s="33">
        <v>5.5</v>
      </c>
      <c r="H6" s="33">
        <f t="shared" si="1"/>
        <v>3.5985</v>
      </c>
      <c r="I6" s="33">
        <f t="shared" si="2"/>
        <v>14.8915</v>
      </c>
      <c r="J6" s="33">
        <f t="shared" si="3"/>
        <v>0.34</v>
      </c>
      <c r="K6" s="33">
        <v>0</v>
      </c>
      <c r="L6" s="33">
        <v>4.5</v>
      </c>
      <c r="M6" s="33">
        <v>1</v>
      </c>
      <c r="N6" s="33">
        <f t="shared" si="4"/>
        <v>13.0997</v>
      </c>
      <c r="O6" s="41">
        <v>0.15</v>
      </c>
      <c r="P6" s="33">
        <f t="shared" si="5"/>
        <v>2.31171176470588</v>
      </c>
      <c r="Q6" s="33">
        <f t="shared" si="6"/>
        <v>6.73978823529412</v>
      </c>
      <c r="R6" s="45">
        <f t="shared" si="7"/>
        <v>0.280941568790918</v>
      </c>
      <c r="S6" s="46">
        <v>14</v>
      </c>
      <c r="T6" s="33">
        <f t="shared" si="8"/>
        <v>94.3570352941177</v>
      </c>
      <c r="U6" s="47">
        <f t="shared" si="9"/>
        <v>94.3570352941177</v>
      </c>
      <c r="XEQ6" s="48"/>
      <c r="XER6" s="48"/>
      <c r="XES6" s="48"/>
      <c r="XET6" s="48"/>
      <c r="XEU6" s="48"/>
      <c r="XEV6" s="48"/>
      <c r="XEW6" s="48"/>
      <c r="XEX6" s="48"/>
      <c r="XEY6" s="48"/>
      <c r="XEZ6" s="48"/>
      <c r="XFA6" s="48"/>
      <c r="XFB6" s="48"/>
      <c r="XFC6" s="48"/>
      <c r="XFD6" s="48"/>
    </row>
    <row r="7" s="21" customFormat="1" ht="19" customHeight="1" spans="1:16384">
      <c r="A7" s="34"/>
      <c r="B7" s="30" t="s">
        <v>88</v>
      </c>
      <c r="C7" s="31">
        <v>23.99</v>
      </c>
      <c r="D7" s="32">
        <v>0.25</v>
      </c>
      <c r="E7" s="32">
        <v>0</v>
      </c>
      <c r="F7" s="33">
        <f t="shared" si="0"/>
        <v>17.9925</v>
      </c>
      <c r="G7" s="33">
        <v>5.5</v>
      </c>
      <c r="H7" s="33">
        <f t="shared" si="1"/>
        <v>2.698875</v>
      </c>
      <c r="I7" s="33">
        <f t="shared" si="2"/>
        <v>9.793625</v>
      </c>
      <c r="J7" s="33">
        <f t="shared" si="3"/>
        <v>0.34</v>
      </c>
      <c r="K7" s="33">
        <v>0.6</v>
      </c>
      <c r="L7" s="33">
        <v>4.5</v>
      </c>
      <c r="M7" s="33">
        <v>1</v>
      </c>
      <c r="N7" s="33">
        <f t="shared" si="4"/>
        <v>12.919775</v>
      </c>
      <c r="O7" s="41">
        <v>0.15</v>
      </c>
      <c r="P7" s="33">
        <f t="shared" si="5"/>
        <v>2.27996029411765</v>
      </c>
      <c r="Q7" s="33">
        <f t="shared" si="6"/>
        <v>1.07366470588235</v>
      </c>
      <c r="R7" s="45">
        <f t="shared" si="7"/>
        <v>0.0447546771939289</v>
      </c>
      <c r="S7" s="46">
        <v>21</v>
      </c>
      <c r="T7" s="33">
        <f t="shared" si="8"/>
        <v>22.5469588235294</v>
      </c>
      <c r="U7" s="47">
        <f t="shared" si="9"/>
        <v>22.5469588235294</v>
      </c>
      <c r="XEQ7" s="48"/>
      <c r="XER7" s="48"/>
      <c r="XES7" s="48"/>
      <c r="XET7" s="48"/>
      <c r="XEU7" s="48"/>
      <c r="XEV7" s="48"/>
      <c r="XEW7" s="48"/>
      <c r="XEX7" s="48"/>
      <c r="XEY7" s="48"/>
      <c r="XEZ7" s="48"/>
      <c r="XFA7" s="48"/>
      <c r="XFB7" s="48"/>
      <c r="XFC7" s="48"/>
      <c r="XFD7" s="48"/>
    </row>
    <row r="8" s="21" customFormat="1" ht="19" customHeight="1" spans="1:16384">
      <c r="A8" s="34"/>
      <c r="B8" s="35"/>
      <c r="C8" s="31">
        <v>23.99</v>
      </c>
      <c r="D8" s="32">
        <v>0</v>
      </c>
      <c r="E8" s="32">
        <v>0</v>
      </c>
      <c r="F8" s="33">
        <f t="shared" si="0"/>
        <v>23.99</v>
      </c>
      <c r="G8" s="33">
        <v>5.5</v>
      </c>
      <c r="H8" s="33">
        <f t="shared" si="1"/>
        <v>3.5985</v>
      </c>
      <c r="I8" s="33">
        <f t="shared" si="2"/>
        <v>14.8915</v>
      </c>
      <c r="J8" s="33">
        <f t="shared" si="3"/>
        <v>0.34</v>
      </c>
      <c r="K8" s="33">
        <v>0</v>
      </c>
      <c r="L8" s="33">
        <v>4.5</v>
      </c>
      <c r="M8" s="33">
        <v>1</v>
      </c>
      <c r="N8" s="33">
        <f t="shared" si="4"/>
        <v>13.0997</v>
      </c>
      <c r="O8" s="41">
        <v>0.15</v>
      </c>
      <c r="P8" s="33">
        <f t="shared" si="5"/>
        <v>2.31171176470588</v>
      </c>
      <c r="Q8" s="33">
        <f t="shared" si="6"/>
        <v>6.73978823529412</v>
      </c>
      <c r="R8" s="45">
        <f t="shared" si="7"/>
        <v>0.280941568790918</v>
      </c>
      <c r="S8" s="46">
        <v>21</v>
      </c>
      <c r="T8" s="33">
        <f t="shared" si="8"/>
        <v>141.535552941176</v>
      </c>
      <c r="U8" s="47">
        <f t="shared" si="9"/>
        <v>141.535552941176</v>
      </c>
      <c r="XEQ8" s="48"/>
      <c r="XER8" s="48"/>
      <c r="XES8" s="48"/>
      <c r="XET8" s="48"/>
      <c r="XEU8" s="48"/>
      <c r="XEV8" s="48"/>
      <c r="XEW8" s="48"/>
      <c r="XEX8" s="48"/>
      <c r="XEY8" s="48"/>
      <c r="XEZ8" s="48"/>
      <c r="XFA8" s="48"/>
      <c r="XFB8" s="48"/>
      <c r="XFC8" s="48"/>
      <c r="XFD8" s="48"/>
    </row>
    <row r="9" s="21" customFormat="1" ht="19" customHeight="1" spans="1:16384">
      <c r="A9" s="34"/>
      <c r="B9" s="30" t="s">
        <v>90</v>
      </c>
      <c r="C9" s="31">
        <v>23.99</v>
      </c>
      <c r="D9" s="32">
        <v>0.25</v>
      </c>
      <c r="E9" s="32">
        <v>0</v>
      </c>
      <c r="F9" s="33">
        <f t="shared" si="0"/>
        <v>17.9925</v>
      </c>
      <c r="G9" s="33">
        <v>5.5</v>
      </c>
      <c r="H9" s="33">
        <f t="shared" si="1"/>
        <v>2.698875</v>
      </c>
      <c r="I9" s="33">
        <f t="shared" si="2"/>
        <v>9.793625</v>
      </c>
      <c r="J9" s="33">
        <f t="shared" si="3"/>
        <v>0.34</v>
      </c>
      <c r="K9" s="33">
        <v>0.6</v>
      </c>
      <c r="L9" s="33">
        <v>4.5</v>
      </c>
      <c r="M9" s="33">
        <v>1</v>
      </c>
      <c r="N9" s="33">
        <f t="shared" si="4"/>
        <v>12.919775</v>
      </c>
      <c r="O9" s="41">
        <v>0.15</v>
      </c>
      <c r="P9" s="33">
        <f t="shared" si="5"/>
        <v>2.27996029411765</v>
      </c>
      <c r="Q9" s="33">
        <f t="shared" si="6"/>
        <v>1.07366470588235</v>
      </c>
      <c r="R9" s="45">
        <f t="shared" si="7"/>
        <v>0.0447546771939289</v>
      </c>
      <c r="S9" s="46">
        <v>28</v>
      </c>
      <c r="T9" s="33">
        <f t="shared" si="8"/>
        <v>30.0626117647059</v>
      </c>
      <c r="U9" s="47">
        <f t="shared" si="9"/>
        <v>30.0626117647059</v>
      </c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  <c r="XFD9" s="48"/>
    </row>
    <row r="10" s="21" customFormat="1" ht="19" customHeight="1" spans="1:16384">
      <c r="A10" s="36"/>
      <c r="B10" s="35"/>
      <c r="C10" s="31">
        <v>23.99</v>
      </c>
      <c r="D10" s="32">
        <v>0</v>
      </c>
      <c r="E10" s="32">
        <v>0</v>
      </c>
      <c r="F10" s="33">
        <f t="shared" si="0"/>
        <v>23.99</v>
      </c>
      <c r="G10" s="33">
        <v>5.5</v>
      </c>
      <c r="H10" s="33">
        <f t="shared" si="1"/>
        <v>3.5985</v>
      </c>
      <c r="I10" s="33">
        <f t="shared" si="2"/>
        <v>14.8915</v>
      </c>
      <c r="J10" s="33">
        <f t="shared" si="3"/>
        <v>0.34</v>
      </c>
      <c r="K10" s="33">
        <v>0</v>
      </c>
      <c r="L10" s="33">
        <v>4.5</v>
      </c>
      <c r="M10" s="33">
        <v>1</v>
      </c>
      <c r="N10" s="33">
        <f t="shared" si="4"/>
        <v>13.0997</v>
      </c>
      <c r="O10" s="41">
        <v>0.15</v>
      </c>
      <c r="P10" s="33">
        <f t="shared" si="5"/>
        <v>2.31171176470588</v>
      </c>
      <c r="Q10" s="33">
        <f t="shared" si="6"/>
        <v>6.73978823529412</v>
      </c>
      <c r="R10" s="45">
        <f t="shared" si="7"/>
        <v>0.280941568790918</v>
      </c>
      <c r="S10" s="46">
        <v>28</v>
      </c>
      <c r="T10" s="33">
        <f t="shared" si="8"/>
        <v>188.714070588235</v>
      </c>
      <c r="U10" s="47">
        <f t="shared" si="9"/>
        <v>188.714070588235</v>
      </c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  <c r="XFD10" s="48"/>
    </row>
    <row r="11" s="21" customFormat="1" ht="19" customHeight="1" spans="1:16384">
      <c r="A11" s="37" t="s">
        <v>24</v>
      </c>
      <c r="B11" s="37"/>
      <c r="C11" s="31">
        <v>24.99</v>
      </c>
      <c r="D11" s="32">
        <v>0.2</v>
      </c>
      <c r="E11" s="32">
        <v>0</v>
      </c>
      <c r="F11" s="33">
        <f t="shared" si="0"/>
        <v>19.992</v>
      </c>
      <c r="G11" s="33">
        <v>5.5</v>
      </c>
      <c r="H11" s="33">
        <f t="shared" si="1"/>
        <v>2.9988</v>
      </c>
      <c r="I11" s="33">
        <f t="shared" si="2"/>
        <v>11.4932</v>
      </c>
      <c r="J11" s="33">
        <f t="shared" si="3"/>
        <v>0.34</v>
      </c>
      <c r="K11" s="33">
        <v>0.6</v>
      </c>
      <c r="L11" s="33">
        <v>4.5</v>
      </c>
      <c r="M11" s="33">
        <v>1</v>
      </c>
      <c r="N11" s="33">
        <f t="shared" si="4"/>
        <v>12.97976</v>
      </c>
      <c r="O11" s="41">
        <v>0.15</v>
      </c>
      <c r="P11" s="33">
        <f t="shared" si="5"/>
        <v>2.29054588235294</v>
      </c>
      <c r="Q11" s="33">
        <f t="shared" si="6"/>
        <v>2.76265411764706</v>
      </c>
      <c r="R11" s="45">
        <f t="shared" si="7"/>
        <v>0.110550384859826</v>
      </c>
      <c r="S11" s="46">
        <v>1</v>
      </c>
      <c r="T11" s="33">
        <f t="shared" si="8"/>
        <v>2.76265411764706</v>
      </c>
      <c r="U11" s="47">
        <f t="shared" si="9"/>
        <v>2.76265411764706</v>
      </c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  <c r="XFD11" s="48"/>
    </row>
    <row r="12" s="21" customFormat="1" ht="19" customHeight="1" spans="1:16384">
      <c r="A12" s="37" t="s">
        <v>26</v>
      </c>
      <c r="B12" s="37"/>
      <c r="C12" s="31">
        <v>25.99</v>
      </c>
      <c r="D12" s="32">
        <v>0.15</v>
      </c>
      <c r="E12" s="32">
        <v>0</v>
      </c>
      <c r="F12" s="33">
        <f t="shared" si="0"/>
        <v>22.0915</v>
      </c>
      <c r="G12" s="33">
        <v>5.5</v>
      </c>
      <c r="H12" s="33">
        <f t="shared" si="1"/>
        <v>3.313725</v>
      </c>
      <c r="I12" s="33">
        <f t="shared" si="2"/>
        <v>13.277775</v>
      </c>
      <c r="J12" s="33">
        <f t="shared" si="3"/>
        <v>0.34</v>
      </c>
      <c r="K12" s="33">
        <v>0.6</v>
      </c>
      <c r="L12" s="33">
        <v>4.5</v>
      </c>
      <c r="M12" s="33">
        <v>1</v>
      </c>
      <c r="N12" s="33">
        <f t="shared" si="4"/>
        <v>13.042745</v>
      </c>
      <c r="O12" s="41">
        <v>0.15</v>
      </c>
      <c r="P12" s="33">
        <f t="shared" si="5"/>
        <v>2.30166088235294</v>
      </c>
      <c r="Q12" s="33">
        <f t="shared" si="6"/>
        <v>4.53611411764706</v>
      </c>
      <c r="R12" s="45">
        <f t="shared" si="7"/>
        <v>0.174533055700156</v>
      </c>
      <c r="S12" s="46">
        <v>1</v>
      </c>
      <c r="T12" s="33">
        <f t="shared" si="8"/>
        <v>4.53611411764706</v>
      </c>
      <c r="U12" s="47">
        <f t="shared" si="9"/>
        <v>4.53611411764706</v>
      </c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  <c r="XFD12" s="48"/>
    </row>
    <row r="13" s="21" customFormat="1" ht="19" customHeight="1" spans="1:16384">
      <c r="A13" s="37" t="s">
        <v>28</v>
      </c>
      <c r="B13" s="37"/>
      <c r="C13" s="31">
        <v>26.99</v>
      </c>
      <c r="D13" s="32">
        <v>0.1</v>
      </c>
      <c r="E13" s="32">
        <v>0</v>
      </c>
      <c r="F13" s="33">
        <f t="shared" si="0"/>
        <v>24.291</v>
      </c>
      <c r="G13" s="33">
        <v>5.5</v>
      </c>
      <c r="H13" s="33">
        <f t="shared" si="1"/>
        <v>3.64365</v>
      </c>
      <c r="I13" s="33">
        <f t="shared" si="2"/>
        <v>15.14735</v>
      </c>
      <c r="J13" s="33">
        <f t="shared" si="3"/>
        <v>0.34</v>
      </c>
      <c r="K13" s="33">
        <v>0.6</v>
      </c>
      <c r="L13" s="33">
        <v>4.5</v>
      </c>
      <c r="M13" s="33">
        <v>1</v>
      </c>
      <c r="N13" s="33">
        <f t="shared" si="4"/>
        <v>13.10873</v>
      </c>
      <c r="O13" s="41">
        <v>0.15</v>
      </c>
      <c r="P13" s="33">
        <f t="shared" si="5"/>
        <v>2.31330529411765</v>
      </c>
      <c r="Q13" s="33">
        <f t="shared" si="6"/>
        <v>6.39404470588235</v>
      </c>
      <c r="R13" s="45">
        <f t="shared" si="7"/>
        <v>0.236904212889305</v>
      </c>
      <c r="S13" s="46">
        <v>1</v>
      </c>
      <c r="T13" s="33">
        <f t="shared" si="8"/>
        <v>6.39404470588235</v>
      </c>
      <c r="U13" s="47">
        <f t="shared" si="9"/>
        <v>6.39404470588235</v>
      </c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  <c r="XFD13" s="48"/>
    </row>
    <row r="14" s="20" customFormat="1" ht="15.6" spans="1:21">
      <c r="A14" s="38" t="s">
        <v>30</v>
      </c>
      <c r="B14" s="38"/>
      <c r="C14" s="31">
        <v>27.99</v>
      </c>
      <c r="D14" s="32">
        <v>0.1</v>
      </c>
      <c r="E14" s="32">
        <v>0</v>
      </c>
      <c r="F14" s="33">
        <f t="shared" si="0"/>
        <v>25.191</v>
      </c>
      <c r="G14" s="33">
        <v>5.5</v>
      </c>
      <c r="H14" s="33">
        <f t="shared" si="1"/>
        <v>3.77865</v>
      </c>
      <c r="I14" s="33">
        <f t="shared" si="2"/>
        <v>15.91235</v>
      </c>
      <c r="J14" s="33">
        <f t="shared" si="3"/>
        <v>0.34</v>
      </c>
      <c r="K14" s="33">
        <v>0.6</v>
      </c>
      <c r="L14" s="33">
        <v>4.5</v>
      </c>
      <c r="M14" s="33">
        <v>1</v>
      </c>
      <c r="N14" s="33">
        <f t="shared" si="4"/>
        <v>13.13573</v>
      </c>
      <c r="O14" s="41">
        <v>0.15</v>
      </c>
      <c r="P14" s="33">
        <f t="shared" si="5"/>
        <v>2.31807</v>
      </c>
      <c r="Q14" s="33">
        <f t="shared" si="6"/>
        <v>7.15428</v>
      </c>
      <c r="R14" s="45">
        <f t="shared" si="7"/>
        <v>0.255601286173633</v>
      </c>
      <c r="S14" s="46">
        <v>1</v>
      </c>
      <c r="T14" s="33">
        <f t="shared" si="8"/>
        <v>7.15428</v>
      </c>
      <c r="U14" s="47">
        <f t="shared" si="9"/>
        <v>7.15428</v>
      </c>
    </row>
    <row r="15" s="20" customFormat="1" ht="15.6" spans="1:21">
      <c r="A15" s="38" t="s">
        <v>32</v>
      </c>
      <c r="B15" s="38"/>
      <c r="C15" s="31">
        <v>27.99</v>
      </c>
      <c r="D15" s="32">
        <v>0.1</v>
      </c>
      <c r="E15" s="32">
        <v>0</v>
      </c>
      <c r="F15" s="33">
        <f t="shared" si="0"/>
        <v>25.191</v>
      </c>
      <c r="G15" s="33">
        <v>5.5</v>
      </c>
      <c r="H15" s="33">
        <f t="shared" si="1"/>
        <v>3.77865</v>
      </c>
      <c r="I15" s="33">
        <f t="shared" si="2"/>
        <v>15.91235</v>
      </c>
      <c r="J15" s="33">
        <f t="shared" si="3"/>
        <v>0.34</v>
      </c>
      <c r="K15" s="33">
        <v>0</v>
      </c>
      <c r="L15" s="33">
        <v>4.5</v>
      </c>
      <c r="M15" s="33">
        <v>1</v>
      </c>
      <c r="N15" s="33">
        <f t="shared" si="4"/>
        <v>13.13573</v>
      </c>
      <c r="O15" s="41">
        <v>0.15</v>
      </c>
      <c r="P15" s="33">
        <f t="shared" si="5"/>
        <v>2.31807</v>
      </c>
      <c r="Q15" s="33">
        <f t="shared" si="6"/>
        <v>7.75428</v>
      </c>
      <c r="R15" s="45">
        <f t="shared" si="7"/>
        <v>0.277037513397642</v>
      </c>
      <c r="S15" s="46">
        <v>1</v>
      </c>
      <c r="T15" s="33">
        <f t="shared" si="8"/>
        <v>7.75428</v>
      </c>
      <c r="U15" s="47">
        <f t="shared" si="9"/>
        <v>7.75428</v>
      </c>
    </row>
  </sheetData>
  <mergeCells count="6">
    <mergeCell ref="A1:U1"/>
    <mergeCell ref="A3:A10"/>
    <mergeCell ref="B3:B4"/>
    <mergeCell ref="B5:B6"/>
    <mergeCell ref="B7:B8"/>
    <mergeCell ref="B9:B1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"/>
  <sheetViews>
    <sheetView topLeftCell="Z4" workbookViewId="0">
      <selection activeCell="Z4" sqref="Z4:Z16"/>
    </sheetView>
  </sheetViews>
  <sheetFormatPr defaultColWidth="9" defaultRowHeight="14.4"/>
  <cols>
    <col min="28" max="28" width="9" hidden="1" customWidth="1"/>
    <col min="29" max="29" width="48.4537037037037" customWidth="1"/>
  </cols>
  <sheetData>
    <row r="1" spans="1:52">
      <c r="A1" t="s">
        <v>961</v>
      </c>
      <c r="B1" t="s">
        <v>962</v>
      </c>
      <c r="C1" t="s">
        <v>963</v>
      </c>
      <c r="D1" t="s">
        <v>964</v>
      </c>
      <c r="E1" t="s">
        <v>965</v>
      </c>
      <c r="F1" t="s">
        <v>966</v>
      </c>
      <c r="G1" t="s">
        <v>967</v>
      </c>
      <c r="H1" t="s">
        <v>968</v>
      </c>
      <c r="I1" t="s">
        <v>969</v>
      </c>
      <c r="J1" t="s">
        <v>970</v>
      </c>
      <c r="K1" t="s">
        <v>971</v>
      </c>
      <c r="L1" t="s">
        <v>972</v>
      </c>
      <c r="M1" t="s">
        <v>973</v>
      </c>
      <c r="N1" t="s">
        <v>974</v>
      </c>
      <c r="O1" t="s">
        <v>975</v>
      </c>
      <c r="P1" t="s">
        <v>976</v>
      </c>
      <c r="Q1" t="s">
        <v>977</v>
      </c>
      <c r="R1" t="s">
        <v>978</v>
      </c>
      <c r="S1" t="s">
        <v>979</v>
      </c>
      <c r="T1" t="s">
        <v>980</v>
      </c>
      <c r="U1" t="s">
        <v>981</v>
      </c>
      <c r="V1" t="s">
        <v>982</v>
      </c>
      <c r="W1" t="s">
        <v>983</v>
      </c>
      <c r="X1" t="s">
        <v>984</v>
      </c>
      <c r="Y1" t="s">
        <v>985</v>
      </c>
      <c r="Z1" t="s">
        <v>986</v>
      </c>
      <c r="AA1" t="s">
        <v>987</v>
      </c>
      <c r="AB1" t="s">
        <v>988</v>
      </c>
      <c r="AC1" t="s">
        <v>989</v>
      </c>
      <c r="AD1" t="s">
        <v>990</v>
      </c>
      <c r="AE1" t="s">
        <v>991</v>
      </c>
      <c r="AF1" t="s">
        <v>992</v>
      </c>
      <c r="AG1" t="s">
        <v>993</v>
      </c>
      <c r="AH1" t="s">
        <v>994</v>
      </c>
      <c r="AI1" t="s">
        <v>995</v>
      </c>
      <c r="AJ1" t="s">
        <v>996</v>
      </c>
      <c r="AK1" t="s">
        <v>997</v>
      </c>
      <c r="AL1" t="s">
        <v>998</v>
      </c>
      <c r="AM1" t="s">
        <v>999</v>
      </c>
      <c r="AN1" t="s">
        <v>1000</v>
      </c>
      <c r="AO1" t="s">
        <v>1001</v>
      </c>
      <c r="AP1" t="s">
        <v>1002</v>
      </c>
      <c r="AQ1" t="s">
        <v>1003</v>
      </c>
      <c r="AR1" t="s">
        <v>1004</v>
      </c>
      <c r="AS1" t="s">
        <v>1005</v>
      </c>
      <c r="AT1" t="s">
        <v>1006</v>
      </c>
      <c r="AU1" t="s">
        <v>1007</v>
      </c>
      <c r="AV1" t="s">
        <v>1008</v>
      </c>
      <c r="AW1" t="s">
        <v>1009</v>
      </c>
      <c r="AX1" t="s">
        <v>1010</v>
      </c>
      <c r="AY1" t="s">
        <v>1011</v>
      </c>
      <c r="AZ1" t="s">
        <v>1012</v>
      </c>
    </row>
    <row r="2" spans="1:52">
      <c r="A2" t="s">
        <v>1013</v>
      </c>
      <c r="B2" t="s">
        <v>1013</v>
      </c>
      <c r="C2" t="s">
        <v>1014</v>
      </c>
      <c r="D2" t="s">
        <v>1015</v>
      </c>
      <c r="E2" t="s">
        <v>1016</v>
      </c>
      <c r="F2" t="s">
        <v>1017</v>
      </c>
      <c r="G2" s="19" t="s">
        <v>1018</v>
      </c>
      <c r="J2" t="s">
        <v>1019</v>
      </c>
      <c r="K2" t="s">
        <v>1020</v>
      </c>
      <c r="L2" t="s">
        <v>1021</v>
      </c>
      <c r="M2" t="s">
        <v>1022</v>
      </c>
      <c r="N2" t="s">
        <v>1023</v>
      </c>
      <c r="O2">
        <v>1</v>
      </c>
      <c r="P2" t="s">
        <v>1024</v>
      </c>
      <c r="Q2">
        <v>79.99</v>
      </c>
      <c r="Y2" t="s">
        <v>1025</v>
      </c>
      <c r="Z2" t="s">
        <v>1026</v>
      </c>
      <c r="AA2" t="s">
        <v>1027</v>
      </c>
      <c r="AB2" t="s">
        <v>1028</v>
      </c>
      <c r="AC2" t="s">
        <v>1029</v>
      </c>
      <c r="AD2" t="b">
        <v>0</v>
      </c>
      <c r="AW2" t="b">
        <v>0</v>
      </c>
      <c r="AZ2" t="b">
        <v>0</v>
      </c>
    </row>
    <row r="3" spans="1:52">
      <c r="A3" t="s">
        <v>1030</v>
      </c>
      <c r="B3" t="s">
        <v>1030</v>
      </c>
      <c r="C3" t="s">
        <v>1031</v>
      </c>
      <c r="D3" t="s">
        <v>1032</v>
      </c>
      <c r="E3" t="s">
        <v>1033</v>
      </c>
      <c r="F3" t="s">
        <v>1017</v>
      </c>
      <c r="G3" s="19" t="s">
        <v>1018</v>
      </c>
      <c r="J3" t="s">
        <v>1019</v>
      </c>
      <c r="K3" t="s">
        <v>1034</v>
      </c>
      <c r="L3" t="s">
        <v>1035</v>
      </c>
      <c r="M3" t="s">
        <v>1036</v>
      </c>
      <c r="N3" t="s">
        <v>1033</v>
      </c>
      <c r="O3">
        <v>1</v>
      </c>
      <c r="P3" t="s">
        <v>1024</v>
      </c>
      <c r="Q3">
        <v>99.99</v>
      </c>
      <c r="R3">
        <v>1.89</v>
      </c>
      <c r="W3">
        <v>72.99</v>
      </c>
      <c r="Y3" t="s">
        <v>1037</v>
      </c>
      <c r="Z3" t="s">
        <v>1038</v>
      </c>
      <c r="AA3" t="s">
        <v>1039</v>
      </c>
      <c r="AB3" t="s">
        <v>1028</v>
      </c>
      <c r="AC3" t="s">
        <v>1040</v>
      </c>
      <c r="AD3" t="b">
        <v>0</v>
      </c>
      <c r="AW3" t="b">
        <v>0</v>
      </c>
      <c r="AZ3" t="b">
        <v>0</v>
      </c>
    </row>
    <row r="4" spans="1:52">
      <c r="A4" t="s">
        <v>1041</v>
      </c>
      <c r="B4" t="s">
        <v>1041</v>
      </c>
      <c r="C4" t="s">
        <v>1042</v>
      </c>
      <c r="D4" t="s">
        <v>1043</v>
      </c>
      <c r="E4" t="s">
        <v>1016</v>
      </c>
      <c r="F4" t="s">
        <v>1017</v>
      </c>
      <c r="G4" s="19" t="s">
        <v>1018</v>
      </c>
      <c r="J4" t="s">
        <v>1019</v>
      </c>
      <c r="K4" t="s">
        <v>1020</v>
      </c>
      <c r="L4" t="s">
        <v>1021</v>
      </c>
      <c r="M4" t="s">
        <v>1022</v>
      </c>
      <c r="N4" t="s">
        <v>1023</v>
      </c>
      <c r="O4">
        <v>1</v>
      </c>
      <c r="P4" t="s">
        <v>1024</v>
      </c>
      <c r="Q4">
        <v>79.99</v>
      </c>
      <c r="Y4" t="s">
        <v>1044</v>
      </c>
      <c r="Z4" t="s">
        <v>1045</v>
      </c>
      <c r="AA4" t="s">
        <v>1046</v>
      </c>
      <c r="AB4" t="s">
        <v>1028</v>
      </c>
      <c r="AC4" t="s">
        <v>1047</v>
      </c>
      <c r="AD4" t="b">
        <v>0</v>
      </c>
      <c r="AW4" t="b">
        <v>0</v>
      </c>
      <c r="AZ4" t="b">
        <v>0</v>
      </c>
    </row>
    <row r="5" spans="1:52">
      <c r="A5" t="s">
        <v>1048</v>
      </c>
      <c r="B5" t="s">
        <v>1048</v>
      </c>
      <c r="C5" t="s">
        <v>1049</v>
      </c>
      <c r="D5" t="s">
        <v>1050</v>
      </c>
      <c r="E5" t="s">
        <v>1033</v>
      </c>
      <c r="F5" t="s">
        <v>1017</v>
      </c>
      <c r="G5" s="19" t="s">
        <v>1018</v>
      </c>
      <c r="J5" t="s">
        <v>1019</v>
      </c>
      <c r="K5" t="s">
        <v>1020</v>
      </c>
      <c r="L5" t="s">
        <v>1021</v>
      </c>
      <c r="M5" t="s">
        <v>1022</v>
      </c>
      <c r="N5" t="s">
        <v>1033</v>
      </c>
      <c r="O5">
        <v>1</v>
      </c>
      <c r="P5" t="s">
        <v>1024</v>
      </c>
      <c r="Q5">
        <v>79.99</v>
      </c>
      <c r="R5">
        <v>1.85</v>
      </c>
      <c r="W5">
        <v>59.99</v>
      </c>
      <c r="Y5" t="s">
        <v>1051</v>
      </c>
      <c r="Z5" t="s">
        <v>1052</v>
      </c>
      <c r="AA5" t="s">
        <v>1053</v>
      </c>
      <c r="AB5" t="s">
        <v>1028</v>
      </c>
      <c r="AC5" t="s">
        <v>1054</v>
      </c>
      <c r="AD5" t="b">
        <v>0</v>
      </c>
      <c r="AW5" t="b">
        <v>0</v>
      </c>
      <c r="AZ5" t="b">
        <v>0</v>
      </c>
    </row>
    <row r="6" spans="1:52">
      <c r="A6" t="s">
        <v>1055</v>
      </c>
      <c r="B6" t="s">
        <v>1055</v>
      </c>
      <c r="C6" t="s">
        <v>1056</v>
      </c>
      <c r="D6" t="s">
        <v>1057</v>
      </c>
      <c r="E6" t="s">
        <v>1016</v>
      </c>
      <c r="F6" t="s">
        <v>1017</v>
      </c>
      <c r="G6" s="19" t="s">
        <v>1018</v>
      </c>
      <c r="J6" t="s">
        <v>1058</v>
      </c>
      <c r="K6" t="s">
        <v>1059</v>
      </c>
      <c r="L6" t="s">
        <v>1060</v>
      </c>
      <c r="M6" t="s">
        <v>1061</v>
      </c>
      <c r="N6" t="s">
        <v>1023</v>
      </c>
      <c r="O6">
        <v>1</v>
      </c>
      <c r="P6" t="s">
        <v>1024</v>
      </c>
      <c r="Q6">
        <v>79.99</v>
      </c>
      <c r="Y6" t="s">
        <v>1062</v>
      </c>
      <c r="Z6" t="s">
        <v>1063</v>
      </c>
      <c r="AA6" t="s">
        <v>1064</v>
      </c>
      <c r="AB6" t="s">
        <v>1028</v>
      </c>
      <c r="AC6" t="s">
        <v>1065</v>
      </c>
      <c r="AD6" t="b">
        <v>0</v>
      </c>
      <c r="AW6" t="b">
        <v>0</v>
      </c>
      <c r="AZ6" t="b">
        <v>0</v>
      </c>
    </row>
    <row r="7" spans="1:52">
      <c r="A7" t="s">
        <v>1066</v>
      </c>
      <c r="B7" t="s">
        <v>1066</v>
      </c>
      <c r="C7" t="s">
        <v>1067</v>
      </c>
      <c r="D7" t="s">
        <v>1068</v>
      </c>
      <c r="E7" t="s">
        <v>1016</v>
      </c>
      <c r="F7" t="s">
        <v>1017</v>
      </c>
      <c r="G7" s="19" t="s">
        <v>1018</v>
      </c>
      <c r="J7" t="s">
        <v>1019</v>
      </c>
      <c r="K7" t="s">
        <v>1020</v>
      </c>
      <c r="L7" t="s">
        <v>1021</v>
      </c>
      <c r="M7" t="s">
        <v>1022</v>
      </c>
      <c r="N7" t="s">
        <v>1023</v>
      </c>
      <c r="O7">
        <v>1</v>
      </c>
      <c r="P7" t="s">
        <v>1024</v>
      </c>
      <c r="Q7">
        <v>79.99</v>
      </c>
      <c r="Y7" t="s">
        <v>1069</v>
      </c>
      <c r="Z7" t="s">
        <v>1070</v>
      </c>
      <c r="AA7" t="s">
        <v>1071</v>
      </c>
      <c r="AB7" t="s">
        <v>1028</v>
      </c>
      <c r="AC7" t="s">
        <v>1047</v>
      </c>
      <c r="AD7" t="b">
        <v>0</v>
      </c>
      <c r="AW7" t="b">
        <v>0</v>
      </c>
      <c r="AZ7" t="b">
        <v>0</v>
      </c>
    </row>
    <row r="8" spans="1:52">
      <c r="A8" t="s">
        <v>1072</v>
      </c>
      <c r="B8" t="s">
        <v>1072</v>
      </c>
      <c r="C8" t="s">
        <v>1073</v>
      </c>
      <c r="D8" t="s">
        <v>1074</v>
      </c>
      <c r="E8" t="s">
        <v>1016</v>
      </c>
      <c r="F8" t="s">
        <v>1017</v>
      </c>
      <c r="G8" s="19" t="s">
        <v>1018</v>
      </c>
      <c r="J8" t="s">
        <v>1019</v>
      </c>
      <c r="K8" t="s">
        <v>1059</v>
      </c>
      <c r="L8" t="s">
        <v>1060</v>
      </c>
      <c r="M8" t="s">
        <v>1061</v>
      </c>
      <c r="N8" t="s">
        <v>1023</v>
      </c>
      <c r="O8">
        <v>1</v>
      </c>
      <c r="P8" t="s">
        <v>1024</v>
      </c>
      <c r="Q8">
        <v>79.99</v>
      </c>
      <c r="Y8" t="s">
        <v>1075</v>
      </c>
      <c r="Z8" t="s">
        <v>1076</v>
      </c>
      <c r="AA8" t="s">
        <v>1077</v>
      </c>
      <c r="AB8" t="s">
        <v>1028</v>
      </c>
      <c r="AC8" t="s">
        <v>1078</v>
      </c>
      <c r="AD8" t="b">
        <v>0</v>
      </c>
      <c r="AW8" t="b">
        <v>0</v>
      </c>
      <c r="AZ8" t="b">
        <v>0</v>
      </c>
    </row>
    <row r="9" spans="1:52">
      <c r="A9" t="s">
        <v>1079</v>
      </c>
      <c r="B9" t="s">
        <v>1079</v>
      </c>
      <c r="C9" t="s">
        <v>1080</v>
      </c>
      <c r="D9" t="s">
        <v>1081</v>
      </c>
      <c r="E9" t="s">
        <v>1033</v>
      </c>
      <c r="F9" t="s">
        <v>1017</v>
      </c>
      <c r="G9" s="19" t="s">
        <v>1018</v>
      </c>
      <c r="J9" t="s">
        <v>1019</v>
      </c>
      <c r="K9" t="s">
        <v>1059</v>
      </c>
      <c r="L9" t="s">
        <v>1060</v>
      </c>
      <c r="M9" t="s">
        <v>1061</v>
      </c>
      <c r="N9" t="s">
        <v>1033</v>
      </c>
      <c r="O9">
        <v>1</v>
      </c>
      <c r="P9" t="s">
        <v>1024</v>
      </c>
      <c r="Q9">
        <v>79.99</v>
      </c>
      <c r="R9">
        <v>3.12</v>
      </c>
      <c r="W9">
        <v>47.99</v>
      </c>
      <c r="Y9" t="s">
        <v>1082</v>
      </c>
      <c r="Z9" t="s">
        <v>1052</v>
      </c>
      <c r="AA9" t="s">
        <v>1083</v>
      </c>
      <c r="AB9" t="s">
        <v>1028</v>
      </c>
      <c r="AC9" t="s">
        <v>1078</v>
      </c>
      <c r="AD9" t="b">
        <v>0</v>
      </c>
      <c r="AW9" t="b">
        <v>0</v>
      </c>
      <c r="AZ9" t="b">
        <v>0</v>
      </c>
    </row>
    <row r="10" spans="1:52">
      <c r="A10" t="s">
        <v>1084</v>
      </c>
      <c r="B10" t="s">
        <v>1084</v>
      </c>
      <c r="C10" t="s">
        <v>1085</v>
      </c>
      <c r="D10" t="s">
        <v>1086</v>
      </c>
      <c r="E10" t="s">
        <v>1033</v>
      </c>
      <c r="F10" t="s">
        <v>1017</v>
      </c>
      <c r="G10" s="19" t="s">
        <v>1018</v>
      </c>
      <c r="J10" t="s">
        <v>1019</v>
      </c>
      <c r="K10" t="s">
        <v>1020</v>
      </c>
      <c r="L10" t="s">
        <v>1021</v>
      </c>
      <c r="M10" t="s">
        <v>1022</v>
      </c>
      <c r="N10" t="s">
        <v>1033</v>
      </c>
      <c r="O10">
        <v>1</v>
      </c>
      <c r="P10" t="s">
        <v>1024</v>
      </c>
      <c r="Q10">
        <v>79.99</v>
      </c>
      <c r="R10">
        <v>1.25</v>
      </c>
      <c r="S10">
        <v>2.99</v>
      </c>
      <c r="W10">
        <v>59.99</v>
      </c>
      <c r="X10">
        <v>2.99</v>
      </c>
      <c r="Y10" t="s">
        <v>1087</v>
      </c>
      <c r="Z10" t="s">
        <v>1088</v>
      </c>
      <c r="AA10" t="s">
        <v>1089</v>
      </c>
      <c r="AB10" t="s">
        <v>1028</v>
      </c>
      <c r="AC10" t="s">
        <v>1090</v>
      </c>
      <c r="AD10" t="b">
        <v>0</v>
      </c>
      <c r="AW10" t="b">
        <v>0</v>
      </c>
      <c r="AZ10" t="b">
        <v>0</v>
      </c>
    </row>
    <row r="11" spans="1:52">
      <c r="A11" t="s">
        <v>1091</v>
      </c>
      <c r="B11" t="s">
        <v>1091</v>
      </c>
      <c r="C11" t="s">
        <v>1092</v>
      </c>
      <c r="D11" t="s">
        <v>1093</v>
      </c>
      <c r="E11" t="s">
        <v>1033</v>
      </c>
      <c r="F11" t="s">
        <v>1017</v>
      </c>
      <c r="G11" s="19" t="s">
        <v>1018</v>
      </c>
      <c r="J11" t="s">
        <v>1058</v>
      </c>
      <c r="K11" t="s">
        <v>1034</v>
      </c>
      <c r="L11" t="s">
        <v>1035</v>
      </c>
      <c r="M11" t="s">
        <v>1036</v>
      </c>
      <c r="N11" t="s">
        <v>1033</v>
      </c>
      <c r="O11">
        <v>1</v>
      </c>
      <c r="P11" t="s">
        <v>1024</v>
      </c>
      <c r="Q11">
        <v>99.99</v>
      </c>
      <c r="R11">
        <v>2.84</v>
      </c>
      <c r="W11">
        <v>67.99</v>
      </c>
      <c r="Y11" t="s">
        <v>1094</v>
      </c>
      <c r="Z11" t="s">
        <v>1095</v>
      </c>
      <c r="AA11">
        <v>11235</v>
      </c>
      <c r="AB11" t="s">
        <v>1028</v>
      </c>
      <c r="AC11" t="s">
        <v>1096</v>
      </c>
      <c r="AD11" t="b">
        <v>0</v>
      </c>
      <c r="AW11" t="b">
        <v>0</v>
      </c>
      <c r="AZ11" t="b">
        <v>0</v>
      </c>
    </row>
    <row r="12" spans="1:52">
      <c r="A12" t="s">
        <v>1097</v>
      </c>
      <c r="B12" t="s">
        <v>1097</v>
      </c>
      <c r="C12" t="s">
        <v>1098</v>
      </c>
      <c r="D12" t="s">
        <v>1099</v>
      </c>
      <c r="E12" t="s">
        <v>1016</v>
      </c>
      <c r="F12" t="s">
        <v>1017</v>
      </c>
      <c r="G12" s="19" t="s">
        <v>1018</v>
      </c>
      <c r="J12" t="s">
        <v>1019</v>
      </c>
      <c r="K12" t="s">
        <v>1020</v>
      </c>
      <c r="L12" t="s">
        <v>1021</v>
      </c>
      <c r="M12" t="s">
        <v>1022</v>
      </c>
      <c r="N12" t="s">
        <v>1023</v>
      </c>
      <c r="O12">
        <v>1</v>
      </c>
      <c r="P12" t="s">
        <v>1024</v>
      </c>
      <c r="Q12">
        <v>79.99</v>
      </c>
      <c r="Y12" t="s">
        <v>1100</v>
      </c>
      <c r="Z12" t="s">
        <v>1095</v>
      </c>
      <c r="AA12">
        <v>10461</v>
      </c>
      <c r="AB12" t="s">
        <v>1028</v>
      </c>
      <c r="AC12" t="s">
        <v>1029</v>
      </c>
      <c r="AD12" t="b">
        <v>0</v>
      </c>
      <c r="AW12" t="b">
        <v>0</v>
      </c>
      <c r="AZ12" t="b">
        <v>0</v>
      </c>
    </row>
    <row r="13" spans="1:52">
      <c r="A13" t="s">
        <v>1101</v>
      </c>
      <c r="B13" t="s">
        <v>1101</v>
      </c>
      <c r="C13" t="s">
        <v>1102</v>
      </c>
      <c r="D13" t="s">
        <v>1103</v>
      </c>
      <c r="E13" t="s">
        <v>1033</v>
      </c>
      <c r="F13" t="s">
        <v>1017</v>
      </c>
      <c r="G13" s="19" t="s">
        <v>1018</v>
      </c>
      <c r="J13" t="s">
        <v>1019</v>
      </c>
      <c r="K13" t="s">
        <v>1059</v>
      </c>
      <c r="L13" t="s">
        <v>1060</v>
      </c>
      <c r="M13" t="s">
        <v>1061</v>
      </c>
      <c r="N13" t="s">
        <v>1033</v>
      </c>
      <c r="O13">
        <v>1</v>
      </c>
      <c r="P13" t="s">
        <v>1024</v>
      </c>
      <c r="Q13">
        <v>79.99</v>
      </c>
      <c r="R13">
        <v>3.8</v>
      </c>
      <c r="W13">
        <v>40</v>
      </c>
      <c r="Y13" t="s">
        <v>1104</v>
      </c>
      <c r="Z13" t="s">
        <v>1070</v>
      </c>
      <c r="AA13" t="s">
        <v>1105</v>
      </c>
      <c r="AB13" t="s">
        <v>1028</v>
      </c>
      <c r="AC13" t="s">
        <v>1106</v>
      </c>
      <c r="AD13" t="b">
        <v>0</v>
      </c>
      <c r="AW13" t="b">
        <v>0</v>
      </c>
      <c r="AZ13" t="b">
        <v>0</v>
      </c>
    </row>
  </sheetData>
  <sheetProtection formatCells="0" insertHyperlinks="0" autoFilter="0"/>
  <autoFilter xmlns:etc="http://www.wps.cn/officeDocument/2017/etCustomData" ref="A1:AZ13" etc:filterBottomFollowUsedRange="0">
    <extLst/>
  </autoFilter>
  <hyperlinks>
    <hyperlink ref="G2" r:id="rId1" display="Amazon.com" tooltip="Amazon.com"/>
    <hyperlink ref="G3" r:id="rId1" display="Amazon.com" tooltip="Amazon.com"/>
    <hyperlink ref="G4" r:id="rId1" display="Amazon.com" tooltip="Amazon.com"/>
    <hyperlink ref="G5" r:id="rId1" display="Amazon.com" tooltip="Amazon.com"/>
    <hyperlink ref="G6" r:id="rId1" display="Amazon.com" tooltip="Amazon.com"/>
    <hyperlink ref="G7" r:id="rId1" display="Amazon.com" tooltip="Amazon.com"/>
    <hyperlink ref="G8" r:id="rId1" display="Amazon.com" tooltip="Amazon.com"/>
    <hyperlink ref="G9" r:id="rId1" display="Amazon.com" tooltip="Amazon.com"/>
    <hyperlink ref="G10" r:id="rId1" display="Amazon.com" tooltip="Amazon.com"/>
    <hyperlink ref="G11" r:id="rId1" display="Amazon.com" tooltip="Amazon.com"/>
    <hyperlink ref="G12" r:id="rId1" display="Amazon.com" tooltip="Amazon.com"/>
    <hyperlink ref="G13" r:id="rId1" display="Amazon.com" tooltip="Amazon.com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50"/>
  <sheetViews>
    <sheetView workbookViewId="0">
      <selection activeCell="A1" sqref="A1"/>
    </sheetView>
  </sheetViews>
  <sheetFormatPr defaultColWidth="9" defaultRowHeight="12.45" customHeight="1"/>
  <cols>
    <col min="11" max="11" width="9" style="7"/>
    <col min="16" max="16" width="28.25" customWidth="1"/>
  </cols>
  <sheetData>
    <row r="1" customFormat="1" ht="24" customHeight="1" spans="1:19">
      <c r="A1" t="s">
        <v>166</v>
      </c>
      <c r="B1" t="s">
        <v>1107</v>
      </c>
      <c r="C1" t="s">
        <v>1108</v>
      </c>
      <c r="D1" t="s">
        <v>1109</v>
      </c>
      <c r="E1" t="s">
        <v>44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s="7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  <c r="R1" t="s">
        <v>1122</v>
      </c>
      <c r="S1" t="s">
        <v>1123</v>
      </c>
    </row>
    <row r="2" customFormat="1" ht="24" customHeight="1" spans="1:18">
      <c r="A2" t="s">
        <v>1124</v>
      </c>
      <c r="B2" t="s">
        <v>1125</v>
      </c>
      <c r="C2" t="s">
        <v>1036</v>
      </c>
      <c r="D2" t="s">
        <v>1126</v>
      </c>
      <c r="E2" t="s">
        <v>1127</v>
      </c>
      <c r="F2" t="s">
        <v>1128</v>
      </c>
      <c r="G2">
        <v>68</v>
      </c>
      <c r="I2" t="s">
        <v>1129</v>
      </c>
      <c r="J2" t="s">
        <v>1130</v>
      </c>
      <c r="K2" s="7">
        <v>37</v>
      </c>
      <c r="L2" t="s">
        <v>1131</v>
      </c>
      <c r="M2" t="s">
        <v>1132</v>
      </c>
      <c r="P2" t="s">
        <v>1133</v>
      </c>
      <c r="Q2" t="s">
        <v>1134</v>
      </c>
      <c r="R2" t="s">
        <v>1135</v>
      </c>
    </row>
    <row r="3" customFormat="1" customHeight="1" spans="1:18">
      <c r="A3" t="s">
        <v>1124</v>
      </c>
      <c r="B3" t="s">
        <v>1125</v>
      </c>
      <c r="C3" t="s">
        <v>1036</v>
      </c>
      <c r="D3" t="s">
        <v>1126</v>
      </c>
      <c r="E3" t="s">
        <v>1127</v>
      </c>
      <c r="F3" t="s">
        <v>1128</v>
      </c>
      <c r="G3">
        <v>68</v>
      </c>
      <c r="I3" t="s">
        <v>1136</v>
      </c>
      <c r="J3" t="s">
        <v>1130</v>
      </c>
      <c r="K3" s="7">
        <v>14</v>
      </c>
      <c r="L3" t="s">
        <v>1131</v>
      </c>
      <c r="M3" t="s">
        <v>1132</v>
      </c>
      <c r="P3" t="s">
        <v>1133</v>
      </c>
      <c r="Q3" t="s">
        <v>1137</v>
      </c>
      <c r="R3" t="s">
        <v>1138</v>
      </c>
    </row>
    <row r="4" customFormat="1" customHeight="1" spans="1:18">
      <c r="A4" t="s">
        <v>1124</v>
      </c>
      <c r="B4" t="s">
        <v>1125</v>
      </c>
      <c r="C4" t="s">
        <v>1036</v>
      </c>
      <c r="D4" t="s">
        <v>1126</v>
      </c>
      <c r="E4" t="s">
        <v>1127</v>
      </c>
      <c r="F4" t="s">
        <v>1128</v>
      </c>
      <c r="G4">
        <v>68</v>
      </c>
      <c r="I4" t="s">
        <v>1139</v>
      </c>
      <c r="J4" t="s">
        <v>1130</v>
      </c>
      <c r="K4" s="7">
        <v>30</v>
      </c>
      <c r="L4" t="s">
        <v>1131</v>
      </c>
      <c r="M4" t="s">
        <v>1132</v>
      </c>
      <c r="P4" t="s">
        <v>1133</v>
      </c>
      <c r="Q4" t="s">
        <v>1140</v>
      </c>
      <c r="R4" t="s">
        <v>1141</v>
      </c>
    </row>
    <row r="5" customFormat="1" customHeight="1" spans="1:18">
      <c r="A5" t="s">
        <v>1124</v>
      </c>
      <c r="B5" t="s">
        <v>1125</v>
      </c>
      <c r="C5" t="s">
        <v>1036</v>
      </c>
      <c r="D5" t="s">
        <v>1126</v>
      </c>
      <c r="E5" t="s">
        <v>1127</v>
      </c>
      <c r="F5" t="s">
        <v>1128</v>
      </c>
      <c r="G5">
        <v>68</v>
      </c>
      <c r="I5" t="s">
        <v>1142</v>
      </c>
      <c r="J5" t="s">
        <v>1130</v>
      </c>
      <c r="K5" s="7">
        <v>63</v>
      </c>
      <c r="L5" t="s">
        <v>1131</v>
      </c>
      <c r="M5" t="s">
        <v>1132</v>
      </c>
      <c r="P5" t="s">
        <v>1133</v>
      </c>
      <c r="Q5" t="s">
        <v>1143</v>
      </c>
      <c r="R5" t="s">
        <v>1144</v>
      </c>
    </row>
    <row r="6" customFormat="1" customHeight="1" spans="1:19">
      <c r="A6" t="s">
        <v>1124</v>
      </c>
      <c r="B6" t="s">
        <v>1125</v>
      </c>
      <c r="C6" t="s">
        <v>1036</v>
      </c>
      <c r="D6" t="s">
        <v>1126</v>
      </c>
      <c r="E6" t="s">
        <v>1127</v>
      </c>
      <c r="F6" t="s">
        <v>1128</v>
      </c>
      <c r="G6">
        <v>68</v>
      </c>
      <c r="I6" t="s">
        <v>1145</v>
      </c>
      <c r="J6" t="s">
        <v>1130</v>
      </c>
      <c r="K6" s="7">
        <v>32</v>
      </c>
      <c r="L6" t="s">
        <v>1146</v>
      </c>
      <c r="O6" t="s">
        <v>1147</v>
      </c>
      <c r="P6" t="s">
        <v>1133</v>
      </c>
      <c r="Q6" t="s">
        <v>1148</v>
      </c>
      <c r="S6" t="s">
        <v>1149</v>
      </c>
    </row>
    <row r="7" customFormat="1" customHeight="1" spans="1:18">
      <c r="A7" t="s">
        <v>1124</v>
      </c>
      <c r="B7" t="s">
        <v>1125</v>
      </c>
      <c r="C7" t="s">
        <v>1036</v>
      </c>
      <c r="D7" t="s">
        <v>1126</v>
      </c>
      <c r="E7" t="s">
        <v>1127</v>
      </c>
      <c r="F7" t="s">
        <v>1128</v>
      </c>
      <c r="G7">
        <v>68</v>
      </c>
      <c r="I7" t="s">
        <v>1150</v>
      </c>
      <c r="J7" t="s">
        <v>1130</v>
      </c>
      <c r="K7" s="7">
        <v>32</v>
      </c>
      <c r="L7" t="s">
        <v>1131</v>
      </c>
      <c r="M7" t="s">
        <v>1132</v>
      </c>
      <c r="P7" t="s">
        <v>1133</v>
      </c>
      <c r="Q7" t="s">
        <v>1151</v>
      </c>
      <c r="R7" t="s">
        <v>1152</v>
      </c>
    </row>
    <row r="8" customFormat="1" customHeight="1" spans="1:18">
      <c r="A8" t="s">
        <v>1124</v>
      </c>
      <c r="B8" t="s">
        <v>1125</v>
      </c>
      <c r="C8" t="s">
        <v>1036</v>
      </c>
      <c r="D8" t="s">
        <v>1126</v>
      </c>
      <c r="E8" t="s">
        <v>1127</v>
      </c>
      <c r="F8" t="s">
        <v>1128</v>
      </c>
      <c r="G8">
        <v>68</v>
      </c>
      <c r="I8" t="s">
        <v>1153</v>
      </c>
      <c r="J8" t="s">
        <v>1130</v>
      </c>
      <c r="K8" s="7">
        <v>49</v>
      </c>
      <c r="L8" t="s">
        <v>1131</v>
      </c>
      <c r="N8" t="s">
        <v>1154</v>
      </c>
      <c r="P8" t="s">
        <v>1133</v>
      </c>
      <c r="Q8" t="s">
        <v>1155</v>
      </c>
      <c r="R8" t="s">
        <v>1156</v>
      </c>
    </row>
    <row r="9" customFormat="1" customHeight="1" spans="1:18">
      <c r="A9" t="s">
        <v>1124</v>
      </c>
      <c r="B9" t="s">
        <v>1125</v>
      </c>
      <c r="C9" t="s">
        <v>1036</v>
      </c>
      <c r="D9" t="s">
        <v>1126</v>
      </c>
      <c r="E9" t="s">
        <v>1127</v>
      </c>
      <c r="F9" t="s">
        <v>1128</v>
      </c>
      <c r="G9">
        <v>68</v>
      </c>
      <c r="I9" t="s">
        <v>1157</v>
      </c>
      <c r="J9" t="s">
        <v>1130</v>
      </c>
      <c r="K9" s="7">
        <v>24</v>
      </c>
      <c r="L9" t="s">
        <v>1131</v>
      </c>
      <c r="M9" t="s">
        <v>1132</v>
      </c>
      <c r="P9" t="s">
        <v>1133</v>
      </c>
      <c r="Q9" t="s">
        <v>1158</v>
      </c>
      <c r="R9" t="s">
        <v>1159</v>
      </c>
    </row>
    <row r="10" customFormat="1" customHeight="1" spans="1:19">
      <c r="A10" t="s">
        <v>1124</v>
      </c>
      <c r="B10" t="s">
        <v>1125</v>
      </c>
      <c r="C10" t="s">
        <v>1036</v>
      </c>
      <c r="D10" t="s">
        <v>1126</v>
      </c>
      <c r="E10" t="s">
        <v>1127</v>
      </c>
      <c r="F10" t="s">
        <v>1128</v>
      </c>
      <c r="G10">
        <v>68</v>
      </c>
      <c r="I10" t="s">
        <v>1160</v>
      </c>
      <c r="J10" t="s">
        <v>1130</v>
      </c>
      <c r="K10" s="7">
        <v>14</v>
      </c>
      <c r="L10" t="s">
        <v>1146</v>
      </c>
      <c r="O10" t="s">
        <v>1147</v>
      </c>
      <c r="P10" t="s">
        <v>1133</v>
      </c>
      <c r="Q10" t="s">
        <v>1161</v>
      </c>
      <c r="S10" t="s">
        <v>1162</v>
      </c>
    </row>
    <row r="11" customFormat="1" customHeight="1" spans="1:18">
      <c r="A11" t="s">
        <v>1124</v>
      </c>
      <c r="B11" t="s">
        <v>1125</v>
      </c>
      <c r="C11" t="s">
        <v>1036</v>
      </c>
      <c r="D11" t="s">
        <v>1126</v>
      </c>
      <c r="E11" t="s">
        <v>1127</v>
      </c>
      <c r="F11" t="s">
        <v>1128</v>
      </c>
      <c r="G11">
        <v>68</v>
      </c>
      <c r="I11" t="s">
        <v>1163</v>
      </c>
      <c r="J11" t="s">
        <v>1130</v>
      </c>
      <c r="K11" s="7">
        <v>28</v>
      </c>
      <c r="L11" t="s">
        <v>1131</v>
      </c>
      <c r="M11" t="s">
        <v>1132</v>
      </c>
      <c r="P11" t="s">
        <v>1133</v>
      </c>
      <c r="Q11" t="s">
        <v>1164</v>
      </c>
      <c r="R11" t="s">
        <v>1165</v>
      </c>
    </row>
    <row r="12" customFormat="1" customHeight="1" spans="1:19">
      <c r="A12" t="s">
        <v>1124</v>
      </c>
      <c r="B12" t="s">
        <v>1166</v>
      </c>
      <c r="C12" t="s">
        <v>1167</v>
      </c>
      <c r="D12" t="s">
        <v>1126</v>
      </c>
      <c r="E12" t="s">
        <v>1127</v>
      </c>
      <c r="F12" t="s">
        <v>1168</v>
      </c>
      <c r="G12">
        <v>68</v>
      </c>
      <c r="I12" t="s">
        <v>1169</v>
      </c>
      <c r="J12" t="s">
        <v>1130</v>
      </c>
      <c r="K12" s="7">
        <v>22</v>
      </c>
      <c r="L12" t="s">
        <v>1146</v>
      </c>
      <c r="O12" t="s">
        <v>1170</v>
      </c>
      <c r="P12" t="s">
        <v>1171</v>
      </c>
      <c r="S12" t="s">
        <v>1172</v>
      </c>
    </row>
    <row r="13" customFormat="1" customHeight="1" spans="1:18">
      <c r="A13" t="s">
        <v>1124</v>
      </c>
      <c r="B13" t="s">
        <v>1166</v>
      </c>
      <c r="C13" t="s">
        <v>1167</v>
      </c>
      <c r="D13" t="s">
        <v>1126</v>
      </c>
      <c r="E13" t="s">
        <v>1127</v>
      </c>
      <c r="F13" t="s">
        <v>1168</v>
      </c>
      <c r="G13">
        <v>68</v>
      </c>
      <c r="I13" t="s">
        <v>1173</v>
      </c>
      <c r="J13" t="s">
        <v>1130</v>
      </c>
      <c r="K13" s="7">
        <v>25</v>
      </c>
      <c r="L13" t="s">
        <v>1131</v>
      </c>
      <c r="N13" t="s">
        <v>1154</v>
      </c>
      <c r="P13" t="s">
        <v>1171</v>
      </c>
      <c r="Q13" t="s">
        <v>1174</v>
      </c>
      <c r="R13" t="s">
        <v>1175</v>
      </c>
    </row>
    <row r="14" customFormat="1" customHeight="1" spans="1:19">
      <c r="A14" t="s">
        <v>1124</v>
      </c>
      <c r="B14" t="s">
        <v>1166</v>
      </c>
      <c r="C14" t="s">
        <v>1167</v>
      </c>
      <c r="D14" t="s">
        <v>1126</v>
      </c>
      <c r="E14" t="s">
        <v>1127</v>
      </c>
      <c r="F14" t="s">
        <v>1168</v>
      </c>
      <c r="G14">
        <v>68</v>
      </c>
      <c r="I14" t="s">
        <v>1176</v>
      </c>
      <c r="J14" t="s">
        <v>1130</v>
      </c>
      <c r="K14" s="7">
        <v>17</v>
      </c>
      <c r="L14" t="s">
        <v>1146</v>
      </c>
      <c r="O14" t="s">
        <v>1147</v>
      </c>
      <c r="P14" t="s">
        <v>1171</v>
      </c>
      <c r="Q14" t="s">
        <v>1177</v>
      </c>
      <c r="S14" t="s">
        <v>1178</v>
      </c>
    </row>
    <row r="15" customFormat="1" customHeight="1" spans="1:18">
      <c r="A15" t="s">
        <v>1124</v>
      </c>
      <c r="B15" t="s">
        <v>1166</v>
      </c>
      <c r="C15" t="s">
        <v>1167</v>
      </c>
      <c r="D15" t="s">
        <v>1126</v>
      </c>
      <c r="E15" t="s">
        <v>1127</v>
      </c>
      <c r="F15" t="s">
        <v>1168</v>
      </c>
      <c r="G15">
        <v>68</v>
      </c>
      <c r="I15" t="s">
        <v>1179</v>
      </c>
      <c r="J15" t="s">
        <v>1130</v>
      </c>
      <c r="K15" s="7">
        <v>80</v>
      </c>
      <c r="L15" t="s">
        <v>1131</v>
      </c>
      <c r="M15" t="s">
        <v>1132</v>
      </c>
      <c r="P15" t="s">
        <v>1171</v>
      </c>
      <c r="Q15" t="s">
        <v>1180</v>
      </c>
      <c r="R15" t="s">
        <v>1181</v>
      </c>
    </row>
    <row r="16" customFormat="1" customHeight="1" spans="1:19">
      <c r="A16" t="s">
        <v>1124</v>
      </c>
      <c r="B16" t="s">
        <v>1166</v>
      </c>
      <c r="C16" t="s">
        <v>1167</v>
      </c>
      <c r="D16" t="s">
        <v>1126</v>
      </c>
      <c r="E16" t="s">
        <v>1127</v>
      </c>
      <c r="F16" t="s">
        <v>1168</v>
      </c>
      <c r="G16">
        <v>68</v>
      </c>
      <c r="I16" t="s">
        <v>1182</v>
      </c>
      <c r="J16" t="s">
        <v>1130</v>
      </c>
      <c r="K16" s="7">
        <v>51</v>
      </c>
      <c r="L16" t="s">
        <v>1146</v>
      </c>
      <c r="O16" t="s">
        <v>1147</v>
      </c>
      <c r="P16" t="s">
        <v>1171</v>
      </c>
      <c r="Q16" t="s">
        <v>1183</v>
      </c>
      <c r="S16" t="s">
        <v>1184</v>
      </c>
    </row>
    <row r="17" customFormat="1" customHeight="1" spans="1:18">
      <c r="A17" t="s">
        <v>1124</v>
      </c>
      <c r="B17" t="s">
        <v>1166</v>
      </c>
      <c r="C17" t="s">
        <v>1167</v>
      </c>
      <c r="D17" t="s">
        <v>1126</v>
      </c>
      <c r="E17" t="s">
        <v>1127</v>
      </c>
      <c r="F17" t="s">
        <v>1168</v>
      </c>
      <c r="G17">
        <v>68</v>
      </c>
      <c r="I17" t="s">
        <v>1185</v>
      </c>
      <c r="J17" t="s">
        <v>1130</v>
      </c>
      <c r="K17" s="7">
        <v>13</v>
      </c>
      <c r="L17" t="s">
        <v>1131</v>
      </c>
      <c r="M17" t="s">
        <v>1132</v>
      </c>
      <c r="P17" t="s">
        <v>1171</v>
      </c>
      <c r="Q17" t="s">
        <v>1186</v>
      </c>
      <c r="R17" t="s">
        <v>1187</v>
      </c>
    </row>
    <row r="18" customFormat="1" customHeight="1" spans="1:19">
      <c r="A18" t="s">
        <v>1124</v>
      </c>
      <c r="B18" t="s">
        <v>1166</v>
      </c>
      <c r="C18" t="s">
        <v>1167</v>
      </c>
      <c r="D18" t="s">
        <v>1126</v>
      </c>
      <c r="E18" t="s">
        <v>1127</v>
      </c>
      <c r="F18" t="s">
        <v>1168</v>
      </c>
      <c r="G18">
        <v>68</v>
      </c>
      <c r="I18" t="s">
        <v>1188</v>
      </c>
      <c r="J18" t="s">
        <v>1130</v>
      </c>
      <c r="K18" s="7">
        <v>30</v>
      </c>
      <c r="L18" t="s">
        <v>1146</v>
      </c>
      <c r="O18" t="s">
        <v>1147</v>
      </c>
      <c r="P18" t="s">
        <v>1171</v>
      </c>
      <c r="Q18" t="s">
        <v>1189</v>
      </c>
      <c r="S18" t="s">
        <v>1190</v>
      </c>
    </row>
    <row r="19" customFormat="1" customHeight="1" spans="1:19">
      <c r="A19" t="s">
        <v>1124</v>
      </c>
      <c r="B19" t="s">
        <v>1166</v>
      </c>
      <c r="C19" t="s">
        <v>1167</v>
      </c>
      <c r="D19" t="s">
        <v>1126</v>
      </c>
      <c r="E19" t="s">
        <v>1127</v>
      </c>
      <c r="F19" t="s">
        <v>1168</v>
      </c>
      <c r="G19">
        <v>68</v>
      </c>
      <c r="I19" t="s">
        <v>1191</v>
      </c>
      <c r="J19" t="s">
        <v>1130</v>
      </c>
      <c r="K19" s="7">
        <v>47</v>
      </c>
      <c r="L19" t="s">
        <v>1146</v>
      </c>
      <c r="O19" t="s">
        <v>1192</v>
      </c>
      <c r="P19" t="s">
        <v>1171</v>
      </c>
      <c r="S19" t="s">
        <v>1193</v>
      </c>
    </row>
    <row r="20" customFormat="1" customHeight="1" spans="1:19">
      <c r="A20" t="s">
        <v>1124</v>
      </c>
      <c r="B20" t="s">
        <v>1166</v>
      </c>
      <c r="C20" t="s">
        <v>1167</v>
      </c>
      <c r="D20" t="s">
        <v>1126</v>
      </c>
      <c r="E20" t="s">
        <v>1127</v>
      </c>
      <c r="F20" t="s">
        <v>1168</v>
      </c>
      <c r="G20">
        <v>68</v>
      </c>
      <c r="I20" t="s">
        <v>1194</v>
      </c>
      <c r="J20" t="s">
        <v>1130</v>
      </c>
      <c r="K20" s="7">
        <v>15</v>
      </c>
      <c r="L20" t="s">
        <v>1146</v>
      </c>
      <c r="O20" t="s">
        <v>1195</v>
      </c>
      <c r="P20" t="s">
        <v>1171</v>
      </c>
      <c r="Q20" t="s">
        <v>1196</v>
      </c>
      <c r="S20" t="s">
        <v>1197</v>
      </c>
    </row>
    <row r="21" customFormat="1" customHeight="1" spans="1:18">
      <c r="A21" t="s">
        <v>1124</v>
      </c>
      <c r="B21" t="s">
        <v>1166</v>
      </c>
      <c r="C21" t="s">
        <v>1167</v>
      </c>
      <c r="D21" t="s">
        <v>1126</v>
      </c>
      <c r="E21" t="s">
        <v>1127</v>
      </c>
      <c r="F21" t="s">
        <v>1168</v>
      </c>
      <c r="G21">
        <v>68</v>
      </c>
      <c r="I21" t="s">
        <v>1198</v>
      </c>
      <c r="J21" t="s">
        <v>1130</v>
      </c>
      <c r="K21" s="7">
        <v>47</v>
      </c>
      <c r="L21" t="s">
        <v>1131</v>
      </c>
      <c r="M21" t="s">
        <v>1132</v>
      </c>
      <c r="P21" t="s">
        <v>1171</v>
      </c>
      <c r="Q21" t="s">
        <v>1199</v>
      </c>
      <c r="R21" t="s">
        <v>1200</v>
      </c>
    </row>
    <row r="22" customFormat="1" customHeight="1" spans="1:19">
      <c r="A22" t="s">
        <v>1124</v>
      </c>
      <c r="B22" t="s">
        <v>1166</v>
      </c>
      <c r="C22" t="s">
        <v>1167</v>
      </c>
      <c r="D22" t="s">
        <v>1126</v>
      </c>
      <c r="E22" t="s">
        <v>1127</v>
      </c>
      <c r="F22" t="s">
        <v>1168</v>
      </c>
      <c r="G22">
        <v>68</v>
      </c>
      <c r="I22" t="s">
        <v>1201</v>
      </c>
      <c r="J22" t="s">
        <v>1130</v>
      </c>
      <c r="K22" s="7">
        <v>28</v>
      </c>
      <c r="L22" t="s">
        <v>1146</v>
      </c>
      <c r="O22" t="s">
        <v>1147</v>
      </c>
      <c r="P22" t="s">
        <v>1171</v>
      </c>
      <c r="Q22" t="s">
        <v>1202</v>
      </c>
      <c r="S22" t="s">
        <v>1203</v>
      </c>
    </row>
    <row r="23" customFormat="1" customHeight="1" spans="1:18">
      <c r="A23" t="s">
        <v>1124</v>
      </c>
      <c r="B23" t="s">
        <v>1166</v>
      </c>
      <c r="C23" t="s">
        <v>1167</v>
      </c>
      <c r="D23" t="s">
        <v>1126</v>
      </c>
      <c r="E23" t="s">
        <v>1127</v>
      </c>
      <c r="F23" t="s">
        <v>1168</v>
      </c>
      <c r="G23">
        <v>68</v>
      </c>
      <c r="I23" t="s">
        <v>1204</v>
      </c>
      <c r="J23" t="s">
        <v>1130</v>
      </c>
      <c r="K23" s="7">
        <v>39</v>
      </c>
      <c r="L23" t="s">
        <v>1131</v>
      </c>
      <c r="M23" t="s">
        <v>1132</v>
      </c>
      <c r="P23" t="s">
        <v>1171</v>
      </c>
      <c r="Q23" t="s">
        <v>1205</v>
      </c>
      <c r="R23" t="s">
        <v>1206</v>
      </c>
    </row>
    <row r="24" customFormat="1" customHeight="1" spans="1:19">
      <c r="A24" t="s">
        <v>1124</v>
      </c>
      <c r="B24" t="s">
        <v>1207</v>
      </c>
      <c r="C24" t="s">
        <v>1036</v>
      </c>
      <c r="D24" t="s">
        <v>1126</v>
      </c>
      <c r="E24" t="s">
        <v>1127</v>
      </c>
      <c r="F24" t="s">
        <v>1208</v>
      </c>
      <c r="G24">
        <v>68</v>
      </c>
      <c r="I24" t="s">
        <v>1191</v>
      </c>
      <c r="J24" t="s">
        <v>1130</v>
      </c>
      <c r="K24" s="7">
        <v>37</v>
      </c>
      <c r="L24" t="s">
        <v>1146</v>
      </c>
      <c r="O24" t="s">
        <v>1147</v>
      </c>
      <c r="P24" t="s">
        <v>1209</v>
      </c>
      <c r="Q24" t="s">
        <v>1210</v>
      </c>
      <c r="S24" t="s">
        <v>1211</v>
      </c>
    </row>
    <row r="25" customFormat="1" customHeight="1" spans="1:18">
      <c r="A25" t="s">
        <v>1124</v>
      </c>
      <c r="B25" t="s">
        <v>1207</v>
      </c>
      <c r="C25" t="s">
        <v>1036</v>
      </c>
      <c r="D25" t="s">
        <v>1126</v>
      </c>
      <c r="E25" t="s">
        <v>1127</v>
      </c>
      <c r="F25" t="s">
        <v>1208</v>
      </c>
      <c r="G25">
        <v>68</v>
      </c>
      <c r="I25" t="s">
        <v>1212</v>
      </c>
      <c r="J25" t="s">
        <v>1130</v>
      </c>
      <c r="K25" s="7">
        <v>36</v>
      </c>
      <c r="L25" t="s">
        <v>1131</v>
      </c>
      <c r="M25" t="s">
        <v>1132</v>
      </c>
      <c r="P25" t="s">
        <v>1209</v>
      </c>
      <c r="Q25" t="s">
        <v>1213</v>
      </c>
      <c r="R25" t="s">
        <v>1214</v>
      </c>
    </row>
    <row r="26" customFormat="1" customHeight="1" spans="1:19">
      <c r="A26" t="s">
        <v>1124</v>
      </c>
      <c r="B26" t="s">
        <v>1207</v>
      </c>
      <c r="C26" t="s">
        <v>1036</v>
      </c>
      <c r="D26" t="s">
        <v>1126</v>
      </c>
      <c r="E26" t="s">
        <v>1127</v>
      </c>
      <c r="F26" t="s">
        <v>1208</v>
      </c>
      <c r="G26">
        <v>68</v>
      </c>
      <c r="I26" t="s">
        <v>1176</v>
      </c>
      <c r="J26" t="s">
        <v>1130</v>
      </c>
      <c r="K26" s="7">
        <v>17</v>
      </c>
      <c r="L26" t="s">
        <v>1146</v>
      </c>
      <c r="O26" t="s">
        <v>1147</v>
      </c>
      <c r="P26" t="s">
        <v>1209</v>
      </c>
      <c r="Q26" t="s">
        <v>1215</v>
      </c>
      <c r="S26" t="s">
        <v>1216</v>
      </c>
    </row>
    <row r="27" customFormat="1" customHeight="1" spans="1:19">
      <c r="A27" t="s">
        <v>1124</v>
      </c>
      <c r="B27" t="s">
        <v>1207</v>
      </c>
      <c r="C27" t="s">
        <v>1036</v>
      </c>
      <c r="D27" t="s">
        <v>1126</v>
      </c>
      <c r="E27" t="s">
        <v>1127</v>
      </c>
      <c r="F27" t="s">
        <v>1208</v>
      </c>
      <c r="G27">
        <v>68</v>
      </c>
      <c r="I27" t="s">
        <v>1169</v>
      </c>
      <c r="J27" t="s">
        <v>1130</v>
      </c>
      <c r="K27" s="7">
        <v>28</v>
      </c>
      <c r="L27" t="s">
        <v>1146</v>
      </c>
      <c r="O27" t="s">
        <v>1147</v>
      </c>
      <c r="P27" t="s">
        <v>1209</v>
      </c>
      <c r="Q27" t="s">
        <v>1217</v>
      </c>
      <c r="S27" t="s">
        <v>1218</v>
      </c>
    </row>
    <row r="28" customFormat="1" customHeight="1" spans="1:19">
      <c r="A28" t="s">
        <v>1124</v>
      </c>
      <c r="B28" t="s">
        <v>1207</v>
      </c>
      <c r="C28" t="s">
        <v>1036</v>
      </c>
      <c r="D28" t="s">
        <v>1126</v>
      </c>
      <c r="E28" t="s">
        <v>1127</v>
      </c>
      <c r="F28" t="s">
        <v>1208</v>
      </c>
      <c r="G28">
        <v>68</v>
      </c>
      <c r="I28" t="s">
        <v>1188</v>
      </c>
      <c r="J28" t="s">
        <v>1130</v>
      </c>
      <c r="K28" s="7">
        <v>30</v>
      </c>
      <c r="L28" t="s">
        <v>1146</v>
      </c>
      <c r="O28" t="s">
        <v>1147</v>
      </c>
      <c r="P28" t="s">
        <v>1209</v>
      </c>
      <c r="Q28" t="s">
        <v>1219</v>
      </c>
      <c r="S28" t="s">
        <v>1220</v>
      </c>
    </row>
    <row r="29" customFormat="1" customHeight="1" spans="1:19">
      <c r="A29" t="s">
        <v>1124</v>
      </c>
      <c r="B29" t="s">
        <v>1207</v>
      </c>
      <c r="C29" t="s">
        <v>1036</v>
      </c>
      <c r="D29" t="s">
        <v>1126</v>
      </c>
      <c r="E29" t="s">
        <v>1127</v>
      </c>
      <c r="F29" t="s">
        <v>1208</v>
      </c>
      <c r="G29">
        <v>68</v>
      </c>
      <c r="I29" t="s">
        <v>1221</v>
      </c>
      <c r="J29" t="s">
        <v>1130</v>
      </c>
      <c r="K29" s="7">
        <v>77</v>
      </c>
      <c r="L29" t="s">
        <v>1146</v>
      </c>
      <c r="O29" t="s">
        <v>1147</v>
      </c>
      <c r="P29" t="s">
        <v>1209</v>
      </c>
      <c r="Q29" t="s">
        <v>1222</v>
      </c>
      <c r="S29" t="s">
        <v>1223</v>
      </c>
    </row>
    <row r="30" customFormat="1" customHeight="1" spans="1:18">
      <c r="A30" t="s">
        <v>1124</v>
      </c>
      <c r="B30" t="s">
        <v>1207</v>
      </c>
      <c r="C30" t="s">
        <v>1036</v>
      </c>
      <c r="D30" t="s">
        <v>1126</v>
      </c>
      <c r="E30" t="s">
        <v>1127</v>
      </c>
      <c r="F30" t="s">
        <v>1208</v>
      </c>
      <c r="G30">
        <v>68</v>
      </c>
      <c r="I30" t="s">
        <v>1224</v>
      </c>
      <c r="J30" t="s">
        <v>1130</v>
      </c>
      <c r="K30" s="7">
        <v>48</v>
      </c>
      <c r="L30" t="s">
        <v>1131</v>
      </c>
      <c r="M30" t="s">
        <v>1132</v>
      </c>
      <c r="P30" t="s">
        <v>1209</v>
      </c>
      <c r="Q30" t="s">
        <v>1225</v>
      </c>
      <c r="R30" t="s">
        <v>1226</v>
      </c>
    </row>
    <row r="31" customFormat="1" customHeight="1" spans="1:18">
      <c r="A31" t="s">
        <v>1124</v>
      </c>
      <c r="B31" t="s">
        <v>1207</v>
      </c>
      <c r="C31" t="s">
        <v>1036</v>
      </c>
      <c r="D31" t="s">
        <v>1126</v>
      </c>
      <c r="E31" t="s">
        <v>1127</v>
      </c>
      <c r="F31" t="s">
        <v>1208</v>
      </c>
      <c r="G31">
        <v>68</v>
      </c>
      <c r="I31" t="s">
        <v>1227</v>
      </c>
      <c r="J31" t="s">
        <v>1130</v>
      </c>
      <c r="K31" s="7">
        <v>28</v>
      </c>
      <c r="L31" t="s">
        <v>1131</v>
      </c>
      <c r="M31" t="s">
        <v>1132</v>
      </c>
      <c r="P31" t="s">
        <v>1209</v>
      </c>
      <c r="Q31" t="s">
        <v>1228</v>
      </c>
      <c r="R31" t="s">
        <v>1229</v>
      </c>
    </row>
    <row r="32" customFormat="1" customHeight="1" spans="1:19">
      <c r="A32" t="s">
        <v>1124</v>
      </c>
      <c r="B32" t="s">
        <v>1207</v>
      </c>
      <c r="C32" t="s">
        <v>1036</v>
      </c>
      <c r="D32" t="s">
        <v>1126</v>
      </c>
      <c r="E32" t="s">
        <v>1127</v>
      </c>
      <c r="F32" t="s">
        <v>1208</v>
      </c>
      <c r="G32">
        <v>68</v>
      </c>
      <c r="I32" t="s">
        <v>1230</v>
      </c>
      <c r="J32" t="s">
        <v>1130</v>
      </c>
      <c r="K32" s="7">
        <v>30</v>
      </c>
      <c r="L32" t="s">
        <v>1146</v>
      </c>
      <c r="O32" t="s">
        <v>1147</v>
      </c>
      <c r="P32" t="s">
        <v>1209</v>
      </c>
      <c r="Q32" t="s">
        <v>1231</v>
      </c>
      <c r="S32" t="s">
        <v>1232</v>
      </c>
    </row>
    <row r="33" customFormat="1" customHeight="1" spans="1:17">
      <c r="A33" t="s">
        <v>1124</v>
      </c>
      <c r="B33" t="s">
        <v>1207</v>
      </c>
      <c r="C33" t="s">
        <v>1036</v>
      </c>
      <c r="D33" t="s">
        <v>1126</v>
      </c>
      <c r="E33" t="s">
        <v>1127</v>
      </c>
      <c r="F33" t="s">
        <v>1208</v>
      </c>
      <c r="G33">
        <v>68</v>
      </c>
      <c r="I33" t="s">
        <v>1233</v>
      </c>
      <c r="J33" t="s">
        <v>1130</v>
      </c>
      <c r="K33" s="7">
        <v>48</v>
      </c>
      <c r="L33" t="s">
        <v>1234</v>
      </c>
      <c r="P33" t="s">
        <v>1209</v>
      </c>
      <c r="Q33" t="s">
        <v>1235</v>
      </c>
    </row>
    <row r="34" customFormat="1" customHeight="1" spans="1:18">
      <c r="A34" t="s">
        <v>1124</v>
      </c>
      <c r="B34" t="s">
        <v>1207</v>
      </c>
      <c r="C34" t="s">
        <v>1036</v>
      </c>
      <c r="D34" t="s">
        <v>1126</v>
      </c>
      <c r="E34" t="s">
        <v>1127</v>
      </c>
      <c r="F34" t="s">
        <v>1208</v>
      </c>
      <c r="G34">
        <v>68</v>
      </c>
      <c r="I34" t="s">
        <v>1236</v>
      </c>
      <c r="J34" t="s">
        <v>1130</v>
      </c>
      <c r="K34" s="7">
        <v>26</v>
      </c>
      <c r="L34" t="s">
        <v>1131</v>
      </c>
      <c r="M34" t="s">
        <v>1132</v>
      </c>
      <c r="P34" t="s">
        <v>1209</v>
      </c>
      <c r="Q34" t="s">
        <v>1237</v>
      </c>
      <c r="R34" t="s">
        <v>1238</v>
      </c>
    </row>
    <row r="35" customFormat="1" customHeight="1" spans="1:19">
      <c r="A35" s="8"/>
      <c r="B35" s="9"/>
      <c r="C35" s="10"/>
      <c r="D35" s="10"/>
      <c r="E35" s="11"/>
      <c r="F35" s="12"/>
      <c r="G35" s="13"/>
      <c r="H35" s="8"/>
      <c r="I35" s="14"/>
      <c r="J35" s="15"/>
      <c r="K35" s="16"/>
      <c r="L35" s="8"/>
      <c r="M35" s="15"/>
      <c r="N35" s="8"/>
      <c r="O35" s="8"/>
      <c r="P35" s="17"/>
      <c r="Q35" s="18"/>
      <c r="R35" s="8"/>
      <c r="S35" s="8"/>
    </row>
    <row r="36" customFormat="1" customHeight="1" spans="1:19">
      <c r="A36" s="8"/>
      <c r="B36" s="9"/>
      <c r="C36" s="10"/>
      <c r="D36" s="10"/>
      <c r="E36" s="11"/>
      <c r="F36" s="12"/>
      <c r="G36" s="13"/>
      <c r="H36" s="8"/>
      <c r="I36" s="14"/>
      <c r="J36" s="15"/>
      <c r="K36" s="16"/>
      <c r="L36" s="8"/>
      <c r="M36" s="15"/>
      <c r="N36" s="8"/>
      <c r="O36" s="8"/>
      <c r="P36" s="17"/>
      <c r="Q36" s="18"/>
      <c r="R36" s="8"/>
      <c r="S36" s="8"/>
    </row>
    <row r="37" customFormat="1" customHeight="1" spans="1:19">
      <c r="A37" s="8"/>
      <c r="B37" s="9"/>
      <c r="C37" s="10"/>
      <c r="D37" s="10"/>
      <c r="E37" s="11"/>
      <c r="F37" s="12"/>
      <c r="G37" s="13"/>
      <c r="H37" s="8"/>
      <c r="I37" s="14"/>
      <c r="J37" s="15"/>
      <c r="K37" s="16"/>
      <c r="L37" s="8"/>
      <c r="M37" s="15"/>
      <c r="N37" s="8"/>
      <c r="O37" s="8"/>
      <c r="P37" s="17"/>
      <c r="Q37" s="18"/>
      <c r="R37" s="8"/>
      <c r="S37" s="8"/>
    </row>
    <row r="38" customFormat="1" customHeight="1" spans="1:19">
      <c r="A38" s="8"/>
      <c r="B38" s="9"/>
      <c r="C38" s="10"/>
      <c r="D38" s="10"/>
      <c r="E38" s="11"/>
      <c r="F38" s="12"/>
      <c r="G38" s="13"/>
      <c r="H38" s="8"/>
      <c r="I38" s="14"/>
      <c r="J38" s="15"/>
      <c r="K38" s="16"/>
      <c r="L38" s="8"/>
      <c r="M38" s="15"/>
      <c r="N38" s="8"/>
      <c r="O38" s="8"/>
      <c r="P38" s="17"/>
      <c r="Q38" s="18"/>
      <c r="R38" s="8"/>
      <c r="S38" s="8"/>
    </row>
    <row r="39" customFormat="1" customHeight="1" spans="1:19">
      <c r="A39" s="8"/>
      <c r="B39" s="9"/>
      <c r="C39" s="10"/>
      <c r="D39" s="10"/>
      <c r="E39" s="11"/>
      <c r="F39" s="12"/>
      <c r="G39" s="13"/>
      <c r="H39" s="8"/>
      <c r="I39" s="14"/>
      <c r="J39" s="15"/>
      <c r="K39" s="16"/>
      <c r="L39" s="8"/>
      <c r="M39" s="15"/>
      <c r="N39" s="8"/>
      <c r="O39" s="8"/>
      <c r="P39" s="17"/>
      <c r="Q39" s="18"/>
      <c r="R39" s="8"/>
      <c r="S39" s="8"/>
    </row>
    <row r="40" customFormat="1" customHeight="1" spans="1:19">
      <c r="A40" s="8"/>
      <c r="B40" s="9"/>
      <c r="C40" s="10"/>
      <c r="D40" s="10"/>
      <c r="E40" s="11"/>
      <c r="F40" s="12"/>
      <c r="G40" s="13"/>
      <c r="H40" s="8"/>
      <c r="I40" s="14"/>
      <c r="J40" s="15"/>
      <c r="K40" s="16"/>
      <c r="L40" s="8"/>
      <c r="M40" s="15"/>
      <c r="N40" s="8"/>
      <c r="O40" s="8"/>
      <c r="P40" s="17"/>
      <c r="Q40" s="18"/>
      <c r="R40" s="8"/>
      <c r="S40" s="8"/>
    </row>
    <row r="41" customFormat="1" customHeight="1" spans="1:19">
      <c r="A41" s="8"/>
      <c r="B41" s="9"/>
      <c r="C41" s="10"/>
      <c r="D41" s="10"/>
      <c r="E41" s="11"/>
      <c r="F41" s="12"/>
      <c r="G41" s="13"/>
      <c r="H41" s="8"/>
      <c r="I41" s="14"/>
      <c r="J41" s="15"/>
      <c r="K41" s="16"/>
      <c r="L41" s="8"/>
      <c r="M41" s="15"/>
      <c r="N41" s="8"/>
      <c r="O41" s="8"/>
      <c r="P41" s="17"/>
      <c r="Q41" s="18"/>
      <c r="R41" s="8"/>
      <c r="S41" s="8"/>
    </row>
    <row r="42" customFormat="1" customHeight="1" spans="1:19">
      <c r="A42" s="8"/>
      <c r="B42" s="9"/>
      <c r="C42" s="10"/>
      <c r="D42" s="10"/>
      <c r="E42" s="11"/>
      <c r="F42" s="12"/>
      <c r="G42" s="13"/>
      <c r="H42" s="8"/>
      <c r="I42" s="14"/>
      <c r="J42" s="15"/>
      <c r="K42" s="16"/>
      <c r="L42" s="8"/>
      <c r="M42" s="15"/>
      <c r="N42" s="8"/>
      <c r="O42" s="8"/>
      <c r="P42" s="17"/>
      <c r="Q42" s="18"/>
      <c r="R42" s="8"/>
      <c r="S42" s="8"/>
    </row>
    <row r="43" customFormat="1" customHeight="1" spans="1:19">
      <c r="A43" s="8"/>
      <c r="B43" s="9"/>
      <c r="C43" s="10"/>
      <c r="D43" s="10"/>
      <c r="E43" s="11"/>
      <c r="F43" s="12"/>
      <c r="G43" s="13"/>
      <c r="H43" s="8"/>
      <c r="I43" s="14"/>
      <c r="J43" s="15"/>
      <c r="K43" s="16"/>
      <c r="L43" s="8"/>
      <c r="M43" s="15"/>
      <c r="N43" s="8"/>
      <c r="O43" s="8"/>
      <c r="P43" s="17"/>
      <c r="Q43" s="18"/>
      <c r="R43" s="8"/>
      <c r="S43" s="8"/>
    </row>
    <row r="44" customFormat="1" customHeight="1" spans="1:19">
      <c r="A44" s="8"/>
      <c r="B44" s="9"/>
      <c r="C44" s="10"/>
      <c r="D44" s="10"/>
      <c r="E44" s="11"/>
      <c r="F44" s="12"/>
      <c r="G44" s="13"/>
      <c r="H44" s="8"/>
      <c r="I44" s="14"/>
      <c r="J44" s="15"/>
      <c r="K44" s="16"/>
      <c r="L44" s="8"/>
      <c r="M44" s="15"/>
      <c r="N44" s="8"/>
      <c r="O44" s="8"/>
      <c r="P44" s="17"/>
      <c r="Q44" s="18"/>
      <c r="R44" s="8"/>
      <c r="S44" s="8"/>
    </row>
    <row r="45" customFormat="1" customHeight="1" spans="1:19">
      <c r="A45" s="8"/>
      <c r="B45" s="9"/>
      <c r="C45" s="10"/>
      <c r="D45" s="10"/>
      <c r="E45" s="11"/>
      <c r="F45" s="12"/>
      <c r="G45" s="13"/>
      <c r="H45" s="8"/>
      <c r="I45" s="14"/>
      <c r="J45" s="15"/>
      <c r="K45" s="16"/>
      <c r="L45" s="8"/>
      <c r="M45" s="15"/>
      <c r="N45" s="8"/>
      <c r="O45" s="8"/>
      <c r="P45" s="17"/>
      <c r="Q45" s="18"/>
      <c r="R45" s="8"/>
      <c r="S45" s="8"/>
    </row>
    <row r="46" customFormat="1" customHeight="1" spans="1:19">
      <c r="A46" s="8"/>
      <c r="B46" s="9"/>
      <c r="C46" s="10"/>
      <c r="D46" s="10"/>
      <c r="E46" s="11"/>
      <c r="F46" s="12"/>
      <c r="G46" s="13"/>
      <c r="H46" s="8"/>
      <c r="I46" s="14"/>
      <c r="J46" s="15"/>
      <c r="K46" s="16"/>
      <c r="L46" s="8"/>
      <c r="M46" s="15"/>
      <c r="N46" s="8"/>
      <c r="O46" s="8"/>
      <c r="P46" s="17"/>
      <c r="Q46" s="18"/>
      <c r="R46" s="8"/>
      <c r="S46" s="8"/>
    </row>
    <row r="47" customFormat="1" customHeight="1" spans="1:19">
      <c r="A47" s="8"/>
      <c r="B47" s="9"/>
      <c r="C47" s="10"/>
      <c r="D47" s="10"/>
      <c r="E47" s="11"/>
      <c r="F47" s="12"/>
      <c r="G47" s="13"/>
      <c r="H47" s="8"/>
      <c r="I47" s="14"/>
      <c r="J47" s="15"/>
      <c r="K47" s="16"/>
      <c r="L47" s="8"/>
      <c r="M47" s="15"/>
      <c r="N47" s="8"/>
      <c r="O47" s="8"/>
      <c r="P47" s="17"/>
      <c r="Q47" s="18"/>
      <c r="R47" s="8"/>
      <c r="S47" s="8"/>
    </row>
    <row r="48" customFormat="1" customHeight="1" spans="1:19">
      <c r="A48" s="8"/>
      <c r="B48" s="9"/>
      <c r="C48" s="10"/>
      <c r="D48" s="10"/>
      <c r="E48" s="11"/>
      <c r="F48" s="12"/>
      <c r="G48" s="13"/>
      <c r="H48" s="8"/>
      <c r="I48" s="14"/>
      <c r="J48" s="15"/>
      <c r="K48" s="16"/>
      <c r="L48" s="8"/>
      <c r="M48" s="15"/>
      <c r="N48" s="8"/>
      <c r="O48" s="8"/>
      <c r="P48" s="17"/>
      <c r="Q48" s="18"/>
      <c r="R48" s="8"/>
      <c r="S48" s="8"/>
    </row>
    <row r="49" customFormat="1" customHeight="1" spans="1:19">
      <c r="A49" s="8"/>
      <c r="B49" s="9"/>
      <c r="C49" s="10"/>
      <c r="D49" s="10"/>
      <c r="E49" s="11"/>
      <c r="F49" s="12"/>
      <c r="G49" s="13"/>
      <c r="H49" s="8"/>
      <c r="I49" s="14"/>
      <c r="J49" s="15"/>
      <c r="K49" s="16"/>
      <c r="L49" s="8"/>
      <c r="M49" s="15"/>
      <c r="N49" s="8"/>
      <c r="O49" s="8"/>
      <c r="P49" s="17"/>
      <c r="Q49" s="18"/>
      <c r="R49" s="8"/>
      <c r="S49" s="8"/>
    </row>
    <row r="50" customFormat="1" customHeight="1" spans="1:19">
      <c r="A50" s="8"/>
      <c r="B50" s="9"/>
      <c r="C50" s="10"/>
      <c r="D50" s="10"/>
      <c r="E50" s="11"/>
      <c r="F50" s="12"/>
      <c r="G50" s="13"/>
      <c r="H50" s="8"/>
      <c r="I50" s="14"/>
      <c r="J50" s="15"/>
      <c r="K50" s="16"/>
      <c r="L50" s="8"/>
      <c r="M50" s="15"/>
      <c r="N50" s="8"/>
      <c r="O50" s="8"/>
      <c r="P50" s="17"/>
      <c r="Q50" s="18"/>
      <c r="R50" s="8"/>
      <c r="S50" s="8"/>
    </row>
    <row r="51" customFormat="1" customHeight="1" spans="1:19">
      <c r="A51" s="8"/>
      <c r="B51" s="9"/>
      <c r="C51" s="10"/>
      <c r="D51" s="10"/>
      <c r="E51" s="11"/>
      <c r="F51" s="12"/>
      <c r="G51" s="13"/>
      <c r="H51" s="8"/>
      <c r="I51" s="14"/>
      <c r="J51" s="15"/>
      <c r="K51" s="16"/>
      <c r="L51" s="8"/>
      <c r="M51" s="15"/>
      <c r="N51" s="8"/>
      <c r="O51" s="8"/>
      <c r="P51" s="17"/>
      <c r="Q51" s="18"/>
      <c r="R51" s="8"/>
      <c r="S51" s="8"/>
    </row>
    <row r="52" customFormat="1" customHeight="1" spans="1:19">
      <c r="A52" s="8"/>
      <c r="B52" s="9"/>
      <c r="C52" s="10"/>
      <c r="D52" s="10"/>
      <c r="E52" s="11"/>
      <c r="F52" s="12"/>
      <c r="G52" s="13"/>
      <c r="H52" s="8"/>
      <c r="I52" s="14"/>
      <c r="J52" s="15"/>
      <c r="K52" s="16"/>
      <c r="L52" s="8"/>
      <c r="M52" s="15"/>
      <c r="N52" s="8"/>
      <c r="O52" s="8"/>
      <c r="P52" s="17"/>
      <c r="Q52" s="18"/>
      <c r="R52" s="8"/>
      <c r="S52" s="8"/>
    </row>
    <row r="53" customFormat="1" customHeight="1" spans="1:19">
      <c r="A53" s="8"/>
      <c r="B53" s="9"/>
      <c r="C53" s="10"/>
      <c r="D53" s="10"/>
      <c r="E53" s="11"/>
      <c r="F53" s="12"/>
      <c r="G53" s="13"/>
      <c r="H53" s="8"/>
      <c r="I53" s="14"/>
      <c r="J53" s="15"/>
      <c r="K53" s="16"/>
      <c r="L53" s="8"/>
      <c r="M53" s="15"/>
      <c r="N53" s="8"/>
      <c r="O53" s="8"/>
      <c r="P53" s="17"/>
      <c r="Q53" s="18"/>
      <c r="R53" s="8"/>
      <c r="S53" s="8"/>
    </row>
    <row r="54" customFormat="1" customHeight="1" spans="1:19">
      <c r="A54" s="8"/>
      <c r="B54" s="9"/>
      <c r="C54" s="10"/>
      <c r="D54" s="10"/>
      <c r="E54" s="11"/>
      <c r="F54" s="12"/>
      <c r="G54" s="13"/>
      <c r="H54" s="8"/>
      <c r="I54" s="14"/>
      <c r="J54" s="15"/>
      <c r="K54" s="16"/>
      <c r="L54" s="8"/>
      <c r="M54" s="15"/>
      <c r="N54" s="8"/>
      <c r="O54" s="8"/>
      <c r="P54" s="17"/>
      <c r="Q54" s="18"/>
      <c r="R54" s="8"/>
      <c r="S54" s="8"/>
    </row>
    <row r="55" customFormat="1" customHeight="1" spans="1:19">
      <c r="A55" s="8"/>
      <c r="B55" s="9"/>
      <c r="C55" s="10"/>
      <c r="D55" s="10"/>
      <c r="E55" s="11"/>
      <c r="F55" s="12"/>
      <c r="G55" s="13"/>
      <c r="H55" s="8"/>
      <c r="I55" s="14"/>
      <c r="J55" s="15"/>
      <c r="K55" s="16"/>
      <c r="L55" s="8"/>
      <c r="M55" s="15"/>
      <c r="N55" s="8"/>
      <c r="O55" s="8"/>
      <c r="P55" s="17"/>
      <c r="Q55" s="18"/>
      <c r="R55" s="8"/>
      <c r="S55" s="8"/>
    </row>
    <row r="56" customFormat="1" customHeight="1" spans="1:19">
      <c r="A56" s="8"/>
      <c r="B56" s="9"/>
      <c r="C56" s="10"/>
      <c r="D56" s="10"/>
      <c r="E56" s="11"/>
      <c r="F56" s="12"/>
      <c r="G56" s="13"/>
      <c r="H56" s="8"/>
      <c r="I56" s="14"/>
      <c r="J56" s="15"/>
      <c r="K56" s="16"/>
      <c r="L56" s="8"/>
      <c r="M56" s="15"/>
      <c r="N56" s="8"/>
      <c r="O56" s="8"/>
      <c r="P56" s="17"/>
      <c r="Q56" s="18"/>
      <c r="R56" s="8"/>
      <c r="S56" s="8"/>
    </row>
    <row r="57" customFormat="1" customHeight="1" spans="1:19">
      <c r="A57" s="8"/>
      <c r="B57" s="9"/>
      <c r="C57" s="10"/>
      <c r="D57" s="10"/>
      <c r="E57" s="11"/>
      <c r="F57" s="12"/>
      <c r="G57" s="13"/>
      <c r="H57" s="8"/>
      <c r="I57" s="14"/>
      <c r="J57" s="15"/>
      <c r="K57" s="16"/>
      <c r="L57" s="8"/>
      <c r="M57" s="15"/>
      <c r="N57" s="8"/>
      <c r="O57" s="8"/>
      <c r="P57" s="17"/>
      <c r="Q57" s="18"/>
      <c r="R57" s="8"/>
      <c r="S57" s="8"/>
    </row>
    <row r="58" customFormat="1" customHeight="1" spans="1:19">
      <c r="A58" s="8"/>
      <c r="B58" s="9"/>
      <c r="C58" s="10"/>
      <c r="D58" s="10"/>
      <c r="E58" s="11"/>
      <c r="F58" s="12"/>
      <c r="G58" s="13"/>
      <c r="H58" s="8"/>
      <c r="I58" s="14"/>
      <c r="J58" s="15"/>
      <c r="K58" s="16"/>
      <c r="L58" s="8"/>
      <c r="M58" s="15"/>
      <c r="N58" s="8"/>
      <c r="O58" s="8"/>
      <c r="P58" s="17"/>
      <c r="Q58" s="18"/>
      <c r="R58" s="8"/>
      <c r="S58" s="8"/>
    </row>
    <row r="59" customFormat="1" customHeight="1" spans="1:19">
      <c r="A59" s="8"/>
      <c r="B59" s="9"/>
      <c r="C59" s="10"/>
      <c r="D59" s="10"/>
      <c r="E59" s="11"/>
      <c r="F59" s="12"/>
      <c r="G59" s="13"/>
      <c r="H59" s="8"/>
      <c r="I59" s="14"/>
      <c r="J59" s="15"/>
      <c r="K59" s="16"/>
      <c r="L59" s="8"/>
      <c r="M59" s="15"/>
      <c r="N59" s="8"/>
      <c r="O59" s="8"/>
      <c r="P59" s="17"/>
      <c r="Q59" s="18"/>
      <c r="R59" s="8"/>
      <c r="S59" s="8"/>
    </row>
    <row r="60" customFormat="1" customHeight="1" spans="1:19">
      <c r="A60" s="8"/>
      <c r="B60" s="9"/>
      <c r="C60" s="10"/>
      <c r="D60" s="10"/>
      <c r="E60" s="11"/>
      <c r="F60" s="12"/>
      <c r="G60" s="13"/>
      <c r="H60" s="8"/>
      <c r="I60" s="14"/>
      <c r="J60" s="15"/>
      <c r="K60" s="16"/>
      <c r="L60" s="8"/>
      <c r="M60" s="15"/>
      <c r="N60" s="8"/>
      <c r="O60" s="8"/>
      <c r="P60" s="17"/>
      <c r="Q60" s="18"/>
      <c r="R60" s="8"/>
      <c r="S60" s="8"/>
    </row>
    <row r="61" customFormat="1" customHeight="1" spans="1:19">
      <c r="A61" s="8"/>
      <c r="B61" s="9"/>
      <c r="C61" s="10"/>
      <c r="D61" s="10"/>
      <c r="E61" s="11"/>
      <c r="F61" s="12"/>
      <c r="G61" s="13"/>
      <c r="H61" s="8"/>
      <c r="I61" s="14"/>
      <c r="J61" s="15"/>
      <c r="K61" s="16"/>
      <c r="L61" s="8"/>
      <c r="M61" s="15"/>
      <c r="N61" s="8"/>
      <c r="O61" s="8"/>
      <c r="P61" s="17"/>
      <c r="Q61" s="18"/>
      <c r="R61" s="8"/>
      <c r="S61" s="8"/>
    </row>
    <row r="62" customFormat="1" customHeight="1" spans="1:19">
      <c r="A62" s="8"/>
      <c r="B62" s="9"/>
      <c r="C62" s="10"/>
      <c r="D62" s="10"/>
      <c r="E62" s="11"/>
      <c r="F62" s="12"/>
      <c r="G62" s="13"/>
      <c r="H62" s="8"/>
      <c r="I62" s="14"/>
      <c r="J62" s="15"/>
      <c r="K62" s="16"/>
      <c r="L62" s="8"/>
      <c r="M62" s="15"/>
      <c r="N62" s="8"/>
      <c r="O62" s="8"/>
      <c r="P62" s="17"/>
      <c r="Q62" s="18"/>
      <c r="R62" s="8"/>
      <c r="S62" s="8"/>
    </row>
    <row r="63" customFormat="1" customHeight="1" spans="1:19">
      <c r="A63" s="8"/>
      <c r="B63" s="9"/>
      <c r="C63" s="10"/>
      <c r="D63" s="10"/>
      <c r="E63" s="11"/>
      <c r="F63" s="12"/>
      <c r="G63" s="13"/>
      <c r="H63" s="8"/>
      <c r="I63" s="14"/>
      <c r="J63" s="15"/>
      <c r="K63" s="16"/>
      <c r="L63" s="8"/>
      <c r="M63" s="15"/>
      <c r="N63" s="8"/>
      <c r="O63" s="8"/>
      <c r="P63" s="17"/>
      <c r="Q63" s="18"/>
      <c r="R63" s="8"/>
      <c r="S63" s="8"/>
    </row>
    <row r="64" customFormat="1" customHeight="1" spans="1:19">
      <c r="A64" s="8"/>
      <c r="B64" s="9"/>
      <c r="C64" s="10"/>
      <c r="D64" s="10"/>
      <c r="E64" s="11"/>
      <c r="F64" s="12"/>
      <c r="G64" s="13"/>
      <c r="H64" s="8"/>
      <c r="I64" s="14"/>
      <c r="J64" s="15"/>
      <c r="K64" s="16"/>
      <c r="L64" s="8"/>
      <c r="M64" s="15"/>
      <c r="N64" s="8"/>
      <c r="O64" s="8"/>
      <c r="P64" s="17"/>
      <c r="Q64" s="18"/>
      <c r="R64" s="8"/>
      <c r="S64" s="8"/>
    </row>
    <row r="65" customFormat="1" customHeight="1" spans="1:19">
      <c r="A65" s="8"/>
      <c r="B65" s="9"/>
      <c r="C65" s="10"/>
      <c r="D65" s="10"/>
      <c r="E65" s="11"/>
      <c r="F65" s="12"/>
      <c r="G65" s="13"/>
      <c r="H65" s="8"/>
      <c r="I65" s="14"/>
      <c r="J65" s="15"/>
      <c r="K65" s="16"/>
      <c r="L65" s="8"/>
      <c r="M65" s="15"/>
      <c r="N65" s="8"/>
      <c r="O65" s="8"/>
      <c r="P65" s="17"/>
      <c r="Q65" s="18"/>
      <c r="R65" s="8"/>
      <c r="S65" s="8"/>
    </row>
    <row r="66" customFormat="1" customHeight="1" spans="1:19">
      <c r="A66" s="8"/>
      <c r="B66" s="9"/>
      <c r="C66" s="10"/>
      <c r="D66" s="10"/>
      <c r="E66" s="11"/>
      <c r="F66" s="12"/>
      <c r="G66" s="13"/>
      <c r="H66" s="8"/>
      <c r="I66" s="14"/>
      <c r="J66" s="15"/>
      <c r="K66" s="16"/>
      <c r="L66" s="8"/>
      <c r="M66" s="15"/>
      <c r="N66" s="8"/>
      <c r="O66" s="8"/>
      <c r="P66" s="17"/>
      <c r="Q66" s="18"/>
      <c r="R66" s="8"/>
      <c r="S66" s="8"/>
    </row>
    <row r="67" customFormat="1" customHeight="1" spans="1:19">
      <c r="A67" s="8"/>
      <c r="B67" s="9"/>
      <c r="C67" s="10"/>
      <c r="D67" s="10"/>
      <c r="E67" s="11"/>
      <c r="F67" s="12"/>
      <c r="G67" s="13"/>
      <c r="H67" s="8"/>
      <c r="I67" s="14"/>
      <c r="J67" s="15"/>
      <c r="K67" s="16"/>
      <c r="L67" s="8"/>
      <c r="M67" s="15"/>
      <c r="N67" s="8"/>
      <c r="O67" s="8"/>
      <c r="P67" s="17"/>
      <c r="Q67" s="18"/>
      <c r="R67" s="8"/>
      <c r="S67" s="8"/>
    </row>
    <row r="68" customFormat="1" customHeight="1" spans="1:19">
      <c r="A68" s="8"/>
      <c r="B68" s="9"/>
      <c r="C68" s="10"/>
      <c r="D68" s="10"/>
      <c r="E68" s="11"/>
      <c r="F68" s="12"/>
      <c r="G68" s="13"/>
      <c r="H68" s="8"/>
      <c r="I68" s="14"/>
      <c r="J68" s="15"/>
      <c r="K68" s="16"/>
      <c r="L68" s="8"/>
      <c r="M68" s="15"/>
      <c r="N68" s="8"/>
      <c r="O68" s="8"/>
      <c r="P68" s="17"/>
      <c r="Q68" s="18"/>
      <c r="R68" s="8"/>
      <c r="S68" s="8"/>
    </row>
    <row r="69" customFormat="1" customHeight="1" spans="1:19">
      <c r="A69" s="8"/>
      <c r="B69" s="9"/>
      <c r="C69" s="10"/>
      <c r="D69" s="10"/>
      <c r="E69" s="11"/>
      <c r="F69" s="12"/>
      <c r="G69" s="13"/>
      <c r="H69" s="8"/>
      <c r="I69" s="14"/>
      <c r="J69" s="15"/>
      <c r="K69" s="16"/>
      <c r="L69" s="8"/>
      <c r="M69" s="15"/>
      <c r="N69" s="8"/>
      <c r="O69" s="8"/>
      <c r="P69" s="17"/>
      <c r="Q69" s="18"/>
      <c r="R69" s="8"/>
      <c r="S69" s="8"/>
    </row>
    <row r="70" customFormat="1" customHeight="1" spans="1:19">
      <c r="A70" s="8"/>
      <c r="B70" s="9"/>
      <c r="C70" s="10"/>
      <c r="D70" s="10"/>
      <c r="E70" s="11"/>
      <c r="F70" s="12"/>
      <c r="G70" s="13"/>
      <c r="H70" s="8"/>
      <c r="I70" s="14"/>
      <c r="J70" s="15"/>
      <c r="K70" s="16"/>
      <c r="L70" s="8"/>
      <c r="M70" s="15"/>
      <c r="N70" s="8"/>
      <c r="O70" s="8"/>
      <c r="P70" s="17"/>
      <c r="Q70" s="18"/>
      <c r="R70" s="8"/>
      <c r="S70" s="8"/>
    </row>
    <row r="71" customFormat="1" customHeight="1" spans="1:19">
      <c r="A71" s="8"/>
      <c r="B71" s="9"/>
      <c r="C71" s="10"/>
      <c r="D71" s="10"/>
      <c r="E71" s="11"/>
      <c r="F71" s="12"/>
      <c r="G71" s="13"/>
      <c r="H71" s="8"/>
      <c r="I71" s="14"/>
      <c r="J71" s="15"/>
      <c r="K71" s="16"/>
      <c r="L71" s="8"/>
      <c r="M71" s="15"/>
      <c r="N71" s="8"/>
      <c r="O71" s="8"/>
      <c r="P71" s="17"/>
      <c r="Q71" s="18"/>
      <c r="R71" s="8"/>
      <c r="S71" s="8"/>
    </row>
    <row r="72" customFormat="1" customHeight="1" spans="1:19">
      <c r="A72" s="8"/>
      <c r="B72" s="9"/>
      <c r="C72" s="10"/>
      <c r="D72" s="10"/>
      <c r="E72" s="11"/>
      <c r="F72" s="12"/>
      <c r="G72" s="13"/>
      <c r="H72" s="8"/>
      <c r="I72" s="14"/>
      <c r="J72" s="15"/>
      <c r="K72" s="16"/>
      <c r="L72" s="8"/>
      <c r="M72" s="15"/>
      <c r="N72" s="8"/>
      <c r="O72" s="8"/>
      <c r="P72" s="17"/>
      <c r="Q72" s="18"/>
      <c r="R72" s="8"/>
      <c r="S72" s="8"/>
    </row>
    <row r="73" customFormat="1" customHeight="1" spans="1:19">
      <c r="A73" s="8"/>
      <c r="B73" s="9"/>
      <c r="C73" s="10"/>
      <c r="D73" s="10"/>
      <c r="E73" s="11"/>
      <c r="F73" s="12"/>
      <c r="G73" s="13"/>
      <c r="H73" s="8"/>
      <c r="I73" s="14"/>
      <c r="J73" s="15"/>
      <c r="K73" s="16"/>
      <c r="L73" s="8"/>
      <c r="M73" s="15"/>
      <c r="N73" s="8"/>
      <c r="O73" s="8"/>
      <c r="P73" s="17"/>
      <c r="Q73" s="18"/>
      <c r="R73" s="8"/>
      <c r="S73" s="8"/>
    </row>
    <row r="74" customFormat="1" customHeight="1" spans="1:19">
      <c r="A74" s="8"/>
      <c r="B74" s="9"/>
      <c r="C74" s="10"/>
      <c r="D74" s="10"/>
      <c r="E74" s="11"/>
      <c r="F74" s="12"/>
      <c r="G74" s="13"/>
      <c r="H74" s="8"/>
      <c r="I74" s="14"/>
      <c r="J74" s="15"/>
      <c r="K74" s="16"/>
      <c r="L74" s="8"/>
      <c r="M74" s="15"/>
      <c r="N74" s="8"/>
      <c r="O74" s="8"/>
      <c r="P74" s="17"/>
      <c r="Q74" s="18"/>
      <c r="R74" s="8"/>
      <c r="S74" s="8"/>
    </row>
    <row r="75" customFormat="1" customHeight="1" spans="1:19">
      <c r="A75" s="8"/>
      <c r="B75" s="9"/>
      <c r="C75" s="10"/>
      <c r="D75" s="10"/>
      <c r="E75" s="11"/>
      <c r="F75" s="12"/>
      <c r="G75" s="13"/>
      <c r="H75" s="8"/>
      <c r="I75" s="14"/>
      <c r="J75" s="15"/>
      <c r="K75" s="16"/>
      <c r="L75" s="8"/>
      <c r="M75" s="15"/>
      <c r="N75" s="8"/>
      <c r="O75" s="8"/>
      <c r="P75" s="17"/>
      <c r="Q75" s="18"/>
      <c r="R75" s="8"/>
      <c r="S75" s="8"/>
    </row>
    <row r="76" customFormat="1" customHeight="1" spans="1:19">
      <c r="A76" s="8"/>
      <c r="B76" s="9"/>
      <c r="C76" s="10"/>
      <c r="D76" s="10"/>
      <c r="E76" s="11"/>
      <c r="F76" s="12"/>
      <c r="G76" s="13"/>
      <c r="H76" s="8"/>
      <c r="I76" s="14"/>
      <c r="J76" s="15"/>
      <c r="K76" s="16"/>
      <c r="L76" s="8"/>
      <c r="M76" s="15"/>
      <c r="N76" s="8"/>
      <c r="O76" s="8"/>
      <c r="P76" s="17"/>
      <c r="Q76" s="18"/>
      <c r="R76" s="8"/>
      <c r="S76" s="8"/>
    </row>
    <row r="77" customFormat="1" customHeight="1" spans="1:19">
      <c r="A77" s="8"/>
      <c r="B77" s="9"/>
      <c r="C77" s="10"/>
      <c r="D77" s="10"/>
      <c r="E77" s="11"/>
      <c r="F77" s="12"/>
      <c r="G77" s="13"/>
      <c r="H77" s="8"/>
      <c r="I77" s="14"/>
      <c r="J77" s="15"/>
      <c r="K77" s="16"/>
      <c r="L77" s="8"/>
      <c r="M77" s="15"/>
      <c r="N77" s="8"/>
      <c r="O77" s="8"/>
      <c r="P77" s="17"/>
      <c r="Q77" s="18"/>
      <c r="R77" s="8"/>
      <c r="S77" s="8"/>
    </row>
    <row r="78" customFormat="1" customHeight="1" spans="1:19">
      <c r="A78" s="8"/>
      <c r="B78" s="9"/>
      <c r="C78" s="10"/>
      <c r="D78" s="10"/>
      <c r="E78" s="11"/>
      <c r="F78" s="12"/>
      <c r="G78" s="13"/>
      <c r="H78" s="8"/>
      <c r="I78" s="14"/>
      <c r="J78" s="15"/>
      <c r="K78" s="16"/>
      <c r="L78" s="8"/>
      <c r="M78" s="15"/>
      <c r="N78" s="8"/>
      <c r="O78" s="8"/>
      <c r="P78" s="17"/>
      <c r="Q78" s="18"/>
      <c r="R78" s="8"/>
      <c r="S78" s="8"/>
    </row>
    <row r="79" customFormat="1" customHeight="1" spans="1:19">
      <c r="A79" s="8"/>
      <c r="B79" s="9"/>
      <c r="C79" s="10"/>
      <c r="D79" s="10"/>
      <c r="E79" s="11"/>
      <c r="F79" s="12"/>
      <c r="G79" s="13"/>
      <c r="H79" s="8"/>
      <c r="I79" s="14"/>
      <c r="J79" s="15"/>
      <c r="K79" s="16"/>
      <c r="L79" s="8"/>
      <c r="M79" s="15"/>
      <c r="N79" s="8"/>
      <c r="O79" s="8"/>
      <c r="P79" s="17"/>
      <c r="Q79" s="18"/>
      <c r="R79" s="8"/>
      <c r="S79" s="8"/>
    </row>
    <row r="80" customFormat="1" customHeight="1" spans="1:19">
      <c r="A80" s="8"/>
      <c r="B80" s="9"/>
      <c r="C80" s="10"/>
      <c r="D80" s="10"/>
      <c r="E80" s="11"/>
      <c r="F80" s="12"/>
      <c r="G80" s="13"/>
      <c r="H80" s="8"/>
      <c r="I80" s="14"/>
      <c r="J80" s="15"/>
      <c r="K80" s="16"/>
      <c r="L80" s="8"/>
      <c r="M80" s="15"/>
      <c r="N80" s="8"/>
      <c r="O80" s="8"/>
      <c r="P80" s="17"/>
      <c r="Q80" s="18"/>
      <c r="R80" s="8"/>
      <c r="S80" s="8"/>
    </row>
    <row r="81" customFormat="1" customHeight="1" spans="1:19">
      <c r="A81" s="8"/>
      <c r="B81" s="9"/>
      <c r="C81" s="10"/>
      <c r="D81" s="10"/>
      <c r="E81" s="11"/>
      <c r="F81" s="12"/>
      <c r="G81" s="13"/>
      <c r="H81" s="8"/>
      <c r="I81" s="14"/>
      <c r="J81" s="15"/>
      <c r="K81" s="16"/>
      <c r="L81" s="8"/>
      <c r="M81" s="15"/>
      <c r="N81" s="8"/>
      <c r="O81" s="8"/>
      <c r="P81" s="17"/>
      <c r="Q81" s="18"/>
      <c r="R81" s="8"/>
      <c r="S81" s="8"/>
    </row>
    <row r="82" customFormat="1" customHeight="1" spans="1:19">
      <c r="A82" s="8"/>
      <c r="B82" s="9"/>
      <c r="C82" s="10"/>
      <c r="D82" s="10"/>
      <c r="E82" s="11"/>
      <c r="F82" s="12"/>
      <c r="G82" s="13"/>
      <c r="H82" s="8"/>
      <c r="I82" s="14"/>
      <c r="J82" s="15"/>
      <c r="K82" s="16"/>
      <c r="L82" s="8"/>
      <c r="M82" s="15"/>
      <c r="N82" s="8"/>
      <c r="O82" s="8"/>
      <c r="P82" s="17"/>
      <c r="Q82" s="18"/>
      <c r="R82" s="8"/>
      <c r="S82" s="8"/>
    </row>
    <row r="83" customFormat="1" customHeight="1" spans="1:19">
      <c r="A83" s="8"/>
      <c r="B83" s="9"/>
      <c r="C83" s="10"/>
      <c r="D83" s="10"/>
      <c r="E83" s="11"/>
      <c r="F83" s="12"/>
      <c r="G83" s="13"/>
      <c r="H83" s="8"/>
      <c r="I83" s="14"/>
      <c r="J83" s="15"/>
      <c r="K83" s="16"/>
      <c r="L83" s="8"/>
      <c r="M83" s="15"/>
      <c r="N83" s="8"/>
      <c r="O83" s="8"/>
      <c r="P83" s="17"/>
      <c r="Q83" s="18"/>
      <c r="R83" s="8"/>
      <c r="S83" s="8"/>
    </row>
    <row r="84" customFormat="1" customHeight="1" spans="1:19">
      <c r="A84" s="8"/>
      <c r="B84" s="9"/>
      <c r="C84" s="10"/>
      <c r="D84" s="10"/>
      <c r="E84" s="11"/>
      <c r="F84" s="12"/>
      <c r="G84" s="13"/>
      <c r="H84" s="8"/>
      <c r="I84" s="14"/>
      <c r="J84" s="15"/>
      <c r="K84" s="16"/>
      <c r="L84" s="8"/>
      <c r="M84" s="15"/>
      <c r="N84" s="8"/>
      <c r="O84" s="8"/>
      <c r="P84" s="17"/>
      <c r="Q84" s="18"/>
      <c r="R84" s="8"/>
      <c r="S84" s="8"/>
    </row>
    <row r="85" customFormat="1" customHeight="1" spans="1:19">
      <c r="A85" s="8"/>
      <c r="B85" s="9"/>
      <c r="C85" s="10"/>
      <c r="D85" s="10"/>
      <c r="E85" s="11"/>
      <c r="F85" s="12"/>
      <c r="G85" s="13"/>
      <c r="H85" s="8"/>
      <c r="I85" s="14"/>
      <c r="J85" s="15"/>
      <c r="K85" s="16"/>
      <c r="L85" s="8"/>
      <c r="M85" s="15"/>
      <c r="N85" s="8"/>
      <c r="O85" s="8"/>
      <c r="P85" s="17"/>
      <c r="Q85" s="18"/>
      <c r="R85" s="8"/>
      <c r="S85" s="8"/>
    </row>
    <row r="86" customFormat="1" customHeight="1" spans="1:19">
      <c r="A86" s="8"/>
      <c r="B86" s="9"/>
      <c r="C86" s="10"/>
      <c r="D86" s="10"/>
      <c r="E86" s="11"/>
      <c r="F86" s="12"/>
      <c r="G86" s="13"/>
      <c r="H86" s="8"/>
      <c r="I86" s="14"/>
      <c r="J86" s="15"/>
      <c r="K86" s="16"/>
      <c r="L86" s="8"/>
      <c r="M86" s="15"/>
      <c r="N86" s="8"/>
      <c r="O86" s="8"/>
      <c r="P86" s="17"/>
      <c r="Q86" s="18"/>
      <c r="R86" s="8"/>
      <c r="S86" s="8"/>
    </row>
    <row r="87" customFormat="1" customHeight="1" spans="1:19">
      <c r="A87" s="8"/>
      <c r="B87" s="9"/>
      <c r="C87" s="10"/>
      <c r="D87" s="10"/>
      <c r="E87" s="11"/>
      <c r="F87" s="12"/>
      <c r="G87" s="13"/>
      <c r="H87" s="8"/>
      <c r="I87" s="14"/>
      <c r="J87" s="15"/>
      <c r="K87" s="16"/>
      <c r="L87" s="8"/>
      <c r="M87" s="15"/>
      <c r="N87" s="8"/>
      <c r="O87" s="8"/>
      <c r="P87" s="17"/>
      <c r="Q87" s="18"/>
      <c r="R87" s="8"/>
      <c r="S87" s="8"/>
    </row>
    <row r="88" customFormat="1" customHeight="1" spans="1:19">
      <c r="A88" s="8"/>
      <c r="B88" s="9"/>
      <c r="C88" s="10"/>
      <c r="D88" s="10"/>
      <c r="E88" s="11"/>
      <c r="F88" s="12"/>
      <c r="G88" s="13"/>
      <c r="H88" s="8"/>
      <c r="I88" s="14"/>
      <c r="J88" s="15"/>
      <c r="K88" s="16"/>
      <c r="L88" s="8"/>
      <c r="M88" s="15"/>
      <c r="N88" s="8"/>
      <c r="O88" s="8"/>
      <c r="P88" s="17"/>
      <c r="Q88" s="18"/>
      <c r="R88" s="8"/>
      <c r="S88" s="8"/>
    </row>
    <row r="89" customFormat="1" customHeight="1" spans="1:19">
      <c r="A89" s="8"/>
      <c r="B89" s="9"/>
      <c r="C89" s="10"/>
      <c r="D89" s="10"/>
      <c r="E89" s="11"/>
      <c r="F89" s="12"/>
      <c r="G89" s="13"/>
      <c r="H89" s="8"/>
      <c r="I89" s="14"/>
      <c r="J89" s="15"/>
      <c r="K89" s="16"/>
      <c r="L89" s="8"/>
      <c r="M89" s="15"/>
      <c r="N89" s="8"/>
      <c r="O89" s="8"/>
      <c r="P89" s="17"/>
      <c r="Q89" s="18"/>
      <c r="R89" s="8"/>
      <c r="S89" s="8"/>
    </row>
    <row r="90" customFormat="1" customHeight="1" spans="1:19">
      <c r="A90" s="8"/>
      <c r="B90" s="9"/>
      <c r="C90" s="10"/>
      <c r="D90" s="10"/>
      <c r="E90" s="11"/>
      <c r="F90" s="12"/>
      <c r="G90" s="13"/>
      <c r="H90" s="8"/>
      <c r="I90" s="14"/>
      <c r="J90" s="15"/>
      <c r="K90" s="16"/>
      <c r="L90" s="8"/>
      <c r="M90" s="15"/>
      <c r="N90" s="8"/>
      <c r="O90" s="8"/>
      <c r="P90" s="17"/>
      <c r="Q90" s="18"/>
      <c r="R90" s="8"/>
      <c r="S90" s="8"/>
    </row>
    <row r="91" customFormat="1" customHeight="1" spans="1:19">
      <c r="A91" s="8"/>
      <c r="B91" s="9"/>
      <c r="C91" s="10"/>
      <c r="D91" s="10"/>
      <c r="E91" s="11"/>
      <c r="F91" s="12"/>
      <c r="G91" s="13"/>
      <c r="H91" s="8"/>
      <c r="I91" s="14"/>
      <c r="J91" s="15"/>
      <c r="K91" s="16"/>
      <c r="L91" s="8"/>
      <c r="M91" s="15"/>
      <c r="N91" s="8"/>
      <c r="O91" s="8"/>
      <c r="P91" s="17"/>
      <c r="Q91" s="18"/>
      <c r="R91" s="8"/>
      <c r="S91" s="8"/>
    </row>
    <row r="92" customFormat="1" customHeight="1" spans="1:19">
      <c r="A92" s="8"/>
      <c r="B92" s="9"/>
      <c r="C92" s="10"/>
      <c r="D92" s="10"/>
      <c r="E92" s="11"/>
      <c r="F92" s="12"/>
      <c r="G92" s="13"/>
      <c r="H92" s="8"/>
      <c r="I92" s="14"/>
      <c r="J92" s="15"/>
      <c r="K92" s="16"/>
      <c r="L92" s="8"/>
      <c r="M92" s="15"/>
      <c r="N92" s="8"/>
      <c r="O92" s="8"/>
      <c r="P92" s="17"/>
      <c r="Q92" s="18"/>
      <c r="R92" s="8"/>
      <c r="S92" s="8"/>
    </row>
    <row r="93" customFormat="1" customHeight="1" spans="1:19">
      <c r="A93" s="8"/>
      <c r="B93" s="9"/>
      <c r="C93" s="10"/>
      <c r="D93" s="10"/>
      <c r="E93" s="11"/>
      <c r="F93" s="12"/>
      <c r="G93" s="13"/>
      <c r="H93" s="8"/>
      <c r="I93" s="14"/>
      <c r="J93" s="15"/>
      <c r="K93" s="16"/>
      <c r="L93" s="8"/>
      <c r="M93" s="15"/>
      <c r="N93" s="8"/>
      <c r="O93" s="8"/>
      <c r="P93" s="17"/>
      <c r="Q93" s="18"/>
      <c r="R93" s="8"/>
      <c r="S93" s="8"/>
    </row>
    <row r="94" customFormat="1" customHeight="1" spans="1:19">
      <c r="A94" s="8"/>
      <c r="B94" s="9"/>
      <c r="C94" s="10"/>
      <c r="D94" s="10"/>
      <c r="E94" s="11"/>
      <c r="F94" s="12"/>
      <c r="G94" s="13"/>
      <c r="H94" s="8"/>
      <c r="I94" s="14"/>
      <c r="J94" s="15"/>
      <c r="K94" s="16"/>
      <c r="L94" s="8"/>
      <c r="M94" s="15"/>
      <c r="N94" s="8"/>
      <c r="O94" s="8"/>
      <c r="P94" s="17"/>
      <c r="Q94" s="18"/>
      <c r="R94" s="8"/>
      <c r="S94" s="8"/>
    </row>
    <row r="95" customFormat="1" customHeight="1" spans="1:19">
      <c r="A95" s="8"/>
      <c r="B95" s="9"/>
      <c r="C95" s="10"/>
      <c r="D95" s="10"/>
      <c r="E95" s="11"/>
      <c r="F95" s="12"/>
      <c r="G95" s="13"/>
      <c r="H95" s="8"/>
      <c r="I95" s="14"/>
      <c r="J95" s="15"/>
      <c r="K95" s="16"/>
      <c r="L95" s="8"/>
      <c r="M95" s="15"/>
      <c r="N95" s="8"/>
      <c r="O95" s="8"/>
      <c r="P95" s="17"/>
      <c r="Q95" s="18"/>
      <c r="R95" s="8"/>
      <c r="S95" s="8"/>
    </row>
    <row r="96" customFormat="1" customHeight="1" spans="1:19">
      <c r="A96" s="8"/>
      <c r="B96" s="9"/>
      <c r="C96" s="10"/>
      <c r="D96" s="10"/>
      <c r="E96" s="11"/>
      <c r="F96" s="12"/>
      <c r="G96" s="13"/>
      <c r="H96" s="8"/>
      <c r="I96" s="14"/>
      <c r="J96" s="15"/>
      <c r="K96" s="16"/>
      <c r="L96" s="8"/>
      <c r="M96" s="15"/>
      <c r="N96" s="8"/>
      <c r="O96" s="8"/>
      <c r="P96" s="17"/>
      <c r="Q96" s="18"/>
      <c r="R96" s="8"/>
      <c r="S96" s="8"/>
    </row>
    <row r="97" customFormat="1" customHeight="1" spans="1:19">
      <c r="A97" s="8"/>
      <c r="B97" s="9"/>
      <c r="C97" s="10"/>
      <c r="D97" s="10"/>
      <c r="E97" s="11"/>
      <c r="F97" s="12"/>
      <c r="G97" s="13"/>
      <c r="H97" s="8"/>
      <c r="I97" s="14"/>
      <c r="J97" s="15"/>
      <c r="K97" s="16"/>
      <c r="L97" s="8"/>
      <c r="M97" s="15"/>
      <c r="N97" s="8"/>
      <c r="O97" s="8"/>
      <c r="P97" s="17"/>
      <c r="Q97" s="18"/>
      <c r="R97" s="8"/>
      <c r="S97" s="8"/>
    </row>
    <row r="98" customFormat="1" customHeight="1" spans="1:19">
      <c r="A98" s="8"/>
      <c r="B98" s="9"/>
      <c r="C98" s="10"/>
      <c r="D98" s="10"/>
      <c r="E98" s="11"/>
      <c r="F98" s="12"/>
      <c r="G98" s="13"/>
      <c r="H98" s="8"/>
      <c r="I98" s="14"/>
      <c r="J98" s="15"/>
      <c r="K98" s="16"/>
      <c r="L98" s="8"/>
      <c r="M98" s="15"/>
      <c r="N98" s="8"/>
      <c r="O98" s="8"/>
      <c r="P98" s="17"/>
      <c r="Q98" s="18"/>
      <c r="R98" s="8"/>
      <c r="S98" s="8"/>
    </row>
    <row r="99" customFormat="1" customHeight="1" spans="1:19">
      <c r="A99" s="8"/>
      <c r="B99" s="9"/>
      <c r="C99" s="10"/>
      <c r="D99" s="10"/>
      <c r="E99" s="11"/>
      <c r="F99" s="12"/>
      <c r="G99" s="13"/>
      <c r="H99" s="8"/>
      <c r="I99" s="14"/>
      <c r="J99" s="15"/>
      <c r="K99" s="16"/>
      <c r="L99" s="8"/>
      <c r="M99" s="15"/>
      <c r="N99" s="8"/>
      <c r="O99" s="8"/>
      <c r="P99" s="17"/>
      <c r="Q99" s="18"/>
      <c r="R99" s="8"/>
      <c r="S99" s="8"/>
    </row>
    <row r="100" customFormat="1" customHeight="1" spans="1:19">
      <c r="A100" s="8"/>
      <c r="B100" s="9"/>
      <c r="C100" s="10"/>
      <c r="D100" s="10"/>
      <c r="E100" s="11"/>
      <c r="F100" s="12"/>
      <c r="G100" s="13"/>
      <c r="H100" s="8"/>
      <c r="I100" s="14"/>
      <c r="J100" s="15"/>
      <c r="K100" s="16"/>
      <c r="L100" s="8"/>
      <c r="M100" s="15"/>
      <c r="N100" s="8"/>
      <c r="O100" s="8"/>
      <c r="P100" s="17"/>
      <c r="Q100" s="18"/>
      <c r="R100" s="8"/>
      <c r="S100" s="8"/>
    </row>
    <row r="101" customFormat="1" customHeight="1" spans="1:19">
      <c r="A101" s="8"/>
      <c r="B101" s="9"/>
      <c r="C101" s="10"/>
      <c r="D101" s="10"/>
      <c r="E101" s="11"/>
      <c r="F101" s="12"/>
      <c r="G101" s="13"/>
      <c r="H101" s="8"/>
      <c r="I101" s="14"/>
      <c r="J101" s="15"/>
      <c r="K101" s="16"/>
      <c r="L101" s="8"/>
      <c r="M101" s="15"/>
      <c r="N101" s="8"/>
      <c r="O101" s="8"/>
      <c r="P101" s="17"/>
      <c r="Q101" s="18"/>
      <c r="R101" s="8"/>
      <c r="S101" s="8"/>
    </row>
    <row r="102" customFormat="1" customHeight="1" spans="1:19">
      <c r="A102" s="8"/>
      <c r="B102" s="9"/>
      <c r="C102" s="10"/>
      <c r="D102" s="10"/>
      <c r="E102" s="11"/>
      <c r="F102" s="12"/>
      <c r="G102" s="13"/>
      <c r="H102" s="8"/>
      <c r="I102" s="14"/>
      <c r="J102" s="15"/>
      <c r="K102" s="16"/>
      <c r="L102" s="8"/>
      <c r="M102" s="15"/>
      <c r="N102" s="8"/>
      <c r="O102" s="8"/>
      <c r="P102" s="17"/>
      <c r="Q102" s="18"/>
      <c r="R102" s="8"/>
      <c r="S102" s="8"/>
    </row>
    <row r="103" customFormat="1" customHeight="1" spans="1:19">
      <c r="A103" s="8"/>
      <c r="B103" s="9"/>
      <c r="C103" s="10"/>
      <c r="D103" s="10"/>
      <c r="E103" s="11"/>
      <c r="F103" s="12"/>
      <c r="G103" s="13"/>
      <c r="H103" s="8"/>
      <c r="I103" s="14"/>
      <c r="J103" s="15"/>
      <c r="K103" s="16"/>
      <c r="L103" s="8"/>
      <c r="M103" s="15"/>
      <c r="N103" s="8"/>
      <c r="O103" s="8"/>
      <c r="P103" s="17"/>
      <c r="Q103" s="18"/>
      <c r="R103" s="8"/>
      <c r="S103" s="8"/>
    </row>
    <row r="104" customFormat="1" customHeight="1" spans="1:19">
      <c r="A104" s="8"/>
      <c r="B104" s="9"/>
      <c r="C104" s="10"/>
      <c r="D104" s="10"/>
      <c r="E104" s="11"/>
      <c r="F104" s="12"/>
      <c r="G104" s="13"/>
      <c r="H104" s="8"/>
      <c r="I104" s="14"/>
      <c r="J104" s="15"/>
      <c r="K104" s="16"/>
      <c r="L104" s="8"/>
      <c r="M104" s="15"/>
      <c r="N104" s="8"/>
      <c r="O104" s="8"/>
      <c r="P104" s="17"/>
      <c r="Q104" s="18"/>
      <c r="R104" s="8"/>
      <c r="S104" s="8"/>
    </row>
    <row r="105" customFormat="1" customHeight="1" spans="1:19">
      <c r="A105" s="8"/>
      <c r="B105" s="9"/>
      <c r="C105" s="10"/>
      <c r="D105" s="10"/>
      <c r="E105" s="11"/>
      <c r="F105" s="12"/>
      <c r="G105" s="13"/>
      <c r="H105" s="8"/>
      <c r="I105" s="14"/>
      <c r="J105" s="15"/>
      <c r="K105" s="16"/>
      <c r="L105" s="8"/>
      <c r="M105" s="15"/>
      <c r="N105" s="8"/>
      <c r="O105" s="8"/>
      <c r="P105" s="17"/>
      <c r="Q105" s="18"/>
      <c r="R105" s="8"/>
      <c r="S105" s="8"/>
    </row>
    <row r="106" customFormat="1" customHeight="1" spans="1:19">
      <c r="A106" s="8"/>
      <c r="B106" s="9"/>
      <c r="C106" s="10"/>
      <c r="D106" s="10"/>
      <c r="E106" s="11"/>
      <c r="F106" s="12"/>
      <c r="G106" s="13"/>
      <c r="H106" s="8"/>
      <c r="I106" s="14"/>
      <c r="J106" s="15"/>
      <c r="K106" s="16"/>
      <c r="L106" s="8"/>
      <c r="M106" s="15"/>
      <c r="N106" s="8"/>
      <c r="O106" s="8"/>
      <c r="P106" s="17"/>
      <c r="Q106" s="18"/>
      <c r="R106" s="8"/>
      <c r="S106" s="8"/>
    </row>
    <row r="107" customFormat="1" customHeight="1" spans="1:19">
      <c r="A107" s="8"/>
      <c r="B107" s="9"/>
      <c r="C107" s="10"/>
      <c r="D107" s="10"/>
      <c r="E107" s="11"/>
      <c r="F107" s="12"/>
      <c r="G107" s="13"/>
      <c r="H107" s="8"/>
      <c r="I107" s="14"/>
      <c r="J107" s="15"/>
      <c r="K107" s="16"/>
      <c r="L107" s="8"/>
      <c r="M107" s="15"/>
      <c r="N107" s="8"/>
      <c r="O107" s="8"/>
      <c r="P107" s="17"/>
      <c r="Q107" s="18"/>
      <c r="R107" s="8"/>
      <c r="S107" s="8"/>
    </row>
    <row r="108" customFormat="1" customHeight="1" spans="1:19">
      <c r="A108" s="8"/>
      <c r="B108" s="9"/>
      <c r="C108" s="10"/>
      <c r="D108" s="10"/>
      <c r="E108" s="11"/>
      <c r="F108" s="12"/>
      <c r="G108" s="13"/>
      <c r="H108" s="8"/>
      <c r="I108" s="14"/>
      <c r="J108" s="15"/>
      <c r="K108" s="16"/>
      <c r="L108" s="8"/>
      <c r="M108" s="15"/>
      <c r="N108" s="8"/>
      <c r="O108" s="8"/>
      <c r="P108" s="17"/>
      <c r="Q108" s="18"/>
      <c r="R108" s="8"/>
      <c r="S108" s="8"/>
    </row>
    <row r="109" customFormat="1" customHeight="1" spans="1:19">
      <c r="A109" s="8"/>
      <c r="B109" s="9"/>
      <c r="C109" s="10"/>
      <c r="D109" s="10"/>
      <c r="E109" s="11"/>
      <c r="F109" s="12"/>
      <c r="G109" s="13"/>
      <c r="H109" s="8"/>
      <c r="I109" s="14"/>
      <c r="J109" s="15"/>
      <c r="K109" s="16"/>
      <c r="L109" s="8"/>
      <c r="M109" s="15"/>
      <c r="N109" s="8"/>
      <c r="O109" s="8"/>
      <c r="P109" s="17"/>
      <c r="Q109" s="18"/>
      <c r="R109" s="8"/>
      <c r="S109" s="8"/>
    </row>
    <row r="110" customFormat="1" customHeight="1" spans="1:19">
      <c r="A110" s="8"/>
      <c r="B110" s="9"/>
      <c r="C110" s="10"/>
      <c r="D110" s="10"/>
      <c r="E110" s="11"/>
      <c r="F110" s="12"/>
      <c r="G110" s="13"/>
      <c r="H110" s="8"/>
      <c r="I110" s="14"/>
      <c r="J110" s="15"/>
      <c r="K110" s="16"/>
      <c r="L110" s="8"/>
      <c r="M110" s="15"/>
      <c r="N110" s="8"/>
      <c r="O110" s="8"/>
      <c r="P110" s="17"/>
      <c r="Q110" s="18"/>
      <c r="R110" s="8"/>
      <c r="S110" s="8"/>
    </row>
    <row r="111" customFormat="1" customHeight="1" spans="1:19">
      <c r="A111" s="8"/>
      <c r="B111" s="9"/>
      <c r="C111" s="10"/>
      <c r="D111" s="10"/>
      <c r="E111" s="11"/>
      <c r="F111" s="12"/>
      <c r="G111" s="13"/>
      <c r="H111" s="8"/>
      <c r="I111" s="14"/>
      <c r="J111" s="15"/>
      <c r="K111" s="16"/>
      <c r="L111" s="8"/>
      <c r="M111" s="15"/>
      <c r="N111" s="8"/>
      <c r="O111" s="8"/>
      <c r="P111" s="17"/>
      <c r="Q111" s="18"/>
      <c r="R111" s="8"/>
      <c r="S111" s="8"/>
    </row>
    <row r="112" customFormat="1" customHeight="1" spans="1:19">
      <c r="A112" s="8"/>
      <c r="B112" s="9"/>
      <c r="C112" s="10"/>
      <c r="D112" s="10"/>
      <c r="E112" s="11"/>
      <c r="F112" s="12"/>
      <c r="G112" s="13"/>
      <c r="H112" s="8"/>
      <c r="I112" s="14"/>
      <c r="J112" s="15"/>
      <c r="K112" s="16"/>
      <c r="L112" s="8"/>
      <c r="M112" s="15"/>
      <c r="N112" s="8"/>
      <c r="O112" s="8"/>
      <c r="P112" s="17"/>
      <c r="Q112" s="18"/>
      <c r="R112" s="8"/>
      <c r="S112" s="8"/>
    </row>
    <row r="113" customFormat="1" customHeight="1" spans="1:19">
      <c r="A113" s="8"/>
      <c r="B113" s="9"/>
      <c r="C113" s="10"/>
      <c r="D113" s="10"/>
      <c r="E113" s="11"/>
      <c r="F113" s="12"/>
      <c r="G113" s="13"/>
      <c r="H113" s="8"/>
      <c r="I113" s="14"/>
      <c r="J113" s="15"/>
      <c r="K113" s="16"/>
      <c r="L113" s="8"/>
      <c r="M113" s="15"/>
      <c r="N113" s="8"/>
      <c r="O113" s="8"/>
      <c r="P113" s="17"/>
      <c r="Q113" s="18"/>
      <c r="R113" s="8"/>
      <c r="S113" s="8"/>
    </row>
    <row r="114" customFormat="1" customHeight="1" spans="1:19">
      <c r="A114" s="8"/>
      <c r="B114" s="9"/>
      <c r="C114" s="10"/>
      <c r="D114" s="10"/>
      <c r="E114" s="11"/>
      <c r="F114" s="12"/>
      <c r="G114" s="13"/>
      <c r="H114" s="8"/>
      <c r="I114" s="14"/>
      <c r="J114" s="15"/>
      <c r="K114" s="16"/>
      <c r="L114" s="8"/>
      <c r="M114" s="15"/>
      <c r="N114" s="8"/>
      <c r="O114" s="8"/>
      <c r="P114" s="17"/>
      <c r="Q114" s="18"/>
      <c r="R114" s="8"/>
      <c r="S114" s="8"/>
    </row>
    <row r="115" customFormat="1" customHeight="1" spans="1:19">
      <c r="A115" s="8"/>
      <c r="B115" s="9"/>
      <c r="C115" s="10"/>
      <c r="D115" s="10"/>
      <c r="E115" s="11"/>
      <c r="F115" s="12"/>
      <c r="G115" s="13"/>
      <c r="H115" s="8"/>
      <c r="I115" s="14"/>
      <c r="J115" s="15"/>
      <c r="K115" s="16"/>
      <c r="L115" s="8"/>
      <c r="M115" s="15"/>
      <c r="N115" s="8"/>
      <c r="O115" s="8"/>
      <c r="P115" s="17"/>
      <c r="Q115" s="18"/>
      <c r="R115" s="8"/>
      <c r="S115" s="8"/>
    </row>
    <row r="116" customFormat="1" customHeight="1" spans="1:19">
      <c r="A116" s="8"/>
      <c r="B116" s="9"/>
      <c r="C116" s="10"/>
      <c r="D116" s="10"/>
      <c r="E116" s="11"/>
      <c r="F116" s="12"/>
      <c r="G116" s="13"/>
      <c r="H116" s="8"/>
      <c r="I116" s="14"/>
      <c r="J116" s="15"/>
      <c r="K116" s="16"/>
      <c r="L116" s="8"/>
      <c r="M116" s="15"/>
      <c r="N116" s="8"/>
      <c r="O116" s="8"/>
      <c r="P116" s="17"/>
      <c r="Q116" s="18"/>
      <c r="R116" s="8"/>
      <c r="S116" s="8"/>
    </row>
    <row r="117" customFormat="1" customHeight="1" spans="1:19">
      <c r="A117" s="8"/>
      <c r="B117" s="9"/>
      <c r="C117" s="10"/>
      <c r="D117" s="10"/>
      <c r="E117" s="11"/>
      <c r="F117" s="12"/>
      <c r="G117" s="13"/>
      <c r="H117" s="8"/>
      <c r="I117" s="14"/>
      <c r="J117" s="15"/>
      <c r="K117" s="16"/>
      <c r="L117" s="8"/>
      <c r="M117" s="15"/>
      <c r="N117" s="8"/>
      <c r="O117" s="8"/>
      <c r="P117" s="17"/>
      <c r="Q117" s="18"/>
      <c r="R117" s="8"/>
      <c r="S117" s="8"/>
    </row>
    <row r="118" customFormat="1" customHeight="1" spans="1:19">
      <c r="A118" s="8"/>
      <c r="B118" s="9"/>
      <c r="C118" s="10"/>
      <c r="D118" s="10"/>
      <c r="E118" s="11"/>
      <c r="F118" s="12"/>
      <c r="G118" s="13"/>
      <c r="H118" s="8"/>
      <c r="I118" s="14"/>
      <c r="J118" s="15"/>
      <c r="K118" s="16"/>
      <c r="L118" s="8"/>
      <c r="M118" s="15"/>
      <c r="N118" s="8"/>
      <c r="O118" s="8"/>
      <c r="P118" s="17"/>
      <c r="Q118" s="18"/>
      <c r="R118" s="8"/>
      <c r="S118" s="8"/>
    </row>
    <row r="119" customFormat="1" customHeight="1" spans="1:19">
      <c r="A119" s="8"/>
      <c r="B119" s="9"/>
      <c r="C119" s="10"/>
      <c r="D119" s="10"/>
      <c r="E119" s="11"/>
      <c r="F119" s="12"/>
      <c r="G119" s="13"/>
      <c r="H119" s="8"/>
      <c r="I119" s="14"/>
      <c r="J119" s="15"/>
      <c r="K119" s="16"/>
      <c r="L119" s="8"/>
      <c r="M119" s="15"/>
      <c r="N119" s="8"/>
      <c r="O119" s="8"/>
      <c r="P119" s="17"/>
      <c r="Q119" s="18"/>
      <c r="R119" s="8"/>
      <c r="S119" s="8"/>
    </row>
    <row r="120" customFormat="1" customHeight="1" spans="1:19">
      <c r="A120" s="8"/>
      <c r="B120" s="9"/>
      <c r="C120" s="10"/>
      <c r="D120" s="10"/>
      <c r="E120" s="11"/>
      <c r="F120" s="12"/>
      <c r="G120" s="13"/>
      <c r="H120" s="8"/>
      <c r="I120" s="14"/>
      <c r="J120" s="15"/>
      <c r="K120" s="16"/>
      <c r="L120" s="8"/>
      <c r="M120" s="15"/>
      <c r="N120" s="8"/>
      <c r="O120" s="8"/>
      <c r="P120" s="17"/>
      <c r="Q120" s="18"/>
      <c r="R120" s="8"/>
      <c r="S120" s="8"/>
    </row>
    <row r="121" customFormat="1" customHeight="1" spans="1:19">
      <c r="A121" s="8"/>
      <c r="B121" s="9"/>
      <c r="C121" s="10"/>
      <c r="D121" s="10"/>
      <c r="E121" s="11"/>
      <c r="F121" s="12"/>
      <c r="G121" s="13"/>
      <c r="H121" s="8"/>
      <c r="I121" s="14"/>
      <c r="J121" s="15"/>
      <c r="K121" s="16"/>
      <c r="L121" s="8"/>
      <c r="M121" s="15"/>
      <c r="N121" s="8"/>
      <c r="O121" s="8"/>
      <c r="P121" s="17"/>
      <c r="Q121" s="18"/>
      <c r="R121" s="8"/>
      <c r="S121" s="8"/>
    </row>
    <row r="122" customFormat="1" customHeight="1" spans="1:19">
      <c r="A122" s="8"/>
      <c r="B122" s="9"/>
      <c r="C122" s="10"/>
      <c r="D122" s="10"/>
      <c r="E122" s="11"/>
      <c r="F122" s="12"/>
      <c r="G122" s="13"/>
      <c r="H122" s="8"/>
      <c r="I122" s="14"/>
      <c r="J122" s="15"/>
      <c r="K122" s="16"/>
      <c r="L122" s="8"/>
      <c r="M122" s="15"/>
      <c r="N122" s="8"/>
      <c r="O122" s="8"/>
      <c r="P122" s="17"/>
      <c r="Q122" s="18"/>
      <c r="R122" s="8"/>
      <c r="S122" s="8"/>
    </row>
    <row r="123" customFormat="1" customHeight="1" spans="1:19">
      <c r="A123" s="8"/>
      <c r="B123" s="9"/>
      <c r="C123" s="10"/>
      <c r="D123" s="10"/>
      <c r="E123" s="11"/>
      <c r="F123" s="12"/>
      <c r="G123" s="13"/>
      <c r="H123" s="8"/>
      <c r="I123" s="14"/>
      <c r="J123" s="15"/>
      <c r="K123" s="16"/>
      <c r="L123" s="8"/>
      <c r="M123" s="15"/>
      <c r="N123" s="8"/>
      <c r="O123" s="8"/>
      <c r="P123" s="17"/>
      <c r="Q123" s="18"/>
      <c r="R123" s="8"/>
      <c r="S123" s="8"/>
    </row>
    <row r="124" customFormat="1" customHeight="1" spans="1:19">
      <c r="A124" s="8"/>
      <c r="B124" s="9"/>
      <c r="C124" s="10"/>
      <c r="D124" s="10"/>
      <c r="E124" s="11"/>
      <c r="F124" s="12"/>
      <c r="G124" s="13"/>
      <c r="H124" s="8"/>
      <c r="I124" s="14"/>
      <c r="J124" s="15"/>
      <c r="K124" s="16"/>
      <c r="L124" s="8"/>
      <c r="M124" s="15"/>
      <c r="N124" s="8"/>
      <c r="O124" s="8"/>
      <c r="P124" s="17"/>
      <c r="Q124" s="18"/>
      <c r="R124" s="8"/>
      <c r="S124" s="8"/>
    </row>
    <row r="125" customFormat="1" customHeight="1" spans="1:19">
      <c r="A125" s="8"/>
      <c r="B125" s="9"/>
      <c r="C125" s="10"/>
      <c r="D125" s="10"/>
      <c r="E125" s="11"/>
      <c r="F125" s="12"/>
      <c r="G125" s="13"/>
      <c r="H125" s="8"/>
      <c r="I125" s="14"/>
      <c r="J125" s="15"/>
      <c r="K125" s="16"/>
      <c r="L125" s="8"/>
      <c r="M125" s="15"/>
      <c r="N125" s="8"/>
      <c r="O125" s="8"/>
      <c r="P125" s="17"/>
      <c r="Q125" s="18"/>
      <c r="R125" s="8"/>
      <c r="S125" s="8"/>
    </row>
    <row r="126" customFormat="1" customHeight="1" spans="1:19">
      <c r="A126" s="8"/>
      <c r="B126" s="9"/>
      <c r="C126" s="10"/>
      <c r="D126" s="10"/>
      <c r="E126" s="11"/>
      <c r="F126" s="12"/>
      <c r="G126" s="13"/>
      <c r="H126" s="8"/>
      <c r="I126" s="14"/>
      <c r="J126" s="15"/>
      <c r="K126" s="16"/>
      <c r="L126" s="8"/>
      <c r="M126" s="15"/>
      <c r="N126" s="8"/>
      <c r="O126" s="8"/>
      <c r="P126" s="17"/>
      <c r="Q126" s="18"/>
      <c r="R126" s="8"/>
      <c r="S126" s="8"/>
    </row>
    <row r="127" customFormat="1" customHeight="1" spans="1:19">
      <c r="A127" s="8"/>
      <c r="B127" s="9"/>
      <c r="C127" s="10"/>
      <c r="D127" s="10"/>
      <c r="E127" s="11"/>
      <c r="F127" s="12"/>
      <c r="G127" s="13"/>
      <c r="H127" s="8"/>
      <c r="I127" s="14"/>
      <c r="J127" s="15"/>
      <c r="K127" s="16"/>
      <c r="L127" s="8"/>
      <c r="M127" s="15"/>
      <c r="N127" s="8"/>
      <c r="O127" s="8"/>
      <c r="P127" s="17"/>
      <c r="Q127" s="18"/>
      <c r="R127" s="8"/>
      <c r="S127" s="8"/>
    </row>
    <row r="128" customFormat="1" customHeight="1" spans="1:19">
      <c r="A128" s="8"/>
      <c r="B128" s="9"/>
      <c r="C128" s="10"/>
      <c r="D128" s="10"/>
      <c r="E128" s="11"/>
      <c r="F128" s="12"/>
      <c r="G128" s="13"/>
      <c r="H128" s="8"/>
      <c r="I128" s="14"/>
      <c r="J128" s="15"/>
      <c r="K128" s="16"/>
      <c r="L128" s="8"/>
      <c r="M128" s="15"/>
      <c r="N128" s="8"/>
      <c r="O128" s="8"/>
      <c r="P128" s="17"/>
      <c r="Q128" s="18"/>
      <c r="R128" s="8"/>
      <c r="S128" s="8"/>
    </row>
    <row r="129" customFormat="1" customHeight="1" spans="1:19">
      <c r="A129" s="8"/>
      <c r="B129" s="9"/>
      <c r="C129" s="10"/>
      <c r="D129" s="10"/>
      <c r="E129" s="11"/>
      <c r="F129" s="12"/>
      <c r="G129" s="13"/>
      <c r="H129" s="8"/>
      <c r="I129" s="14"/>
      <c r="J129" s="15"/>
      <c r="K129" s="16"/>
      <c r="L129" s="8"/>
      <c r="M129" s="15"/>
      <c r="N129" s="8"/>
      <c r="O129" s="8"/>
      <c r="P129" s="17"/>
      <c r="Q129" s="18"/>
      <c r="R129" s="8"/>
      <c r="S129" s="8"/>
    </row>
    <row r="130" customFormat="1" customHeight="1" spans="1:19">
      <c r="A130" s="8"/>
      <c r="B130" s="9"/>
      <c r="C130" s="10"/>
      <c r="D130" s="10"/>
      <c r="E130" s="11"/>
      <c r="F130" s="12"/>
      <c r="G130" s="13"/>
      <c r="H130" s="8"/>
      <c r="I130" s="14"/>
      <c r="J130" s="15"/>
      <c r="K130" s="16"/>
      <c r="L130" s="8"/>
      <c r="M130" s="15"/>
      <c r="N130" s="8"/>
      <c r="O130" s="8"/>
      <c r="P130" s="17"/>
      <c r="Q130" s="18"/>
      <c r="R130" s="8"/>
      <c r="S130" s="8"/>
    </row>
    <row r="131" customFormat="1" customHeight="1" spans="1:19">
      <c r="A131" s="8"/>
      <c r="B131" s="9"/>
      <c r="C131" s="10"/>
      <c r="D131" s="10"/>
      <c r="E131" s="11"/>
      <c r="F131" s="12"/>
      <c r="G131" s="13"/>
      <c r="H131" s="8"/>
      <c r="I131" s="14"/>
      <c r="J131" s="15"/>
      <c r="K131" s="16"/>
      <c r="L131" s="8"/>
      <c r="M131" s="15"/>
      <c r="N131" s="8"/>
      <c r="O131" s="8"/>
      <c r="P131" s="17"/>
      <c r="Q131" s="18"/>
      <c r="R131" s="8"/>
      <c r="S131" s="8"/>
    </row>
    <row r="132" customFormat="1" customHeight="1" spans="1:19">
      <c r="A132" s="8"/>
      <c r="B132" s="9"/>
      <c r="C132" s="10"/>
      <c r="D132" s="10"/>
      <c r="E132" s="11"/>
      <c r="F132" s="12"/>
      <c r="G132" s="13"/>
      <c r="H132" s="8"/>
      <c r="I132" s="14"/>
      <c r="J132" s="15"/>
      <c r="K132" s="16"/>
      <c r="L132" s="8"/>
      <c r="M132" s="15"/>
      <c r="N132" s="8"/>
      <c r="O132" s="8"/>
      <c r="P132" s="17"/>
      <c r="Q132" s="18"/>
      <c r="R132" s="8"/>
      <c r="S132" s="8"/>
    </row>
    <row r="133" customFormat="1" customHeight="1" spans="1:19">
      <c r="A133" s="8"/>
      <c r="B133" s="9"/>
      <c r="C133" s="10"/>
      <c r="D133" s="10"/>
      <c r="E133" s="11"/>
      <c r="F133" s="12"/>
      <c r="G133" s="13"/>
      <c r="H133" s="8"/>
      <c r="I133" s="14"/>
      <c r="J133" s="15"/>
      <c r="K133" s="16"/>
      <c r="L133" s="8"/>
      <c r="M133" s="15"/>
      <c r="N133" s="8"/>
      <c r="O133" s="8"/>
      <c r="P133" s="17"/>
      <c r="Q133" s="18"/>
      <c r="R133" s="8"/>
      <c r="S133" s="8"/>
    </row>
    <row r="134" customFormat="1" customHeight="1" spans="1:19">
      <c r="A134" s="8"/>
      <c r="B134" s="9"/>
      <c r="C134" s="10"/>
      <c r="D134" s="10"/>
      <c r="E134" s="11"/>
      <c r="F134" s="12"/>
      <c r="G134" s="13"/>
      <c r="H134" s="8"/>
      <c r="I134" s="14"/>
      <c r="J134" s="15"/>
      <c r="K134" s="16"/>
      <c r="L134" s="8"/>
      <c r="M134" s="15"/>
      <c r="N134" s="8"/>
      <c r="O134" s="8"/>
      <c r="P134" s="17"/>
      <c r="Q134" s="18"/>
      <c r="R134" s="8"/>
      <c r="S134" s="8"/>
    </row>
    <row r="135" customFormat="1" customHeight="1" spans="1:19">
      <c r="A135" s="8"/>
      <c r="B135" s="9"/>
      <c r="C135" s="10"/>
      <c r="D135" s="10"/>
      <c r="E135" s="11"/>
      <c r="F135" s="12"/>
      <c r="G135" s="13"/>
      <c r="H135" s="8"/>
      <c r="I135" s="14"/>
      <c r="J135" s="15"/>
      <c r="K135" s="16"/>
      <c r="L135" s="8"/>
      <c r="M135" s="15"/>
      <c r="N135" s="8"/>
      <c r="O135" s="8"/>
      <c r="P135" s="17"/>
      <c r="Q135" s="18"/>
      <c r="R135" s="8"/>
      <c r="S135" s="8"/>
    </row>
    <row r="136" customFormat="1" customHeight="1" spans="1:19">
      <c r="A136" s="8"/>
      <c r="B136" s="9"/>
      <c r="C136" s="10"/>
      <c r="D136" s="10"/>
      <c r="E136" s="11"/>
      <c r="F136" s="12"/>
      <c r="G136" s="13"/>
      <c r="H136" s="8"/>
      <c r="I136" s="14"/>
      <c r="J136" s="15"/>
      <c r="K136" s="16"/>
      <c r="L136" s="8"/>
      <c r="M136" s="15"/>
      <c r="N136" s="8"/>
      <c r="O136" s="8"/>
      <c r="P136" s="17"/>
      <c r="Q136" s="18"/>
      <c r="R136" s="8"/>
      <c r="S136" s="8"/>
    </row>
    <row r="137" customFormat="1" customHeight="1" spans="1:19">
      <c r="A137" s="8"/>
      <c r="B137" s="9"/>
      <c r="C137" s="10"/>
      <c r="D137" s="10"/>
      <c r="E137" s="11"/>
      <c r="F137" s="12"/>
      <c r="G137" s="13"/>
      <c r="H137" s="8"/>
      <c r="I137" s="14"/>
      <c r="J137" s="15"/>
      <c r="K137" s="16"/>
      <c r="L137" s="8"/>
      <c r="M137" s="15"/>
      <c r="N137" s="8"/>
      <c r="O137" s="8"/>
      <c r="P137" s="17"/>
      <c r="Q137" s="18"/>
      <c r="R137" s="8"/>
      <c r="S137" s="8"/>
    </row>
    <row r="138" customFormat="1" customHeight="1" spans="1:19">
      <c r="A138" s="8"/>
      <c r="B138" s="9"/>
      <c r="C138" s="10"/>
      <c r="D138" s="10"/>
      <c r="E138" s="11"/>
      <c r="F138" s="12"/>
      <c r="G138" s="13"/>
      <c r="H138" s="8"/>
      <c r="I138" s="14"/>
      <c r="J138" s="15"/>
      <c r="K138" s="16"/>
      <c r="L138" s="8"/>
      <c r="M138" s="15"/>
      <c r="N138" s="8"/>
      <c r="O138" s="8"/>
      <c r="P138" s="17"/>
      <c r="Q138" s="18"/>
      <c r="R138" s="8"/>
      <c r="S138" s="8"/>
    </row>
    <row r="139" customFormat="1" customHeight="1" spans="1:19">
      <c r="A139" s="8"/>
      <c r="B139" s="9"/>
      <c r="C139" s="10"/>
      <c r="D139" s="10"/>
      <c r="E139" s="11"/>
      <c r="F139" s="12"/>
      <c r="G139" s="13"/>
      <c r="H139" s="8"/>
      <c r="I139" s="14"/>
      <c r="J139" s="15"/>
      <c r="K139" s="16"/>
      <c r="L139" s="8"/>
      <c r="M139" s="15"/>
      <c r="N139" s="8"/>
      <c r="O139" s="8"/>
      <c r="P139" s="17"/>
      <c r="Q139" s="18"/>
      <c r="R139" s="8"/>
      <c r="S139" s="8"/>
    </row>
    <row r="140" customFormat="1" customHeight="1" spans="1:19">
      <c r="A140" s="8"/>
      <c r="B140" s="9"/>
      <c r="C140" s="10"/>
      <c r="D140" s="10"/>
      <c r="E140" s="11"/>
      <c r="F140" s="12"/>
      <c r="G140" s="13"/>
      <c r="H140" s="8"/>
      <c r="I140" s="14"/>
      <c r="J140" s="15"/>
      <c r="K140" s="16"/>
      <c r="L140" s="8"/>
      <c r="M140" s="15"/>
      <c r="N140" s="8"/>
      <c r="O140" s="8"/>
      <c r="P140" s="17"/>
      <c r="Q140" s="18"/>
      <c r="R140" s="8"/>
      <c r="S140" s="8"/>
    </row>
    <row r="141" customFormat="1" customHeight="1" spans="1:19">
      <c r="A141" s="8"/>
      <c r="B141" s="9"/>
      <c r="C141" s="10"/>
      <c r="D141" s="10"/>
      <c r="E141" s="11"/>
      <c r="F141" s="12"/>
      <c r="G141" s="13"/>
      <c r="H141" s="8"/>
      <c r="I141" s="14"/>
      <c r="J141" s="15"/>
      <c r="K141" s="16"/>
      <c r="L141" s="8"/>
      <c r="M141" s="15"/>
      <c r="N141" s="8"/>
      <c r="O141" s="8"/>
      <c r="P141" s="17"/>
      <c r="Q141" s="18"/>
      <c r="R141" s="8"/>
      <c r="S141" s="8"/>
    </row>
    <row r="142" customFormat="1" customHeight="1" spans="1:19">
      <c r="A142" s="8"/>
      <c r="B142" s="9"/>
      <c r="C142" s="10"/>
      <c r="D142" s="10"/>
      <c r="E142" s="11"/>
      <c r="F142" s="12"/>
      <c r="G142" s="13"/>
      <c r="H142" s="8"/>
      <c r="I142" s="14"/>
      <c r="J142" s="15"/>
      <c r="K142" s="16"/>
      <c r="L142" s="8"/>
      <c r="M142" s="15"/>
      <c r="N142" s="8"/>
      <c r="O142" s="8"/>
      <c r="P142" s="17"/>
      <c r="Q142" s="18"/>
      <c r="R142" s="8"/>
      <c r="S142" s="8"/>
    </row>
    <row r="143" customFormat="1" customHeight="1" spans="1:19">
      <c r="A143" s="8"/>
      <c r="B143" s="9"/>
      <c r="C143" s="10"/>
      <c r="D143" s="10"/>
      <c r="E143" s="11"/>
      <c r="F143" s="12"/>
      <c r="G143" s="13"/>
      <c r="H143" s="8"/>
      <c r="I143" s="14"/>
      <c r="J143" s="15"/>
      <c r="K143" s="16"/>
      <c r="L143" s="8"/>
      <c r="M143" s="15"/>
      <c r="N143" s="8"/>
      <c r="O143" s="8"/>
      <c r="P143" s="17"/>
      <c r="Q143" s="18"/>
      <c r="R143" s="8"/>
      <c r="S143" s="8"/>
    </row>
    <row r="144" customFormat="1" customHeight="1" spans="1:19">
      <c r="A144" s="8"/>
      <c r="B144" s="9"/>
      <c r="C144" s="10"/>
      <c r="D144" s="10"/>
      <c r="E144" s="11"/>
      <c r="F144" s="12"/>
      <c r="G144" s="13"/>
      <c r="H144" s="8"/>
      <c r="I144" s="14"/>
      <c r="J144" s="15"/>
      <c r="K144" s="16"/>
      <c r="L144" s="8"/>
      <c r="M144" s="15"/>
      <c r="N144" s="8"/>
      <c r="O144" s="8"/>
      <c r="P144" s="17"/>
      <c r="Q144" s="18"/>
      <c r="R144" s="8"/>
      <c r="S144" s="8"/>
    </row>
    <row r="145" customFormat="1" customHeight="1" spans="1:19">
      <c r="A145" s="8"/>
      <c r="B145" s="9"/>
      <c r="C145" s="10"/>
      <c r="D145" s="10"/>
      <c r="E145" s="11"/>
      <c r="F145" s="12"/>
      <c r="G145" s="13"/>
      <c r="H145" s="8"/>
      <c r="I145" s="14"/>
      <c r="J145" s="15"/>
      <c r="K145" s="16"/>
      <c r="L145" s="8"/>
      <c r="M145" s="15"/>
      <c r="N145" s="8"/>
      <c r="O145" s="8"/>
      <c r="P145" s="17"/>
      <c r="Q145" s="18"/>
      <c r="R145" s="8"/>
      <c r="S145" s="8"/>
    </row>
    <row r="146" customFormat="1" customHeight="1" spans="1:19">
      <c r="A146" s="8"/>
      <c r="B146" s="9"/>
      <c r="C146" s="10"/>
      <c r="D146" s="10"/>
      <c r="E146" s="11"/>
      <c r="F146" s="12"/>
      <c r="G146" s="13"/>
      <c r="H146" s="8"/>
      <c r="I146" s="14"/>
      <c r="J146" s="15"/>
      <c r="K146" s="16"/>
      <c r="L146" s="8"/>
      <c r="M146" s="15"/>
      <c r="N146" s="8"/>
      <c r="O146" s="8"/>
      <c r="P146" s="17"/>
      <c r="Q146" s="18"/>
      <c r="R146" s="8"/>
      <c r="S146" s="8"/>
    </row>
    <row r="147" customFormat="1" customHeight="1" spans="1:19">
      <c r="A147" s="8"/>
      <c r="B147" s="9"/>
      <c r="C147" s="10"/>
      <c r="D147" s="10"/>
      <c r="E147" s="11"/>
      <c r="F147" s="12"/>
      <c r="G147" s="13"/>
      <c r="H147" s="8"/>
      <c r="I147" s="14"/>
      <c r="J147" s="15"/>
      <c r="K147" s="16"/>
      <c r="L147" s="8"/>
      <c r="M147" s="15"/>
      <c r="N147" s="8"/>
      <c r="O147" s="8"/>
      <c r="P147" s="17"/>
      <c r="Q147" s="18"/>
      <c r="R147" s="8"/>
      <c r="S147" s="8"/>
    </row>
    <row r="148" customFormat="1" customHeight="1" spans="1:19">
      <c r="A148" s="8"/>
      <c r="B148" s="9"/>
      <c r="C148" s="10"/>
      <c r="D148" s="10"/>
      <c r="E148" s="11"/>
      <c r="F148" s="12"/>
      <c r="G148" s="13"/>
      <c r="H148" s="8"/>
      <c r="I148" s="14"/>
      <c r="J148" s="15"/>
      <c r="K148" s="16"/>
      <c r="L148" s="8"/>
      <c r="M148" s="15"/>
      <c r="N148" s="8"/>
      <c r="O148" s="8"/>
      <c r="P148" s="17"/>
      <c r="Q148" s="18"/>
      <c r="R148" s="8"/>
      <c r="S148" s="8"/>
    </row>
    <row r="149" customFormat="1" customHeight="1" spans="1:19">
      <c r="A149" s="8"/>
      <c r="B149" s="9"/>
      <c r="C149" s="10"/>
      <c r="D149" s="10"/>
      <c r="E149" s="11"/>
      <c r="F149" s="12"/>
      <c r="G149" s="13"/>
      <c r="H149" s="8"/>
      <c r="I149" s="14"/>
      <c r="J149" s="15"/>
      <c r="K149" s="16"/>
      <c r="L149" s="8"/>
      <c r="M149" s="15"/>
      <c r="N149" s="8"/>
      <c r="O149" s="8"/>
      <c r="P149" s="17"/>
      <c r="Q149" s="18"/>
      <c r="R149" s="8"/>
      <c r="S149" s="8"/>
    </row>
    <row r="150" customFormat="1" customHeight="1" spans="1:19">
      <c r="A150" s="8"/>
      <c r="B150" s="9"/>
      <c r="C150" s="10"/>
      <c r="D150" s="10"/>
      <c r="E150" s="11"/>
      <c r="F150" s="12"/>
      <c r="G150" s="13"/>
      <c r="H150" s="8"/>
      <c r="I150" s="14"/>
      <c r="J150" s="15"/>
      <c r="K150" s="16"/>
      <c r="L150" s="8"/>
      <c r="M150" s="15"/>
      <c r="N150" s="8"/>
      <c r="O150" s="8"/>
      <c r="P150" s="17"/>
      <c r="Q150" s="18"/>
      <c r="R150" s="8"/>
      <c r="S150" s="8"/>
    </row>
    <row r="151" customFormat="1" customHeight="1" spans="1:19">
      <c r="A151" s="8"/>
      <c r="B151" s="9"/>
      <c r="C151" s="10"/>
      <c r="D151" s="10"/>
      <c r="E151" s="11"/>
      <c r="F151" s="12"/>
      <c r="G151" s="13"/>
      <c r="H151" s="8"/>
      <c r="I151" s="14"/>
      <c r="J151" s="15"/>
      <c r="K151" s="16"/>
      <c r="L151" s="8"/>
      <c r="M151" s="15"/>
      <c r="N151" s="8"/>
      <c r="O151" s="8"/>
      <c r="P151" s="17"/>
      <c r="Q151" s="18"/>
      <c r="R151" s="8"/>
      <c r="S151" s="8"/>
    </row>
    <row r="152" customFormat="1" customHeight="1" spans="1:19">
      <c r="A152" s="8"/>
      <c r="B152" s="9"/>
      <c r="C152" s="10"/>
      <c r="D152" s="10"/>
      <c r="E152" s="11"/>
      <c r="F152" s="12"/>
      <c r="G152" s="13"/>
      <c r="H152" s="8"/>
      <c r="I152" s="14"/>
      <c r="J152" s="15"/>
      <c r="K152" s="16"/>
      <c r="L152" s="8"/>
      <c r="M152" s="15"/>
      <c r="N152" s="8"/>
      <c r="O152" s="8"/>
      <c r="P152" s="17"/>
      <c r="Q152" s="18"/>
      <c r="R152" s="8"/>
      <c r="S152" s="8"/>
    </row>
    <row r="153" customFormat="1" customHeight="1" spans="1:19">
      <c r="A153" s="8"/>
      <c r="B153" s="9"/>
      <c r="C153" s="10"/>
      <c r="D153" s="10"/>
      <c r="E153" s="11"/>
      <c r="F153" s="12"/>
      <c r="G153" s="13"/>
      <c r="H153" s="8"/>
      <c r="I153" s="14"/>
      <c r="J153" s="15"/>
      <c r="K153" s="16"/>
      <c r="L153" s="8"/>
      <c r="M153" s="15"/>
      <c r="N153" s="8"/>
      <c r="O153" s="8"/>
      <c r="P153" s="17"/>
      <c r="Q153" s="18"/>
      <c r="R153" s="8"/>
      <c r="S153" s="8"/>
    </row>
    <row r="154" customFormat="1" customHeight="1" spans="1:19">
      <c r="A154" s="8"/>
      <c r="B154" s="9"/>
      <c r="C154" s="10"/>
      <c r="D154" s="10"/>
      <c r="E154" s="11"/>
      <c r="F154" s="12"/>
      <c r="G154" s="13"/>
      <c r="H154" s="8"/>
      <c r="I154" s="14"/>
      <c r="J154" s="15"/>
      <c r="K154" s="16"/>
      <c r="L154" s="8"/>
      <c r="M154" s="15"/>
      <c r="N154" s="8"/>
      <c r="O154" s="8"/>
      <c r="P154" s="17"/>
      <c r="Q154" s="18"/>
      <c r="R154" s="8"/>
      <c r="S154" s="8"/>
    </row>
    <row r="155" customFormat="1" customHeight="1" spans="1:19">
      <c r="A155" s="8"/>
      <c r="B155" s="9"/>
      <c r="C155" s="10"/>
      <c r="D155" s="10"/>
      <c r="E155" s="11"/>
      <c r="F155" s="12"/>
      <c r="G155" s="13"/>
      <c r="H155" s="8"/>
      <c r="I155" s="14"/>
      <c r="J155" s="15"/>
      <c r="K155" s="16"/>
      <c r="L155" s="8"/>
      <c r="M155" s="15"/>
      <c r="N155" s="8"/>
      <c r="O155" s="8"/>
      <c r="P155" s="17"/>
      <c r="Q155" s="18"/>
      <c r="R155" s="8"/>
      <c r="S155" s="8"/>
    </row>
    <row r="156" customFormat="1" customHeight="1" spans="1:19">
      <c r="A156" s="8"/>
      <c r="B156" s="9"/>
      <c r="C156" s="10"/>
      <c r="D156" s="10"/>
      <c r="E156" s="11"/>
      <c r="F156" s="12"/>
      <c r="G156" s="13"/>
      <c r="H156" s="8"/>
      <c r="I156" s="14"/>
      <c r="J156" s="15"/>
      <c r="K156" s="16"/>
      <c r="L156" s="8"/>
      <c r="M156" s="15"/>
      <c r="N156" s="8"/>
      <c r="O156" s="8"/>
      <c r="P156" s="17"/>
      <c r="Q156" s="18"/>
      <c r="R156" s="8"/>
      <c r="S156" s="8"/>
    </row>
    <row r="157" customFormat="1" customHeight="1" spans="1:19">
      <c r="A157" s="8"/>
      <c r="B157" s="9"/>
      <c r="C157" s="10"/>
      <c r="D157" s="10"/>
      <c r="E157" s="11"/>
      <c r="F157" s="12"/>
      <c r="G157" s="13"/>
      <c r="H157" s="8"/>
      <c r="I157" s="14"/>
      <c r="J157" s="15"/>
      <c r="K157" s="16"/>
      <c r="L157" s="8"/>
      <c r="M157" s="15"/>
      <c r="N157" s="8"/>
      <c r="O157" s="8"/>
      <c r="P157" s="17"/>
      <c r="Q157" s="18"/>
      <c r="R157" s="8"/>
      <c r="S157" s="8"/>
    </row>
    <row r="158" customFormat="1" customHeight="1" spans="1:19">
      <c r="A158" s="8"/>
      <c r="B158" s="9"/>
      <c r="C158" s="10"/>
      <c r="D158" s="10"/>
      <c r="E158" s="11"/>
      <c r="F158" s="12"/>
      <c r="G158" s="13"/>
      <c r="H158" s="8"/>
      <c r="I158" s="14"/>
      <c r="J158" s="15"/>
      <c r="K158" s="16"/>
      <c r="L158" s="8"/>
      <c r="M158" s="15"/>
      <c r="N158" s="8"/>
      <c r="O158" s="8"/>
      <c r="P158" s="17"/>
      <c r="Q158" s="18"/>
      <c r="R158" s="8"/>
      <c r="S158" s="8"/>
    </row>
    <row r="159" customFormat="1" customHeight="1" spans="1:19">
      <c r="A159" s="8"/>
      <c r="B159" s="9"/>
      <c r="C159" s="10"/>
      <c r="D159" s="10"/>
      <c r="E159" s="11"/>
      <c r="F159" s="12"/>
      <c r="G159" s="13"/>
      <c r="H159" s="8"/>
      <c r="I159" s="14"/>
      <c r="J159" s="15"/>
      <c r="K159" s="16"/>
      <c r="L159" s="8"/>
      <c r="M159" s="15"/>
      <c r="N159" s="8"/>
      <c r="O159" s="8"/>
      <c r="P159" s="17"/>
      <c r="Q159" s="18"/>
      <c r="R159" s="8"/>
      <c r="S159" s="8"/>
    </row>
    <row r="160" customFormat="1" customHeight="1" spans="1:19">
      <c r="A160" s="8"/>
      <c r="B160" s="9"/>
      <c r="C160" s="10"/>
      <c r="D160" s="10"/>
      <c r="E160" s="11"/>
      <c r="F160" s="12"/>
      <c r="G160" s="13"/>
      <c r="H160" s="8"/>
      <c r="I160" s="14"/>
      <c r="J160" s="15"/>
      <c r="K160" s="16"/>
      <c r="L160" s="8"/>
      <c r="M160" s="15"/>
      <c r="N160" s="8"/>
      <c r="O160" s="8"/>
      <c r="P160" s="17"/>
      <c r="Q160" s="18"/>
      <c r="R160" s="8"/>
      <c r="S160" s="8"/>
    </row>
    <row r="161" customFormat="1" customHeight="1" spans="1:19">
      <c r="A161" s="8"/>
      <c r="B161" s="9"/>
      <c r="C161" s="10"/>
      <c r="D161" s="10"/>
      <c r="E161" s="11"/>
      <c r="F161" s="12"/>
      <c r="G161" s="13"/>
      <c r="H161" s="8"/>
      <c r="I161" s="14"/>
      <c r="J161" s="15"/>
      <c r="K161" s="16"/>
      <c r="L161" s="8"/>
      <c r="M161" s="15"/>
      <c r="N161" s="8"/>
      <c r="O161" s="8"/>
      <c r="P161" s="17"/>
      <c r="Q161" s="18"/>
      <c r="R161" s="8"/>
      <c r="S161" s="8"/>
    </row>
    <row r="162" customFormat="1" customHeight="1" spans="1:19">
      <c r="A162" s="8"/>
      <c r="B162" s="9"/>
      <c r="C162" s="10"/>
      <c r="D162" s="10"/>
      <c r="E162" s="11"/>
      <c r="F162" s="12"/>
      <c r="G162" s="13"/>
      <c r="H162" s="8"/>
      <c r="I162" s="14"/>
      <c r="J162" s="15"/>
      <c r="K162" s="16"/>
      <c r="L162" s="8"/>
      <c r="M162" s="15"/>
      <c r="N162" s="8"/>
      <c r="O162" s="8"/>
      <c r="P162" s="17"/>
      <c r="Q162" s="18"/>
      <c r="R162" s="8"/>
      <c r="S162" s="8"/>
    </row>
    <row r="163" customFormat="1" customHeight="1" spans="1:19">
      <c r="A163" s="8"/>
      <c r="B163" s="9"/>
      <c r="C163" s="10"/>
      <c r="D163" s="10"/>
      <c r="E163" s="11"/>
      <c r="F163" s="12"/>
      <c r="G163" s="13"/>
      <c r="H163" s="8"/>
      <c r="I163" s="14"/>
      <c r="J163" s="15"/>
      <c r="K163" s="16"/>
      <c r="L163" s="8"/>
      <c r="M163" s="15"/>
      <c r="N163" s="8"/>
      <c r="O163" s="8"/>
      <c r="P163" s="17"/>
      <c r="Q163" s="18"/>
      <c r="R163" s="8"/>
      <c r="S163" s="8"/>
    </row>
    <row r="164" customFormat="1" customHeight="1" spans="1:19">
      <c r="A164" s="8"/>
      <c r="B164" s="9"/>
      <c r="C164" s="10"/>
      <c r="D164" s="10"/>
      <c r="E164" s="11"/>
      <c r="F164" s="12"/>
      <c r="G164" s="13"/>
      <c r="H164" s="8"/>
      <c r="I164" s="14"/>
      <c r="J164" s="15"/>
      <c r="K164" s="16"/>
      <c r="L164" s="8"/>
      <c r="M164" s="15"/>
      <c r="N164" s="8"/>
      <c r="O164" s="8"/>
      <c r="P164" s="17"/>
      <c r="Q164" s="18"/>
      <c r="R164" s="8"/>
      <c r="S164" s="8"/>
    </row>
    <row r="165" customFormat="1" customHeight="1" spans="1:19">
      <c r="A165" s="8"/>
      <c r="B165" s="9"/>
      <c r="C165" s="10"/>
      <c r="D165" s="10"/>
      <c r="E165" s="11"/>
      <c r="F165" s="12"/>
      <c r="G165" s="13"/>
      <c r="H165" s="8"/>
      <c r="I165" s="14"/>
      <c r="J165" s="15"/>
      <c r="K165" s="16"/>
      <c r="L165" s="8"/>
      <c r="M165" s="15"/>
      <c r="N165" s="8"/>
      <c r="O165" s="8"/>
      <c r="P165" s="17"/>
      <c r="Q165" s="18"/>
      <c r="R165" s="8"/>
      <c r="S165" s="8"/>
    </row>
    <row r="166" customFormat="1" customHeight="1" spans="1:19">
      <c r="A166" s="8"/>
      <c r="B166" s="9"/>
      <c r="C166" s="10"/>
      <c r="D166" s="10"/>
      <c r="E166" s="11"/>
      <c r="F166" s="12"/>
      <c r="G166" s="13"/>
      <c r="H166" s="8"/>
      <c r="I166" s="14"/>
      <c r="J166" s="15"/>
      <c r="K166" s="16"/>
      <c r="L166" s="8"/>
      <c r="M166" s="15"/>
      <c r="N166" s="8"/>
      <c r="O166" s="8"/>
      <c r="P166" s="17"/>
      <c r="Q166" s="18"/>
      <c r="R166" s="8"/>
      <c r="S166" s="8"/>
    </row>
    <row r="167" customFormat="1" customHeight="1" spans="1:19">
      <c r="A167" s="8"/>
      <c r="B167" s="9"/>
      <c r="C167" s="10"/>
      <c r="D167" s="10"/>
      <c r="E167" s="11"/>
      <c r="F167" s="12"/>
      <c r="G167" s="13"/>
      <c r="H167" s="8"/>
      <c r="I167" s="14"/>
      <c r="J167" s="15"/>
      <c r="K167" s="16"/>
      <c r="L167" s="8"/>
      <c r="M167" s="15"/>
      <c r="N167" s="8"/>
      <c r="O167" s="8"/>
      <c r="P167" s="17"/>
      <c r="Q167" s="18"/>
      <c r="R167" s="8"/>
      <c r="S167" s="8"/>
    </row>
    <row r="168" customFormat="1" customHeight="1" spans="1:19">
      <c r="A168" s="8"/>
      <c r="B168" s="9"/>
      <c r="C168" s="10"/>
      <c r="D168" s="10"/>
      <c r="E168" s="11"/>
      <c r="F168" s="12"/>
      <c r="G168" s="13"/>
      <c r="H168" s="8"/>
      <c r="I168" s="14"/>
      <c r="J168" s="15"/>
      <c r="K168" s="16"/>
      <c r="L168" s="8"/>
      <c r="M168" s="15"/>
      <c r="N168" s="8"/>
      <c r="O168" s="8"/>
      <c r="P168" s="17"/>
      <c r="Q168" s="18"/>
      <c r="R168" s="8"/>
      <c r="S168" s="8"/>
    </row>
    <row r="169" customFormat="1" customHeight="1" spans="1:19">
      <c r="A169" s="8"/>
      <c r="B169" s="9"/>
      <c r="C169" s="10"/>
      <c r="D169" s="10"/>
      <c r="E169" s="11"/>
      <c r="F169" s="12"/>
      <c r="G169" s="13"/>
      <c r="H169" s="8"/>
      <c r="I169" s="14"/>
      <c r="J169" s="15"/>
      <c r="K169" s="16"/>
      <c r="L169" s="8"/>
      <c r="M169" s="15"/>
      <c r="N169" s="8"/>
      <c r="O169" s="8"/>
      <c r="P169" s="17"/>
      <c r="Q169" s="18"/>
      <c r="R169" s="8"/>
      <c r="S169" s="8"/>
    </row>
    <row r="170" customFormat="1" customHeight="1" spans="1:19">
      <c r="A170" s="8"/>
      <c r="B170" s="9"/>
      <c r="C170" s="10"/>
      <c r="D170" s="10"/>
      <c r="E170" s="11"/>
      <c r="F170" s="12"/>
      <c r="G170" s="13"/>
      <c r="H170" s="8"/>
      <c r="I170" s="14"/>
      <c r="J170" s="15"/>
      <c r="K170" s="16"/>
      <c r="L170" s="8"/>
      <c r="M170" s="15"/>
      <c r="N170" s="8"/>
      <c r="O170" s="8"/>
      <c r="P170" s="17"/>
      <c r="Q170" s="18"/>
      <c r="R170" s="8"/>
      <c r="S170" s="8"/>
    </row>
    <row r="171" customFormat="1" customHeight="1" spans="1:19">
      <c r="A171" s="8"/>
      <c r="B171" s="9"/>
      <c r="C171" s="10"/>
      <c r="D171" s="10"/>
      <c r="E171" s="11"/>
      <c r="F171" s="12"/>
      <c r="G171" s="13"/>
      <c r="H171" s="8"/>
      <c r="I171" s="14"/>
      <c r="J171" s="15"/>
      <c r="K171" s="16"/>
      <c r="L171" s="8"/>
      <c r="M171" s="15"/>
      <c r="N171" s="8"/>
      <c r="O171" s="8"/>
      <c r="P171" s="17"/>
      <c r="Q171" s="18"/>
      <c r="R171" s="8"/>
      <c r="S171" s="8"/>
    </row>
    <row r="172" customFormat="1" customHeight="1" spans="1:19">
      <c r="A172" s="8"/>
      <c r="B172" s="9"/>
      <c r="C172" s="10"/>
      <c r="D172" s="10"/>
      <c r="E172" s="11"/>
      <c r="F172" s="12"/>
      <c r="G172" s="13"/>
      <c r="H172" s="8"/>
      <c r="I172" s="14"/>
      <c r="J172" s="15"/>
      <c r="K172" s="16"/>
      <c r="L172" s="8"/>
      <c r="M172" s="15"/>
      <c r="N172" s="8"/>
      <c r="O172" s="8"/>
      <c r="P172" s="17"/>
      <c r="Q172" s="18"/>
      <c r="R172" s="8"/>
      <c r="S172" s="8"/>
    </row>
    <row r="173" customFormat="1" customHeight="1" spans="1:19">
      <c r="A173" s="8"/>
      <c r="B173" s="9"/>
      <c r="C173" s="10"/>
      <c r="D173" s="10"/>
      <c r="E173" s="11"/>
      <c r="F173" s="12"/>
      <c r="G173" s="13"/>
      <c r="H173" s="8"/>
      <c r="I173" s="14"/>
      <c r="J173" s="15"/>
      <c r="K173" s="16"/>
      <c r="L173" s="8"/>
      <c r="M173" s="15"/>
      <c r="N173" s="8"/>
      <c r="O173" s="8"/>
      <c r="P173" s="17"/>
      <c r="Q173" s="18"/>
      <c r="R173" s="8"/>
      <c r="S173" s="8"/>
    </row>
    <row r="174" customFormat="1" customHeight="1" spans="1:19">
      <c r="A174" s="8"/>
      <c r="B174" s="9"/>
      <c r="C174" s="10"/>
      <c r="D174" s="10"/>
      <c r="E174" s="11"/>
      <c r="F174" s="12"/>
      <c r="G174" s="13"/>
      <c r="H174" s="8"/>
      <c r="I174" s="14"/>
      <c r="J174" s="15"/>
      <c r="K174" s="16"/>
      <c r="L174" s="8"/>
      <c r="M174" s="15"/>
      <c r="N174" s="8"/>
      <c r="O174" s="8"/>
      <c r="P174" s="17"/>
      <c r="Q174" s="18"/>
      <c r="R174" s="8"/>
      <c r="S174" s="8"/>
    </row>
    <row r="175" customFormat="1" customHeight="1" spans="1:19">
      <c r="A175" s="8"/>
      <c r="B175" s="9"/>
      <c r="C175" s="10"/>
      <c r="D175" s="10"/>
      <c r="E175" s="11"/>
      <c r="F175" s="12"/>
      <c r="G175" s="13"/>
      <c r="H175" s="8"/>
      <c r="I175" s="14"/>
      <c r="J175" s="15"/>
      <c r="K175" s="16"/>
      <c r="L175" s="8"/>
      <c r="M175" s="15"/>
      <c r="N175" s="8"/>
      <c r="O175" s="8"/>
      <c r="P175" s="17"/>
      <c r="Q175" s="18"/>
      <c r="R175" s="8"/>
      <c r="S175" s="8"/>
    </row>
    <row r="176" customFormat="1" customHeight="1" spans="1:19">
      <c r="A176" s="8"/>
      <c r="B176" s="9"/>
      <c r="C176" s="10"/>
      <c r="D176" s="10"/>
      <c r="E176" s="11"/>
      <c r="F176" s="12"/>
      <c r="G176" s="13"/>
      <c r="H176" s="8"/>
      <c r="I176" s="14"/>
      <c r="J176" s="15"/>
      <c r="K176" s="16"/>
      <c r="L176" s="8"/>
      <c r="M176" s="15"/>
      <c r="N176" s="8"/>
      <c r="O176" s="8"/>
      <c r="P176" s="17"/>
      <c r="Q176" s="18"/>
      <c r="R176" s="8"/>
      <c r="S176" s="8"/>
    </row>
    <row r="177" customFormat="1" customHeight="1" spans="1:19">
      <c r="A177" s="8"/>
      <c r="B177" s="9"/>
      <c r="C177" s="10"/>
      <c r="D177" s="10"/>
      <c r="E177" s="11"/>
      <c r="F177" s="12"/>
      <c r="G177" s="13"/>
      <c r="H177" s="8"/>
      <c r="I177" s="14"/>
      <c r="J177" s="15"/>
      <c r="K177" s="16"/>
      <c r="L177" s="8"/>
      <c r="M177" s="15"/>
      <c r="N177" s="8"/>
      <c r="O177" s="8"/>
      <c r="P177" s="17"/>
      <c r="Q177" s="18"/>
      <c r="R177" s="8"/>
      <c r="S177" s="8"/>
    </row>
    <row r="178" customFormat="1" customHeight="1" spans="1:19">
      <c r="A178" s="8"/>
      <c r="B178" s="9"/>
      <c r="C178" s="10"/>
      <c r="D178" s="10"/>
      <c r="E178" s="11"/>
      <c r="F178" s="12"/>
      <c r="G178" s="13"/>
      <c r="H178" s="8"/>
      <c r="I178" s="14"/>
      <c r="J178" s="15"/>
      <c r="K178" s="16"/>
      <c r="L178" s="8"/>
      <c r="M178" s="15"/>
      <c r="N178" s="8"/>
      <c r="O178" s="8"/>
      <c r="P178" s="17"/>
      <c r="Q178" s="18"/>
      <c r="R178" s="8"/>
      <c r="S178" s="8"/>
    </row>
    <row r="179" customFormat="1" customHeight="1" spans="1:19">
      <c r="A179" s="8"/>
      <c r="B179" s="9"/>
      <c r="C179" s="10"/>
      <c r="D179" s="10"/>
      <c r="E179" s="11"/>
      <c r="F179" s="12"/>
      <c r="G179" s="13"/>
      <c r="H179" s="8"/>
      <c r="I179" s="14"/>
      <c r="J179" s="15"/>
      <c r="K179" s="16"/>
      <c r="L179" s="8"/>
      <c r="M179" s="15"/>
      <c r="N179" s="8"/>
      <c r="O179" s="8"/>
      <c r="P179" s="17"/>
      <c r="Q179" s="18"/>
      <c r="R179" s="8"/>
      <c r="S179" s="8"/>
    </row>
    <row r="180" customFormat="1" customHeight="1" spans="1:19">
      <c r="A180" s="8"/>
      <c r="B180" s="9"/>
      <c r="C180" s="10"/>
      <c r="D180" s="10"/>
      <c r="E180" s="11"/>
      <c r="F180" s="12"/>
      <c r="G180" s="13"/>
      <c r="H180" s="8"/>
      <c r="I180" s="14"/>
      <c r="J180" s="15"/>
      <c r="K180" s="16"/>
      <c r="L180" s="8"/>
      <c r="M180" s="15"/>
      <c r="N180" s="8"/>
      <c r="O180" s="8"/>
      <c r="P180" s="17"/>
      <c r="Q180" s="18"/>
      <c r="R180" s="8"/>
      <c r="S180" s="8"/>
    </row>
    <row r="181" customFormat="1" customHeight="1" spans="1:19">
      <c r="A181" s="8"/>
      <c r="B181" s="9"/>
      <c r="C181" s="10"/>
      <c r="D181" s="10"/>
      <c r="E181" s="11"/>
      <c r="F181" s="12"/>
      <c r="G181" s="13"/>
      <c r="H181" s="8"/>
      <c r="I181" s="14"/>
      <c r="J181" s="15"/>
      <c r="K181" s="16"/>
      <c r="L181" s="8"/>
      <c r="M181" s="15"/>
      <c r="N181" s="8"/>
      <c r="O181" s="8"/>
      <c r="P181" s="17"/>
      <c r="Q181" s="18"/>
      <c r="R181" s="8"/>
      <c r="S181" s="8"/>
    </row>
    <row r="182" customFormat="1" customHeight="1" spans="1:19">
      <c r="A182" s="8"/>
      <c r="B182" s="9"/>
      <c r="C182" s="10"/>
      <c r="D182" s="10"/>
      <c r="E182" s="11"/>
      <c r="F182" s="12"/>
      <c r="G182" s="13"/>
      <c r="H182" s="8"/>
      <c r="I182" s="14"/>
      <c r="J182" s="15"/>
      <c r="K182" s="16"/>
      <c r="L182" s="8"/>
      <c r="M182" s="15"/>
      <c r="N182" s="8"/>
      <c r="O182" s="8"/>
      <c r="P182" s="17"/>
      <c r="Q182" s="18"/>
      <c r="R182" s="8"/>
      <c r="S182" s="8"/>
    </row>
    <row r="183" customFormat="1" customHeight="1" spans="1:19">
      <c r="A183" s="8"/>
      <c r="B183" s="9"/>
      <c r="C183" s="10"/>
      <c r="D183" s="10"/>
      <c r="E183" s="11"/>
      <c r="F183" s="12"/>
      <c r="G183" s="13"/>
      <c r="H183" s="8"/>
      <c r="I183" s="14"/>
      <c r="J183" s="15"/>
      <c r="K183" s="16"/>
      <c r="L183" s="8"/>
      <c r="M183" s="15"/>
      <c r="N183" s="8"/>
      <c r="O183" s="8"/>
      <c r="P183" s="17"/>
      <c r="Q183" s="18"/>
      <c r="R183" s="8"/>
      <c r="S183" s="8"/>
    </row>
    <row r="184" customFormat="1" customHeight="1" spans="1:19">
      <c r="A184" s="8"/>
      <c r="B184" s="9"/>
      <c r="C184" s="10"/>
      <c r="D184" s="10"/>
      <c r="E184" s="11"/>
      <c r="F184" s="12"/>
      <c r="G184" s="13"/>
      <c r="H184" s="8"/>
      <c r="I184" s="14"/>
      <c r="J184" s="15"/>
      <c r="K184" s="16"/>
      <c r="L184" s="8"/>
      <c r="M184" s="15"/>
      <c r="N184" s="8"/>
      <c r="O184" s="8"/>
      <c r="P184" s="17"/>
      <c r="Q184" s="18"/>
      <c r="R184" s="8"/>
      <c r="S184" s="8"/>
    </row>
    <row r="185" customFormat="1" customHeight="1" spans="1:19">
      <c r="A185" s="8"/>
      <c r="B185" s="9"/>
      <c r="C185" s="10"/>
      <c r="D185" s="10"/>
      <c r="E185" s="11"/>
      <c r="F185" s="12"/>
      <c r="G185" s="13"/>
      <c r="H185" s="8"/>
      <c r="I185" s="14"/>
      <c r="J185" s="15"/>
      <c r="K185" s="16"/>
      <c r="L185" s="8"/>
      <c r="M185" s="15"/>
      <c r="N185" s="8"/>
      <c r="O185" s="8"/>
      <c r="P185" s="17"/>
      <c r="Q185" s="18"/>
      <c r="R185" s="8"/>
      <c r="S185" s="8"/>
    </row>
    <row r="186" customFormat="1" customHeight="1" spans="1:19">
      <c r="A186" s="8"/>
      <c r="B186" s="9"/>
      <c r="C186" s="10"/>
      <c r="D186" s="10"/>
      <c r="E186" s="11"/>
      <c r="F186" s="12"/>
      <c r="G186" s="13"/>
      <c r="H186" s="8"/>
      <c r="I186" s="14"/>
      <c r="J186" s="15"/>
      <c r="K186" s="16"/>
      <c r="L186" s="8"/>
      <c r="M186" s="15"/>
      <c r="N186" s="8"/>
      <c r="O186" s="8"/>
      <c r="P186" s="17"/>
      <c r="Q186" s="18"/>
      <c r="R186" s="8"/>
      <c r="S186" s="8"/>
    </row>
    <row r="187" customFormat="1" customHeight="1" spans="1:19">
      <c r="A187" s="8"/>
      <c r="B187" s="9"/>
      <c r="C187" s="10"/>
      <c r="D187" s="10"/>
      <c r="E187" s="11"/>
      <c r="F187" s="12"/>
      <c r="G187" s="13"/>
      <c r="H187" s="8"/>
      <c r="I187" s="14"/>
      <c r="J187" s="15"/>
      <c r="K187" s="16"/>
      <c r="L187" s="8"/>
      <c r="M187" s="15"/>
      <c r="N187" s="8"/>
      <c r="O187" s="8"/>
      <c r="P187" s="17"/>
      <c r="Q187" s="18"/>
      <c r="R187" s="8"/>
      <c r="S187" s="8"/>
    </row>
    <row r="188" customFormat="1" customHeight="1" spans="1:19">
      <c r="A188" s="8"/>
      <c r="B188" s="9"/>
      <c r="C188" s="10"/>
      <c r="D188" s="10"/>
      <c r="E188" s="11"/>
      <c r="F188" s="12"/>
      <c r="G188" s="13"/>
      <c r="H188" s="8"/>
      <c r="I188" s="14"/>
      <c r="J188" s="15"/>
      <c r="K188" s="16"/>
      <c r="L188" s="8"/>
      <c r="M188" s="15"/>
      <c r="N188" s="8"/>
      <c r="O188" s="8"/>
      <c r="P188" s="17"/>
      <c r="Q188" s="18"/>
      <c r="R188" s="8"/>
      <c r="S188" s="8"/>
    </row>
    <row r="189" customFormat="1" customHeight="1" spans="1:19">
      <c r="A189" s="8"/>
      <c r="B189" s="9"/>
      <c r="C189" s="10"/>
      <c r="D189" s="10"/>
      <c r="E189" s="11"/>
      <c r="F189" s="12"/>
      <c r="G189" s="13"/>
      <c r="H189" s="8"/>
      <c r="I189" s="14"/>
      <c r="J189" s="15"/>
      <c r="K189" s="16"/>
      <c r="L189" s="8"/>
      <c r="M189" s="15"/>
      <c r="N189" s="8"/>
      <c r="O189" s="8"/>
      <c r="P189" s="17"/>
      <c r="Q189" s="18"/>
      <c r="R189" s="8"/>
      <c r="S189" s="8"/>
    </row>
    <row r="190" customFormat="1" customHeight="1" spans="1:19">
      <c r="A190" s="8"/>
      <c r="B190" s="9"/>
      <c r="C190" s="10"/>
      <c r="D190" s="10"/>
      <c r="E190" s="11"/>
      <c r="F190" s="12"/>
      <c r="G190" s="13"/>
      <c r="H190" s="8"/>
      <c r="I190" s="14"/>
      <c r="J190" s="15"/>
      <c r="K190" s="16"/>
      <c r="L190" s="8"/>
      <c r="M190" s="15"/>
      <c r="N190" s="8"/>
      <c r="O190" s="8"/>
      <c r="P190" s="17"/>
      <c r="Q190" s="18"/>
      <c r="R190" s="8"/>
      <c r="S190" s="8"/>
    </row>
    <row r="191" customFormat="1" customHeight="1" spans="1:19">
      <c r="A191" s="8"/>
      <c r="B191" s="9"/>
      <c r="C191" s="10"/>
      <c r="D191" s="10"/>
      <c r="E191" s="11"/>
      <c r="F191" s="12"/>
      <c r="G191" s="13"/>
      <c r="H191" s="8"/>
      <c r="I191" s="14"/>
      <c r="J191" s="15"/>
      <c r="K191" s="16"/>
      <c r="L191" s="8"/>
      <c r="M191" s="15"/>
      <c r="N191" s="8"/>
      <c r="O191" s="8"/>
      <c r="P191" s="17"/>
      <c r="Q191" s="18"/>
      <c r="R191" s="8"/>
      <c r="S191" s="8"/>
    </row>
    <row r="192" customFormat="1" customHeight="1" spans="1:19">
      <c r="A192" s="8"/>
      <c r="B192" s="9"/>
      <c r="C192" s="10"/>
      <c r="D192" s="10"/>
      <c r="E192" s="11"/>
      <c r="F192" s="12"/>
      <c r="G192" s="13"/>
      <c r="H192" s="8"/>
      <c r="I192" s="14"/>
      <c r="J192" s="15"/>
      <c r="K192" s="16"/>
      <c r="L192" s="8"/>
      <c r="M192" s="15"/>
      <c r="N192" s="8"/>
      <c r="O192" s="8"/>
      <c r="P192" s="17"/>
      <c r="Q192" s="18"/>
      <c r="R192" s="8"/>
      <c r="S192" s="8"/>
    </row>
    <row r="193" customFormat="1" customHeight="1" spans="1:19">
      <c r="A193" s="8"/>
      <c r="B193" s="9"/>
      <c r="C193" s="10"/>
      <c r="D193" s="10"/>
      <c r="E193" s="11"/>
      <c r="F193" s="12"/>
      <c r="G193" s="13"/>
      <c r="H193" s="8"/>
      <c r="I193" s="14"/>
      <c r="J193" s="15"/>
      <c r="K193" s="16"/>
      <c r="L193" s="8"/>
      <c r="M193" s="15"/>
      <c r="N193" s="8"/>
      <c r="O193" s="8"/>
      <c r="P193" s="17"/>
      <c r="Q193" s="18"/>
      <c r="R193" s="8"/>
      <c r="S193" s="8"/>
    </row>
    <row r="194" customFormat="1" customHeight="1" spans="1:19">
      <c r="A194" s="8"/>
      <c r="B194" s="9"/>
      <c r="C194" s="10"/>
      <c r="D194" s="10"/>
      <c r="E194" s="11"/>
      <c r="F194" s="12"/>
      <c r="G194" s="13"/>
      <c r="H194" s="8"/>
      <c r="I194" s="14"/>
      <c r="J194" s="15"/>
      <c r="K194" s="16"/>
      <c r="L194" s="8"/>
      <c r="M194" s="15"/>
      <c r="N194" s="8"/>
      <c r="O194" s="8"/>
      <c r="P194" s="17"/>
      <c r="Q194" s="18"/>
      <c r="R194" s="8"/>
      <c r="S194" s="8"/>
    </row>
    <row r="195" customFormat="1" customHeight="1" spans="1:19">
      <c r="A195" s="8"/>
      <c r="B195" s="9"/>
      <c r="C195" s="10"/>
      <c r="D195" s="10"/>
      <c r="E195" s="11"/>
      <c r="F195" s="12"/>
      <c r="G195" s="13"/>
      <c r="H195" s="8"/>
      <c r="I195" s="14"/>
      <c r="J195" s="15"/>
      <c r="K195" s="16"/>
      <c r="L195" s="8"/>
      <c r="M195" s="15"/>
      <c r="N195" s="8"/>
      <c r="O195" s="8"/>
      <c r="P195" s="17"/>
      <c r="Q195" s="18"/>
      <c r="R195" s="8"/>
      <c r="S195" s="8"/>
    </row>
    <row r="196" customFormat="1" customHeight="1" spans="1:19">
      <c r="A196" s="8"/>
      <c r="B196" s="9"/>
      <c r="C196" s="10"/>
      <c r="D196" s="10"/>
      <c r="E196" s="11"/>
      <c r="F196" s="12"/>
      <c r="G196" s="13"/>
      <c r="H196" s="8"/>
      <c r="I196" s="14"/>
      <c r="J196" s="15"/>
      <c r="K196" s="16"/>
      <c r="L196" s="8"/>
      <c r="M196" s="15"/>
      <c r="N196" s="8"/>
      <c r="O196" s="8"/>
      <c r="P196" s="17"/>
      <c r="Q196" s="18"/>
      <c r="R196" s="8"/>
      <c r="S196" s="8"/>
    </row>
    <row r="197" customFormat="1" customHeight="1" spans="1:19">
      <c r="A197" s="8"/>
      <c r="B197" s="9"/>
      <c r="C197" s="10"/>
      <c r="D197" s="10"/>
      <c r="E197" s="11"/>
      <c r="F197" s="12"/>
      <c r="G197" s="13"/>
      <c r="H197" s="8"/>
      <c r="I197" s="14"/>
      <c r="J197" s="15"/>
      <c r="K197" s="16"/>
      <c r="L197" s="8"/>
      <c r="M197" s="15"/>
      <c r="N197" s="8"/>
      <c r="O197" s="8"/>
      <c r="P197" s="17"/>
      <c r="Q197" s="18"/>
      <c r="R197" s="8"/>
      <c r="S197" s="8"/>
    </row>
    <row r="198" customFormat="1" customHeight="1" spans="1:19">
      <c r="A198" s="8"/>
      <c r="B198" s="9"/>
      <c r="C198" s="10"/>
      <c r="D198" s="10"/>
      <c r="E198" s="11"/>
      <c r="F198" s="12"/>
      <c r="G198" s="13"/>
      <c r="H198" s="8"/>
      <c r="I198" s="14"/>
      <c r="J198" s="15"/>
      <c r="K198" s="16"/>
      <c r="L198" s="8"/>
      <c r="M198" s="15"/>
      <c r="N198" s="8"/>
      <c r="O198" s="8"/>
      <c r="P198" s="17"/>
      <c r="Q198" s="18"/>
      <c r="R198" s="8"/>
      <c r="S198" s="8"/>
    </row>
    <row r="199" customFormat="1" customHeight="1" spans="1:19">
      <c r="A199" s="8"/>
      <c r="B199" s="9"/>
      <c r="C199" s="10"/>
      <c r="D199" s="10"/>
      <c r="E199" s="11"/>
      <c r="F199" s="12"/>
      <c r="G199" s="13"/>
      <c r="H199" s="8"/>
      <c r="I199" s="14"/>
      <c r="J199" s="15"/>
      <c r="K199" s="16"/>
      <c r="L199" s="8"/>
      <c r="M199" s="15"/>
      <c r="N199" s="8"/>
      <c r="O199" s="8"/>
      <c r="P199" s="17"/>
      <c r="Q199" s="18"/>
      <c r="R199" s="8"/>
      <c r="S199" s="8"/>
    </row>
    <row r="200" customFormat="1" customHeight="1" spans="1:19">
      <c r="A200" s="8"/>
      <c r="B200" s="9"/>
      <c r="C200" s="10"/>
      <c r="D200" s="10"/>
      <c r="E200" s="11"/>
      <c r="F200" s="12"/>
      <c r="G200" s="13"/>
      <c r="H200" s="8"/>
      <c r="I200" s="14"/>
      <c r="J200" s="15"/>
      <c r="K200" s="16"/>
      <c r="L200" s="8"/>
      <c r="M200" s="15"/>
      <c r="N200" s="8"/>
      <c r="O200" s="8"/>
      <c r="P200" s="17"/>
      <c r="Q200" s="18"/>
      <c r="R200" s="8"/>
      <c r="S200" s="8"/>
    </row>
    <row r="201" customFormat="1" customHeight="1" spans="1:19">
      <c r="A201" s="8"/>
      <c r="B201" s="9"/>
      <c r="C201" s="10"/>
      <c r="D201" s="10"/>
      <c r="E201" s="11"/>
      <c r="F201" s="12"/>
      <c r="G201" s="13"/>
      <c r="H201" s="8"/>
      <c r="I201" s="14"/>
      <c r="J201" s="15"/>
      <c r="K201" s="16"/>
      <c r="L201" s="8"/>
      <c r="M201" s="15"/>
      <c r="N201" s="8"/>
      <c r="O201" s="8"/>
      <c r="P201" s="17"/>
      <c r="Q201" s="18"/>
      <c r="R201" s="8"/>
      <c r="S201" s="8"/>
    </row>
    <row r="202" customFormat="1" customHeight="1" spans="1:19">
      <c r="A202" s="8"/>
      <c r="B202" s="9"/>
      <c r="C202" s="10"/>
      <c r="D202" s="10"/>
      <c r="E202" s="11"/>
      <c r="F202" s="12"/>
      <c r="G202" s="13"/>
      <c r="H202" s="8"/>
      <c r="I202" s="14"/>
      <c r="J202" s="15"/>
      <c r="K202" s="16"/>
      <c r="L202" s="8"/>
      <c r="M202" s="15"/>
      <c r="N202" s="8"/>
      <c r="O202" s="8"/>
      <c r="P202" s="17"/>
      <c r="Q202" s="18"/>
      <c r="R202" s="8"/>
      <c r="S202" s="8"/>
    </row>
    <row r="203" customFormat="1" customHeight="1" spans="1:19">
      <c r="A203" s="8"/>
      <c r="B203" s="9"/>
      <c r="C203" s="10"/>
      <c r="D203" s="10"/>
      <c r="E203" s="11"/>
      <c r="F203" s="12"/>
      <c r="G203" s="13"/>
      <c r="H203" s="8"/>
      <c r="I203" s="14"/>
      <c r="J203" s="15"/>
      <c r="K203" s="16"/>
      <c r="L203" s="8"/>
      <c r="M203" s="15"/>
      <c r="N203" s="8"/>
      <c r="O203" s="8"/>
      <c r="P203" s="17"/>
      <c r="Q203" s="18"/>
      <c r="R203" s="8"/>
      <c r="S203" s="8"/>
    </row>
    <row r="204" customFormat="1" customHeight="1" spans="1:19">
      <c r="A204" s="8"/>
      <c r="B204" s="9"/>
      <c r="C204" s="10"/>
      <c r="D204" s="10"/>
      <c r="E204" s="11"/>
      <c r="F204" s="12"/>
      <c r="G204" s="13"/>
      <c r="H204" s="8"/>
      <c r="I204" s="14"/>
      <c r="J204" s="15"/>
      <c r="K204" s="16"/>
      <c r="L204" s="8"/>
      <c r="M204" s="15"/>
      <c r="N204" s="8"/>
      <c r="O204" s="8"/>
      <c r="P204" s="17"/>
      <c r="Q204" s="18"/>
      <c r="R204" s="8"/>
      <c r="S204" s="8"/>
    </row>
    <row r="205" customFormat="1" customHeight="1" spans="1:19">
      <c r="A205" s="8"/>
      <c r="B205" s="9"/>
      <c r="C205" s="10"/>
      <c r="D205" s="10"/>
      <c r="E205" s="11"/>
      <c r="F205" s="12"/>
      <c r="G205" s="13"/>
      <c r="H205" s="8"/>
      <c r="I205" s="14"/>
      <c r="J205" s="15"/>
      <c r="K205" s="16"/>
      <c r="L205" s="8"/>
      <c r="M205" s="15"/>
      <c r="N205" s="8"/>
      <c r="O205" s="8"/>
      <c r="P205" s="17"/>
      <c r="Q205" s="18"/>
      <c r="R205" s="8"/>
      <c r="S205" s="8"/>
    </row>
    <row r="206" customFormat="1" customHeight="1" spans="1:19">
      <c r="A206" s="8"/>
      <c r="B206" s="9"/>
      <c r="C206" s="10"/>
      <c r="D206" s="10"/>
      <c r="E206" s="11"/>
      <c r="F206" s="12"/>
      <c r="G206" s="13"/>
      <c r="H206" s="8"/>
      <c r="I206" s="14"/>
      <c r="J206" s="15"/>
      <c r="K206" s="16"/>
      <c r="L206" s="8"/>
      <c r="M206" s="15"/>
      <c r="N206" s="8"/>
      <c r="O206" s="8"/>
      <c r="P206" s="17"/>
      <c r="Q206" s="18"/>
      <c r="R206" s="8"/>
      <c r="S206" s="8"/>
    </row>
    <row r="207" customFormat="1" customHeight="1" spans="1:19">
      <c r="A207" s="8"/>
      <c r="B207" s="9"/>
      <c r="C207" s="10"/>
      <c r="D207" s="10"/>
      <c r="E207" s="11"/>
      <c r="F207" s="12"/>
      <c r="G207" s="13"/>
      <c r="H207" s="8"/>
      <c r="I207" s="14"/>
      <c r="J207" s="15"/>
      <c r="K207" s="16"/>
      <c r="L207" s="8"/>
      <c r="M207" s="15"/>
      <c r="N207" s="8"/>
      <c r="O207" s="8"/>
      <c r="P207" s="17"/>
      <c r="Q207" s="18"/>
      <c r="R207" s="8"/>
      <c r="S207" s="8"/>
    </row>
    <row r="208" customFormat="1" customHeight="1" spans="1:19">
      <c r="A208" s="8"/>
      <c r="B208" s="9"/>
      <c r="C208" s="10"/>
      <c r="D208" s="10"/>
      <c r="E208" s="11"/>
      <c r="F208" s="12"/>
      <c r="G208" s="13"/>
      <c r="H208" s="8"/>
      <c r="I208" s="14"/>
      <c r="J208" s="15"/>
      <c r="K208" s="16"/>
      <c r="L208" s="8"/>
      <c r="M208" s="15"/>
      <c r="N208" s="8"/>
      <c r="O208" s="8"/>
      <c r="P208" s="17"/>
      <c r="Q208" s="18"/>
      <c r="R208" s="8"/>
      <c r="S208" s="8"/>
    </row>
    <row r="209" customFormat="1" customHeight="1" spans="1:19">
      <c r="A209" s="8"/>
      <c r="B209" s="9"/>
      <c r="C209" s="10"/>
      <c r="D209" s="10"/>
      <c r="E209" s="11"/>
      <c r="F209" s="12"/>
      <c r="G209" s="13"/>
      <c r="H209" s="8"/>
      <c r="I209" s="14"/>
      <c r="J209" s="15"/>
      <c r="K209" s="16"/>
      <c r="L209" s="8"/>
      <c r="M209" s="15"/>
      <c r="N209" s="8"/>
      <c r="O209" s="8"/>
      <c r="P209" s="17"/>
      <c r="Q209" s="18"/>
      <c r="R209" s="8"/>
      <c r="S209" s="8"/>
    </row>
    <row r="210" customFormat="1" customHeight="1" spans="1:19">
      <c r="A210" s="8"/>
      <c r="B210" s="9"/>
      <c r="C210" s="10"/>
      <c r="D210" s="10"/>
      <c r="E210" s="11"/>
      <c r="F210" s="12"/>
      <c r="G210" s="13"/>
      <c r="H210" s="8"/>
      <c r="I210" s="14"/>
      <c r="J210" s="15"/>
      <c r="K210" s="16"/>
      <c r="L210" s="8"/>
      <c r="M210" s="15"/>
      <c r="N210" s="8"/>
      <c r="O210" s="8"/>
      <c r="P210" s="17"/>
      <c r="Q210" s="18"/>
      <c r="R210" s="8"/>
      <c r="S210" s="8"/>
    </row>
    <row r="211" customFormat="1" customHeight="1" spans="1:19">
      <c r="A211" s="8"/>
      <c r="B211" s="9"/>
      <c r="C211" s="10"/>
      <c r="D211" s="10"/>
      <c r="E211" s="11"/>
      <c r="F211" s="12"/>
      <c r="G211" s="13"/>
      <c r="H211" s="8"/>
      <c r="I211" s="14"/>
      <c r="J211" s="15"/>
      <c r="K211" s="16"/>
      <c r="L211" s="8"/>
      <c r="M211" s="15"/>
      <c r="N211" s="8"/>
      <c r="O211" s="8"/>
      <c r="P211" s="17"/>
      <c r="Q211" s="18"/>
      <c r="R211" s="8"/>
      <c r="S211" s="8"/>
    </row>
    <row r="212" customFormat="1" customHeight="1" spans="1:19">
      <c r="A212" s="8"/>
      <c r="B212" s="9"/>
      <c r="C212" s="10"/>
      <c r="D212" s="10"/>
      <c r="E212" s="11"/>
      <c r="F212" s="12"/>
      <c r="G212" s="13"/>
      <c r="H212" s="8"/>
      <c r="I212" s="14"/>
      <c r="J212" s="15"/>
      <c r="K212" s="16"/>
      <c r="L212" s="8"/>
      <c r="M212" s="15"/>
      <c r="N212" s="8"/>
      <c r="O212" s="8"/>
      <c r="P212" s="17"/>
      <c r="Q212" s="18"/>
      <c r="R212" s="8"/>
      <c r="S212" s="8"/>
    </row>
    <row r="213" customFormat="1" customHeight="1" spans="1:19">
      <c r="A213" s="8"/>
      <c r="B213" s="9"/>
      <c r="C213" s="10"/>
      <c r="D213" s="10"/>
      <c r="E213" s="11"/>
      <c r="F213" s="12"/>
      <c r="G213" s="13"/>
      <c r="H213" s="8"/>
      <c r="I213" s="14"/>
      <c r="J213" s="15"/>
      <c r="K213" s="16"/>
      <c r="L213" s="8"/>
      <c r="M213" s="15"/>
      <c r="N213" s="8"/>
      <c r="O213" s="8"/>
      <c r="P213" s="17"/>
      <c r="Q213" s="18"/>
      <c r="R213" s="8"/>
      <c r="S213" s="8"/>
    </row>
    <row r="214" customFormat="1" customHeight="1" spans="1:19">
      <c r="A214" s="8"/>
      <c r="B214" s="9"/>
      <c r="C214" s="10"/>
      <c r="D214" s="10"/>
      <c r="E214" s="11"/>
      <c r="F214" s="12"/>
      <c r="G214" s="13"/>
      <c r="H214" s="8"/>
      <c r="I214" s="14"/>
      <c r="J214" s="15"/>
      <c r="K214" s="16"/>
      <c r="L214" s="8"/>
      <c r="M214" s="15"/>
      <c r="N214" s="8"/>
      <c r="O214" s="8"/>
      <c r="P214" s="17"/>
      <c r="Q214" s="18"/>
      <c r="R214" s="8"/>
      <c r="S214" s="8"/>
    </row>
    <row r="215" customFormat="1" customHeight="1" spans="1:19">
      <c r="A215" s="8"/>
      <c r="B215" s="9"/>
      <c r="C215" s="10"/>
      <c r="D215" s="10"/>
      <c r="E215" s="11"/>
      <c r="F215" s="12"/>
      <c r="G215" s="13"/>
      <c r="H215" s="8"/>
      <c r="I215" s="14"/>
      <c r="J215" s="15"/>
      <c r="K215" s="16"/>
      <c r="L215" s="8"/>
      <c r="M215" s="15"/>
      <c r="N215" s="8"/>
      <c r="O215" s="8"/>
      <c r="P215" s="17"/>
      <c r="Q215" s="18"/>
      <c r="R215" s="8"/>
      <c r="S215" s="8"/>
    </row>
    <row r="216" customFormat="1" customHeight="1" spans="1:19">
      <c r="A216" s="8"/>
      <c r="B216" s="9"/>
      <c r="C216" s="10"/>
      <c r="D216" s="10"/>
      <c r="E216" s="11"/>
      <c r="F216" s="12"/>
      <c r="G216" s="13"/>
      <c r="H216" s="8"/>
      <c r="I216" s="14"/>
      <c r="J216" s="15"/>
      <c r="K216" s="16"/>
      <c r="L216" s="8"/>
      <c r="M216" s="15"/>
      <c r="N216" s="8"/>
      <c r="O216" s="8"/>
      <c r="P216" s="17"/>
      <c r="Q216" s="18"/>
      <c r="R216" s="8"/>
      <c r="S216" s="8"/>
    </row>
    <row r="217" customFormat="1" customHeight="1" spans="1:19">
      <c r="A217" s="8"/>
      <c r="B217" s="9"/>
      <c r="C217" s="10"/>
      <c r="D217" s="10"/>
      <c r="E217" s="11"/>
      <c r="F217" s="12"/>
      <c r="G217" s="13"/>
      <c r="H217" s="8"/>
      <c r="I217" s="14"/>
      <c r="J217" s="15"/>
      <c r="K217" s="16"/>
      <c r="L217" s="8"/>
      <c r="M217" s="15"/>
      <c r="N217" s="8"/>
      <c r="O217" s="8"/>
      <c r="P217" s="17"/>
      <c r="Q217" s="18"/>
      <c r="R217" s="8"/>
      <c r="S217" s="8"/>
    </row>
    <row r="218" customFormat="1" customHeight="1" spans="1:19">
      <c r="A218" s="8"/>
      <c r="B218" s="9"/>
      <c r="C218" s="10"/>
      <c r="D218" s="10"/>
      <c r="E218" s="11"/>
      <c r="F218" s="12"/>
      <c r="G218" s="13"/>
      <c r="H218" s="8"/>
      <c r="I218" s="14"/>
      <c r="J218" s="15"/>
      <c r="K218" s="16"/>
      <c r="L218" s="8"/>
      <c r="M218" s="15"/>
      <c r="N218" s="8"/>
      <c r="O218" s="8"/>
      <c r="P218" s="17"/>
      <c r="Q218" s="18"/>
      <c r="R218" s="8"/>
      <c r="S218" s="8"/>
    </row>
    <row r="219" customFormat="1" customHeight="1" spans="1:19">
      <c r="A219" s="8"/>
      <c r="B219" s="9"/>
      <c r="C219" s="10"/>
      <c r="D219" s="10"/>
      <c r="E219" s="11"/>
      <c r="F219" s="12"/>
      <c r="G219" s="13"/>
      <c r="H219" s="8"/>
      <c r="I219" s="14"/>
      <c r="J219" s="15"/>
      <c r="K219" s="16"/>
      <c r="L219" s="8"/>
      <c r="M219" s="15"/>
      <c r="N219" s="8"/>
      <c r="O219" s="8"/>
      <c r="P219" s="17"/>
      <c r="Q219" s="18"/>
      <c r="R219" s="8"/>
      <c r="S219" s="8"/>
    </row>
    <row r="220" customFormat="1" customHeight="1" spans="1:19">
      <c r="A220" s="8"/>
      <c r="B220" s="9"/>
      <c r="C220" s="10"/>
      <c r="D220" s="10"/>
      <c r="E220" s="11"/>
      <c r="F220" s="12"/>
      <c r="G220" s="13"/>
      <c r="H220" s="8"/>
      <c r="I220" s="14"/>
      <c r="J220" s="15"/>
      <c r="K220" s="16"/>
      <c r="L220" s="8"/>
      <c r="M220" s="15"/>
      <c r="N220" s="8"/>
      <c r="O220" s="8"/>
      <c r="P220" s="17"/>
      <c r="Q220" s="18"/>
      <c r="R220" s="8"/>
      <c r="S220" s="8"/>
    </row>
    <row r="221" customFormat="1" customHeight="1" spans="1:19">
      <c r="A221" s="8"/>
      <c r="B221" s="9"/>
      <c r="C221" s="10"/>
      <c r="D221" s="10"/>
      <c r="E221" s="11"/>
      <c r="F221" s="12"/>
      <c r="G221" s="13"/>
      <c r="H221" s="8"/>
      <c r="I221" s="14"/>
      <c r="J221" s="15"/>
      <c r="K221" s="16"/>
      <c r="L221" s="8"/>
      <c r="M221" s="15"/>
      <c r="N221" s="8"/>
      <c r="O221" s="8"/>
      <c r="P221" s="17"/>
      <c r="Q221" s="18"/>
      <c r="R221" s="8"/>
      <c r="S221" s="8"/>
    </row>
    <row r="222" customFormat="1" customHeight="1" spans="1:19">
      <c r="A222" s="8"/>
      <c r="B222" s="9"/>
      <c r="C222" s="10"/>
      <c r="D222" s="10"/>
      <c r="E222" s="11"/>
      <c r="F222" s="12"/>
      <c r="G222" s="13"/>
      <c r="H222" s="8"/>
      <c r="I222" s="14"/>
      <c r="J222" s="15"/>
      <c r="K222" s="16"/>
      <c r="L222" s="8"/>
      <c r="M222" s="15"/>
      <c r="N222" s="8"/>
      <c r="O222" s="8"/>
      <c r="P222" s="17"/>
      <c r="Q222" s="18"/>
      <c r="R222" s="8"/>
      <c r="S222" s="8"/>
    </row>
    <row r="223" customFormat="1" customHeight="1" spans="1:19">
      <c r="A223" s="8"/>
      <c r="B223" s="9"/>
      <c r="C223" s="10"/>
      <c r="D223" s="10"/>
      <c r="E223" s="11"/>
      <c r="F223" s="12"/>
      <c r="G223" s="13"/>
      <c r="H223" s="8"/>
      <c r="I223" s="14"/>
      <c r="J223" s="15"/>
      <c r="K223" s="16"/>
      <c r="L223" s="8"/>
      <c r="M223" s="15"/>
      <c r="N223" s="8"/>
      <c r="O223" s="8"/>
      <c r="P223" s="17"/>
      <c r="Q223" s="18"/>
      <c r="R223" s="8"/>
      <c r="S223" s="8"/>
    </row>
    <row r="224" customFormat="1" customHeight="1" spans="1:19">
      <c r="A224" s="8"/>
      <c r="B224" s="9"/>
      <c r="C224" s="10"/>
      <c r="D224" s="10"/>
      <c r="E224" s="11"/>
      <c r="F224" s="12"/>
      <c r="G224" s="13"/>
      <c r="H224" s="8"/>
      <c r="I224" s="14"/>
      <c r="J224" s="15"/>
      <c r="K224" s="16"/>
      <c r="L224" s="8"/>
      <c r="M224" s="15"/>
      <c r="N224" s="8"/>
      <c r="O224" s="8"/>
      <c r="P224" s="17"/>
      <c r="Q224" s="18"/>
      <c r="R224" s="8"/>
      <c r="S224" s="8"/>
    </row>
    <row r="225" customFormat="1" customHeight="1" spans="1:19">
      <c r="A225" s="8"/>
      <c r="B225" s="9"/>
      <c r="C225" s="10"/>
      <c r="D225" s="10"/>
      <c r="E225" s="11"/>
      <c r="F225" s="12"/>
      <c r="G225" s="13"/>
      <c r="H225" s="8"/>
      <c r="I225" s="14"/>
      <c r="J225" s="15"/>
      <c r="K225" s="16"/>
      <c r="L225" s="8"/>
      <c r="M225" s="15"/>
      <c r="N225" s="8"/>
      <c r="O225" s="8"/>
      <c r="P225" s="17"/>
      <c r="Q225" s="18"/>
      <c r="R225" s="8"/>
      <c r="S225" s="8"/>
    </row>
    <row r="226" customFormat="1" customHeight="1" spans="1:19">
      <c r="A226" s="8"/>
      <c r="B226" s="9"/>
      <c r="C226" s="10"/>
      <c r="D226" s="10"/>
      <c r="E226" s="11"/>
      <c r="F226" s="12"/>
      <c r="G226" s="13"/>
      <c r="H226" s="8"/>
      <c r="I226" s="14"/>
      <c r="J226" s="15"/>
      <c r="K226" s="16"/>
      <c r="L226" s="8"/>
      <c r="M226" s="15"/>
      <c r="N226" s="8"/>
      <c r="O226" s="8"/>
      <c r="P226" s="17"/>
      <c r="Q226" s="18"/>
      <c r="R226" s="8"/>
      <c r="S226" s="8"/>
    </row>
    <row r="227" customFormat="1" customHeight="1" spans="1:19">
      <c r="A227" s="8"/>
      <c r="B227" s="9"/>
      <c r="C227" s="10"/>
      <c r="D227" s="10"/>
      <c r="E227" s="11"/>
      <c r="F227" s="12"/>
      <c r="G227" s="13"/>
      <c r="H227" s="8"/>
      <c r="I227" s="14"/>
      <c r="J227" s="15"/>
      <c r="K227" s="16"/>
      <c r="L227" s="8"/>
      <c r="M227" s="15"/>
      <c r="N227" s="8"/>
      <c r="O227" s="8"/>
      <c r="P227" s="17"/>
      <c r="Q227" s="18"/>
      <c r="R227" s="8"/>
      <c r="S227" s="8"/>
    </row>
    <row r="228" customFormat="1" customHeight="1" spans="1:19">
      <c r="A228" s="8"/>
      <c r="B228" s="9"/>
      <c r="C228" s="10"/>
      <c r="D228" s="10"/>
      <c r="E228" s="11"/>
      <c r="F228" s="12"/>
      <c r="G228" s="13"/>
      <c r="H228" s="8"/>
      <c r="I228" s="14"/>
      <c r="J228" s="15"/>
      <c r="K228" s="16"/>
      <c r="L228" s="8"/>
      <c r="M228" s="15"/>
      <c r="N228" s="8"/>
      <c r="O228" s="8"/>
      <c r="P228" s="17"/>
      <c r="Q228" s="18"/>
      <c r="R228" s="8"/>
      <c r="S228" s="8"/>
    </row>
    <row r="229" customFormat="1" customHeight="1" spans="1:19">
      <c r="A229" s="8"/>
      <c r="B229" s="9"/>
      <c r="C229" s="10"/>
      <c r="D229" s="10"/>
      <c r="E229" s="11"/>
      <c r="F229" s="12"/>
      <c r="G229" s="13"/>
      <c r="H229" s="8"/>
      <c r="I229" s="14"/>
      <c r="J229" s="15"/>
      <c r="K229" s="16"/>
      <c r="L229" s="8"/>
      <c r="M229" s="15"/>
      <c r="N229" s="8"/>
      <c r="O229" s="8"/>
      <c r="P229" s="17"/>
      <c r="Q229" s="18"/>
      <c r="R229" s="8"/>
      <c r="S229" s="8"/>
    </row>
    <row r="230" customFormat="1" customHeight="1" spans="1:19">
      <c r="A230" s="8"/>
      <c r="B230" s="9"/>
      <c r="C230" s="10"/>
      <c r="D230" s="10"/>
      <c r="E230" s="11"/>
      <c r="F230" s="12"/>
      <c r="G230" s="13"/>
      <c r="H230" s="8"/>
      <c r="I230" s="14"/>
      <c r="J230" s="15"/>
      <c r="K230" s="16"/>
      <c r="L230" s="8"/>
      <c r="M230" s="15"/>
      <c r="N230" s="8"/>
      <c r="O230" s="8"/>
      <c r="P230" s="17"/>
      <c r="Q230" s="18"/>
      <c r="R230" s="8"/>
      <c r="S230" s="8"/>
    </row>
    <row r="231" customFormat="1" customHeight="1" spans="1:19">
      <c r="A231" s="8"/>
      <c r="B231" s="9"/>
      <c r="C231" s="10"/>
      <c r="D231" s="10"/>
      <c r="E231" s="11"/>
      <c r="F231" s="12"/>
      <c r="G231" s="13"/>
      <c r="H231" s="8"/>
      <c r="I231" s="14"/>
      <c r="J231" s="15"/>
      <c r="K231" s="16"/>
      <c r="L231" s="8"/>
      <c r="M231" s="15"/>
      <c r="N231" s="8"/>
      <c r="O231" s="8"/>
      <c r="P231" s="17"/>
      <c r="Q231" s="18"/>
      <c r="R231" s="8"/>
      <c r="S231" s="8"/>
    </row>
    <row r="232" customFormat="1" customHeight="1" spans="1:19">
      <c r="A232" s="8"/>
      <c r="B232" s="9"/>
      <c r="C232" s="10"/>
      <c r="D232" s="10"/>
      <c r="E232" s="11"/>
      <c r="F232" s="12"/>
      <c r="G232" s="13"/>
      <c r="H232" s="8"/>
      <c r="I232" s="14"/>
      <c r="J232" s="15"/>
      <c r="K232" s="16"/>
      <c r="L232" s="8"/>
      <c r="M232" s="15"/>
      <c r="N232" s="8"/>
      <c r="O232" s="8"/>
      <c r="P232" s="17"/>
      <c r="Q232" s="18"/>
      <c r="R232" s="8"/>
      <c r="S232" s="8"/>
    </row>
    <row r="233" customFormat="1" customHeight="1" spans="1:19">
      <c r="A233" s="8"/>
      <c r="B233" s="9"/>
      <c r="C233" s="10"/>
      <c r="D233" s="10"/>
      <c r="E233" s="11"/>
      <c r="F233" s="12"/>
      <c r="G233" s="13"/>
      <c r="H233" s="8"/>
      <c r="I233" s="14"/>
      <c r="J233" s="15"/>
      <c r="K233" s="16"/>
      <c r="L233" s="8"/>
      <c r="M233" s="15"/>
      <c r="N233" s="8"/>
      <c r="O233" s="8"/>
      <c r="P233" s="17"/>
      <c r="Q233" s="18"/>
      <c r="R233" s="8"/>
      <c r="S233" s="8"/>
    </row>
    <row r="234" customFormat="1" customHeight="1" spans="1:19">
      <c r="A234" s="8"/>
      <c r="B234" s="9"/>
      <c r="C234" s="10"/>
      <c r="D234" s="10"/>
      <c r="E234" s="11"/>
      <c r="F234" s="12"/>
      <c r="G234" s="13"/>
      <c r="H234" s="8"/>
      <c r="I234" s="14"/>
      <c r="J234" s="15"/>
      <c r="K234" s="16"/>
      <c r="L234" s="8"/>
      <c r="M234" s="15"/>
      <c r="N234" s="8"/>
      <c r="O234" s="8"/>
      <c r="P234" s="17"/>
      <c r="Q234" s="18"/>
      <c r="R234" s="8"/>
      <c r="S234" s="8"/>
    </row>
    <row r="235" customFormat="1" customHeight="1" spans="1:19">
      <c r="A235" s="8"/>
      <c r="B235" s="9"/>
      <c r="C235" s="10"/>
      <c r="D235" s="10"/>
      <c r="E235" s="11"/>
      <c r="F235" s="12"/>
      <c r="G235" s="13"/>
      <c r="H235" s="8"/>
      <c r="I235" s="14"/>
      <c r="J235" s="15"/>
      <c r="K235" s="16"/>
      <c r="L235" s="8"/>
      <c r="M235" s="15"/>
      <c r="N235" s="8"/>
      <c r="O235" s="8"/>
      <c r="P235" s="17"/>
      <c r="Q235" s="18"/>
      <c r="R235" s="8"/>
      <c r="S235" s="8"/>
    </row>
    <row r="236" customFormat="1" customHeight="1" spans="1:19">
      <c r="A236" s="8"/>
      <c r="B236" s="9"/>
      <c r="C236" s="10"/>
      <c r="D236" s="10"/>
      <c r="E236" s="11"/>
      <c r="F236" s="12"/>
      <c r="G236" s="13"/>
      <c r="H236" s="8"/>
      <c r="I236" s="14"/>
      <c r="J236" s="15"/>
      <c r="K236" s="16"/>
      <c r="L236" s="8"/>
      <c r="M236" s="15"/>
      <c r="N236" s="8"/>
      <c r="O236" s="8"/>
      <c r="P236" s="17"/>
      <c r="Q236" s="18"/>
      <c r="R236" s="8"/>
      <c r="S236" s="8"/>
    </row>
    <row r="237" customFormat="1" customHeight="1" spans="1:19">
      <c r="A237" s="8"/>
      <c r="B237" s="9"/>
      <c r="C237" s="10"/>
      <c r="D237" s="10"/>
      <c r="E237" s="11"/>
      <c r="F237" s="12"/>
      <c r="G237" s="13"/>
      <c r="H237" s="8"/>
      <c r="I237" s="14"/>
      <c r="J237" s="15"/>
      <c r="K237" s="16"/>
      <c r="L237" s="8"/>
      <c r="M237" s="15"/>
      <c r="N237" s="8"/>
      <c r="O237" s="8"/>
      <c r="P237" s="17"/>
      <c r="Q237" s="18"/>
      <c r="R237" s="8"/>
      <c r="S237" s="8"/>
    </row>
    <row r="238" customFormat="1" customHeight="1" spans="1:19">
      <c r="A238" s="8"/>
      <c r="B238" s="9"/>
      <c r="C238" s="10"/>
      <c r="D238" s="10"/>
      <c r="E238" s="11"/>
      <c r="F238" s="12"/>
      <c r="G238" s="13"/>
      <c r="H238" s="8"/>
      <c r="I238" s="14"/>
      <c r="J238" s="15"/>
      <c r="K238" s="16"/>
      <c r="L238" s="8"/>
      <c r="M238" s="15"/>
      <c r="N238" s="8"/>
      <c r="O238" s="8"/>
      <c r="P238" s="17"/>
      <c r="Q238" s="18"/>
      <c r="R238" s="8"/>
      <c r="S238" s="8"/>
    </row>
    <row r="239" customFormat="1" customHeight="1" spans="1:19">
      <c r="A239" s="8"/>
      <c r="B239" s="9"/>
      <c r="C239" s="10"/>
      <c r="D239" s="10"/>
      <c r="E239" s="11"/>
      <c r="F239" s="12"/>
      <c r="G239" s="13"/>
      <c r="H239" s="8"/>
      <c r="I239" s="14"/>
      <c r="J239" s="15"/>
      <c r="K239" s="16"/>
      <c r="L239" s="8"/>
      <c r="M239" s="15"/>
      <c r="N239" s="8"/>
      <c r="O239" s="8"/>
      <c r="P239" s="17"/>
      <c r="Q239" s="18"/>
      <c r="R239" s="8"/>
      <c r="S239" s="8"/>
    </row>
    <row r="240" customFormat="1" customHeight="1" spans="1:19">
      <c r="A240" s="8"/>
      <c r="B240" s="9"/>
      <c r="C240" s="10"/>
      <c r="D240" s="10"/>
      <c r="E240" s="11"/>
      <c r="F240" s="12"/>
      <c r="G240" s="13"/>
      <c r="H240" s="8"/>
      <c r="I240" s="14"/>
      <c r="J240" s="15"/>
      <c r="K240" s="16"/>
      <c r="L240" s="8"/>
      <c r="M240" s="15"/>
      <c r="N240" s="8"/>
      <c r="O240" s="8"/>
      <c r="P240" s="17"/>
      <c r="Q240" s="18"/>
      <c r="R240" s="8"/>
      <c r="S240" s="8"/>
    </row>
    <row r="241" customFormat="1" customHeight="1" spans="1:19">
      <c r="A241" s="8"/>
      <c r="B241" s="9"/>
      <c r="C241" s="10"/>
      <c r="D241" s="10"/>
      <c r="E241" s="11"/>
      <c r="F241" s="12"/>
      <c r="G241" s="13"/>
      <c r="H241" s="8"/>
      <c r="I241" s="14"/>
      <c r="J241" s="15"/>
      <c r="K241" s="16"/>
      <c r="L241" s="8"/>
      <c r="M241" s="15"/>
      <c r="N241" s="8"/>
      <c r="O241" s="8"/>
      <c r="P241" s="17"/>
      <c r="Q241" s="18"/>
      <c r="R241" s="8"/>
      <c r="S241" s="8"/>
    </row>
    <row r="242" customFormat="1" customHeight="1" spans="1:19">
      <c r="A242" s="8"/>
      <c r="B242" s="9"/>
      <c r="C242" s="10"/>
      <c r="D242" s="10"/>
      <c r="E242" s="11"/>
      <c r="F242" s="12"/>
      <c r="G242" s="13"/>
      <c r="H242" s="8"/>
      <c r="I242" s="14"/>
      <c r="J242" s="15"/>
      <c r="K242" s="16"/>
      <c r="L242" s="8"/>
      <c r="M242" s="15"/>
      <c r="N242" s="8"/>
      <c r="O242" s="8"/>
      <c r="P242" s="17"/>
      <c r="Q242" s="18"/>
      <c r="R242" s="8"/>
      <c r="S242" s="8"/>
    </row>
    <row r="243" customFormat="1" customHeight="1" spans="1:19">
      <c r="A243" s="8"/>
      <c r="B243" s="9"/>
      <c r="C243" s="10"/>
      <c r="D243" s="10"/>
      <c r="E243" s="11"/>
      <c r="F243" s="12"/>
      <c r="G243" s="13"/>
      <c r="H243" s="8"/>
      <c r="I243" s="14"/>
      <c r="J243" s="15"/>
      <c r="K243" s="16"/>
      <c r="L243" s="8"/>
      <c r="M243" s="15"/>
      <c r="N243" s="8"/>
      <c r="O243" s="8"/>
      <c r="P243" s="17"/>
      <c r="Q243" s="18"/>
      <c r="R243" s="8"/>
      <c r="S243" s="8"/>
    </row>
    <row r="244" customFormat="1" customHeight="1" spans="1:19">
      <c r="A244" s="8"/>
      <c r="B244" s="9"/>
      <c r="C244" s="10"/>
      <c r="D244" s="10"/>
      <c r="E244" s="11"/>
      <c r="F244" s="12"/>
      <c r="G244" s="13"/>
      <c r="H244" s="8"/>
      <c r="I244" s="14"/>
      <c r="J244" s="15"/>
      <c r="K244" s="16"/>
      <c r="L244" s="8"/>
      <c r="M244" s="15"/>
      <c r="N244" s="8"/>
      <c r="O244" s="8"/>
      <c r="P244" s="17"/>
      <c r="Q244" s="18"/>
      <c r="R244" s="8"/>
      <c r="S244" s="8"/>
    </row>
    <row r="245" customFormat="1" customHeight="1" spans="1:19">
      <c r="A245" s="8"/>
      <c r="B245" s="9"/>
      <c r="C245" s="10"/>
      <c r="D245" s="10"/>
      <c r="E245" s="11"/>
      <c r="F245" s="12"/>
      <c r="G245" s="13"/>
      <c r="H245" s="8"/>
      <c r="I245" s="14"/>
      <c r="J245" s="15"/>
      <c r="K245" s="16"/>
      <c r="L245" s="8"/>
      <c r="M245" s="15"/>
      <c r="N245" s="8"/>
      <c r="O245" s="8"/>
      <c r="P245" s="17"/>
      <c r="Q245" s="18"/>
      <c r="R245" s="8"/>
      <c r="S245" s="8"/>
    </row>
    <row r="246" customFormat="1" customHeight="1" spans="1:19">
      <c r="A246" s="8"/>
      <c r="B246" s="9"/>
      <c r="C246" s="10"/>
      <c r="D246" s="10"/>
      <c r="E246" s="11"/>
      <c r="F246" s="12"/>
      <c r="G246" s="13"/>
      <c r="H246" s="8"/>
      <c r="I246" s="14"/>
      <c r="J246" s="15"/>
      <c r="K246" s="16"/>
      <c r="L246" s="8"/>
      <c r="M246" s="15"/>
      <c r="N246" s="8"/>
      <c r="O246" s="8"/>
      <c r="P246" s="17"/>
      <c r="Q246" s="18"/>
      <c r="R246" s="8"/>
      <c r="S246" s="8"/>
    </row>
    <row r="247" customFormat="1" customHeight="1" spans="1:19">
      <c r="A247" s="8"/>
      <c r="B247" s="9"/>
      <c r="C247" s="10"/>
      <c r="D247" s="10"/>
      <c r="E247" s="11"/>
      <c r="F247" s="12"/>
      <c r="G247" s="13"/>
      <c r="H247" s="8"/>
      <c r="I247" s="14"/>
      <c r="J247" s="15"/>
      <c r="K247" s="16"/>
      <c r="L247" s="8"/>
      <c r="M247" s="15"/>
      <c r="N247" s="8"/>
      <c r="O247" s="8"/>
      <c r="P247" s="17"/>
      <c r="Q247" s="18"/>
      <c r="R247" s="8"/>
      <c r="S247" s="8"/>
    </row>
    <row r="248" customFormat="1" customHeight="1" spans="1:19">
      <c r="A248" s="8"/>
      <c r="B248" s="9"/>
      <c r="C248" s="10"/>
      <c r="D248" s="10"/>
      <c r="E248" s="11"/>
      <c r="F248" s="12"/>
      <c r="G248" s="13"/>
      <c r="H248" s="8"/>
      <c r="I248" s="14"/>
      <c r="J248" s="15"/>
      <c r="K248" s="16"/>
      <c r="L248" s="8"/>
      <c r="M248" s="15"/>
      <c r="N248" s="8"/>
      <c r="O248" s="8"/>
      <c r="P248" s="17"/>
      <c r="Q248" s="18"/>
      <c r="R248" s="8"/>
      <c r="S248" s="8"/>
    </row>
    <row r="249" customFormat="1" customHeight="1" spans="1:19">
      <c r="A249" s="8"/>
      <c r="B249" s="9"/>
      <c r="C249" s="10"/>
      <c r="D249" s="10"/>
      <c r="E249" s="11"/>
      <c r="F249" s="12"/>
      <c r="G249" s="13"/>
      <c r="H249" s="8"/>
      <c r="I249" s="14"/>
      <c r="J249" s="15"/>
      <c r="K249" s="16"/>
      <c r="L249" s="8"/>
      <c r="M249" s="15"/>
      <c r="N249" s="8"/>
      <c r="O249" s="8"/>
      <c r="P249" s="17"/>
      <c r="Q249" s="18"/>
      <c r="R249" s="8"/>
      <c r="S249" s="8"/>
    </row>
    <row r="250" customFormat="1" customHeight="1" spans="1:19">
      <c r="A250" s="8"/>
      <c r="B250" s="9"/>
      <c r="C250" s="10"/>
      <c r="D250" s="10"/>
      <c r="E250" s="11"/>
      <c r="F250" s="12"/>
      <c r="G250" s="13"/>
      <c r="H250" s="8"/>
      <c r="I250" s="14"/>
      <c r="J250" s="15"/>
      <c r="K250" s="16"/>
      <c r="L250" s="8"/>
      <c r="M250" s="15"/>
      <c r="N250" s="8"/>
      <c r="O250" s="8"/>
      <c r="P250" s="17"/>
      <c r="Q250" s="18"/>
      <c r="R250" s="8"/>
      <c r="S250" s="8"/>
    </row>
    <row r="251" customFormat="1" customHeight="1" spans="1:19">
      <c r="A251" s="8"/>
      <c r="B251" s="9"/>
      <c r="C251" s="10"/>
      <c r="D251" s="10"/>
      <c r="E251" s="11"/>
      <c r="F251" s="12"/>
      <c r="G251" s="13"/>
      <c r="H251" s="8"/>
      <c r="I251" s="14"/>
      <c r="J251" s="15"/>
      <c r="K251" s="16"/>
      <c r="L251" s="8"/>
      <c r="M251" s="15"/>
      <c r="N251" s="8"/>
      <c r="O251" s="8"/>
      <c r="P251" s="17"/>
      <c r="Q251" s="18"/>
      <c r="R251" s="8"/>
      <c r="S251" s="8"/>
    </row>
    <row r="252" customFormat="1" customHeight="1" spans="1:19">
      <c r="A252" s="8"/>
      <c r="B252" s="9"/>
      <c r="C252" s="10"/>
      <c r="D252" s="10"/>
      <c r="E252" s="11"/>
      <c r="F252" s="12"/>
      <c r="G252" s="13"/>
      <c r="H252" s="8"/>
      <c r="I252" s="14"/>
      <c r="J252" s="15"/>
      <c r="K252" s="16"/>
      <c r="L252" s="8"/>
      <c r="M252" s="15"/>
      <c r="N252" s="8"/>
      <c r="O252" s="8"/>
      <c r="P252" s="17"/>
      <c r="Q252" s="18"/>
      <c r="R252" s="8"/>
      <c r="S252" s="8"/>
    </row>
    <row r="253" customFormat="1" customHeight="1" spans="1:19">
      <c r="A253" s="8"/>
      <c r="B253" s="9"/>
      <c r="C253" s="10"/>
      <c r="D253" s="10"/>
      <c r="E253" s="11"/>
      <c r="F253" s="12"/>
      <c r="G253" s="13"/>
      <c r="H253" s="8"/>
      <c r="I253" s="14"/>
      <c r="J253" s="15"/>
      <c r="K253" s="16"/>
      <c r="L253" s="8"/>
      <c r="M253" s="15"/>
      <c r="N253" s="8"/>
      <c r="O253" s="8"/>
      <c r="P253" s="17"/>
      <c r="Q253" s="18"/>
      <c r="R253" s="8"/>
      <c r="S253" s="8"/>
    </row>
    <row r="254" customFormat="1" customHeight="1" spans="1:19">
      <c r="A254" s="8"/>
      <c r="B254" s="9"/>
      <c r="C254" s="10"/>
      <c r="D254" s="10"/>
      <c r="E254" s="11"/>
      <c r="F254" s="12"/>
      <c r="G254" s="13"/>
      <c r="H254" s="8"/>
      <c r="I254" s="14"/>
      <c r="J254" s="15"/>
      <c r="K254" s="16"/>
      <c r="L254" s="8"/>
      <c r="M254" s="15"/>
      <c r="N254" s="8"/>
      <c r="O254" s="8"/>
      <c r="P254" s="17"/>
      <c r="Q254" s="18"/>
      <c r="R254" s="8"/>
      <c r="S254" s="8"/>
    </row>
    <row r="255" customFormat="1" customHeight="1" spans="1:19">
      <c r="A255" s="8"/>
      <c r="B255" s="9"/>
      <c r="C255" s="10"/>
      <c r="D255" s="10"/>
      <c r="E255" s="11"/>
      <c r="F255" s="12"/>
      <c r="G255" s="13"/>
      <c r="H255" s="8"/>
      <c r="I255" s="14"/>
      <c r="J255" s="15"/>
      <c r="K255" s="16"/>
      <c r="L255" s="8"/>
      <c r="M255" s="15"/>
      <c r="N255" s="8"/>
      <c r="O255" s="8"/>
      <c r="P255" s="17"/>
      <c r="Q255" s="18"/>
      <c r="R255" s="8"/>
      <c r="S255" s="8"/>
    </row>
    <row r="256" customFormat="1" customHeight="1" spans="1:19">
      <c r="A256" s="8"/>
      <c r="B256" s="9"/>
      <c r="C256" s="10"/>
      <c r="D256" s="10"/>
      <c r="E256" s="11"/>
      <c r="F256" s="12"/>
      <c r="G256" s="13"/>
      <c r="H256" s="8"/>
      <c r="I256" s="14"/>
      <c r="J256" s="15"/>
      <c r="K256" s="16"/>
      <c r="L256" s="8"/>
      <c r="M256" s="15"/>
      <c r="N256" s="8"/>
      <c r="O256" s="8"/>
      <c r="P256" s="17"/>
      <c r="Q256" s="18"/>
      <c r="R256" s="8"/>
      <c r="S256" s="8"/>
    </row>
    <row r="257" customFormat="1" customHeight="1" spans="1:19">
      <c r="A257" s="8"/>
      <c r="B257" s="9"/>
      <c r="C257" s="10"/>
      <c r="D257" s="10"/>
      <c r="E257" s="11"/>
      <c r="F257" s="12"/>
      <c r="G257" s="13"/>
      <c r="H257" s="8"/>
      <c r="I257" s="14"/>
      <c r="J257" s="15"/>
      <c r="K257" s="16"/>
      <c r="L257" s="8"/>
      <c r="M257" s="15"/>
      <c r="N257" s="8"/>
      <c r="O257" s="8"/>
      <c r="P257" s="17"/>
      <c r="Q257" s="18"/>
      <c r="R257" s="8"/>
      <c r="S257" s="8"/>
    </row>
    <row r="258" customFormat="1" customHeight="1" spans="1:19">
      <c r="A258" s="8"/>
      <c r="B258" s="9"/>
      <c r="C258" s="10"/>
      <c r="D258" s="10"/>
      <c r="E258" s="11"/>
      <c r="F258" s="12"/>
      <c r="G258" s="13"/>
      <c r="H258" s="8"/>
      <c r="I258" s="14"/>
      <c r="J258" s="15"/>
      <c r="K258" s="16"/>
      <c r="L258" s="8"/>
      <c r="M258" s="15"/>
      <c r="N258" s="8"/>
      <c r="O258" s="8"/>
      <c r="P258" s="17"/>
      <c r="Q258" s="18"/>
      <c r="R258" s="8"/>
      <c r="S258" s="8"/>
    </row>
    <row r="259" customFormat="1" customHeight="1" spans="1:19">
      <c r="A259" s="8"/>
      <c r="B259" s="9"/>
      <c r="C259" s="10"/>
      <c r="D259" s="10"/>
      <c r="E259" s="11"/>
      <c r="F259" s="12"/>
      <c r="G259" s="13"/>
      <c r="H259" s="8"/>
      <c r="I259" s="14"/>
      <c r="J259" s="15"/>
      <c r="K259" s="16"/>
      <c r="L259" s="8"/>
      <c r="M259" s="15"/>
      <c r="N259" s="8"/>
      <c r="O259" s="8"/>
      <c r="P259" s="17"/>
      <c r="Q259" s="18"/>
      <c r="R259" s="8"/>
      <c r="S259" s="8"/>
    </row>
    <row r="260" customFormat="1" customHeight="1" spans="1:19">
      <c r="A260" s="8"/>
      <c r="B260" s="9"/>
      <c r="C260" s="10"/>
      <c r="D260" s="10"/>
      <c r="E260" s="11"/>
      <c r="F260" s="12"/>
      <c r="G260" s="13"/>
      <c r="H260" s="8"/>
      <c r="I260" s="14"/>
      <c r="J260" s="15"/>
      <c r="K260" s="16"/>
      <c r="L260" s="8"/>
      <c r="M260" s="15"/>
      <c r="N260" s="8"/>
      <c r="O260" s="8"/>
      <c r="P260" s="17"/>
      <c r="Q260" s="18"/>
      <c r="R260" s="8"/>
      <c r="S260" s="8"/>
    </row>
    <row r="261" customFormat="1" customHeight="1" spans="1:19">
      <c r="A261" s="8"/>
      <c r="B261" s="9"/>
      <c r="C261" s="10"/>
      <c r="D261" s="10"/>
      <c r="E261" s="11"/>
      <c r="F261" s="12"/>
      <c r="G261" s="13"/>
      <c r="H261" s="8"/>
      <c r="I261" s="14"/>
      <c r="J261" s="15"/>
      <c r="K261" s="16"/>
      <c r="L261" s="8"/>
      <c r="M261" s="15"/>
      <c r="N261" s="8"/>
      <c r="O261" s="8"/>
      <c r="P261" s="17"/>
      <c r="Q261" s="18"/>
      <c r="R261" s="8"/>
      <c r="S261" s="8"/>
    </row>
    <row r="262" customFormat="1" customHeight="1" spans="1:19">
      <c r="A262" s="8"/>
      <c r="B262" s="9"/>
      <c r="C262" s="10"/>
      <c r="D262" s="10"/>
      <c r="E262" s="11"/>
      <c r="F262" s="12"/>
      <c r="G262" s="13"/>
      <c r="H262" s="8"/>
      <c r="I262" s="14"/>
      <c r="J262" s="15"/>
      <c r="K262" s="16"/>
      <c r="L262" s="8"/>
      <c r="M262" s="15"/>
      <c r="N262" s="8"/>
      <c r="O262" s="8"/>
      <c r="P262" s="17"/>
      <c r="Q262" s="18"/>
      <c r="R262" s="8"/>
      <c r="S262" s="8"/>
    </row>
    <row r="263" customFormat="1" customHeight="1" spans="1:19">
      <c r="A263" s="8"/>
      <c r="B263" s="9"/>
      <c r="C263" s="10"/>
      <c r="D263" s="10"/>
      <c r="E263" s="11"/>
      <c r="F263" s="12"/>
      <c r="G263" s="13"/>
      <c r="H263" s="8"/>
      <c r="I263" s="14"/>
      <c r="J263" s="15"/>
      <c r="K263" s="16"/>
      <c r="L263" s="8"/>
      <c r="M263" s="15"/>
      <c r="N263" s="8"/>
      <c r="O263" s="8"/>
      <c r="P263" s="17"/>
      <c r="Q263" s="18"/>
      <c r="R263" s="8"/>
      <c r="S263" s="8"/>
    </row>
    <row r="264" customFormat="1" customHeight="1" spans="1:19">
      <c r="A264" s="8"/>
      <c r="B264" s="9"/>
      <c r="C264" s="10"/>
      <c r="D264" s="10"/>
      <c r="E264" s="11"/>
      <c r="F264" s="12"/>
      <c r="G264" s="13"/>
      <c r="H264" s="8"/>
      <c r="I264" s="14"/>
      <c r="J264" s="15"/>
      <c r="K264" s="16"/>
      <c r="L264" s="8"/>
      <c r="M264" s="15"/>
      <c r="N264" s="8"/>
      <c r="O264" s="8"/>
      <c r="P264" s="17"/>
      <c r="Q264" s="18"/>
      <c r="R264" s="8"/>
      <c r="S264" s="8"/>
    </row>
    <row r="265" customFormat="1" customHeight="1" spans="1:19">
      <c r="A265" s="8"/>
      <c r="B265" s="9"/>
      <c r="C265" s="10"/>
      <c r="D265" s="10"/>
      <c r="E265" s="11"/>
      <c r="F265" s="12"/>
      <c r="G265" s="13"/>
      <c r="H265" s="8"/>
      <c r="I265" s="14"/>
      <c r="J265" s="15"/>
      <c r="K265" s="16"/>
      <c r="L265" s="8"/>
      <c r="M265" s="15"/>
      <c r="N265" s="8"/>
      <c r="O265" s="8"/>
      <c r="P265" s="17"/>
      <c r="Q265" s="18"/>
      <c r="R265" s="8"/>
      <c r="S265" s="8"/>
    </row>
    <row r="266" customFormat="1" customHeight="1" spans="1:19">
      <c r="A266" s="8"/>
      <c r="B266" s="9"/>
      <c r="C266" s="10"/>
      <c r="D266" s="10"/>
      <c r="E266" s="11"/>
      <c r="F266" s="12"/>
      <c r="G266" s="13"/>
      <c r="H266" s="8"/>
      <c r="I266" s="14"/>
      <c r="J266" s="15"/>
      <c r="K266" s="16"/>
      <c r="L266" s="8"/>
      <c r="M266" s="15"/>
      <c r="N266" s="8"/>
      <c r="O266" s="8"/>
      <c r="P266" s="17"/>
      <c r="Q266" s="18"/>
      <c r="R266" s="8"/>
      <c r="S266" s="8"/>
    </row>
    <row r="267" customFormat="1" customHeight="1" spans="1:19">
      <c r="A267" s="8"/>
      <c r="B267" s="9"/>
      <c r="C267" s="10"/>
      <c r="D267" s="10"/>
      <c r="E267" s="11"/>
      <c r="F267" s="12"/>
      <c r="G267" s="13"/>
      <c r="H267" s="8"/>
      <c r="I267" s="14"/>
      <c r="J267" s="15"/>
      <c r="K267" s="16"/>
      <c r="L267" s="8"/>
      <c r="M267" s="15"/>
      <c r="N267" s="8"/>
      <c r="O267" s="8"/>
      <c r="P267" s="17"/>
      <c r="Q267" s="18"/>
      <c r="R267" s="8"/>
      <c r="S267" s="8"/>
    </row>
    <row r="268" customFormat="1" customHeight="1" spans="1:19">
      <c r="A268" s="8"/>
      <c r="B268" s="9"/>
      <c r="C268" s="10"/>
      <c r="D268" s="10"/>
      <c r="E268" s="11"/>
      <c r="F268" s="12"/>
      <c r="G268" s="13"/>
      <c r="H268" s="8"/>
      <c r="I268" s="14"/>
      <c r="J268" s="15"/>
      <c r="K268" s="16"/>
      <c r="L268" s="8"/>
      <c r="M268" s="15"/>
      <c r="N268" s="8"/>
      <c r="O268" s="8"/>
      <c r="P268" s="17"/>
      <c r="Q268" s="18"/>
      <c r="R268" s="8"/>
      <c r="S268" s="8"/>
    </row>
    <row r="269" customFormat="1" customHeight="1" spans="1:19">
      <c r="A269" s="8"/>
      <c r="B269" s="9"/>
      <c r="C269" s="10"/>
      <c r="D269" s="10"/>
      <c r="E269" s="11"/>
      <c r="F269" s="12"/>
      <c r="G269" s="13"/>
      <c r="H269" s="8"/>
      <c r="I269" s="14"/>
      <c r="J269" s="15"/>
      <c r="K269" s="16"/>
      <c r="L269" s="8"/>
      <c r="M269" s="15"/>
      <c r="N269" s="8"/>
      <c r="O269" s="8"/>
      <c r="P269" s="17"/>
      <c r="Q269" s="18"/>
      <c r="R269" s="8"/>
      <c r="S269" s="8"/>
    </row>
    <row r="270" customFormat="1" customHeight="1" spans="1:19">
      <c r="A270" s="8"/>
      <c r="B270" s="9"/>
      <c r="C270" s="10"/>
      <c r="D270" s="10"/>
      <c r="E270" s="11"/>
      <c r="F270" s="12"/>
      <c r="G270" s="13"/>
      <c r="H270" s="8"/>
      <c r="I270" s="14"/>
      <c r="J270" s="15"/>
      <c r="K270" s="16"/>
      <c r="L270" s="8"/>
      <c r="M270" s="15"/>
      <c r="N270" s="8"/>
      <c r="O270" s="8"/>
      <c r="P270" s="17"/>
      <c r="Q270" s="18"/>
      <c r="R270" s="8"/>
      <c r="S270" s="8"/>
    </row>
    <row r="271" customFormat="1" customHeight="1" spans="1:19">
      <c r="A271" s="8"/>
      <c r="B271" s="9"/>
      <c r="C271" s="10"/>
      <c r="D271" s="10"/>
      <c r="E271" s="11"/>
      <c r="F271" s="12"/>
      <c r="G271" s="13"/>
      <c r="H271" s="8"/>
      <c r="I271" s="14"/>
      <c r="J271" s="15"/>
      <c r="K271" s="16"/>
      <c r="L271" s="8"/>
      <c r="M271" s="15"/>
      <c r="N271" s="8"/>
      <c r="O271" s="8"/>
      <c r="P271" s="17"/>
      <c r="Q271" s="18"/>
      <c r="R271" s="8"/>
      <c r="S271" s="8"/>
    </row>
    <row r="272" customFormat="1" customHeight="1" spans="1:19">
      <c r="A272" s="8"/>
      <c r="B272" s="9"/>
      <c r="C272" s="10"/>
      <c r="D272" s="10"/>
      <c r="E272" s="11"/>
      <c r="F272" s="12"/>
      <c r="G272" s="13"/>
      <c r="H272" s="8"/>
      <c r="I272" s="14"/>
      <c r="J272" s="15"/>
      <c r="K272" s="16"/>
      <c r="L272" s="8"/>
      <c r="M272" s="15"/>
      <c r="N272" s="8"/>
      <c r="O272" s="8"/>
      <c r="P272" s="17"/>
      <c r="Q272" s="18"/>
      <c r="R272" s="8"/>
      <c r="S272" s="8"/>
    </row>
    <row r="273" customFormat="1" customHeight="1" spans="1:19">
      <c r="A273" s="8"/>
      <c r="B273" s="9"/>
      <c r="C273" s="10"/>
      <c r="D273" s="10"/>
      <c r="E273" s="11"/>
      <c r="F273" s="12"/>
      <c r="G273" s="13"/>
      <c r="H273" s="8"/>
      <c r="I273" s="14"/>
      <c r="J273" s="15"/>
      <c r="K273" s="16"/>
      <c r="L273" s="8"/>
      <c r="M273" s="15"/>
      <c r="N273" s="8"/>
      <c r="O273" s="8"/>
      <c r="P273" s="17"/>
      <c r="Q273" s="18"/>
      <c r="R273" s="8"/>
      <c r="S273" s="8"/>
    </row>
    <row r="274" customFormat="1" customHeight="1" spans="1:19">
      <c r="A274" s="8"/>
      <c r="B274" s="9"/>
      <c r="C274" s="10"/>
      <c r="D274" s="10"/>
      <c r="E274" s="11"/>
      <c r="F274" s="12"/>
      <c r="G274" s="13"/>
      <c r="H274" s="8"/>
      <c r="I274" s="14"/>
      <c r="J274" s="15"/>
      <c r="K274" s="16"/>
      <c r="L274" s="8"/>
      <c r="M274" s="15"/>
      <c r="N274" s="8"/>
      <c r="O274" s="8"/>
      <c r="P274" s="17"/>
      <c r="Q274" s="18"/>
      <c r="R274" s="8"/>
      <c r="S274" s="8"/>
    </row>
    <row r="275" customFormat="1" customHeight="1" spans="1:19">
      <c r="A275" s="8"/>
      <c r="B275" s="9"/>
      <c r="C275" s="10"/>
      <c r="D275" s="10"/>
      <c r="E275" s="11"/>
      <c r="F275" s="12"/>
      <c r="G275" s="13"/>
      <c r="H275" s="8"/>
      <c r="I275" s="14"/>
      <c r="J275" s="15"/>
      <c r="K275" s="16"/>
      <c r="L275" s="8"/>
      <c r="M275" s="15"/>
      <c r="N275" s="8"/>
      <c r="O275" s="8"/>
      <c r="P275" s="17"/>
      <c r="Q275" s="18"/>
      <c r="R275" s="8"/>
      <c r="S275" s="8"/>
    </row>
    <row r="276" customFormat="1" customHeight="1" spans="1:19">
      <c r="A276" s="8"/>
      <c r="B276" s="9"/>
      <c r="C276" s="10"/>
      <c r="D276" s="10"/>
      <c r="E276" s="11"/>
      <c r="F276" s="12"/>
      <c r="G276" s="13"/>
      <c r="H276" s="8"/>
      <c r="I276" s="14"/>
      <c r="J276" s="15"/>
      <c r="K276" s="16"/>
      <c r="L276" s="8"/>
      <c r="M276" s="15"/>
      <c r="N276" s="8"/>
      <c r="O276" s="8"/>
      <c r="P276" s="17"/>
      <c r="Q276" s="18"/>
      <c r="R276" s="8"/>
      <c r="S276" s="8"/>
    </row>
    <row r="277" customFormat="1" customHeight="1" spans="1:19">
      <c r="A277" s="8"/>
      <c r="B277" s="9"/>
      <c r="C277" s="10"/>
      <c r="D277" s="10"/>
      <c r="E277" s="11"/>
      <c r="F277" s="12"/>
      <c r="G277" s="13"/>
      <c r="H277" s="8"/>
      <c r="I277" s="14"/>
      <c r="J277" s="15"/>
      <c r="K277" s="16"/>
      <c r="L277" s="8"/>
      <c r="M277" s="15"/>
      <c r="N277" s="8"/>
      <c r="O277" s="8"/>
      <c r="P277" s="17"/>
      <c r="Q277" s="18"/>
      <c r="R277" s="8"/>
      <c r="S277" s="8"/>
    </row>
    <row r="278" customFormat="1" customHeight="1" spans="1:19">
      <c r="A278" s="8"/>
      <c r="B278" s="9"/>
      <c r="C278" s="10"/>
      <c r="D278" s="10"/>
      <c r="E278" s="11"/>
      <c r="F278" s="12"/>
      <c r="G278" s="13"/>
      <c r="H278" s="8"/>
      <c r="I278" s="14"/>
      <c r="J278" s="15"/>
      <c r="K278" s="16"/>
      <c r="L278" s="8"/>
      <c r="M278" s="15"/>
      <c r="N278" s="8"/>
      <c r="O278" s="8"/>
      <c r="P278" s="17"/>
      <c r="Q278" s="18"/>
      <c r="R278" s="8"/>
      <c r="S278" s="8"/>
    </row>
    <row r="279" customFormat="1" customHeight="1" spans="1:19">
      <c r="A279" s="8"/>
      <c r="B279" s="9"/>
      <c r="C279" s="10"/>
      <c r="D279" s="10"/>
      <c r="E279" s="11"/>
      <c r="F279" s="12"/>
      <c r="G279" s="13"/>
      <c r="H279" s="8"/>
      <c r="I279" s="14"/>
      <c r="J279" s="15"/>
      <c r="K279" s="16"/>
      <c r="L279" s="8"/>
      <c r="M279" s="15"/>
      <c r="N279" s="8"/>
      <c r="O279" s="8"/>
      <c r="P279" s="17"/>
      <c r="Q279" s="18"/>
      <c r="R279" s="8"/>
      <c r="S279" s="8"/>
    </row>
    <row r="280" customFormat="1" customHeight="1" spans="1:19">
      <c r="A280" s="8"/>
      <c r="B280" s="9"/>
      <c r="C280" s="10"/>
      <c r="D280" s="10"/>
      <c r="E280" s="11"/>
      <c r="F280" s="12"/>
      <c r="G280" s="13"/>
      <c r="H280" s="8"/>
      <c r="I280" s="14"/>
      <c r="J280" s="15"/>
      <c r="K280" s="16"/>
      <c r="L280" s="8"/>
      <c r="M280" s="15"/>
      <c r="N280" s="8"/>
      <c r="O280" s="8"/>
      <c r="P280" s="17"/>
      <c r="Q280" s="18"/>
      <c r="R280" s="8"/>
      <c r="S280" s="8"/>
    </row>
    <row r="281" customFormat="1" customHeight="1" spans="1:19">
      <c r="A281" s="8"/>
      <c r="B281" s="9"/>
      <c r="C281" s="10"/>
      <c r="D281" s="10"/>
      <c r="E281" s="11"/>
      <c r="F281" s="12"/>
      <c r="G281" s="13"/>
      <c r="H281" s="8"/>
      <c r="I281" s="14"/>
      <c r="J281" s="15"/>
      <c r="K281" s="16"/>
      <c r="L281" s="8"/>
      <c r="M281" s="15"/>
      <c r="N281" s="8"/>
      <c r="O281" s="8"/>
      <c r="P281" s="17"/>
      <c r="Q281" s="18"/>
      <c r="R281" s="8"/>
      <c r="S281" s="8"/>
    </row>
    <row r="282" customFormat="1" customHeight="1" spans="1:19">
      <c r="A282" s="8"/>
      <c r="B282" s="9"/>
      <c r="C282" s="10"/>
      <c r="D282" s="10"/>
      <c r="E282" s="11"/>
      <c r="F282" s="12"/>
      <c r="G282" s="13"/>
      <c r="H282" s="8"/>
      <c r="I282" s="14"/>
      <c r="J282" s="15"/>
      <c r="K282" s="16"/>
      <c r="L282" s="8"/>
      <c r="M282" s="15"/>
      <c r="N282" s="8"/>
      <c r="O282" s="8"/>
      <c r="P282" s="17"/>
      <c r="Q282" s="18"/>
      <c r="R282" s="8"/>
      <c r="S282" s="8"/>
    </row>
    <row r="283" customFormat="1" customHeight="1" spans="1:19">
      <c r="A283" s="8"/>
      <c r="B283" s="9"/>
      <c r="C283" s="10"/>
      <c r="D283" s="10"/>
      <c r="E283" s="11"/>
      <c r="F283" s="12"/>
      <c r="G283" s="13"/>
      <c r="H283" s="8"/>
      <c r="I283" s="14"/>
      <c r="J283" s="15"/>
      <c r="K283" s="16"/>
      <c r="L283" s="8"/>
      <c r="M283" s="15"/>
      <c r="N283" s="8"/>
      <c r="O283" s="8"/>
      <c r="P283" s="17"/>
      <c r="Q283" s="18"/>
      <c r="R283" s="8"/>
      <c r="S283" s="8"/>
    </row>
    <row r="284" customFormat="1" customHeight="1" spans="1:19">
      <c r="A284" s="8"/>
      <c r="B284" s="9"/>
      <c r="C284" s="10"/>
      <c r="D284" s="10"/>
      <c r="E284" s="11"/>
      <c r="F284" s="12"/>
      <c r="G284" s="13"/>
      <c r="H284" s="8"/>
      <c r="I284" s="14"/>
      <c r="J284" s="15"/>
      <c r="K284" s="16"/>
      <c r="L284" s="8"/>
      <c r="M284" s="15"/>
      <c r="N284" s="8"/>
      <c r="O284" s="8"/>
      <c r="P284" s="17"/>
      <c r="Q284" s="18"/>
      <c r="R284" s="8"/>
      <c r="S284" s="8"/>
    </row>
    <row r="285" customFormat="1" customHeight="1" spans="1:19">
      <c r="A285" s="8"/>
      <c r="B285" s="9"/>
      <c r="C285" s="10"/>
      <c r="D285" s="10"/>
      <c r="E285" s="11"/>
      <c r="F285" s="12"/>
      <c r="G285" s="13"/>
      <c r="H285" s="8"/>
      <c r="I285" s="14"/>
      <c r="J285" s="15"/>
      <c r="K285" s="16"/>
      <c r="L285" s="8"/>
      <c r="M285" s="15"/>
      <c r="N285" s="8"/>
      <c r="O285" s="8"/>
      <c r="P285" s="17"/>
      <c r="Q285" s="18"/>
      <c r="R285" s="8"/>
      <c r="S285" s="8"/>
    </row>
    <row r="286" customFormat="1" customHeight="1" spans="1:19">
      <c r="A286" s="8"/>
      <c r="B286" s="9"/>
      <c r="C286" s="10"/>
      <c r="D286" s="10"/>
      <c r="E286" s="11"/>
      <c r="F286" s="12"/>
      <c r="G286" s="13"/>
      <c r="H286" s="8"/>
      <c r="I286" s="14"/>
      <c r="J286" s="15"/>
      <c r="K286" s="16"/>
      <c r="L286" s="8"/>
      <c r="M286" s="15"/>
      <c r="N286" s="8"/>
      <c r="O286" s="8"/>
      <c r="P286" s="17"/>
      <c r="Q286" s="18"/>
      <c r="R286" s="8"/>
      <c r="S286" s="8"/>
    </row>
    <row r="287" customFormat="1" customHeight="1" spans="1:19">
      <c r="A287" s="8"/>
      <c r="B287" s="9"/>
      <c r="C287" s="10"/>
      <c r="D287" s="10"/>
      <c r="E287" s="11"/>
      <c r="F287" s="12"/>
      <c r="G287" s="13"/>
      <c r="H287" s="8"/>
      <c r="I287" s="14"/>
      <c r="J287" s="15"/>
      <c r="K287" s="16"/>
      <c r="L287" s="8"/>
      <c r="M287" s="15"/>
      <c r="N287" s="8"/>
      <c r="O287" s="8"/>
      <c r="P287" s="17"/>
      <c r="Q287" s="18"/>
      <c r="R287" s="8"/>
      <c r="S287" s="8"/>
    </row>
    <row r="288" customFormat="1" customHeight="1" spans="1:19">
      <c r="A288" s="8"/>
      <c r="B288" s="9"/>
      <c r="C288" s="10"/>
      <c r="D288" s="10"/>
      <c r="E288" s="11"/>
      <c r="F288" s="12"/>
      <c r="G288" s="13"/>
      <c r="H288" s="8"/>
      <c r="I288" s="14"/>
      <c r="J288" s="15"/>
      <c r="K288" s="16"/>
      <c r="L288" s="8"/>
      <c r="M288" s="15"/>
      <c r="N288" s="8"/>
      <c r="O288" s="8"/>
      <c r="P288" s="17"/>
      <c r="Q288" s="18"/>
      <c r="R288" s="8"/>
      <c r="S288" s="8"/>
    </row>
    <row r="289" customFormat="1" customHeight="1" spans="1:19">
      <c r="A289" s="8"/>
      <c r="B289" s="9"/>
      <c r="C289" s="10"/>
      <c r="D289" s="10"/>
      <c r="E289" s="11"/>
      <c r="F289" s="12"/>
      <c r="G289" s="13"/>
      <c r="H289" s="8"/>
      <c r="I289" s="14"/>
      <c r="J289" s="15"/>
      <c r="K289" s="16"/>
      <c r="L289" s="8"/>
      <c r="M289" s="15"/>
      <c r="N289" s="8"/>
      <c r="O289" s="8"/>
      <c r="P289" s="17"/>
      <c r="Q289" s="18"/>
      <c r="R289" s="8"/>
      <c r="S289" s="8"/>
    </row>
    <row r="290" customFormat="1" customHeight="1" spans="1:19">
      <c r="A290" s="8"/>
      <c r="B290" s="9"/>
      <c r="C290" s="10"/>
      <c r="D290" s="10"/>
      <c r="E290" s="11"/>
      <c r="F290" s="12"/>
      <c r="G290" s="13"/>
      <c r="H290" s="8"/>
      <c r="I290" s="14"/>
      <c r="J290" s="15"/>
      <c r="K290" s="16"/>
      <c r="L290" s="8"/>
      <c r="M290" s="15"/>
      <c r="N290" s="8"/>
      <c r="O290" s="8"/>
      <c r="P290" s="17"/>
      <c r="Q290" s="18"/>
      <c r="R290" s="8"/>
      <c r="S290" s="8"/>
    </row>
    <row r="291" customFormat="1" customHeight="1" spans="1:19">
      <c r="A291" s="8"/>
      <c r="B291" s="9"/>
      <c r="C291" s="10"/>
      <c r="D291" s="10"/>
      <c r="E291" s="11"/>
      <c r="F291" s="12"/>
      <c r="G291" s="13"/>
      <c r="H291" s="8"/>
      <c r="I291" s="14"/>
      <c r="J291" s="15"/>
      <c r="K291" s="16"/>
      <c r="L291" s="8"/>
      <c r="M291" s="15"/>
      <c r="N291" s="8"/>
      <c r="O291" s="8"/>
      <c r="P291" s="17"/>
      <c r="Q291" s="18"/>
      <c r="R291" s="8"/>
      <c r="S291" s="8"/>
    </row>
    <row r="292" customFormat="1" customHeight="1" spans="1:19">
      <c r="A292" s="8"/>
      <c r="B292" s="9"/>
      <c r="C292" s="10"/>
      <c r="D292" s="10"/>
      <c r="E292" s="11"/>
      <c r="F292" s="12"/>
      <c r="G292" s="13"/>
      <c r="H292" s="8"/>
      <c r="I292" s="14"/>
      <c r="J292" s="15"/>
      <c r="K292" s="16"/>
      <c r="L292" s="8"/>
      <c r="M292" s="15"/>
      <c r="N292" s="8"/>
      <c r="O292" s="8"/>
      <c r="P292" s="17"/>
      <c r="Q292" s="18"/>
      <c r="R292" s="8"/>
      <c r="S292" s="8"/>
    </row>
    <row r="293" customFormat="1" customHeight="1" spans="1:19">
      <c r="A293" s="8"/>
      <c r="B293" s="9"/>
      <c r="C293" s="10"/>
      <c r="D293" s="10"/>
      <c r="E293" s="11"/>
      <c r="F293" s="12"/>
      <c r="G293" s="13"/>
      <c r="H293" s="8"/>
      <c r="I293" s="14"/>
      <c r="J293" s="15"/>
      <c r="K293" s="16"/>
      <c r="L293" s="8"/>
      <c r="M293" s="15"/>
      <c r="N293" s="8"/>
      <c r="O293" s="8"/>
      <c r="P293" s="17"/>
      <c r="Q293" s="18"/>
      <c r="R293" s="8"/>
      <c r="S293" s="8"/>
    </row>
    <row r="294" customFormat="1" customHeight="1" spans="1:19">
      <c r="A294" s="8"/>
      <c r="B294" s="9"/>
      <c r="C294" s="10"/>
      <c r="D294" s="10"/>
      <c r="E294" s="11"/>
      <c r="F294" s="12"/>
      <c r="G294" s="13"/>
      <c r="H294" s="8"/>
      <c r="I294" s="14"/>
      <c r="J294" s="15"/>
      <c r="K294" s="16"/>
      <c r="L294" s="8"/>
      <c r="M294" s="15"/>
      <c r="N294" s="8"/>
      <c r="O294" s="8"/>
      <c r="P294" s="17"/>
      <c r="Q294" s="18"/>
      <c r="R294" s="8"/>
      <c r="S294" s="8"/>
    </row>
    <row r="295" customFormat="1" customHeight="1" spans="1:19">
      <c r="A295" s="8"/>
      <c r="B295" s="9"/>
      <c r="C295" s="10"/>
      <c r="D295" s="10"/>
      <c r="E295" s="11"/>
      <c r="F295" s="12"/>
      <c r="G295" s="13"/>
      <c r="H295" s="8"/>
      <c r="I295" s="14"/>
      <c r="J295" s="15"/>
      <c r="K295" s="16"/>
      <c r="L295" s="8"/>
      <c r="M295" s="15"/>
      <c r="N295" s="8"/>
      <c r="O295" s="8"/>
      <c r="P295" s="17"/>
      <c r="Q295" s="18"/>
      <c r="R295" s="8"/>
      <c r="S295" s="8"/>
    </row>
    <row r="296" customFormat="1" customHeight="1" spans="1:19">
      <c r="A296" s="8"/>
      <c r="B296" s="9"/>
      <c r="C296" s="10"/>
      <c r="D296" s="10"/>
      <c r="E296" s="11"/>
      <c r="F296" s="12"/>
      <c r="G296" s="13"/>
      <c r="H296" s="8"/>
      <c r="I296" s="14"/>
      <c r="J296" s="15"/>
      <c r="K296" s="16"/>
      <c r="L296" s="8"/>
      <c r="M296" s="15"/>
      <c r="N296" s="8"/>
      <c r="O296" s="8"/>
      <c r="P296" s="17"/>
      <c r="Q296" s="18"/>
      <c r="R296" s="8"/>
      <c r="S296" s="8"/>
    </row>
    <row r="297" customFormat="1" customHeight="1" spans="1:19">
      <c r="A297" s="8"/>
      <c r="B297" s="9"/>
      <c r="C297" s="10"/>
      <c r="D297" s="10"/>
      <c r="E297" s="11"/>
      <c r="F297" s="12"/>
      <c r="G297" s="13"/>
      <c r="H297" s="8"/>
      <c r="I297" s="14"/>
      <c r="J297" s="15"/>
      <c r="K297" s="16"/>
      <c r="L297" s="8"/>
      <c r="M297" s="15"/>
      <c r="N297" s="8"/>
      <c r="O297" s="8"/>
      <c r="P297" s="17"/>
      <c r="Q297" s="18"/>
      <c r="R297" s="8"/>
      <c r="S297" s="8"/>
    </row>
    <row r="298" customFormat="1" customHeight="1" spans="1:19">
      <c r="A298" s="8"/>
      <c r="B298" s="9"/>
      <c r="C298" s="10"/>
      <c r="D298" s="10"/>
      <c r="E298" s="11"/>
      <c r="F298" s="12"/>
      <c r="G298" s="13"/>
      <c r="H298" s="8"/>
      <c r="I298" s="14"/>
      <c r="J298" s="15"/>
      <c r="K298" s="16"/>
      <c r="L298" s="8"/>
      <c r="M298" s="15"/>
      <c r="N298" s="8"/>
      <c r="O298" s="8"/>
      <c r="P298" s="17"/>
      <c r="Q298" s="18"/>
      <c r="R298" s="8"/>
      <c r="S298" s="8"/>
    </row>
    <row r="299" customFormat="1" customHeight="1" spans="1:19">
      <c r="A299" s="8"/>
      <c r="B299" s="9"/>
      <c r="C299" s="10"/>
      <c r="D299" s="10"/>
      <c r="E299" s="11"/>
      <c r="F299" s="12"/>
      <c r="G299" s="13"/>
      <c r="H299" s="8"/>
      <c r="I299" s="14"/>
      <c r="J299" s="15"/>
      <c r="K299" s="16"/>
      <c r="L299" s="8"/>
      <c r="M299" s="15"/>
      <c r="N299" s="8"/>
      <c r="O299" s="8"/>
      <c r="P299" s="17"/>
      <c r="Q299" s="18"/>
      <c r="R299" s="8"/>
      <c r="S299" s="8"/>
    </row>
    <row r="300" customFormat="1" customHeight="1" spans="1:19">
      <c r="A300" s="8"/>
      <c r="B300" s="9"/>
      <c r="C300" s="10"/>
      <c r="D300" s="10"/>
      <c r="E300" s="11"/>
      <c r="F300" s="12"/>
      <c r="G300" s="13"/>
      <c r="H300" s="8"/>
      <c r="I300" s="14"/>
      <c r="J300" s="15"/>
      <c r="K300" s="16"/>
      <c r="L300" s="8"/>
      <c r="M300" s="15"/>
      <c r="N300" s="8"/>
      <c r="O300" s="8"/>
      <c r="P300" s="17"/>
      <c r="Q300" s="18"/>
      <c r="R300" s="8"/>
      <c r="S300" s="8"/>
    </row>
    <row r="301" customFormat="1" customHeight="1" spans="1:19">
      <c r="A301" s="8"/>
      <c r="B301" s="9"/>
      <c r="C301" s="10"/>
      <c r="D301" s="10"/>
      <c r="E301" s="11"/>
      <c r="F301" s="12"/>
      <c r="G301" s="13"/>
      <c r="H301" s="8"/>
      <c r="I301" s="14"/>
      <c r="J301" s="15"/>
      <c r="K301" s="16"/>
      <c r="L301" s="8"/>
      <c r="M301" s="15"/>
      <c r="N301" s="8"/>
      <c r="O301" s="8"/>
      <c r="P301" s="17"/>
      <c r="Q301" s="18"/>
      <c r="R301" s="8"/>
      <c r="S301" s="8"/>
    </row>
    <row r="302" customFormat="1" customHeight="1" spans="1:19">
      <c r="A302" s="8"/>
      <c r="B302" s="9"/>
      <c r="C302" s="10"/>
      <c r="D302" s="10"/>
      <c r="E302" s="11"/>
      <c r="F302" s="12"/>
      <c r="G302" s="13"/>
      <c r="H302" s="8"/>
      <c r="I302" s="14"/>
      <c r="J302" s="15"/>
      <c r="K302" s="16"/>
      <c r="L302" s="8"/>
      <c r="M302" s="15"/>
      <c r="N302" s="8"/>
      <c r="O302" s="8"/>
      <c r="P302" s="17"/>
      <c r="Q302" s="18"/>
      <c r="R302" s="8"/>
      <c r="S302" s="8"/>
    </row>
    <row r="303" customFormat="1" customHeight="1" spans="1:19">
      <c r="A303" s="8"/>
      <c r="B303" s="9"/>
      <c r="C303" s="10"/>
      <c r="D303" s="10"/>
      <c r="E303" s="11"/>
      <c r="F303" s="12"/>
      <c r="G303" s="13"/>
      <c r="H303" s="8"/>
      <c r="I303" s="14"/>
      <c r="J303" s="15"/>
      <c r="K303" s="16"/>
      <c r="L303" s="8"/>
      <c r="M303" s="15"/>
      <c r="N303" s="8"/>
      <c r="O303" s="8"/>
      <c r="P303" s="17"/>
      <c r="Q303" s="18"/>
      <c r="R303" s="8"/>
      <c r="S303" s="8"/>
    </row>
    <row r="304" customFormat="1" customHeight="1" spans="1:19">
      <c r="A304" s="8"/>
      <c r="B304" s="9"/>
      <c r="C304" s="10"/>
      <c r="D304" s="10"/>
      <c r="E304" s="11"/>
      <c r="F304" s="12"/>
      <c r="G304" s="13"/>
      <c r="H304" s="8"/>
      <c r="I304" s="14"/>
      <c r="J304" s="15"/>
      <c r="K304" s="16"/>
      <c r="L304" s="8"/>
      <c r="M304" s="15"/>
      <c r="N304" s="8"/>
      <c r="O304" s="8"/>
      <c r="P304" s="17"/>
      <c r="Q304" s="18"/>
      <c r="R304" s="8"/>
      <c r="S304" s="8"/>
    </row>
    <row r="305" customFormat="1" customHeight="1" spans="1:19">
      <c r="A305" s="8"/>
      <c r="B305" s="9"/>
      <c r="C305" s="10"/>
      <c r="D305" s="10"/>
      <c r="E305" s="11"/>
      <c r="F305" s="12"/>
      <c r="G305" s="13"/>
      <c r="H305" s="8"/>
      <c r="I305" s="14"/>
      <c r="J305" s="15"/>
      <c r="K305" s="16"/>
      <c r="L305" s="8"/>
      <c r="M305" s="15"/>
      <c r="N305" s="8"/>
      <c r="O305" s="8"/>
      <c r="P305" s="17"/>
      <c r="Q305" s="18"/>
      <c r="R305" s="8"/>
      <c r="S305" s="8"/>
    </row>
    <row r="306" customFormat="1" customHeight="1" spans="1:19">
      <c r="A306" s="8"/>
      <c r="B306" s="9"/>
      <c r="C306" s="10"/>
      <c r="D306" s="10"/>
      <c r="E306" s="11"/>
      <c r="F306" s="12"/>
      <c r="G306" s="13"/>
      <c r="H306" s="8"/>
      <c r="I306" s="14"/>
      <c r="J306" s="15"/>
      <c r="K306" s="16"/>
      <c r="L306" s="8"/>
      <c r="M306" s="15"/>
      <c r="N306" s="8"/>
      <c r="O306" s="8"/>
      <c r="P306" s="17"/>
      <c r="Q306" s="18"/>
      <c r="R306" s="8"/>
      <c r="S306" s="8"/>
    </row>
    <row r="307" customFormat="1" customHeight="1" spans="1:19">
      <c r="A307" s="8"/>
      <c r="B307" s="9"/>
      <c r="C307" s="10"/>
      <c r="D307" s="10"/>
      <c r="E307" s="11"/>
      <c r="F307" s="12"/>
      <c r="G307" s="13"/>
      <c r="H307" s="8"/>
      <c r="I307" s="14"/>
      <c r="J307" s="15"/>
      <c r="K307" s="16"/>
      <c r="L307" s="8"/>
      <c r="M307" s="15"/>
      <c r="N307" s="8"/>
      <c r="O307" s="8"/>
      <c r="P307" s="17"/>
      <c r="Q307" s="18"/>
      <c r="R307" s="8"/>
      <c r="S307" s="8"/>
    </row>
    <row r="308" customFormat="1" customHeight="1" spans="1:19">
      <c r="A308" s="8"/>
      <c r="B308" s="9"/>
      <c r="C308" s="10"/>
      <c r="D308" s="10"/>
      <c r="E308" s="11"/>
      <c r="F308" s="12"/>
      <c r="G308" s="13"/>
      <c r="H308" s="8"/>
      <c r="I308" s="14"/>
      <c r="J308" s="15"/>
      <c r="K308" s="16"/>
      <c r="L308" s="8"/>
      <c r="M308" s="15"/>
      <c r="N308" s="8"/>
      <c r="O308" s="8"/>
      <c r="P308" s="17"/>
      <c r="Q308" s="18"/>
      <c r="R308" s="8"/>
      <c r="S308" s="8"/>
    </row>
    <row r="309" customFormat="1" customHeight="1" spans="1:19">
      <c r="A309" s="8"/>
      <c r="B309" s="9"/>
      <c r="C309" s="10"/>
      <c r="D309" s="10"/>
      <c r="E309" s="11"/>
      <c r="F309" s="12"/>
      <c r="G309" s="13"/>
      <c r="H309" s="8"/>
      <c r="I309" s="14"/>
      <c r="J309" s="15"/>
      <c r="K309" s="16"/>
      <c r="L309" s="8"/>
      <c r="M309" s="15"/>
      <c r="N309" s="8"/>
      <c r="O309" s="8"/>
      <c r="P309" s="17"/>
      <c r="Q309" s="18"/>
      <c r="R309" s="8"/>
      <c r="S309" s="8"/>
    </row>
    <row r="310" customFormat="1" customHeight="1" spans="1:19">
      <c r="A310" s="8"/>
      <c r="B310" s="9"/>
      <c r="C310" s="10"/>
      <c r="D310" s="10"/>
      <c r="E310" s="11"/>
      <c r="F310" s="12"/>
      <c r="G310" s="13"/>
      <c r="H310" s="8"/>
      <c r="I310" s="14"/>
      <c r="J310" s="15"/>
      <c r="K310" s="16"/>
      <c r="L310" s="8"/>
      <c r="M310" s="15"/>
      <c r="N310" s="8"/>
      <c r="O310" s="8"/>
      <c r="P310" s="17"/>
      <c r="Q310" s="18"/>
      <c r="R310" s="8"/>
      <c r="S310" s="8"/>
    </row>
    <row r="311" customFormat="1" customHeight="1" spans="1:19">
      <c r="A311" s="8"/>
      <c r="B311" s="9"/>
      <c r="C311" s="10"/>
      <c r="D311" s="10"/>
      <c r="E311" s="11"/>
      <c r="F311" s="12"/>
      <c r="G311" s="13"/>
      <c r="H311" s="8"/>
      <c r="I311" s="14"/>
      <c r="J311" s="15"/>
      <c r="K311" s="16"/>
      <c r="L311" s="8"/>
      <c r="M311" s="15"/>
      <c r="N311" s="8"/>
      <c r="O311" s="8"/>
      <c r="P311" s="17"/>
      <c r="Q311" s="18"/>
      <c r="R311" s="8"/>
      <c r="S311" s="8"/>
    </row>
    <row r="312" customFormat="1" customHeight="1" spans="1:19">
      <c r="A312" s="8"/>
      <c r="B312" s="9"/>
      <c r="C312" s="10"/>
      <c r="D312" s="10"/>
      <c r="E312" s="11"/>
      <c r="F312" s="12"/>
      <c r="G312" s="13"/>
      <c r="H312" s="8"/>
      <c r="I312" s="14"/>
      <c r="J312" s="15"/>
      <c r="K312" s="16"/>
      <c r="L312" s="8"/>
      <c r="M312" s="15"/>
      <c r="N312" s="8"/>
      <c r="O312" s="8"/>
      <c r="P312" s="17"/>
      <c r="Q312" s="18"/>
      <c r="R312" s="8"/>
      <c r="S312" s="8"/>
    </row>
    <row r="313" customFormat="1" customHeight="1" spans="1:19">
      <c r="A313" s="8"/>
      <c r="B313" s="9"/>
      <c r="C313" s="10"/>
      <c r="D313" s="10"/>
      <c r="E313" s="11"/>
      <c r="F313" s="12"/>
      <c r="G313" s="13"/>
      <c r="H313" s="8"/>
      <c r="I313" s="14"/>
      <c r="J313" s="15"/>
      <c r="K313" s="16"/>
      <c r="L313" s="8"/>
      <c r="M313" s="15"/>
      <c r="N313" s="8"/>
      <c r="O313" s="8"/>
      <c r="P313" s="17"/>
      <c r="Q313" s="18"/>
      <c r="R313" s="8"/>
      <c r="S313" s="8"/>
    </row>
    <row r="314" customFormat="1" customHeight="1" spans="1:19">
      <c r="A314" s="8"/>
      <c r="B314" s="9"/>
      <c r="C314" s="10"/>
      <c r="D314" s="10"/>
      <c r="E314" s="11"/>
      <c r="F314" s="12"/>
      <c r="G314" s="13"/>
      <c r="H314" s="8"/>
      <c r="I314" s="14"/>
      <c r="J314" s="15"/>
      <c r="K314" s="16"/>
      <c r="L314" s="8"/>
      <c r="M314" s="15"/>
      <c r="N314" s="8"/>
      <c r="O314" s="8"/>
      <c r="P314" s="17"/>
      <c r="Q314" s="18"/>
      <c r="R314" s="8"/>
      <c r="S314" s="8"/>
    </row>
    <row r="315" customFormat="1" customHeight="1" spans="1:19">
      <c r="A315" s="8"/>
      <c r="B315" s="9"/>
      <c r="C315" s="10"/>
      <c r="D315" s="10"/>
      <c r="E315" s="11"/>
      <c r="F315" s="12"/>
      <c r="G315" s="13"/>
      <c r="H315" s="8"/>
      <c r="I315" s="14"/>
      <c r="J315" s="15"/>
      <c r="K315" s="16"/>
      <c r="L315" s="8"/>
      <c r="M315" s="15"/>
      <c r="N315" s="8"/>
      <c r="O315" s="8"/>
      <c r="P315" s="17"/>
      <c r="Q315" s="18"/>
      <c r="R315" s="8"/>
      <c r="S315" s="8"/>
    </row>
    <row r="316" customFormat="1" customHeight="1" spans="1:19">
      <c r="A316" s="8"/>
      <c r="B316" s="9"/>
      <c r="C316" s="10"/>
      <c r="D316" s="10"/>
      <c r="E316" s="11"/>
      <c r="F316" s="12"/>
      <c r="G316" s="13"/>
      <c r="H316" s="8"/>
      <c r="I316" s="14"/>
      <c r="J316" s="15"/>
      <c r="K316" s="16"/>
      <c r="L316" s="8"/>
      <c r="M316" s="15"/>
      <c r="N316" s="8"/>
      <c r="O316" s="8"/>
      <c r="P316" s="17"/>
      <c r="Q316" s="18"/>
      <c r="R316" s="8"/>
      <c r="S316" s="8"/>
    </row>
    <row r="317" customFormat="1" customHeight="1" spans="1:19">
      <c r="A317" s="8"/>
      <c r="B317" s="9"/>
      <c r="C317" s="10"/>
      <c r="D317" s="10"/>
      <c r="E317" s="11"/>
      <c r="F317" s="12"/>
      <c r="G317" s="13"/>
      <c r="H317" s="8"/>
      <c r="I317" s="14"/>
      <c r="J317" s="15"/>
      <c r="K317" s="16"/>
      <c r="L317" s="8"/>
      <c r="M317" s="15"/>
      <c r="N317" s="8"/>
      <c r="O317" s="8"/>
      <c r="P317" s="17"/>
      <c r="Q317" s="18"/>
      <c r="R317" s="8"/>
      <c r="S317" s="8"/>
    </row>
    <row r="318" customFormat="1" customHeight="1" spans="1:19">
      <c r="A318" s="8"/>
      <c r="B318" s="9"/>
      <c r="C318" s="10"/>
      <c r="D318" s="10"/>
      <c r="E318" s="11"/>
      <c r="F318" s="12"/>
      <c r="G318" s="13"/>
      <c r="H318" s="8"/>
      <c r="I318" s="14"/>
      <c r="J318" s="15"/>
      <c r="K318" s="16"/>
      <c r="L318" s="8"/>
      <c r="M318" s="15"/>
      <c r="N318" s="8"/>
      <c r="O318" s="8"/>
      <c r="P318" s="17"/>
      <c r="Q318" s="18"/>
      <c r="R318" s="8"/>
      <c r="S318" s="8"/>
    </row>
    <row r="319" customFormat="1" customHeight="1" spans="1:19">
      <c r="A319" s="8"/>
      <c r="B319" s="9"/>
      <c r="C319" s="10"/>
      <c r="D319" s="10"/>
      <c r="E319" s="11"/>
      <c r="F319" s="12"/>
      <c r="G319" s="13"/>
      <c r="H319" s="8"/>
      <c r="I319" s="14"/>
      <c r="J319" s="15"/>
      <c r="K319" s="16"/>
      <c r="L319" s="8"/>
      <c r="M319" s="15"/>
      <c r="N319" s="8"/>
      <c r="O319" s="8"/>
      <c r="P319" s="17"/>
      <c r="Q319" s="18"/>
      <c r="R319" s="8"/>
      <c r="S319" s="8"/>
    </row>
    <row r="320" customFormat="1" customHeight="1" spans="1:19">
      <c r="A320" s="8"/>
      <c r="B320" s="9"/>
      <c r="C320" s="10"/>
      <c r="D320" s="10"/>
      <c r="E320" s="11"/>
      <c r="F320" s="12"/>
      <c r="G320" s="13"/>
      <c r="H320" s="8"/>
      <c r="I320" s="14"/>
      <c r="J320" s="15"/>
      <c r="K320" s="16"/>
      <c r="L320" s="8"/>
      <c r="M320" s="15"/>
      <c r="N320" s="8"/>
      <c r="O320" s="8"/>
      <c r="P320" s="17"/>
      <c r="Q320" s="18"/>
      <c r="R320" s="8"/>
      <c r="S320" s="8"/>
    </row>
    <row r="321" customFormat="1" customHeight="1" spans="1:19">
      <c r="A321" s="8"/>
      <c r="B321" s="9"/>
      <c r="C321" s="10"/>
      <c r="D321" s="10"/>
      <c r="E321" s="11"/>
      <c r="F321" s="12"/>
      <c r="G321" s="13"/>
      <c r="H321" s="8"/>
      <c r="I321" s="14"/>
      <c r="J321" s="15"/>
      <c r="K321" s="16"/>
      <c r="L321" s="8"/>
      <c r="M321" s="15"/>
      <c r="N321" s="8"/>
      <c r="O321" s="8"/>
      <c r="P321" s="17"/>
      <c r="Q321" s="18"/>
      <c r="R321" s="8"/>
      <c r="S321" s="8"/>
    </row>
    <row r="322" customFormat="1" customHeight="1" spans="1:19">
      <c r="A322" s="8"/>
      <c r="B322" s="9"/>
      <c r="C322" s="10"/>
      <c r="D322" s="10"/>
      <c r="E322" s="11"/>
      <c r="F322" s="12"/>
      <c r="G322" s="13"/>
      <c r="H322" s="8"/>
      <c r="I322" s="14"/>
      <c r="J322" s="15"/>
      <c r="K322" s="16"/>
      <c r="L322" s="8"/>
      <c r="M322" s="15"/>
      <c r="N322" s="8"/>
      <c r="O322" s="8"/>
      <c r="P322" s="17"/>
      <c r="Q322" s="18"/>
      <c r="R322" s="8"/>
      <c r="S322" s="8"/>
    </row>
    <row r="323" customFormat="1" customHeight="1" spans="1:19">
      <c r="A323" s="8"/>
      <c r="B323" s="9"/>
      <c r="C323" s="10"/>
      <c r="D323" s="10"/>
      <c r="E323" s="11"/>
      <c r="F323" s="12"/>
      <c r="G323" s="13"/>
      <c r="H323" s="8"/>
      <c r="I323" s="14"/>
      <c r="J323" s="15"/>
      <c r="K323" s="16"/>
      <c r="L323" s="8"/>
      <c r="M323" s="15"/>
      <c r="N323" s="8"/>
      <c r="O323" s="8"/>
      <c r="P323" s="17"/>
      <c r="Q323" s="18"/>
      <c r="R323" s="8"/>
      <c r="S323" s="8"/>
    </row>
    <row r="324" customFormat="1" customHeight="1" spans="1:19">
      <c r="A324" s="8"/>
      <c r="B324" s="9"/>
      <c r="C324" s="10"/>
      <c r="D324" s="10"/>
      <c r="E324" s="11"/>
      <c r="F324" s="12"/>
      <c r="G324" s="13"/>
      <c r="H324" s="8"/>
      <c r="I324" s="14"/>
      <c r="J324" s="15"/>
      <c r="K324" s="16"/>
      <c r="L324" s="8"/>
      <c r="M324" s="15"/>
      <c r="N324" s="8"/>
      <c r="O324" s="8"/>
      <c r="P324" s="17"/>
      <c r="Q324" s="18"/>
      <c r="R324" s="8"/>
      <c r="S324" s="8"/>
    </row>
    <row r="325" customFormat="1" customHeight="1" spans="1:19">
      <c r="A325" s="8"/>
      <c r="B325" s="9"/>
      <c r="C325" s="10"/>
      <c r="D325" s="10"/>
      <c r="E325" s="11"/>
      <c r="F325" s="12"/>
      <c r="G325" s="13"/>
      <c r="H325" s="8"/>
      <c r="I325" s="14"/>
      <c r="J325" s="15"/>
      <c r="K325" s="16"/>
      <c r="L325" s="8"/>
      <c r="M325" s="15"/>
      <c r="N325" s="8"/>
      <c r="O325" s="8"/>
      <c r="P325" s="17"/>
      <c r="Q325" s="18"/>
      <c r="R325" s="8"/>
      <c r="S325" s="8"/>
    </row>
    <row r="326" customFormat="1" customHeight="1" spans="1:19">
      <c r="A326" s="8"/>
      <c r="B326" s="9"/>
      <c r="C326" s="10"/>
      <c r="D326" s="10"/>
      <c r="E326" s="11"/>
      <c r="F326" s="12"/>
      <c r="G326" s="13"/>
      <c r="H326" s="8"/>
      <c r="I326" s="14"/>
      <c r="J326" s="15"/>
      <c r="K326" s="16"/>
      <c r="L326" s="8"/>
      <c r="M326" s="15"/>
      <c r="N326" s="8"/>
      <c r="O326" s="8"/>
      <c r="P326" s="17"/>
      <c r="Q326" s="18"/>
      <c r="R326" s="8"/>
      <c r="S326" s="8"/>
    </row>
    <row r="327" customFormat="1" customHeight="1" spans="1:19">
      <c r="A327" s="8"/>
      <c r="B327" s="9"/>
      <c r="C327" s="10"/>
      <c r="D327" s="10"/>
      <c r="E327" s="11"/>
      <c r="F327" s="12"/>
      <c r="G327" s="13"/>
      <c r="H327" s="8"/>
      <c r="I327" s="14"/>
      <c r="J327" s="15"/>
      <c r="K327" s="16"/>
      <c r="L327" s="8"/>
      <c r="M327" s="15"/>
      <c r="N327" s="8"/>
      <c r="O327" s="8"/>
      <c r="P327" s="17"/>
      <c r="Q327" s="18"/>
      <c r="R327" s="8"/>
      <c r="S327" s="8"/>
    </row>
    <row r="328" customFormat="1" customHeight="1" spans="1:19">
      <c r="A328" s="8"/>
      <c r="B328" s="9"/>
      <c r="C328" s="10"/>
      <c r="D328" s="10"/>
      <c r="E328" s="11"/>
      <c r="F328" s="12"/>
      <c r="G328" s="13"/>
      <c r="H328" s="8"/>
      <c r="I328" s="14"/>
      <c r="J328" s="15"/>
      <c r="K328" s="16"/>
      <c r="L328" s="8"/>
      <c r="M328" s="15"/>
      <c r="N328" s="8"/>
      <c r="O328" s="8"/>
      <c r="P328" s="17"/>
      <c r="Q328" s="18"/>
      <c r="R328" s="8"/>
      <c r="S328" s="8"/>
    </row>
    <row r="329" customFormat="1" customHeight="1" spans="1:19">
      <c r="A329" s="8"/>
      <c r="B329" s="9"/>
      <c r="C329" s="10"/>
      <c r="D329" s="10"/>
      <c r="E329" s="11"/>
      <c r="F329" s="12"/>
      <c r="G329" s="13"/>
      <c r="H329" s="8"/>
      <c r="I329" s="14"/>
      <c r="J329" s="15"/>
      <c r="K329" s="16"/>
      <c r="L329" s="8"/>
      <c r="M329" s="15"/>
      <c r="N329" s="8"/>
      <c r="O329" s="8"/>
      <c r="P329" s="17"/>
      <c r="Q329" s="18"/>
      <c r="R329" s="8"/>
      <c r="S329" s="8"/>
    </row>
    <row r="330" customFormat="1" customHeight="1" spans="1:19">
      <c r="A330" s="8"/>
      <c r="B330" s="9"/>
      <c r="C330" s="10"/>
      <c r="D330" s="10"/>
      <c r="E330" s="11"/>
      <c r="F330" s="12"/>
      <c r="G330" s="13"/>
      <c r="H330" s="8"/>
      <c r="I330" s="14"/>
      <c r="J330" s="15"/>
      <c r="K330" s="16"/>
      <c r="L330" s="8"/>
      <c r="M330" s="15"/>
      <c r="N330" s="8"/>
      <c r="O330" s="8"/>
      <c r="P330" s="17"/>
      <c r="Q330" s="18"/>
      <c r="R330" s="8"/>
      <c r="S330" s="8"/>
    </row>
    <row r="331" customFormat="1" customHeight="1" spans="1:19">
      <c r="A331" s="8"/>
      <c r="B331" s="9"/>
      <c r="C331" s="10"/>
      <c r="D331" s="10"/>
      <c r="E331" s="11"/>
      <c r="F331" s="12"/>
      <c r="G331" s="13"/>
      <c r="H331" s="8"/>
      <c r="I331" s="14"/>
      <c r="J331" s="15"/>
      <c r="K331" s="16"/>
      <c r="L331" s="8"/>
      <c r="M331" s="15"/>
      <c r="N331" s="8"/>
      <c r="O331" s="8"/>
      <c r="P331" s="17"/>
      <c r="Q331" s="18"/>
      <c r="R331" s="8"/>
      <c r="S331" s="8"/>
    </row>
    <row r="332" customFormat="1" customHeight="1" spans="1:19">
      <c r="A332" s="8"/>
      <c r="B332" s="9"/>
      <c r="C332" s="10"/>
      <c r="D332" s="10"/>
      <c r="E332" s="11"/>
      <c r="F332" s="12"/>
      <c r="G332" s="13"/>
      <c r="H332" s="8"/>
      <c r="I332" s="14"/>
      <c r="J332" s="15"/>
      <c r="K332" s="16"/>
      <c r="L332" s="8"/>
      <c r="M332" s="15"/>
      <c r="N332" s="8"/>
      <c r="O332" s="8"/>
      <c r="P332" s="17"/>
      <c r="Q332" s="18"/>
      <c r="R332" s="8"/>
      <c r="S332" s="8"/>
    </row>
    <row r="333" customFormat="1" customHeight="1" spans="1:19">
      <c r="A333" s="8"/>
      <c r="B333" s="9"/>
      <c r="C333" s="10"/>
      <c r="D333" s="10"/>
      <c r="E333" s="11"/>
      <c r="F333" s="12"/>
      <c r="G333" s="13"/>
      <c r="H333" s="8"/>
      <c r="I333" s="14"/>
      <c r="J333" s="15"/>
      <c r="K333" s="16"/>
      <c r="L333" s="8"/>
      <c r="M333" s="15"/>
      <c r="N333" s="8"/>
      <c r="O333" s="8"/>
      <c r="P333" s="17"/>
      <c r="Q333" s="18"/>
      <c r="R333" s="8"/>
      <c r="S333" s="8"/>
    </row>
    <row r="334" customFormat="1" customHeight="1" spans="1:19">
      <c r="A334" s="8"/>
      <c r="B334" s="9"/>
      <c r="C334" s="10"/>
      <c r="D334" s="10"/>
      <c r="E334" s="11"/>
      <c r="F334" s="12"/>
      <c r="G334" s="13"/>
      <c r="H334" s="8"/>
      <c r="I334" s="14"/>
      <c r="J334" s="15"/>
      <c r="K334" s="16"/>
      <c r="L334" s="8"/>
      <c r="M334" s="15"/>
      <c r="N334" s="8"/>
      <c r="O334" s="8"/>
      <c r="P334" s="17"/>
      <c r="Q334" s="18"/>
      <c r="R334" s="8"/>
      <c r="S334" s="8"/>
    </row>
    <row r="335" customFormat="1" customHeight="1" spans="1:19">
      <c r="A335" s="8"/>
      <c r="B335" s="9"/>
      <c r="C335" s="10"/>
      <c r="D335" s="10"/>
      <c r="E335" s="11"/>
      <c r="F335" s="12"/>
      <c r="G335" s="13"/>
      <c r="H335" s="8"/>
      <c r="I335" s="14"/>
      <c r="J335" s="15"/>
      <c r="K335" s="16"/>
      <c r="L335" s="8"/>
      <c r="M335" s="15"/>
      <c r="N335" s="8"/>
      <c r="O335" s="8"/>
      <c r="P335" s="17"/>
      <c r="Q335" s="18"/>
      <c r="R335" s="8"/>
      <c r="S335" s="8"/>
    </row>
    <row r="336" customFormat="1" customHeight="1" spans="1:19">
      <c r="A336" s="8"/>
      <c r="B336" s="9"/>
      <c r="C336" s="10"/>
      <c r="D336" s="10"/>
      <c r="E336" s="11"/>
      <c r="F336" s="12"/>
      <c r="G336" s="13"/>
      <c r="H336" s="8"/>
      <c r="I336" s="14"/>
      <c r="J336" s="15"/>
      <c r="K336" s="16"/>
      <c r="L336" s="8"/>
      <c r="M336" s="15"/>
      <c r="N336" s="8"/>
      <c r="O336" s="8"/>
      <c r="P336" s="17"/>
      <c r="Q336" s="18"/>
      <c r="R336" s="8"/>
      <c r="S336" s="8"/>
    </row>
    <row r="337" customFormat="1" customHeight="1" spans="1:19">
      <c r="A337" s="8"/>
      <c r="B337" s="9"/>
      <c r="C337" s="10"/>
      <c r="D337" s="10"/>
      <c r="E337" s="11"/>
      <c r="F337" s="12"/>
      <c r="G337" s="13"/>
      <c r="H337" s="8"/>
      <c r="I337" s="14"/>
      <c r="J337" s="15"/>
      <c r="K337" s="16"/>
      <c r="L337" s="8"/>
      <c r="M337" s="15"/>
      <c r="N337" s="8"/>
      <c r="O337" s="8"/>
      <c r="P337" s="17"/>
      <c r="Q337" s="18"/>
      <c r="R337" s="8"/>
      <c r="S337" s="8"/>
    </row>
    <row r="338" customFormat="1" customHeight="1" spans="1:19">
      <c r="A338" s="8"/>
      <c r="B338" s="9"/>
      <c r="C338" s="10"/>
      <c r="D338" s="10"/>
      <c r="E338" s="11"/>
      <c r="F338" s="12"/>
      <c r="G338" s="13"/>
      <c r="H338" s="8"/>
      <c r="I338" s="14"/>
      <c r="J338" s="15"/>
      <c r="K338" s="16"/>
      <c r="L338" s="8"/>
      <c r="M338" s="15"/>
      <c r="N338" s="8"/>
      <c r="O338" s="8"/>
      <c r="P338" s="17"/>
      <c r="Q338" s="18"/>
      <c r="R338" s="8"/>
      <c r="S338" s="8"/>
    </row>
    <row r="339" customFormat="1" customHeight="1" spans="1:19">
      <c r="A339" s="8"/>
      <c r="B339" s="9"/>
      <c r="C339" s="10"/>
      <c r="D339" s="10"/>
      <c r="E339" s="11"/>
      <c r="F339" s="12"/>
      <c r="G339" s="13"/>
      <c r="H339" s="8"/>
      <c r="I339" s="14"/>
      <c r="J339" s="15"/>
      <c r="K339" s="16"/>
      <c r="L339" s="8"/>
      <c r="M339" s="15"/>
      <c r="N339" s="8"/>
      <c r="O339" s="8"/>
      <c r="P339" s="17"/>
      <c r="Q339" s="18"/>
      <c r="R339" s="8"/>
      <c r="S339" s="8"/>
    </row>
    <row r="340" customFormat="1" customHeight="1" spans="1:19">
      <c r="A340" s="8"/>
      <c r="B340" s="9"/>
      <c r="C340" s="10"/>
      <c r="D340" s="10"/>
      <c r="E340" s="11"/>
      <c r="F340" s="12"/>
      <c r="G340" s="13"/>
      <c r="H340" s="8"/>
      <c r="I340" s="14"/>
      <c r="J340" s="15"/>
      <c r="K340" s="16"/>
      <c r="L340" s="8"/>
      <c r="M340" s="15"/>
      <c r="N340" s="8"/>
      <c r="O340" s="8"/>
      <c r="P340" s="17"/>
      <c r="Q340" s="18"/>
      <c r="R340" s="8"/>
      <c r="S340" s="8"/>
    </row>
    <row r="341" customFormat="1" customHeight="1" spans="1:19">
      <c r="A341" s="8"/>
      <c r="B341" s="9"/>
      <c r="C341" s="10"/>
      <c r="D341" s="10"/>
      <c r="E341" s="11"/>
      <c r="F341" s="12"/>
      <c r="G341" s="13"/>
      <c r="H341" s="8"/>
      <c r="I341" s="14"/>
      <c r="J341" s="15"/>
      <c r="K341" s="16"/>
      <c r="L341" s="8"/>
      <c r="M341" s="15"/>
      <c r="N341" s="8"/>
      <c r="O341" s="8"/>
      <c r="P341" s="17"/>
      <c r="Q341" s="18"/>
      <c r="R341" s="8"/>
      <c r="S341" s="8"/>
    </row>
    <row r="342" customFormat="1" customHeight="1" spans="1:19">
      <c r="A342" s="8"/>
      <c r="B342" s="9"/>
      <c r="C342" s="10"/>
      <c r="D342" s="10"/>
      <c r="E342" s="11"/>
      <c r="F342" s="12"/>
      <c r="G342" s="13"/>
      <c r="H342" s="8"/>
      <c r="I342" s="14"/>
      <c r="J342" s="15"/>
      <c r="K342" s="16"/>
      <c r="L342" s="8"/>
      <c r="M342" s="15"/>
      <c r="N342" s="8"/>
      <c r="O342" s="8"/>
      <c r="P342" s="17"/>
      <c r="Q342" s="18"/>
      <c r="R342" s="8"/>
      <c r="S342" s="8"/>
    </row>
    <row r="343" customFormat="1" customHeight="1" spans="1:19">
      <c r="A343" s="8"/>
      <c r="B343" s="9"/>
      <c r="C343" s="10"/>
      <c r="D343" s="10"/>
      <c r="E343" s="11"/>
      <c r="F343" s="12"/>
      <c r="G343" s="13"/>
      <c r="H343" s="8"/>
      <c r="I343" s="14"/>
      <c r="J343" s="15"/>
      <c r="K343" s="16"/>
      <c r="L343" s="8"/>
      <c r="M343" s="15"/>
      <c r="N343" s="8"/>
      <c r="O343" s="8"/>
      <c r="P343" s="17"/>
      <c r="Q343" s="18"/>
      <c r="R343" s="8"/>
      <c r="S343" s="8"/>
    </row>
    <row r="344" customFormat="1" customHeight="1" spans="1:19">
      <c r="A344" s="8"/>
      <c r="B344" s="9"/>
      <c r="C344" s="10"/>
      <c r="D344" s="10"/>
      <c r="E344" s="11"/>
      <c r="F344" s="12"/>
      <c r="G344" s="13"/>
      <c r="H344" s="8"/>
      <c r="I344" s="14"/>
      <c r="J344" s="15"/>
      <c r="K344" s="16"/>
      <c r="L344" s="8"/>
      <c r="M344" s="15"/>
      <c r="N344" s="8"/>
      <c r="O344" s="8"/>
      <c r="P344" s="17"/>
      <c r="Q344" s="18"/>
      <c r="R344" s="8"/>
      <c r="S344" s="8"/>
    </row>
    <row r="345" customFormat="1" customHeight="1" spans="1:19">
      <c r="A345" s="8"/>
      <c r="B345" s="9"/>
      <c r="C345" s="10"/>
      <c r="D345" s="10"/>
      <c r="E345" s="11"/>
      <c r="F345" s="12"/>
      <c r="G345" s="13"/>
      <c r="H345" s="8"/>
      <c r="I345" s="14"/>
      <c r="J345" s="15"/>
      <c r="K345" s="16"/>
      <c r="L345" s="8"/>
      <c r="M345" s="15"/>
      <c r="N345" s="8"/>
      <c r="O345" s="8"/>
      <c r="P345" s="17"/>
      <c r="Q345" s="18"/>
      <c r="R345" s="8"/>
      <c r="S345" s="8"/>
    </row>
    <row r="346" customFormat="1" customHeight="1" spans="1:19">
      <c r="A346" s="8"/>
      <c r="B346" s="9"/>
      <c r="C346" s="10"/>
      <c r="D346" s="10"/>
      <c r="E346" s="11"/>
      <c r="F346" s="12"/>
      <c r="G346" s="13"/>
      <c r="H346" s="8"/>
      <c r="I346" s="14"/>
      <c r="J346" s="15"/>
      <c r="K346" s="16"/>
      <c r="L346" s="8"/>
      <c r="M346" s="15"/>
      <c r="N346" s="8"/>
      <c r="O346" s="8"/>
      <c r="P346" s="17"/>
      <c r="Q346" s="18"/>
      <c r="R346" s="8"/>
      <c r="S346" s="8"/>
    </row>
    <row r="347" customFormat="1" customHeight="1" spans="1:19">
      <c r="A347" s="8"/>
      <c r="B347" s="9"/>
      <c r="C347" s="10"/>
      <c r="D347" s="10"/>
      <c r="E347" s="11"/>
      <c r="F347" s="12"/>
      <c r="G347" s="13"/>
      <c r="H347" s="8"/>
      <c r="I347" s="14"/>
      <c r="J347" s="15"/>
      <c r="K347" s="16"/>
      <c r="L347" s="8"/>
      <c r="M347" s="15"/>
      <c r="N347" s="8"/>
      <c r="O347" s="8"/>
      <c r="P347" s="17"/>
      <c r="Q347" s="18"/>
      <c r="R347" s="8"/>
      <c r="S347" s="8"/>
    </row>
    <row r="348" customFormat="1" customHeight="1" spans="1:19">
      <c r="A348" s="8"/>
      <c r="B348" s="9"/>
      <c r="C348" s="10"/>
      <c r="D348" s="10"/>
      <c r="E348" s="11"/>
      <c r="F348" s="12"/>
      <c r="G348" s="13"/>
      <c r="H348" s="8"/>
      <c r="I348" s="14"/>
      <c r="J348" s="15"/>
      <c r="K348" s="16"/>
      <c r="L348" s="8"/>
      <c r="M348" s="15"/>
      <c r="N348" s="8"/>
      <c r="O348" s="8"/>
      <c r="P348" s="17"/>
      <c r="Q348" s="18"/>
      <c r="R348" s="8"/>
      <c r="S348" s="8"/>
    </row>
    <row r="349" customFormat="1" customHeight="1" spans="1:19">
      <c r="A349" s="8"/>
      <c r="B349" s="9"/>
      <c r="C349" s="10"/>
      <c r="D349" s="10"/>
      <c r="E349" s="11"/>
      <c r="F349" s="12"/>
      <c r="G349" s="13"/>
      <c r="H349" s="8"/>
      <c r="I349" s="14"/>
      <c r="J349" s="15"/>
      <c r="K349" s="16"/>
      <c r="L349" s="8"/>
      <c r="M349" s="15"/>
      <c r="N349" s="8"/>
      <c r="O349" s="8"/>
      <c r="P349" s="17"/>
      <c r="Q349" s="18"/>
      <c r="R349" s="8"/>
      <c r="S349" s="8"/>
    </row>
    <row r="350" customFormat="1" customHeight="1" spans="1:19">
      <c r="A350" s="8"/>
      <c r="B350" s="9"/>
      <c r="C350" s="10"/>
      <c r="D350" s="10"/>
      <c r="E350" s="11"/>
      <c r="F350" s="12"/>
      <c r="G350" s="13"/>
      <c r="H350" s="8"/>
      <c r="I350" s="14"/>
      <c r="J350" s="15"/>
      <c r="K350" s="16"/>
      <c r="L350" s="8"/>
      <c r="M350" s="15"/>
      <c r="N350" s="8"/>
      <c r="O350" s="8"/>
      <c r="P350" s="17"/>
      <c r="Q350" s="18"/>
      <c r="R350" s="8"/>
      <c r="S350" s="8"/>
    </row>
    <row r="351" customFormat="1" customHeight="1" spans="1:19">
      <c r="A351" s="8"/>
      <c r="B351" s="9"/>
      <c r="C351" s="10"/>
      <c r="D351" s="10"/>
      <c r="E351" s="11"/>
      <c r="F351" s="12"/>
      <c r="G351" s="13"/>
      <c r="H351" s="8"/>
      <c r="I351" s="14"/>
      <c r="J351" s="15"/>
      <c r="K351" s="16"/>
      <c r="L351" s="8"/>
      <c r="M351" s="15"/>
      <c r="N351" s="8"/>
      <c r="O351" s="8"/>
      <c r="P351" s="17"/>
      <c r="Q351" s="18"/>
      <c r="R351" s="8"/>
      <c r="S351" s="8"/>
    </row>
    <row r="352" customFormat="1" customHeight="1" spans="1:19">
      <c r="A352" s="8"/>
      <c r="B352" s="9"/>
      <c r="C352" s="10"/>
      <c r="D352" s="10"/>
      <c r="E352" s="11"/>
      <c r="F352" s="12"/>
      <c r="G352" s="13"/>
      <c r="H352" s="8"/>
      <c r="I352" s="14"/>
      <c r="J352" s="15"/>
      <c r="K352" s="16"/>
      <c r="L352" s="8"/>
      <c r="M352" s="15"/>
      <c r="N352" s="8"/>
      <c r="O352" s="8"/>
      <c r="P352" s="17"/>
      <c r="Q352" s="18"/>
      <c r="R352" s="8"/>
      <c r="S352" s="8"/>
    </row>
    <row r="353" customFormat="1" customHeight="1" spans="1:19">
      <c r="A353" s="8"/>
      <c r="B353" s="9"/>
      <c r="C353" s="10"/>
      <c r="D353" s="10"/>
      <c r="E353" s="11"/>
      <c r="F353" s="12"/>
      <c r="G353" s="13"/>
      <c r="H353" s="8"/>
      <c r="I353" s="14"/>
      <c r="J353" s="15"/>
      <c r="K353" s="16"/>
      <c r="L353" s="8"/>
      <c r="M353" s="15"/>
      <c r="N353" s="8"/>
      <c r="O353" s="8"/>
      <c r="P353" s="17"/>
      <c r="Q353" s="18"/>
      <c r="R353" s="8"/>
      <c r="S353" s="8"/>
    </row>
    <row r="354" customFormat="1" customHeight="1" spans="1:19">
      <c r="A354" s="8"/>
      <c r="B354" s="9"/>
      <c r="C354" s="10"/>
      <c r="D354" s="10"/>
      <c r="E354" s="11"/>
      <c r="F354" s="12"/>
      <c r="G354" s="13"/>
      <c r="H354" s="8"/>
      <c r="I354" s="14"/>
      <c r="J354" s="15"/>
      <c r="K354" s="16"/>
      <c r="L354" s="8"/>
      <c r="M354" s="15"/>
      <c r="N354" s="8"/>
      <c r="O354" s="8"/>
      <c r="P354" s="17"/>
      <c r="Q354" s="18"/>
      <c r="R354" s="8"/>
      <c r="S354" s="8"/>
    </row>
    <row r="355" customFormat="1" customHeight="1" spans="1:19">
      <c r="A355" s="8"/>
      <c r="B355" s="9"/>
      <c r="C355" s="10"/>
      <c r="D355" s="10"/>
      <c r="E355" s="11"/>
      <c r="F355" s="12"/>
      <c r="G355" s="13"/>
      <c r="H355" s="8"/>
      <c r="I355" s="14"/>
      <c r="J355" s="15"/>
      <c r="K355" s="16"/>
      <c r="L355" s="8"/>
      <c r="M355" s="15"/>
      <c r="N355" s="8"/>
      <c r="O355" s="8"/>
      <c r="P355" s="17"/>
      <c r="Q355" s="18"/>
      <c r="R355" s="8"/>
      <c r="S355" s="8"/>
    </row>
    <row r="356" customFormat="1" customHeight="1" spans="1:19">
      <c r="A356" s="8"/>
      <c r="B356" s="9"/>
      <c r="C356" s="10"/>
      <c r="D356" s="10"/>
      <c r="E356" s="11"/>
      <c r="F356" s="12"/>
      <c r="G356" s="13"/>
      <c r="H356" s="8"/>
      <c r="I356" s="14"/>
      <c r="J356" s="15"/>
      <c r="K356" s="16"/>
      <c r="L356" s="8"/>
      <c r="M356" s="15"/>
      <c r="N356" s="8"/>
      <c r="O356" s="8"/>
      <c r="P356" s="17"/>
      <c r="Q356" s="18"/>
      <c r="R356" s="8"/>
      <c r="S356" s="8"/>
    </row>
    <row r="357" customFormat="1" customHeight="1" spans="1:19">
      <c r="A357" s="8"/>
      <c r="B357" s="9"/>
      <c r="C357" s="10"/>
      <c r="D357" s="10"/>
      <c r="E357" s="11"/>
      <c r="F357" s="12"/>
      <c r="G357" s="13"/>
      <c r="H357" s="8"/>
      <c r="I357" s="14"/>
      <c r="J357" s="15"/>
      <c r="K357" s="16"/>
      <c r="L357" s="8"/>
      <c r="M357" s="15"/>
      <c r="N357" s="8"/>
      <c r="O357" s="8"/>
      <c r="P357" s="17"/>
      <c r="Q357" s="18"/>
      <c r="R357" s="8"/>
      <c r="S357" s="8"/>
    </row>
    <row r="358" customFormat="1" customHeight="1" spans="1:19">
      <c r="A358" s="8"/>
      <c r="B358" s="9"/>
      <c r="C358" s="10"/>
      <c r="D358" s="10"/>
      <c r="E358" s="11"/>
      <c r="F358" s="12"/>
      <c r="G358" s="13"/>
      <c r="H358" s="8"/>
      <c r="I358" s="14"/>
      <c r="J358" s="15"/>
      <c r="K358" s="16"/>
      <c r="L358" s="8"/>
      <c r="M358" s="15"/>
      <c r="N358" s="8"/>
      <c r="O358" s="8"/>
      <c r="P358" s="17"/>
      <c r="Q358" s="18"/>
      <c r="R358" s="8"/>
      <c r="S358" s="8"/>
    </row>
    <row r="359" customFormat="1" customHeight="1" spans="1:19">
      <c r="A359" s="8"/>
      <c r="B359" s="9"/>
      <c r="C359" s="10"/>
      <c r="D359" s="10"/>
      <c r="E359" s="11"/>
      <c r="F359" s="12"/>
      <c r="G359" s="13"/>
      <c r="H359" s="8"/>
      <c r="I359" s="14"/>
      <c r="J359" s="15"/>
      <c r="K359" s="16"/>
      <c r="L359" s="8"/>
      <c r="M359" s="15"/>
      <c r="N359" s="8"/>
      <c r="O359" s="8"/>
      <c r="P359" s="17"/>
      <c r="Q359" s="18"/>
      <c r="R359" s="8"/>
      <c r="S359" s="8"/>
    </row>
    <row r="360" customFormat="1" customHeight="1" spans="1:19">
      <c r="A360" s="8"/>
      <c r="B360" s="9"/>
      <c r="C360" s="10"/>
      <c r="D360" s="10"/>
      <c r="E360" s="11"/>
      <c r="F360" s="12"/>
      <c r="G360" s="13"/>
      <c r="H360" s="8"/>
      <c r="I360" s="14"/>
      <c r="J360" s="15"/>
      <c r="K360" s="16"/>
      <c r="L360" s="8"/>
      <c r="M360" s="15"/>
      <c r="N360" s="8"/>
      <c r="O360" s="8"/>
      <c r="P360" s="17"/>
      <c r="Q360" s="18"/>
      <c r="R360" s="8"/>
      <c r="S360" s="8"/>
    </row>
    <row r="361" customFormat="1" customHeight="1" spans="1:19">
      <c r="A361" s="8"/>
      <c r="B361" s="9"/>
      <c r="C361" s="10"/>
      <c r="D361" s="10"/>
      <c r="E361" s="11"/>
      <c r="F361" s="12"/>
      <c r="G361" s="13"/>
      <c r="H361" s="8"/>
      <c r="I361" s="14"/>
      <c r="J361" s="15"/>
      <c r="K361" s="16"/>
      <c r="L361" s="8"/>
      <c r="M361" s="15"/>
      <c r="N361" s="8"/>
      <c r="O361" s="8"/>
      <c r="P361" s="17"/>
      <c r="Q361" s="18"/>
      <c r="R361" s="8"/>
      <c r="S361" s="8"/>
    </row>
    <row r="362" customFormat="1" customHeight="1" spans="1:19">
      <c r="A362" s="8"/>
      <c r="B362" s="9"/>
      <c r="C362" s="10"/>
      <c r="D362" s="10"/>
      <c r="E362" s="11"/>
      <c r="F362" s="12"/>
      <c r="G362" s="13"/>
      <c r="H362" s="8"/>
      <c r="I362" s="14"/>
      <c r="J362" s="15"/>
      <c r="K362" s="16"/>
      <c r="L362" s="8"/>
      <c r="M362" s="15"/>
      <c r="N362" s="8"/>
      <c r="O362" s="8"/>
      <c r="P362" s="17"/>
      <c r="Q362" s="18"/>
      <c r="R362" s="8"/>
      <c r="S362" s="8"/>
    </row>
    <row r="363" customFormat="1" customHeight="1" spans="1:19">
      <c r="A363" s="8"/>
      <c r="B363" s="9"/>
      <c r="C363" s="10"/>
      <c r="D363" s="10"/>
      <c r="E363" s="11"/>
      <c r="F363" s="12"/>
      <c r="G363" s="13"/>
      <c r="H363" s="8"/>
      <c r="I363" s="14"/>
      <c r="J363" s="15"/>
      <c r="K363" s="16"/>
      <c r="L363" s="8"/>
      <c r="M363" s="15"/>
      <c r="N363" s="8"/>
      <c r="O363" s="8"/>
      <c r="P363" s="17"/>
      <c r="Q363" s="18"/>
      <c r="R363" s="8"/>
      <c r="S363" s="8"/>
    </row>
    <row r="364" customFormat="1" customHeight="1" spans="1:19">
      <c r="A364" s="8"/>
      <c r="B364" s="9"/>
      <c r="C364" s="10"/>
      <c r="D364" s="10"/>
      <c r="E364" s="11"/>
      <c r="F364" s="12"/>
      <c r="G364" s="13"/>
      <c r="H364" s="8"/>
      <c r="I364" s="14"/>
      <c r="J364" s="15"/>
      <c r="K364" s="16"/>
      <c r="L364" s="8"/>
      <c r="M364" s="15"/>
      <c r="N364" s="8"/>
      <c r="O364" s="8"/>
      <c r="P364" s="17"/>
      <c r="Q364" s="18"/>
      <c r="R364" s="8"/>
      <c r="S364" s="8"/>
    </row>
    <row r="365" customFormat="1" customHeight="1" spans="1:19">
      <c r="A365" s="8"/>
      <c r="B365" s="9"/>
      <c r="C365" s="10"/>
      <c r="D365" s="10"/>
      <c r="E365" s="11"/>
      <c r="F365" s="12"/>
      <c r="G365" s="13"/>
      <c r="H365" s="8"/>
      <c r="I365" s="14"/>
      <c r="J365" s="15"/>
      <c r="K365" s="16"/>
      <c r="L365" s="8"/>
      <c r="M365" s="15"/>
      <c r="N365" s="8"/>
      <c r="O365" s="8"/>
      <c r="P365" s="17"/>
      <c r="Q365" s="18"/>
      <c r="R365" s="8"/>
      <c r="S365" s="8"/>
    </row>
    <row r="366" customFormat="1" customHeight="1" spans="1:19">
      <c r="A366" s="8"/>
      <c r="B366" s="9"/>
      <c r="C366" s="10"/>
      <c r="D366" s="10"/>
      <c r="E366" s="11"/>
      <c r="F366" s="12"/>
      <c r="G366" s="13"/>
      <c r="H366" s="8"/>
      <c r="I366" s="14"/>
      <c r="J366" s="15"/>
      <c r="K366" s="16"/>
      <c r="L366" s="8"/>
      <c r="M366" s="15"/>
      <c r="N366" s="8"/>
      <c r="O366" s="8"/>
      <c r="P366" s="17"/>
      <c r="Q366" s="18"/>
      <c r="R366" s="8"/>
      <c r="S366" s="8"/>
    </row>
    <row r="367" customFormat="1" customHeight="1" spans="1:19">
      <c r="A367" s="8"/>
      <c r="B367" s="9"/>
      <c r="C367" s="10"/>
      <c r="D367" s="10"/>
      <c r="E367" s="11"/>
      <c r="F367" s="12"/>
      <c r="G367" s="13"/>
      <c r="H367" s="8"/>
      <c r="I367" s="14"/>
      <c r="J367" s="15"/>
      <c r="K367" s="16"/>
      <c r="L367" s="8"/>
      <c r="M367" s="15"/>
      <c r="N367" s="8"/>
      <c r="O367" s="8"/>
      <c r="P367" s="17"/>
      <c r="Q367" s="18"/>
      <c r="R367" s="8"/>
      <c r="S367" s="8"/>
    </row>
    <row r="368" customFormat="1" customHeight="1" spans="1:19">
      <c r="A368" s="8"/>
      <c r="B368" s="9"/>
      <c r="C368" s="10"/>
      <c r="D368" s="10"/>
      <c r="E368" s="11"/>
      <c r="F368" s="12"/>
      <c r="G368" s="13"/>
      <c r="H368" s="8"/>
      <c r="I368" s="14"/>
      <c r="J368" s="15"/>
      <c r="K368" s="16"/>
      <c r="L368" s="8"/>
      <c r="M368" s="15"/>
      <c r="N368" s="8"/>
      <c r="O368" s="8"/>
      <c r="P368" s="17"/>
      <c r="Q368" s="18"/>
      <c r="R368" s="8"/>
      <c r="S368" s="8"/>
    </row>
    <row r="369" customFormat="1" customHeight="1" spans="1:19">
      <c r="A369" s="8"/>
      <c r="B369" s="9"/>
      <c r="C369" s="10"/>
      <c r="D369" s="10"/>
      <c r="E369" s="11"/>
      <c r="F369" s="12"/>
      <c r="G369" s="13"/>
      <c r="H369" s="8"/>
      <c r="I369" s="14"/>
      <c r="J369" s="15"/>
      <c r="K369" s="16"/>
      <c r="L369" s="8"/>
      <c r="M369" s="15"/>
      <c r="N369" s="8"/>
      <c r="O369" s="8"/>
      <c r="P369" s="17"/>
      <c r="Q369" s="18"/>
      <c r="R369" s="8"/>
      <c r="S369" s="8"/>
    </row>
    <row r="370" customFormat="1" customHeight="1" spans="1:19">
      <c r="A370" s="8"/>
      <c r="B370" s="9"/>
      <c r="C370" s="10"/>
      <c r="D370" s="10"/>
      <c r="E370" s="11"/>
      <c r="F370" s="12"/>
      <c r="G370" s="13"/>
      <c r="H370" s="8"/>
      <c r="I370" s="14"/>
      <c r="J370" s="15"/>
      <c r="K370" s="16"/>
      <c r="L370" s="8"/>
      <c r="M370" s="15"/>
      <c r="N370" s="8"/>
      <c r="O370" s="8"/>
      <c r="P370" s="17"/>
      <c r="Q370" s="18"/>
      <c r="R370" s="8"/>
      <c r="S370" s="8"/>
    </row>
    <row r="371" customFormat="1" customHeight="1" spans="1:19">
      <c r="A371" s="8"/>
      <c r="B371" s="9"/>
      <c r="C371" s="10"/>
      <c r="D371" s="10"/>
      <c r="E371" s="11"/>
      <c r="F371" s="12"/>
      <c r="G371" s="13"/>
      <c r="H371" s="8"/>
      <c r="I371" s="14"/>
      <c r="J371" s="15"/>
      <c r="K371" s="16"/>
      <c r="L371" s="8"/>
      <c r="M371" s="15"/>
      <c r="N371" s="8"/>
      <c r="O371" s="8"/>
      <c r="P371" s="17"/>
      <c r="Q371" s="18"/>
      <c r="R371" s="8"/>
      <c r="S371" s="8"/>
    </row>
    <row r="372" customFormat="1" customHeight="1" spans="1:19">
      <c r="A372" s="8"/>
      <c r="B372" s="9"/>
      <c r="C372" s="10"/>
      <c r="D372" s="10"/>
      <c r="E372" s="11"/>
      <c r="F372" s="12"/>
      <c r="G372" s="13"/>
      <c r="H372" s="8"/>
      <c r="I372" s="14"/>
      <c r="J372" s="15"/>
      <c r="K372" s="16"/>
      <c r="L372" s="8"/>
      <c r="M372" s="15"/>
      <c r="N372" s="8"/>
      <c r="O372" s="8"/>
      <c r="P372" s="17"/>
      <c r="Q372" s="18"/>
      <c r="R372" s="8"/>
      <c r="S372" s="8"/>
    </row>
    <row r="373" customFormat="1" customHeight="1" spans="1:19">
      <c r="A373" s="8"/>
      <c r="B373" s="9"/>
      <c r="C373" s="10"/>
      <c r="D373" s="10"/>
      <c r="E373" s="11"/>
      <c r="F373" s="12"/>
      <c r="G373" s="13"/>
      <c r="H373" s="8"/>
      <c r="I373" s="14"/>
      <c r="J373" s="15"/>
      <c r="K373" s="16"/>
      <c r="L373" s="8"/>
      <c r="M373" s="15"/>
      <c r="N373" s="8"/>
      <c r="O373" s="8"/>
      <c r="P373" s="17"/>
      <c r="Q373" s="18"/>
      <c r="R373" s="8"/>
      <c r="S373" s="8"/>
    </row>
    <row r="374" customFormat="1" customHeight="1" spans="1:19">
      <c r="A374" s="8"/>
      <c r="B374" s="9"/>
      <c r="C374" s="10"/>
      <c r="D374" s="10"/>
      <c r="E374" s="11"/>
      <c r="F374" s="12"/>
      <c r="G374" s="13"/>
      <c r="H374" s="8"/>
      <c r="I374" s="14"/>
      <c r="J374" s="15"/>
      <c r="K374" s="16"/>
      <c r="L374" s="8"/>
      <c r="M374" s="15"/>
      <c r="N374" s="8"/>
      <c r="O374" s="8"/>
      <c r="P374" s="17"/>
      <c r="Q374" s="18"/>
      <c r="R374" s="8"/>
      <c r="S374" s="8"/>
    </row>
    <row r="375" customFormat="1" customHeight="1" spans="1:19">
      <c r="A375" s="8"/>
      <c r="B375" s="9"/>
      <c r="C375" s="10"/>
      <c r="D375" s="10"/>
      <c r="E375" s="11"/>
      <c r="F375" s="12"/>
      <c r="G375" s="13"/>
      <c r="H375" s="8"/>
      <c r="I375" s="14"/>
      <c r="J375" s="15"/>
      <c r="K375" s="16"/>
      <c r="L375" s="8"/>
      <c r="M375" s="15"/>
      <c r="N375" s="8"/>
      <c r="O375" s="8"/>
      <c r="P375" s="17"/>
      <c r="Q375" s="18"/>
      <c r="R375" s="8"/>
      <c r="S375" s="8"/>
    </row>
    <row r="376" customFormat="1" customHeight="1" spans="1:19">
      <c r="A376" s="8"/>
      <c r="B376" s="9"/>
      <c r="C376" s="10"/>
      <c r="D376" s="10"/>
      <c r="E376" s="11"/>
      <c r="F376" s="12"/>
      <c r="G376" s="13"/>
      <c r="H376" s="8"/>
      <c r="I376" s="14"/>
      <c r="J376" s="15"/>
      <c r="K376" s="16"/>
      <c r="L376" s="8"/>
      <c r="M376" s="15"/>
      <c r="N376" s="8"/>
      <c r="O376" s="8"/>
      <c r="P376" s="17"/>
      <c r="Q376" s="18"/>
      <c r="R376" s="8"/>
      <c r="S376" s="8"/>
    </row>
    <row r="377" customFormat="1" customHeight="1" spans="1:19">
      <c r="A377" s="8"/>
      <c r="B377" s="9"/>
      <c r="C377" s="10"/>
      <c r="D377" s="10"/>
      <c r="E377" s="11"/>
      <c r="F377" s="12"/>
      <c r="G377" s="13"/>
      <c r="H377" s="8"/>
      <c r="I377" s="14"/>
      <c r="J377" s="15"/>
      <c r="K377" s="16"/>
      <c r="L377" s="8"/>
      <c r="M377" s="15"/>
      <c r="N377" s="8"/>
      <c r="O377" s="8"/>
      <c r="P377" s="17"/>
      <c r="Q377" s="18"/>
      <c r="R377" s="8"/>
      <c r="S377" s="8"/>
    </row>
    <row r="378" customFormat="1" customHeight="1" spans="1:19">
      <c r="A378" s="8"/>
      <c r="B378" s="9"/>
      <c r="C378" s="10"/>
      <c r="D378" s="10"/>
      <c r="E378" s="11"/>
      <c r="F378" s="12"/>
      <c r="G378" s="13"/>
      <c r="H378" s="8"/>
      <c r="I378" s="14"/>
      <c r="J378" s="15"/>
      <c r="K378" s="16"/>
      <c r="L378" s="8"/>
      <c r="M378" s="15"/>
      <c r="N378" s="8"/>
      <c r="O378" s="8"/>
      <c r="P378" s="17"/>
      <c r="Q378" s="18"/>
      <c r="R378" s="8"/>
      <c r="S378" s="8"/>
    </row>
    <row r="379" customFormat="1" customHeight="1" spans="1:19">
      <c r="A379" s="8"/>
      <c r="B379" s="9"/>
      <c r="C379" s="10"/>
      <c r="D379" s="10"/>
      <c r="E379" s="11"/>
      <c r="F379" s="12"/>
      <c r="G379" s="13"/>
      <c r="H379" s="8"/>
      <c r="I379" s="14"/>
      <c r="J379" s="15"/>
      <c r="K379" s="16"/>
      <c r="L379" s="8"/>
      <c r="M379" s="15"/>
      <c r="N379" s="8"/>
      <c r="O379" s="8"/>
      <c r="P379" s="17"/>
      <c r="Q379" s="18"/>
      <c r="R379" s="8"/>
      <c r="S379" s="8"/>
    </row>
    <row r="380" customFormat="1" customHeight="1" spans="1:19">
      <c r="A380" s="8"/>
      <c r="B380" s="9"/>
      <c r="C380" s="10"/>
      <c r="D380" s="10"/>
      <c r="E380" s="11"/>
      <c r="F380" s="12"/>
      <c r="G380" s="13"/>
      <c r="H380" s="8"/>
      <c r="I380" s="14"/>
      <c r="J380" s="15"/>
      <c r="K380" s="16"/>
      <c r="L380" s="8"/>
      <c r="M380" s="15"/>
      <c r="N380" s="8"/>
      <c r="O380" s="8"/>
      <c r="P380" s="17"/>
      <c r="Q380" s="18"/>
      <c r="R380" s="8"/>
      <c r="S380" s="8"/>
    </row>
    <row r="381" customFormat="1" customHeight="1" spans="1:19">
      <c r="A381" s="8"/>
      <c r="B381" s="9"/>
      <c r="C381" s="10"/>
      <c r="D381" s="10"/>
      <c r="E381" s="11"/>
      <c r="F381" s="12"/>
      <c r="G381" s="13"/>
      <c r="H381" s="8"/>
      <c r="I381" s="14"/>
      <c r="J381" s="15"/>
      <c r="K381" s="16"/>
      <c r="L381" s="8"/>
      <c r="M381" s="15"/>
      <c r="N381" s="8"/>
      <c r="O381" s="8"/>
      <c r="P381" s="17"/>
      <c r="Q381" s="18"/>
      <c r="R381" s="8"/>
      <c r="S381" s="8"/>
    </row>
    <row r="382" customFormat="1" customHeight="1" spans="1:19">
      <c r="A382" s="8"/>
      <c r="B382" s="9"/>
      <c r="C382" s="10"/>
      <c r="D382" s="10"/>
      <c r="E382" s="11"/>
      <c r="F382" s="12"/>
      <c r="G382" s="13"/>
      <c r="H382" s="8"/>
      <c r="I382" s="14"/>
      <c r="J382" s="15"/>
      <c r="K382" s="16"/>
      <c r="L382" s="8"/>
      <c r="M382" s="15"/>
      <c r="N382" s="8"/>
      <c r="O382" s="8"/>
      <c r="P382" s="17"/>
      <c r="Q382" s="18"/>
      <c r="R382" s="8"/>
      <c r="S382" s="8"/>
    </row>
    <row r="383" customFormat="1" customHeight="1" spans="1:19">
      <c r="A383" s="8"/>
      <c r="B383" s="9"/>
      <c r="C383" s="10"/>
      <c r="D383" s="10"/>
      <c r="E383" s="11"/>
      <c r="F383" s="12"/>
      <c r="G383" s="13"/>
      <c r="H383" s="8"/>
      <c r="I383" s="14"/>
      <c r="J383" s="15"/>
      <c r="K383" s="16"/>
      <c r="L383" s="8"/>
      <c r="M383" s="15"/>
      <c r="N383" s="8"/>
      <c r="O383" s="8"/>
      <c r="P383" s="17"/>
      <c r="Q383" s="18"/>
      <c r="R383" s="8"/>
      <c r="S383" s="8"/>
    </row>
    <row r="384" customFormat="1" customHeight="1" spans="1:19">
      <c r="A384" s="8"/>
      <c r="B384" s="9"/>
      <c r="C384" s="10"/>
      <c r="D384" s="10"/>
      <c r="E384" s="11"/>
      <c r="F384" s="12"/>
      <c r="G384" s="13"/>
      <c r="H384" s="8"/>
      <c r="I384" s="14"/>
      <c r="J384" s="15"/>
      <c r="K384" s="16"/>
      <c r="L384" s="8"/>
      <c r="M384" s="15"/>
      <c r="N384" s="8"/>
      <c r="O384" s="8"/>
      <c r="P384" s="17"/>
      <c r="Q384" s="18"/>
      <c r="R384" s="8"/>
      <c r="S384" s="8"/>
    </row>
    <row r="385" customFormat="1" customHeight="1" spans="1:19">
      <c r="A385" s="8"/>
      <c r="B385" s="9"/>
      <c r="C385" s="10"/>
      <c r="D385" s="10"/>
      <c r="E385" s="11"/>
      <c r="F385" s="12"/>
      <c r="G385" s="13"/>
      <c r="H385" s="8"/>
      <c r="I385" s="14"/>
      <c r="J385" s="15"/>
      <c r="K385" s="16"/>
      <c r="L385" s="8"/>
      <c r="M385" s="15"/>
      <c r="N385" s="8"/>
      <c r="O385" s="8"/>
      <c r="P385" s="17"/>
      <c r="Q385" s="18"/>
      <c r="R385" s="8"/>
      <c r="S385" s="8"/>
    </row>
    <row r="386" customFormat="1" customHeight="1" spans="1:19">
      <c r="A386" s="8"/>
      <c r="B386" s="9"/>
      <c r="C386" s="10"/>
      <c r="D386" s="10"/>
      <c r="E386" s="11"/>
      <c r="F386" s="12"/>
      <c r="G386" s="13"/>
      <c r="H386" s="8"/>
      <c r="I386" s="14"/>
      <c r="J386" s="15"/>
      <c r="K386" s="16"/>
      <c r="L386" s="8"/>
      <c r="M386" s="15"/>
      <c r="N386" s="8"/>
      <c r="O386" s="8"/>
      <c r="P386" s="17"/>
      <c r="Q386" s="18"/>
      <c r="R386" s="8"/>
      <c r="S386" s="8"/>
    </row>
    <row r="387" customFormat="1" customHeight="1" spans="1:19">
      <c r="A387" s="8"/>
      <c r="B387" s="9"/>
      <c r="C387" s="10"/>
      <c r="D387" s="10"/>
      <c r="E387" s="11"/>
      <c r="F387" s="12"/>
      <c r="G387" s="13"/>
      <c r="H387" s="8"/>
      <c r="I387" s="14"/>
      <c r="J387" s="15"/>
      <c r="K387" s="16"/>
      <c r="L387" s="8"/>
      <c r="M387" s="15"/>
      <c r="N387" s="8"/>
      <c r="O387" s="8"/>
      <c r="P387" s="17"/>
      <c r="Q387" s="18"/>
      <c r="R387" s="8"/>
      <c r="S387" s="8"/>
    </row>
    <row r="388" customFormat="1" customHeight="1" spans="1:19">
      <c r="A388" s="8"/>
      <c r="B388" s="9"/>
      <c r="C388" s="10"/>
      <c r="D388" s="10"/>
      <c r="E388" s="11"/>
      <c r="F388" s="12"/>
      <c r="G388" s="13"/>
      <c r="H388" s="8"/>
      <c r="I388" s="14"/>
      <c r="J388" s="15"/>
      <c r="K388" s="16"/>
      <c r="L388" s="8"/>
      <c r="M388" s="15"/>
      <c r="N388" s="8"/>
      <c r="O388" s="8"/>
      <c r="P388" s="17"/>
      <c r="Q388" s="18"/>
      <c r="R388" s="8"/>
      <c r="S388" s="8"/>
    </row>
    <row r="389" customFormat="1" customHeight="1" spans="1:19">
      <c r="A389" s="8"/>
      <c r="B389" s="9"/>
      <c r="C389" s="10"/>
      <c r="D389" s="10"/>
      <c r="E389" s="11"/>
      <c r="F389" s="12"/>
      <c r="G389" s="13"/>
      <c r="H389" s="8"/>
      <c r="I389" s="14"/>
      <c r="J389" s="15"/>
      <c r="K389" s="16"/>
      <c r="L389" s="8"/>
      <c r="M389" s="15"/>
      <c r="N389" s="8"/>
      <c r="O389" s="8"/>
      <c r="P389" s="17"/>
      <c r="Q389" s="18"/>
      <c r="R389" s="8"/>
      <c r="S389" s="8"/>
    </row>
    <row r="390" customFormat="1" customHeight="1" spans="1:19">
      <c r="A390" s="8"/>
      <c r="B390" s="9"/>
      <c r="C390" s="10"/>
      <c r="D390" s="10"/>
      <c r="E390" s="11"/>
      <c r="F390" s="12"/>
      <c r="G390" s="13"/>
      <c r="H390" s="8"/>
      <c r="I390" s="14"/>
      <c r="J390" s="15"/>
      <c r="K390" s="16"/>
      <c r="L390" s="8"/>
      <c r="M390" s="15"/>
      <c r="N390" s="8"/>
      <c r="O390" s="8"/>
      <c r="P390" s="17"/>
      <c r="Q390" s="18"/>
      <c r="R390" s="8"/>
      <c r="S390" s="8"/>
    </row>
    <row r="391" customFormat="1" customHeight="1" spans="1:19">
      <c r="A391" s="8"/>
      <c r="B391" s="9"/>
      <c r="C391" s="10"/>
      <c r="D391" s="10"/>
      <c r="E391" s="11"/>
      <c r="F391" s="12"/>
      <c r="G391" s="13"/>
      <c r="H391" s="8"/>
      <c r="I391" s="14"/>
      <c r="J391" s="15"/>
      <c r="K391" s="16"/>
      <c r="L391" s="8"/>
      <c r="M391" s="15"/>
      <c r="N391" s="8"/>
      <c r="O391" s="8"/>
      <c r="P391" s="17"/>
      <c r="Q391" s="18"/>
      <c r="R391" s="8"/>
      <c r="S391" s="8"/>
    </row>
    <row r="392" customFormat="1" customHeight="1" spans="1:19">
      <c r="A392" s="8"/>
      <c r="B392" s="9"/>
      <c r="C392" s="10"/>
      <c r="D392" s="10"/>
      <c r="E392" s="11"/>
      <c r="F392" s="12"/>
      <c r="G392" s="13"/>
      <c r="H392" s="8"/>
      <c r="I392" s="14"/>
      <c r="J392" s="15"/>
      <c r="K392" s="16"/>
      <c r="L392" s="8"/>
      <c r="M392" s="15"/>
      <c r="N392" s="8"/>
      <c r="O392" s="8"/>
      <c r="P392" s="17"/>
      <c r="Q392" s="18"/>
      <c r="R392" s="8"/>
      <c r="S392" s="8"/>
    </row>
    <row r="393" customFormat="1" customHeight="1" spans="1:19">
      <c r="A393" s="8"/>
      <c r="B393" s="9"/>
      <c r="C393" s="10"/>
      <c r="D393" s="10"/>
      <c r="E393" s="11"/>
      <c r="F393" s="12"/>
      <c r="G393" s="13"/>
      <c r="H393" s="8"/>
      <c r="I393" s="14"/>
      <c r="J393" s="15"/>
      <c r="K393" s="16"/>
      <c r="L393" s="8"/>
      <c r="M393" s="15"/>
      <c r="N393" s="8"/>
      <c r="O393" s="8"/>
      <c r="P393" s="17"/>
      <c r="Q393" s="18"/>
      <c r="R393" s="8"/>
      <c r="S393" s="8"/>
    </row>
    <row r="394" customFormat="1" customHeight="1" spans="1:19">
      <c r="A394" s="8"/>
      <c r="B394" s="9"/>
      <c r="C394" s="10"/>
      <c r="D394" s="10"/>
      <c r="E394" s="11"/>
      <c r="F394" s="12"/>
      <c r="G394" s="13"/>
      <c r="H394" s="8"/>
      <c r="I394" s="14"/>
      <c r="J394" s="15"/>
      <c r="K394" s="16"/>
      <c r="L394" s="8"/>
      <c r="M394" s="15"/>
      <c r="N394" s="8"/>
      <c r="O394" s="8"/>
      <c r="P394" s="17"/>
      <c r="Q394" s="18"/>
      <c r="R394" s="8"/>
      <c r="S394" s="8"/>
    </row>
    <row r="395" customFormat="1" customHeight="1" spans="1:19">
      <c r="A395" s="8"/>
      <c r="B395" s="9"/>
      <c r="C395" s="10"/>
      <c r="D395" s="10"/>
      <c r="E395" s="11"/>
      <c r="F395" s="12"/>
      <c r="G395" s="13"/>
      <c r="H395" s="8"/>
      <c r="I395" s="14"/>
      <c r="J395" s="15"/>
      <c r="K395" s="16"/>
      <c r="L395" s="8"/>
      <c r="M395" s="15"/>
      <c r="N395" s="8"/>
      <c r="O395" s="8"/>
      <c r="P395" s="17"/>
      <c r="Q395" s="18"/>
      <c r="R395" s="8"/>
      <c r="S395" s="8"/>
    </row>
    <row r="396" customFormat="1" customHeight="1" spans="1:19">
      <c r="A396" s="8"/>
      <c r="B396" s="9"/>
      <c r="C396" s="10"/>
      <c r="D396" s="10"/>
      <c r="E396" s="11"/>
      <c r="F396" s="12"/>
      <c r="G396" s="13"/>
      <c r="H396" s="8"/>
      <c r="I396" s="14"/>
      <c r="J396" s="15"/>
      <c r="K396" s="16"/>
      <c r="L396" s="8"/>
      <c r="M396" s="15"/>
      <c r="N396" s="8"/>
      <c r="O396" s="8"/>
      <c r="P396" s="17"/>
      <c r="Q396" s="18"/>
      <c r="R396" s="8"/>
      <c r="S396" s="8"/>
    </row>
    <row r="397" customFormat="1" customHeight="1" spans="1:19">
      <c r="A397" s="8"/>
      <c r="B397" s="9"/>
      <c r="C397" s="10"/>
      <c r="D397" s="10"/>
      <c r="E397" s="11"/>
      <c r="F397" s="12"/>
      <c r="G397" s="13"/>
      <c r="H397" s="8"/>
      <c r="I397" s="14"/>
      <c r="J397" s="15"/>
      <c r="K397" s="16"/>
      <c r="L397" s="8"/>
      <c r="M397" s="15"/>
      <c r="N397" s="8"/>
      <c r="O397" s="8"/>
      <c r="P397" s="17"/>
      <c r="Q397" s="18"/>
      <c r="R397" s="8"/>
      <c r="S397" s="8"/>
    </row>
    <row r="398" customFormat="1" customHeight="1" spans="1:19">
      <c r="A398" s="8"/>
      <c r="B398" s="9"/>
      <c r="C398" s="10"/>
      <c r="D398" s="10"/>
      <c r="E398" s="11"/>
      <c r="F398" s="12"/>
      <c r="G398" s="13"/>
      <c r="H398" s="8"/>
      <c r="I398" s="14"/>
      <c r="J398" s="15"/>
      <c r="K398" s="16"/>
      <c r="L398" s="8"/>
      <c r="M398" s="15"/>
      <c r="N398" s="8"/>
      <c r="O398" s="8"/>
      <c r="P398" s="17"/>
      <c r="Q398" s="18"/>
      <c r="R398" s="8"/>
      <c r="S398" s="8"/>
    </row>
    <row r="399" customFormat="1" customHeight="1" spans="1:19">
      <c r="A399" s="8"/>
      <c r="B399" s="9"/>
      <c r="C399" s="10"/>
      <c r="D399" s="10"/>
      <c r="E399" s="11"/>
      <c r="F399" s="12"/>
      <c r="G399" s="13"/>
      <c r="H399" s="8"/>
      <c r="I399" s="14"/>
      <c r="J399" s="15"/>
      <c r="K399" s="16"/>
      <c r="L399" s="8"/>
      <c r="M399" s="15"/>
      <c r="N399" s="8"/>
      <c r="O399" s="8"/>
      <c r="P399" s="17"/>
      <c r="Q399" s="18"/>
      <c r="R399" s="8"/>
      <c r="S399" s="8"/>
    </row>
    <row r="400" customFormat="1" customHeight="1" spans="1:19">
      <c r="A400" s="8"/>
      <c r="B400" s="9"/>
      <c r="C400" s="10"/>
      <c r="D400" s="10"/>
      <c r="E400" s="11"/>
      <c r="F400" s="12"/>
      <c r="G400" s="13"/>
      <c r="H400" s="8"/>
      <c r="I400" s="14"/>
      <c r="J400" s="15"/>
      <c r="K400" s="16"/>
      <c r="L400" s="8"/>
      <c r="M400" s="15"/>
      <c r="N400" s="8"/>
      <c r="O400" s="8"/>
      <c r="P400" s="17"/>
      <c r="Q400" s="18"/>
      <c r="R400" s="8"/>
      <c r="S400" s="8"/>
    </row>
    <row r="401" customFormat="1" customHeight="1" spans="1:19">
      <c r="A401" s="8"/>
      <c r="B401" s="9"/>
      <c r="C401" s="10"/>
      <c r="D401" s="10"/>
      <c r="E401" s="11"/>
      <c r="F401" s="12"/>
      <c r="G401" s="13"/>
      <c r="H401" s="8"/>
      <c r="I401" s="14"/>
      <c r="J401" s="15"/>
      <c r="K401" s="16"/>
      <c r="L401" s="8"/>
      <c r="M401" s="15"/>
      <c r="N401" s="8"/>
      <c r="O401" s="8"/>
      <c r="P401" s="17"/>
      <c r="Q401" s="18"/>
      <c r="R401" s="8"/>
      <c r="S401" s="8"/>
    </row>
    <row r="402" customFormat="1" customHeight="1" spans="1:19">
      <c r="A402" s="8"/>
      <c r="B402" s="9"/>
      <c r="C402" s="10"/>
      <c r="D402" s="10"/>
      <c r="E402" s="11"/>
      <c r="F402" s="12"/>
      <c r="G402" s="13"/>
      <c r="H402" s="8"/>
      <c r="I402" s="14"/>
      <c r="J402" s="15"/>
      <c r="K402" s="16"/>
      <c r="L402" s="8"/>
      <c r="M402" s="15"/>
      <c r="N402" s="8"/>
      <c r="O402" s="8"/>
      <c r="P402" s="17"/>
      <c r="Q402" s="18"/>
      <c r="R402" s="8"/>
      <c r="S402" s="8"/>
    </row>
    <row r="403" customFormat="1" customHeight="1" spans="1:19">
      <c r="A403" s="8"/>
      <c r="B403" s="9"/>
      <c r="C403" s="10"/>
      <c r="D403" s="10"/>
      <c r="E403" s="11"/>
      <c r="F403" s="12"/>
      <c r="G403" s="13"/>
      <c r="H403" s="8"/>
      <c r="I403" s="14"/>
      <c r="J403" s="15"/>
      <c r="K403" s="16"/>
      <c r="L403" s="8"/>
      <c r="M403" s="15"/>
      <c r="N403" s="8"/>
      <c r="O403" s="8"/>
      <c r="P403" s="17"/>
      <c r="Q403" s="18"/>
      <c r="R403" s="8"/>
      <c r="S403" s="8"/>
    </row>
    <row r="404" customFormat="1" customHeight="1" spans="1:19">
      <c r="A404" s="8"/>
      <c r="B404" s="9"/>
      <c r="C404" s="10"/>
      <c r="D404" s="10"/>
      <c r="E404" s="11"/>
      <c r="F404" s="12"/>
      <c r="G404" s="13"/>
      <c r="H404" s="8"/>
      <c r="I404" s="14"/>
      <c r="J404" s="15"/>
      <c r="K404" s="16"/>
      <c r="L404" s="8"/>
      <c r="M404" s="15"/>
      <c r="N404" s="8"/>
      <c r="O404" s="8"/>
      <c r="P404" s="17"/>
      <c r="Q404" s="18"/>
      <c r="R404" s="8"/>
      <c r="S404" s="8"/>
    </row>
    <row r="405" customFormat="1" customHeight="1" spans="1:19">
      <c r="A405" s="8"/>
      <c r="B405" s="9"/>
      <c r="C405" s="10"/>
      <c r="D405" s="10"/>
      <c r="E405" s="11"/>
      <c r="F405" s="12"/>
      <c r="G405" s="13"/>
      <c r="H405" s="8"/>
      <c r="I405" s="14"/>
      <c r="J405" s="15"/>
      <c r="K405" s="16"/>
      <c r="L405" s="8"/>
      <c r="M405" s="15"/>
      <c r="N405" s="8"/>
      <c r="O405" s="8"/>
      <c r="P405" s="17"/>
      <c r="Q405" s="18"/>
      <c r="R405" s="8"/>
      <c r="S405" s="8"/>
    </row>
    <row r="406" customFormat="1" customHeight="1" spans="1:19">
      <c r="A406" s="8"/>
      <c r="B406" s="9"/>
      <c r="C406" s="10"/>
      <c r="D406" s="10"/>
      <c r="E406" s="11"/>
      <c r="F406" s="12"/>
      <c r="G406" s="13"/>
      <c r="H406" s="8"/>
      <c r="I406" s="14"/>
      <c r="J406" s="15"/>
      <c r="K406" s="16"/>
      <c r="L406" s="8"/>
      <c r="M406" s="15"/>
      <c r="N406" s="8"/>
      <c r="O406" s="8"/>
      <c r="P406" s="17"/>
      <c r="Q406" s="18"/>
      <c r="R406" s="8"/>
      <c r="S406" s="8"/>
    </row>
    <row r="407" customFormat="1" customHeight="1" spans="1:19">
      <c r="A407" s="8"/>
      <c r="B407" s="9"/>
      <c r="C407" s="10"/>
      <c r="D407" s="10"/>
      <c r="E407" s="11"/>
      <c r="F407" s="12"/>
      <c r="G407" s="13"/>
      <c r="H407" s="8"/>
      <c r="I407" s="14"/>
      <c r="J407" s="15"/>
      <c r="K407" s="16"/>
      <c r="L407" s="8"/>
      <c r="M407" s="15"/>
      <c r="N407" s="8"/>
      <c r="O407" s="8"/>
      <c r="P407" s="17"/>
      <c r="Q407" s="18"/>
      <c r="R407" s="8"/>
      <c r="S407" s="8"/>
    </row>
    <row r="408" customFormat="1" customHeight="1" spans="1:19">
      <c r="A408" s="8"/>
      <c r="B408" s="9"/>
      <c r="C408" s="10"/>
      <c r="D408" s="10"/>
      <c r="E408" s="11"/>
      <c r="F408" s="12"/>
      <c r="G408" s="13"/>
      <c r="H408" s="8"/>
      <c r="I408" s="14"/>
      <c r="J408" s="15"/>
      <c r="K408" s="16"/>
      <c r="L408" s="8"/>
      <c r="M408" s="15"/>
      <c r="N408" s="8"/>
      <c r="O408" s="8"/>
      <c r="P408" s="17"/>
      <c r="Q408" s="18"/>
      <c r="R408" s="8"/>
      <c r="S408" s="8"/>
    </row>
    <row r="409" customFormat="1" customHeight="1" spans="1:19">
      <c r="A409" s="8"/>
      <c r="B409" s="9"/>
      <c r="C409" s="10"/>
      <c r="D409" s="10"/>
      <c r="E409" s="11"/>
      <c r="F409" s="12"/>
      <c r="G409" s="13"/>
      <c r="H409" s="8"/>
      <c r="I409" s="14"/>
      <c r="J409" s="15"/>
      <c r="K409" s="16"/>
      <c r="L409" s="8"/>
      <c r="M409" s="15"/>
      <c r="N409" s="8"/>
      <c r="O409" s="8"/>
      <c r="P409" s="17"/>
      <c r="Q409" s="18"/>
      <c r="R409" s="8"/>
      <c r="S409" s="8"/>
    </row>
    <row r="410" customFormat="1" customHeight="1" spans="1:19">
      <c r="A410" s="8"/>
      <c r="B410" s="9"/>
      <c r="C410" s="10"/>
      <c r="D410" s="10"/>
      <c r="E410" s="11"/>
      <c r="F410" s="12"/>
      <c r="G410" s="13"/>
      <c r="H410" s="8"/>
      <c r="I410" s="14"/>
      <c r="J410" s="15"/>
      <c r="K410" s="16"/>
      <c r="L410" s="8"/>
      <c r="M410" s="15"/>
      <c r="N410" s="8"/>
      <c r="O410" s="8"/>
      <c r="P410" s="17"/>
      <c r="Q410" s="18"/>
      <c r="R410" s="8"/>
      <c r="S410" s="8"/>
    </row>
    <row r="411" customFormat="1" customHeight="1" spans="1:19">
      <c r="A411" s="8"/>
      <c r="B411" s="9"/>
      <c r="C411" s="10"/>
      <c r="D411" s="10"/>
      <c r="E411" s="11"/>
      <c r="F411" s="12"/>
      <c r="G411" s="13"/>
      <c r="H411" s="8"/>
      <c r="I411" s="14"/>
      <c r="J411" s="15"/>
      <c r="K411" s="16"/>
      <c r="L411" s="8"/>
      <c r="M411" s="15"/>
      <c r="N411" s="8"/>
      <c r="O411" s="8"/>
      <c r="P411" s="17"/>
      <c r="Q411" s="18"/>
      <c r="R411" s="8"/>
      <c r="S411" s="8"/>
    </row>
    <row r="412" customFormat="1" customHeight="1" spans="1:19">
      <c r="A412" s="8"/>
      <c r="B412" s="9"/>
      <c r="C412" s="10"/>
      <c r="D412" s="10"/>
      <c r="E412" s="11"/>
      <c r="F412" s="12"/>
      <c r="G412" s="13"/>
      <c r="H412" s="8"/>
      <c r="I412" s="14"/>
      <c r="J412" s="15"/>
      <c r="K412" s="16"/>
      <c r="L412" s="8"/>
      <c r="M412" s="15"/>
      <c r="N412" s="8"/>
      <c r="O412" s="8"/>
      <c r="P412" s="17"/>
      <c r="Q412" s="18"/>
      <c r="R412" s="8"/>
      <c r="S412" s="8"/>
    </row>
    <row r="413" customFormat="1" customHeight="1" spans="1:19">
      <c r="A413" s="8"/>
      <c r="B413" s="9"/>
      <c r="C413" s="10"/>
      <c r="D413" s="10"/>
      <c r="E413" s="11"/>
      <c r="F413" s="12"/>
      <c r="G413" s="13"/>
      <c r="H413" s="8"/>
      <c r="I413" s="14"/>
      <c r="J413" s="15"/>
      <c r="K413" s="16"/>
      <c r="L413" s="8"/>
      <c r="M413" s="15"/>
      <c r="N413" s="8"/>
      <c r="O413" s="8"/>
      <c r="P413" s="17"/>
      <c r="Q413" s="18"/>
      <c r="R413" s="8"/>
      <c r="S413" s="8"/>
    </row>
    <row r="414" customFormat="1" customHeight="1" spans="1:19">
      <c r="A414" s="8"/>
      <c r="B414" s="9"/>
      <c r="C414" s="10"/>
      <c r="D414" s="10"/>
      <c r="E414" s="11"/>
      <c r="F414" s="12"/>
      <c r="G414" s="13"/>
      <c r="H414" s="8"/>
      <c r="I414" s="14"/>
      <c r="J414" s="15"/>
      <c r="K414" s="16"/>
      <c r="L414" s="8"/>
      <c r="M414" s="15"/>
      <c r="N414" s="8"/>
      <c r="O414" s="8"/>
      <c r="P414" s="17"/>
      <c r="Q414" s="18"/>
      <c r="R414" s="8"/>
      <c r="S414" s="8"/>
    </row>
    <row r="415" customFormat="1" customHeight="1" spans="1:19">
      <c r="A415" s="8"/>
      <c r="B415" s="9"/>
      <c r="C415" s="10"/>
      <c r="D415" s="10"/>
      <c r="E415" s="11"/>
      <c r="F415" s="12"/>
      <c r="G415" s="13"/>
      <c r="H415" s="8"/>
      <c r="I415" s="14"/>
      <c r="J415" s="15"/>
      <c r="K415" s="16"/>
      <c r="L415" s="8"/>
      <c r="M415" s="15"/>
      <c r="N415" s="8"/>
      <c r="O415" s="8"/>
      <c r="P415" s="17"/>
      <c r="Q415" s="18"/>
      <c r="R415" s="8"/>
      <c r="S415" s="8"/>
    </row>
    <row r="416" customFormat="1" customHeight="1" spans="1:19">
      <c r="A416" s="8"/>
      <c r="B416" s="9"/>
      <c r="C416" s="10"/>
      <c r="D416" s="10"/>
      <c r="E416" s="11"/>
      <c r="F416" s="12"/>
      <c r="G416" s="13"/>
      <c r="H416" s="8"/>
      <c r="I416" s="14"/>
      <c r="J416" s="15"/>
      <c r="K416" s="16"/>
      <c r="L416" s="8"/>
      <c r="M416" s="15"/>
      <c r="N416" s="8"/>
      <c r="O416" s="8"/>
      <c r="P416" s="17"/>
      <c r="Q416" s="18"/>
      <c r="R416" s="8"/>
      <c r="S416" s="8"/>
    </row>
    <row r="417" customFormat="1" customHeight="1" spans="1:19">
      <c r="A417" s="8"/>
      <c r="B417" s="9"/>
      <c r="C417" s="10"/>
      <c r="D417" s="10"/>
      <c r="E417" s="11"/>
      <c r="F417" s="12"/>
      <c r="G417" s="13"/>
      <c r="H417" s="8"/>
      <c r="I417" s="14"/>
      <c r="J417" s="15"/>
      <c r="K417" s="16"/>
      <c r="L417" s="8"/>
      <c r="M417" s="15"/>
      <c r="N417" s="8"/>
      <c r="O417" s="8"/>
      <c r="P417" s="17"/>
      <c r="Q417" s="18"/>
      <c r="R417" s="8"/>
      <c r="S417" s="8"/>
    </row>
    <row r="418" customFormat="1" customHeight="1" spans="1:19">
      <c r="A418" s="8"/>
      <c r="B418" s="9"/>
      <c r="C418" s="10"/>
      <c r="D418" s="10"/>
      <c r="E418" s="11"/>
      <c r="F418" s="12"/>
      <c r="G418" s="13"/>
      <c r="H418" s="8"/>
      <c r="I418" s="14"/>
      <c r="J418" s="15"/>
      <c r="K418" s="16"/>
      <c r="L418" s="8"/>
      <c r="M418" s="15"/>
      <c r="N418" s="8"/>
      <c r="O418" s="8"/>
      <c r="P418" s="17"/>
      <c r="Q418" s="18"/>
      <c r="R418" s="8"/>
      <c r="S418" s="8"/>
    </row>
    <row r="419" customFormat="1" customHeight="1" spans="1:19">
      <c r="A419" s="8"/>
      <c r="B419" s="9"/>
      <c r="C419" s="10"/>
      <c r="D419" s="10"/>
      <c r="E419" s="11"/>
      <c r="F419" s="12"/>
      <c r="G419" s="13"/>
      <c r="H419" s="8"/>
      <c r="I419" s="14"/>
      <c r="J419" s="15"/>
      <c r="K419" s="16"/>
      <c r="L419" s="8"/>
      <c r="M419" s="15"/>
      <c r="N419" s="8"/>
      <c r="O419" s="8"/>
      <c r="P419" s="17"/>
      <c r="Q419" s="18"/>
      <c r="R419" s="8"/>
      <c r="S419" s="8"/>
    </row>
    <row r="420" customFormat="1" customHeight="1" spans="1:19">
      <c r="A420" s="8"/>
      <c r="B420" s="9"/>
      <c r="C420" s="10"/>
      <c r="D420" s="10"/>
      <c r="E420" s="11"/>
      <c r="F420" s="12"/>
      <c r="G420" s="13"/>
      <c r="H420" s="8"/>
      <c r="I420" s="14"/>
      <c r="J420" s="15"/>
      <c r="K420" s="16"/>
      <c r="L420" s="8"/>
      <c r="M420" s="15"/>
      <c r="N420" s="8"/>
      <c r="O420" s="8"/>
      <c r="P420" s="17"/>
      <c r="Q420" s="18"/>
      <c r="R420" s="8"/>
      <c r="S420" s="8"/>
    </row>
    <row r="421" customFormat="1" customHeight="1" spans="1:19">
      <c r="A421" s="8"/>
      <c r="B421" s="9"/>
      <c r="C421" s="10"/>
      <c r="D421" s="10"/>
      <c r="E421" s="11"/>
      <c r="F421" s="12"/>
      <c r="G421" s="13"/>
      <c r="H421" s="8"/>
      <c r="I421" s="14"/>
      <c r="J421" s="15"/>
      <c r="K421" s="16"/>
      <c r="L421" s="8"/>
      <c r="M421" s="15"/>
      <c r="N421" s="8"/>
      <c r="O421" s="8"/>
      <c r="P421" s="17"/>
      <c r="Q421" s="18"/>
      <c r="R421" s="8"/>
      <c r="S421" s="8"/>
    </row>
    <row r="422" customFormat="1" customHeight="1" spans="1:19">
      <c r="A422" s="8"/>
      <c r="B422" s="9"/>
      <c r="C422" s="10"/>
      <c r="D422" s="10"/>
      <c r="E422" s="11"/>
      <c r="F422" s="12"/>
      <c r="G422" s="13"/>
      <c r="H422" s="8"/>
      <c r="I422" s="14"/>
      <c r="J422" s="15"/>
      <c r="K422" s="16"/>
      <c r="L422" s="8"/>
      <c r="M422" s="15"/>
      <c r="N422" s="8"/>
      <c r="O422" s="8"/>
      <c r="P422" s="17"/>
      <c r="Q422" s="18"/>
      <c r="R422" s="8"/>
      <c r="S422" s="8"/>
    </row>
    <row r="423" customFormat="1" customHeight="1" spans="1:19">
      <c r="A423" s="8"/>
      <c r="B423" s="9"/>
      <c r="C423" s="10"/>
      <c r="D423" s="10"/>
      <c r="E423" s="11"/>
      <c r="F423" s="12"/>
      <c r="G423" s="13"/>
      <c r="H423" s="8"/>
      <c r="I423" s="14"/>
      <c r="J423" s="15"/>
      <c r="K423" s="16"/>
      <c r="L423" s="8"/>
      <c r="M423" s="15"/>
      <c r="N423" s="8"/>
      <c r="O423" s="8"/>
      <c r="P423" s="17"/>
      <c r="Q423" s="18"/>
      <c r="R423" s="8"/>
      <c r="S423" s="8"/>
    </row>
    <row r="424" customFormat="1" customHeight="1" spans="1:19">
      <c r="A424" s="8"/>
      <c r="B424" s="9"/>
      <c r="C424" s="10"/>
      <c r="D424" s="10"/>
      <c r="E424" s="11"/>
      <c r="F424" s="12"/>
      <c r="G424" s="13"/>
      <c r="H424" s="8"/>
      <c r="I424" s="14"/>
      <c r="J424" s="15"/>
      <c r="K424" s="16"/>
      <c r="L424" s="8"/>
      <c r="M424" s="15"/>
      <c r="N424" s="8"/>
      <c r="O424" s="8"/>
      <c r="P424" s="17"/>
      <c r="Q424" s="18"/>
      <c r="R424" s="8"/>
      <c r="S424" s="8"/>
    </row>
    <row r="425" customFormat="1" customHeight="1" spans="1:19">
      <c r="A425" s="8"/>
      <c r="B425" s="9"/>
      <c r="C425" s="10"/>
      <c r="D425" s="10"/>
      <c r="E425" s="11"/>
      <c r="F425" s="12"/>
      <c r="G425" s="13"/>
      <c r="H425" s="8"/>
      <c r="I425" s="14"/>
      <c r="J425" s="15"/>
      <c r="K425" s="16"/>
      <c r="L425" s="8"/>
      <c r="M425" s="15"/>
      <c r="N425" s="8"/>
      <c r="O425" s="8"/>
      <c r="P425" s="17"/>
      <c r="Q425" s="18"/>
      <c r="R425" s="8"/>
      <c r="S425" s="8"/>
    </row>
    <row r="426" customFormat="1" customHeight="1" spans="1:19">
      <c r="A426" s="8"/>
      <c r="B426" s="9"/>
      <c r="C426" s="10"/>
      <c r="D426" s="10"/>
      <c r="E426" s="11"/>
      <c r="F426" s="12"/>
      <c r="G426" s="13"/>
      <c r="H426" s="8"/>
      <c r="I426" s="14"/>
      <c r="J426" s="15"/>
      <c r="K426" s="16"/>
      <c r="L426" s="8"/>
      <c r="M426" s="15"/>
      <c r="N426" s="8"/>
      <c r="O426" s="8"/>
      <c r="P426" s="17"/>
      <c r="Q426" s="18"/>
      <c r="R426" s="8"/>
      <c r="S426" s="8"/>
    </row>
    <row r="427" customFormat="1" customHeight="1" spans="1:19">
      <c r="A427" s="8"/>
      <c r="B427" s="9"/>
      <c r="C427" s="10"/>
      <c r="D427" s="10"/>
      <c r="E427" s="11"/>
      <c r="F427" s="12"/>
      <c r="G427" s="13"/>
      <c r="H427" s="8"/>
      <c r="I427" s="14"/>
      <c r="J427" s="15"/>
      <c r="K427" s="16"/>
      <c r="L427" s="8"/>
      <c r="M427" s="15"/>
      <c r="N427" s="8"/>
      <c r="O427" s="8"/>
      <c r="P427" s="17"/>
      <c r="Q427" s="18"/>
      <c r="R427" s="8"/>
      <c r="S427" s="8"/>
    </row>
    <row r="428" customFormat="1" customHeight="1" spans="1:19">
      <c r="A428" s="8"/>
      <c r="B428" s="9"/>
      <c r="C428" s="10"/>
      <c r="D428" s="10"/>
      <c r="E428" s="11"/>
      <c r="F428" s="12"/>
      <c r="G428" s="13"/>
      <c r="H428" s="8"/>
      <c r="I428" s="14"/>
      <c r="J428" s="15"/>
      <c r="K428" s="16"/>
      <c r="L428" s="8"/>
      <c r="M428" s="15"/>
      <c r="N428" s="8"/>
      <c r="O428" s="8"/>
      <c r="P428" s="17"/>
      <c r="Q428" s="18"/>
      <c r="R428" s="8"/>
      <c r="S428" s="8"/>
    </row>
    <row r="429" customFormat="1" customHeight="1" spans="1:19">
      <c r="A429" s="8"/>
      <c r="B429" s="9"/>
      <c r="C429" s="10"/>
      <c r="D429" s="10"/>
      <c r="E429" s="11"/>
      <c r="F429" s="12"/>
      <c r="G429" s="13"/>
      <c r="H429" s="8"/>
      <c r="I429" s="14"/>
      <c r="J429" s="15"/>
      <c r="K429" s="16"/>
      <c r="L429" s="8"/>
      <c r="M429" s="15"/>
      <c r="N429" s="8"/>
      <c r="O429" s="8"/>
      <c r="P429" s="17"/>
      <c r="Q429" s="18"/>
      <c r="R429" s="8"/>
      <c r="S429" s="8"/>
    </row>
    <row r="430" customFormat="1" customHeight="1" spans="1:19">
      <c r="A430" s="8"/>
      <c r="B430" s="9"/>
      <c r="C430" s="10"/>
      <c r="D430" s="10"/>
      <c r="E430" s="11"/>
      <c r="F430" s="12"/>
      <c r="G430" s="13"/>
      <c r="H430" s="8"/>
      <c r="I430" s="14"/>
      <c r="J430" s="15"/>
      <c r="K430" s="16"/>
      <c r="L430" s="8"/>
      <c r="M430" s="15"/>
      <c r="N430" s="8"/>
      <c r="O430" s="8"/>
      <c r="P430" s="17"/>
      <c r="Q430" s="18"/>
      <c r="R430" s="8"/>
      <c r="S430" s="8"/>
    </row>
    <row r="431" customFormat="1" customHeight="1" spans="1:19">
      <c r="A431" s="8"/>
      <c r="B431" s="9"/>
      <c r="C431" s="10"/>
      <c r="D431" s="10"/>
      <c r="E431" s="11"/>
      <c r="F431" s="12"/>
      <c r="G431" s="13"/>
      <c r="H431" s="8"/>
      <c r="I431" s="14"/>
      <c r="J431" s="15"/>
      <c r="K431" s="16"/>
      <c r="L431" s="8"/>
      <c r="M431" s="15"/>
      <c r="N431" s="8"/>
      <c r="O431" s="8"/>
      <c r="P431" s="17"/>
      <c r="Q431" s="18"/>
      <c r="R431" s="8"/>
      <c r="S431" s="8"/>
    </row>
    <row r="432" customFormat="1" customHeight="1" spans="1:19">
      <c r="A432" s="8"/>
      <c r="B432" s="9"/>
      <c r="C432" s="10"/>
      <c r="D432" s="10"/>
      <c r="E432" s="11"/>
      <c r="F432" s="12"/>
      <c r="G432" s="13"/>
      <c r="H432" s="8"/>
      <c r="I432" s="14"/>
      <c r="J432" s="15"/>
      <c r="K432" s="16"/>
      <c r="L432" s="8"/>
      <c r="M432" s="15"/>
      <c r="N432" s="8"/>
      <c r="O432" s="8"/>
      <c r="P432" s="17"/>
      <c r="Q432" s="18"/>
      <c r="R432" s="8"/>
      <c r="S432" s="8"/>
    </row>
    <row r="433" customFormat="1" customHeight="1" spans="1:19">
      <c r="A433" s="8"/>
      <c r="B433" s="9"/>
      <c r="C433" s="10"/>
      <c r="D433" s="10"/>
      <c r="E433" s="11"/>
      <c r="F433" s="12"/>
      <c r="G433" s="13"/>
      <c r="H433" s="8"/>
      <c r="I433" s="14"/>
      <c r="J433" s="15"/>
      <c r="K433" s="16"/>
      <c r="L433" s="8"/>
      <c r="M433" s="15"/>
      <c r="N433" s="8"/>
      <c r="O433" s="8"/>
      <c r="P433" s="17"/>
      <c r="Q433" s="18"/>
      <c r="R433" s="8"/>
      <c r="S433" s="8"/>
    </row>
    <row r="434" customFormat="1" customHeight="1" spans="1:19">
      <c r="A434" s="8"/>
      <c r="B434" s="9"/>
      <c r="C434" s="10"/>
      <c r="D434" s="10"/>
      <c r="E434" s="11"/>
      <c r="F434" s="12"/>
      <c r="G434" s="13"/>
      <c r="H434" s="8"/>
      <c r="I434" s="14"/>
      <c r="J434" s="15"/>
      <c r="K434" s="16"/>
      <c r="L434" s="8"/>
      <c r="M434" s="15"/>
      <c r="N434" s="8"/>
      <c r="O434" s="8"/>
      <c r="P434" s="17"/>
      <c r="Q434" s="18"/>
      <c r="R434" s="8"/>
      <c r="S434" s="8"/>
    </row>
    <row r="435" customFormat="1" customHeight="1" spans="1:19">
      <c r="A435" s="8"/>
      <c r="B435" s="9"/>
      <c r="C435" s="10"/>
      <c r="D435" s="10"/>
      <c r="E435" s="11"/>
      <c r="F435" s="12"/>
      <c r="G435" s="13"/>
      <c r="H435" s="8"/>
      <c r="I435" s="14"/>
      <c r="J435" s="15"/>
      <c r="K435" s="16"/>
      <c r="L435" s="8"/>
      <c r="M435" s="15"/>
      <c r="N435" s="8"/>
      <c r="O435" s="8"/>
      <c r="P435" s="17"/>
      <c r="Q435" s="18"/>
      <c r="R435" s="8"/>
      <c r="S435" s="8"/>
    </row>
    <row r="436" customFormat="1" customHeight="1" spans="1:19">
      <c r="A436" s="8"/>
      <c r="B436" s="9"/>
      <c r="C436" s="10"/>
      <c r="D436" s="10"/>
      <c r="E436" s="11"/>
      <c r="F436" s="12"/>
      <c r="G436" s="13"/>
      <c r="H436" s="8"/>
      <c r="I436" s="14"/>
      <c r="J436" s="15"/>
      <c r="K436" s="16"/>
      <c r="L436" s="8"/>
      <c r="M436" s="15"/>
      <c r="N436" s="8"/>
      <c r="O436" s="8"/>
      <c r="P436" s="17"/>
      <c r="Q436" s="18"/>
      <c r="R436" s="8"/>
      <c r="S436" s="8"/>
    </row>
    <row r="437" customFormat="1" customHeight="1" spans="1:19">
      <c r="A437" s="8"/>
      <c r="B437" s="9"/>
      <c r="C437" s="10"/>
      <c r="D437" s="10"/>
      <c r="E437" s="11"/>
      <c r="F437" s="12"/>
      <c r="G437" s="13"/>
      <c r="H437" s="8"/>
      <c r="I437" s="14"/>
      <c r="J437" s="15"/>
      <c r="K437" s="16"/>
      <c r="L437" s="8"/>
      <c r="M437" s="15"/>
      <c r="N437" s="8"/>
      <c r="O437" s="8"/>
      <c r="P437" s="17"/>
      <c r="Q437" s="18"/>
      <c r="R437" s="8"/>
      <c r="S437" s="8"/>
    </row>
    <row r="438" customFormat="1" customHeight="1" spans="1:19">
      <c r="A438" s="8"/>
      <c r="B438" s="9"/>
      <c r="C438" s="10"/>
      <c r="D438" s="10"/>
      <c r="E438" s="11"/>
      <c r="F438" s="12"/>
      <c r="G438" s="13"/>
      <c r="H438" s="8"/>
      <c r="I438" s="14"/>
      <c r="J438" s="15"/>
      <c r="K438" s="16"/>
      <c r="L438" s="8"/>
      <c r="M438" s="15"/>
      <c r="N438" s="8"/>
      <c r="O438" s="8"/>
      <c r="P438" s="17"/>
      <c r="Q438" s="18"/>
      <c r="R438" s="8"/>
      <c r="S438" s="8"/>
    </row>
    <row r="439" customFormat="1" customHeight="1" spans="1:19">
      <c r="A439" s="8"/>
      <c r="B439" s="9"/>
      <c r="C439" s="10"/>
      <c r="D439" s="10"/>
      <c r="E439" s="11"/>
      <c r="F439" s="12"/>
      <c r="G439" s="13"/>
      <c r="H439" s="8"/>
      <c r="I439" s="14"/>
      <c r="J439" s="15"/>
      <c r="K439" s="16"/>
      <c r="L439" s="8"/>
      <c r="M439" s="15"/>
      <c r="N439" s="8"/>
      <c r="O439" s="8"/>
      <c r="P439" s="17"/>
      <c r="Q439" s="18"/>
      <c r="R439" s="8"/>
      <c r="S439" s="8"/>
    </row>
    <row r="440" customFormat="1" customHeight="1" spans="1:19">
      <c r="A440" s="8"/>
      <c r="B440" s="9"/>
      <c r="C440" s="10"/>
      <c r="D440" s="10"/>
      <c r="E440" s="11"/>
      <c r="F440" s="12"/>
      <c r="G440" s="13"/>
      <c r="H440" s="8"/>
      <c r="I440" s="14"/>
      <c r="J440" s="15"/>
      <c r="K440" s="16"/>
      <c r="L440" s="8"/>
      <c r="M440" s="15"/>
      <c r="N440" s="8"/>
      <c r="O440" s="8"/>
      <c r="P440" s="17"/>
      <c r="Q440" s="18"/>
      <c r="R440" s="8"/>
      <c r="S440" s="8"/>
    </row>
    <row r="441" customFormat="1" customHeight="1" spans="1:19">
      <c r="A441" s="8"/>
      <c r="B441" s="9"/>
      <c r="C441" s="10"/>
      <c r="D441" s="10"/>
      <c r="E441" s="11"/>
      <c r="F441" s="12"/>
      <c r="G441" s="13"/>
      <c r="H441" s="8"/>
      <c r="I441" s="14"/>
      <c r="J441" s="15"/>
      <c r="K441" s="16"/>
      <c r="L441" s="8"/>
      <c r="M441" s="15"/>
      <c r="N441" s="8"/>
      <c r="O441" s="8"/>
      <c r="P441" s="17"/>
      <c r="Q441" s="18"/>
      <c r="R441" s="8"/>
      <c r="S441" s="8"/>
    </row>
    <row r="442" customFormat="1" customHeight="1" spans="1:19">
      <c r="A442" s="8"/>
      <c r="B442" s="9"/>
      <c r="C442" s="10"/>
      <c r="D442" s="10"/>
      <c r="E442" s="11"/>
      <c r="F442" s="12"/>
      <c r="G442" s="13"/>
      <c r="H442" s="8"/>
      <c r="I442" s="14"/>
      <c r="J442" s="15"/>
      <c r="K442" s="16"/>
      <c r="L442" s="8"/>
      <c r="M442" s="15"/>
      <c r="N442" s="8"/>
      <c r="O442" s="8"/>
      <c r="P442" s="17"/>
      <c r="Q442" s="18"/>
      <c r="R442" s="8"/>
      <c r="S442" s="8"/>
    </row>
    <row r="443" customFormat="1" customHeight="1" spans="1:19">
      <c r="A443" s="8"/>
      <c r="B443" s="9"/>
      <c r="C443" s="10"/>
      <c r="D443" s="10"/>
      <c r="E443" s="11"/>
      <c r="F443" s="12"/>
      <c r="G443" s="13"/>
      <c r="H443" s="8"/>
      <c r="I443" s="14"/>
      <c r="J443" s="15"/>
      <c r="K443" s="16"/>
      <c r="L443" s="8"/>
      <c r="M443" s="15"/>
      <c r="N443" s="8"/>
      <c r="O443" s="8"/>
      <c r="P443" s="17"/>
      <c r="Q443" s="18"/>
      <c r="R443" s="8"/>
      <c r="S443" s="8"/>
    </row>
    <row r="444" customFormat="1" customHeight="1" spans="1:19">
      <c r="A444" s="8"/>
      <c r="B444" s="9"/>
      <c r="C444" s="10"/>
      <c r="D444" s="10"/>
      <c r="E444" s="11"/>
      <c r="F444" s="12"/>
      <c r="G444" s="13"/>
      <c r="H444" s="8"/>
      <c r="I444" s="14"/>
      <c r="J444" s="15"/>
      <c r="K444" s="16"/>
      <c r="L444" s="8"/>
      <c r="M444" s="15"/>
      <c r="N444" s="8"/>
      <c r="O444" s="8"/>
      <c r="P444" s="17"/>
      <c r="Q444" s="18"/>
      <c r="R444" s="8"/>
      <c r="S444" s="8"/>
    </row>
    <row r="445" customFormat="1" customHeight="1" spans="1:19">
      <c r="A445" s="8"/>
      <c r="B445" s="9"/>
      <c r="C445" s="10"/>
      <c r="D445" s="10"/>
      <c r="E445" s="11"/>
      <c r="F445" s="12"/>
      <c r="G445" s="13"/>
      <c r="H445" s="8"/>
      <c r="I445" s="14"/>
      <c r="J445" s="15"/>
      <c r="K445" s="16"/>
      <c r="L445" s="8"/>
      <c r="M445" s="15"/>
      <c r="N445" s="8"/>
      <c r="O445" s="8"/>
      <c r="P445" s="17"/>
      <c r="Q445" s="18"/>
      <c r="R445" s="8"/>
      <c r="S445" s="8"/>
    </row>
    <row r="446" customFormat="1" customHeight="1" spans="1:19">
      <c r="A446" s="8"/>
      <c r="B446" s="9"/>
      <c r="C446" s="10"/>
      <c r="D446" s="10"/>
      <c r="E446" s="11"/>
      <c r="F446" s="12"/>
      <c r="G446" s="13"/>
      <c r="H446" s="8"/>
      <c r="I446" s="14"/>
      <c r="J446" s="15"/>
      <c r="K446" s="16"/>
      <c r="L446" s="8"/>
      <c r="M446" s="15"/>
      <c r="N446" s="8"/>
      <c r="O446" s="8"/>
      <c r="P446" s="17"/>
      <c r="Q446" s="18"/>
      <c r="R446" s="8"/>
      <c r="S446" s="8"/>
    </row>
    <row r="447" customFormat="1" customHeight="1" spans="1:19">
      <c r="A447" s="8"/>
      <c r="B447" s="9"/>
      <c r="C447" s="10"/>
      <c r="D447" s="10"/>
      <c r="E447" s="11"/>
      <c r="F447" s="12"/>
      <c r="G447" s="13"/>
      <c r="H447" s="8"/>
      <c r="I447" s="14"/>
      <c r="J447" s="15"/>
      <c r="K447" s="16"/>
      <c r="L447" s="8"/>
      <c r="M447" s="15"/>
      <c r="N447" s="8"/>
      <c r="O447" s="8"/>
      <c r="P447" s="17"/>
      <c r="Q447" s="18"/>
      <c r="R447" s="8"/>
      <c r="S447" s="8"/>
    </row>
    <row r="448" customFormat="1" customHeight="1" spans="1:19">
      <c r="A448" s="8"/>
      <c r="B448" s="9"/>
      <c r="C448" s="10"/>
      <c r="D448" s="10"/>
      <c r="E448" s="11"/>
      <c r="F448" s="12"/>
      <c r="G448" s="13"/>
      <c r="H448" s="8"/>
      <c r="I448" s="14"/>
      <c r="J448" s="15"/>
      <c r="K448" s="16"/>
      <c r="L448" s="8"/>
      <c r="M448" s="15"/>
      <c r="N448" s="8"/>
      <c r="O448" s="8"/>
      <c r="P448" s="17"/>
      <c r="Q448" s="18"/>
      <c r="R448" s="8"/>
      <c r="S448" s="8"/>
    </row>
    <row r="449" customFormat="1" customHeight="1" spans="1:19">
      <c r="A449" s="8"/>
      <c r="B449" s="9"/>
      <c r="C449" s="10"/>
      <c r="D449" s="10"/>
      <c r="E449" s="11"/>
      <c r="F449" s="12"/>
      <c r="G449" s="13"/>
      <c r="H449" s="8"/>
      <c r="I449" s="14"/>
      <c r="J449" s="15"/>
      <c r="K449" s="16"/>
      <c r="L449" s="8"/>
      <c r="M449" s="15"/>
      <c r="N449" s="8"/>
      <c r="O449" s="8"/>
      <c r="P449" s="17"/>
      <c r="Q449" s="18"/>
      <c r="R449" s="8"/>
      <c r="S449" s="8"/>
    </row>
    <row r="450" customFormat="1" customHeight="1" spans="1:19">
      <c r="A450" s="8"/>
      <c r="B450" s="9"/>
      <c r="C450" s="10"/>
      <c r="D450" s="10"/>
      <c r="E450" s="11"/>
      <c r="F450" s="12"/>
      <c r="G450" s="13"/>
      <c r="H450" s="8"/>
      <c r="I450" s="14"/>
      <c r="J450" s="15"/>
      <c r="K450" s="16"/>
      <c r="L450" s="8"/>
      <c r="M450" s="15"/>
      <c r="N450" s="8"/>
      <c r="O450" s="8"/>
      <c r="P450" s="17"/>
      <c r="Q450" s="18"/>
      <c r="R450" s="8"/>
      <c r="S450" s="8"/>
    </row>
    <row r="451" customFormat="1" customHeight="1" spans="1:19">
      <c r="A451" s="8"/>
      <c r="B451" s="9"/>
      <c r="C451" s="10"/>
      <c r="D451" s="10"/>
      <c r="E451" s="11"/>
      <c r="F451" s="12"/>
      <c r="G451" s="13"/>
      <c r="H451" s="8"/>
      <c r="I451" s="14"/>
      <c r="J451" s="15"/>
      <c r="K451" s="16"/>
      <c r="L451" s="8"/>
      <c r="M451" s="15"/>
      <c r="N451" s="8"/>
      <c r="O451" s="8"/>
      <c r="P451" s="17"/>
      <c r="Q451" s="18"/>
      <c r="R451" s="8"/>
      <c r="S451" s="8"/>
    </row>
    <row r="452" customFormat="1" customHeight="1" spans="1:19">
      <c r="A452" s="8"/>
      <c r="B452" s="9"/>
      <c r="C452" s="10"/>
      <c r="D452" s="10"/>
      <c r="E452" s="11"/>
      <c r="F452" s="12"/>
      <c r="G452" s="13"/>
      <c r="H452" s="8"/>
      <c r="I452" s="14"/>
      <c r="J452" s="15"/>
      <c r="K452" s="16"/>
      <c r="L452" s="8"/>
      <c r="M452" s="15"/>
      <c r="N452" s="8"/>
      <c r="O452" s="8"/>
      <c r="P452" s="17"/>
      <c r="Q452" s="18"/>
      <c r="R452" s="8"/>
      <c r="S452" s="8"/>
    </row>
    <row r="453" customFormat="1" customHeight="1" spans="1:19">
      <c r="A453" s="8"/>
      <c r="B453" s="9"/>
      <c r="C453" s="10"/>
      <c r="D453" s="10"/>
      <c r="E453" s="11"/>
      <c r="F453" s="12"/>
      <c r="G453" s="13"/>
      <c r="H453" s="8"/>
      <c r="I453" s="14"/>
      <c r="J453" s="15"/>
      <c r="K453" s="16"/>
      <c r="L453" s="8"/>
      <c r="M453" s="15"/>
      <c r="N453" s="8"/>
      <c r="O453" s="8"/>
      <c r="P453" s="17"/>
      <c r="Q453" s="18"/>
      <c r="R453" s="8"/>
      <c r="S453" s="8"/>
    </row>
    <row r="454" customFormat="1" customHeight="1" spans="1:19">
      <c r="A454" s="8"/>
      <c r="B454" s="9"/>
      <c r="C454" s="10"/>
      <c r="D454" s="10"/>
      <c r="E454" s="11"/>
      <c r="F454" s="12"/>
      <c r="G454" s="13"/>
      <c r="H454" s="8"/>
      <c r="I454" s="14"/>
      <c r="J454" s="15"/>
      <c r="K454" s="16"/>
      <c r="L454" s="8"/>
      <c r="M454" s="15"/>
      <c r="N454" s="8"/>
      <c r="O454" s="8"/>
      <c r="P454" s="17"/>
      <c r="Q454" s="18"/>
      <c r="R454" s="8"/>
      <c r="S454" s="8"/>
    </row>
    <row r="455" customFormat="1" customHeight="1" spans="1:19">
      <c r="A455" s="8"/>
      <c r="B455" s="9"/>
      <c r="C455" s="10"/>
      <c r="D455" s="10"/>
      <c r="E455" s="11"/>
      <c r="F455" s="12"/>
      <c r="G455" s="13"/>
      <c r="H455" s="8"/>
      <c r="I455" s="14"/>
      <c r="J455" s="15"/>
      <c r="K455" s="16"/>
      <c r="L455" s="8"/>
      <c r="M455" s="15"/>
      <c r="N455" s="8"/>
      <c r="O455" s="8"/>
      <c r="P455" s="17"/>
      <c r="Q455" s="18"/>
      <c r="R455" s="8"/>
      <c r="S455" s="8"/>
    </row>
    <row r="456" customFormat="1" customHeight="1" spans="1:19">
      <c r="A456" s="8"/>
      <c r="B456" s="9"/>
      <c r="C456" s="10"/>
      <c r="D456" s="10"/>
      <c r="E456" s="11"/>
      <c r="F456" s="12"/>
      <c r="G456" s="13"/>
      <c r="H456" s="8"/>
      <c r="I456" s="14"/>
      <c r="J456" s="15"/>
      <c r="K456" s="16"/>
      <c r="L456" s="8"/>
      <c r="M456" s="15"/>
      <c r="N456" s="8"/>
      <c r="O456" s="8"/>
      <c r="P456" s="17"/>
      <c r="Q456" s="18"/>
      <c r="R456" s="8"/>
      <c r="S456" s="8"/>
    </row>
    <row r="457" customFormat="1" customHeight="1" spans="1:19">
      <c r="A457" s="8"/>
      <c r="B457" s="9"/>
      <c r="C457" s="10"/>
      <c r="D457" s="10"/>
      <c r="E457" s="11"/>
      <c r="F457" s="12"/>
      <c r="G457" s="13"/>
      <c r="H457" s="8"/>
      <c r="I457" s="14"/>
      <c r="J457" s="15"/>
      <c r="K457" s="16"/>
      <c r="L457" s="8"/>
      <c r="M457" s="15"/>
      <c r="N457" s="8"/>
      <c r="O457" s="8"/>
      <c r="P457" s="17"/>
      <c r="Q457" s="18"/>
      <c r="R457" s="8"/>
      <c r="S457" s="8"/>
    </row>
    <row r="458" customFormat="1" customHeight="1" spans="1:19">
      <c r="A458" s="8"/>
      <c r="B458" s="9"/>
      <c r="C458" s="10"/>
      <c r="D458" s="10"/>
      <c r="E458" s="11"/>
      <c r="F458" s="12"/>
      <c r="G458" s="13"/>
      <c r="H458" s="8"/>
      <c r="I458" s="14"/>
      <c r="J458" s="15"/>
      <c r="K458" s="16"/>
      <c r="L458" s="8"/>
      <c r="M458" s="15"/>
      <c r="N458" s="8"/>
      <c r="O458" s="8"/>
      <c r="P458" s="17"/>
      <c r="Q458" s="18"/>
      <c r="R458" s="8"/>
      <c r="S458" s="8"/>
    </row>
    <row r="459" customFormat="1" customHeight="1" spans="1:19">
      <c r="A459" s="8"/>
      <c r="B459" s="9"/>
      <c r="C459" s="10"/>
      <c r="D459" s="10"/>
      <c r="E459" s="11"/>
      <c r="F459" s="12"/>
      <c r="G459" s="13"/>
      <c r="H459" s="8"/>
      <c r="I459" s="14"/>
      <c r="J459" s="15"/>
      <c r="K459" s="16"/>
      <c r="L459" s="8"/>
      <c r="M459" s="15"/>
      <c r="N459" s="8"/>
      <c r="O459" s="8"/>
      <c r="P459" s="17"/>
      <c r="Q459" s="18"/>
      <c r="R459" s="8"/>
      <c r="S459" s="8"/>
    </row>
    <row r="460" customFormat="1" customHeight="1" spans="1:19">
      <c r="A460" s="8"/>
      <c r="B460" s="9"/>
      <c r="C460" s="10"/>
      <c r="D460" s="10"/>
      <c r="E460" s="11"/>
      <c r="F460" s="12"/>
      <c r="G460" s="13"/>
      <c r="H460" s="8"/>
      <c r="I460" s="14"/>
      <c r="J460" s="15"/>
      <c r="K460" s="16"/>
      <c r="L460" s="8"/>
      <c r="M460" s="15"/>
      <c r="N460" s="8"/>
      <c r="O460" s="8"/>
      <c r="P460" s="17"/>
      <c r="Q460" s="18"/>
      <c r="R460" s="8"/>
      <c r="S460" s="8"/>
    </row>
    <row r="461" customFormat="1" customHeight="1" spans="1:19">
      <c r="A461" s="8"/>
      <c r="B461" s="9"/>
      <c r="C461" s="10"/>
      <c r="D461" s="10"/>
      <c r="E461" s="11"/>
      <c r="F461" s="12"/>
      <c r="G461" s="13"/>
      <c r="H461" s="8"/>
      <c r="I461" s="14"/>
      <c r="J461" s="15"/>
      <c r="K461" s="16"/>
      <c r="L461" s="8"/>
      <c r="M461" s="15"/>
      <c r="N461" s="8"/>
      <c r="O461" s="8"/>
      <c r="P461" s="17"/>
      <c r="Q461" s="18"/>
      <c r="R461" s="8"/>
      <c r="S461" s="8"/>
    </row>
    <row r="462" customFormat="1" customHeight="1" spans="1:19">
      <c r="A462" s="8"/>
      <c r="B462" s="9"/>
      <c r="C462" s="10"/>
      <c r="D462" s="10"/>
      <c r="E462" s="11"/>
      <c r="F462" s="12"/>
      <c r="G462" s="13"/>
      <c r="H462" s="8"/>
      <c r="I462" s="14"/>
      <c r="J462" s="15"/>
      <c r="K462" s="16"/>
      <c r="L462" s="8"/>
      <c r="M462" s="15"/>
      <c r="N462" s="8"/>
      <c r="O462" s="8"/>
      <c r="P462" s="17"/>
      <c r="Q462" s="18"/>
      <c r="R462" s="8"/>
      <c r="S462" s="8"/>
    </row>
    <row r="463" customFormat="1" customHeight="1" spans="1:19">
      <c r="A463" s="8"/>
      <c r="B463" s="9"/>
      <c r="C463" s="10"/>
      <c r="D463" s="10"/>
      <c r="E463" s="11"/>
      <c r="F463" s="12"/>
      <c r="G463" s="13"/>
      <c r="H463" s="8"/>
      <c r="I463" s="14"/>
      <c r="J463" s="15"/>
      <c r="K463" s="16"/>
      <c r="L463" s="8"/>
      <c r="M463" s="15"/>
      <c r="N463" s="8"/>
      <c r="O463" s="8"/>
      <c r="P463" s="17"/>
      <c r="Q463" s="18"/>
      <c r="R463" s="8"/>
      <c r="S463" s="8"/>
    </row>
    <row r="464" customFormat="1" customHeight="1" spans="1:19">
      <c r="A464" s="8"/>
      <c r="B464" s="9"/>
      <c r="C464" s="10"/>
      <c r="D464" s="10"/>
      <c r="E464" s="11"/>
      <c r="F464" s="12"/>
      <c r="G464" s="13"/>
      <c r="H464" s="8"/>
      <c r="I464" s="14"/>
      <c r="J464" s="15"/>
      <c r="K464" s="16"/>
      <c r="L464" s="8"/>
      <c r="M464" s="15"/>
      <c r="N464" s="8"/>
      <c r="O464" s="8"/>
      <c r="P464" s="17"/>
      <c r="Q464" s="18"/>
      <c r="R464" s="8"/>
      <c r="S464" s="8"/>
    </row>
    <row r="465" customFormat="1" customHeight="1" spans="1:19">
      <c r="A465" s="8"/>
      <c r="B465" s="9"/>
      <c r="C465" s="10"/>
      <c r="D465" s="10"/>
      <c r="E465" s="11"/>
      <c r="F465" s="12"/>
      <c r="G465" s="13"/>
      <c r="H465" s="8"/>
      <c r="I465" s="14"/>
      <c r="J465" s="15"/>
      <c r="K465" s="16"/>
      <c r="L465" s="8"/>
      <c r="M465" s="15"/>
      <c r="N465" s="8"/>
      <c r="O465" s="8"/>
      <c r="P465" s="17"/>
      <c r="Q465" s="18"/>
      <c r="R465" s="8"/>
      <c r="S465" s="8"/>
    </row>
    <row r="466" customFormat="1" customHeight="1" spans="1:19">
      <c r="A466" s="8"/>
      <c r="B466" s="9"/>
      <c r="C466" s="10"/>
      <c r="D466" s="10"/>
      <c r="E466" s="11"/>
      <c r="F466" s="12"/>
      <c r="G466" s="13"/>
      <c r="H466" s="8"/>
      <c r="I466" s="14"/>
      <c r="J466" s="15"/>
      <c r="K466" s="16"/>
      <c r="L466" s="8"/>
      <c r="M466" s="15"/>
      <c r="N466" s="8"/>
      <c r="O466" s="8"/>
      <c r="P466" s="17"/>
      <c r="Q466" s="18"/>
      <c r="R466" s="8"/>
      <c r="S466" s="8"/>
    </row>
    <row r="467" customFormat="1" customHeight="1" spans="1:19">
      <c r="A467" s="8"/>
      <c r="B467" s="9"/>
      <c r="C467" s="10"/>
      <c r="D467" s="10"/>
      <c r="E467" s="11"/>
      <c r="F467" s="12"/>
      <c r="G467" s="13"/>
      <c r="H467" s="8"/>
      <c r="I467" s="14"/>
      <c r="J467" s="15"/>
      <c r="K467" s="16"/>
      <c r="L467" s="8"/>
      <c r="M467" s="15"/>
      <c r="N467" s="8"/>
      <c r="O467" s="8"/>
      <c r="P467" s="17"/>
      <c r="Q467" s="18"/>
      <c r="R467" s="8"/>
      <c r="S467" s="8"/>
    </row>
    <row r="468" customFormat="1" customHeight="1" spans="1:19">
      <c r="A468" s="8"/>
      <c r="B468" s="9"/>
      <c r="C468" s="10"/>
      <c r="D468" s="10"/>
      <c r="E468" s="11"/>
      <c r="F468" s="12"/>
      <c r="G468" s="13"/>
      <c r="H468" s="8"/>
      <c r="I468" s="14"/>
      <c r="J468" s="15"/>
      <c r="K468" s="16"/>
      <c r="L468" s="8"/>
      <c r="M468" s="15"/>
      <c r="N468" s="8"/>
      <c r="O468" s="8"/>
      <c r="P468" s="17"/>
      <c r="Q468" s="18"/>
      <c r="R468" s="8"/>
      <c r="S468" s="8"/>
    </row>
    <row r="469" customFormat="1" customHeight="1" spans="1:19">
      <c r="A469" s="8"/>
      <c r="B469" s="9"/>
      <c r="C469" s="10"/>
      <c r="D469" s="10"/>
      <c r="E469" s="11"/>
      <c r="F469" s="12"/>
      <c r="G469" s="13"/>
      <c r="H469" s="8"/>
      <c r="I469" s="14"/>
      <c r="J469" s="15"/>
      <c r="K469" s="16"/>
      <c r="L469" s="8"/>
      <c r="M469" s="15"/>
      <c r="N469" s="8"/>
      <c r="O469" s="8"/>
      <c r="P469" s="17"/>
      <c r="Q469" s="18"/>
      <c r="R469" s="8"/>
      <c r="S469" s="8"/>
    </row>
    <row r="470" customFormat="1" customHeight="1" spans="1:19">
      <c r="A470" s="8"/>
      <c r="B470" s="9"/>
      <c r="C470" s="10"/>
      <c r="D470" s="10"/>
      <c r="E470" s="11"/>
      <c r="F470" s="12"/>
      <c r="G470" s="13"/>
      <c r="H470" s="8"/>
      <c r="I470" s="14"/>
      <c r="J470" s="15"/>
      <c r="K470" s="16"/>
      <c r="L470" s="8"/>
      <c r="M470" s="15"/>
      <c r="N470" s="8"/>
      <c r="O470" s="8"/>
      <c r="P470" s="17"/>
      <c r="Q470" s="18"/>
      <c r="R470" s="8"/>
      <c r="S470" s="8"/>
    </row>
    <row r="471" customFormat="1" customHeight="1" spans="1:19">
      <c r="A471" s="8"/>
      <c r="B471" s="9"/>
      <c r="C471" s="10"/>
      <c r="D471" s="10"/>
      <c r="E471" s="11"/>
      <c r="F471" s="12"/>
      <c r="G471" s="13"/>
      <c r="H471" s="8"/>
      <c r="I471" s="14"/>
      <c r="J471" s="15"/>
      <c r="K471" s="16"/>
      <c r="L471" s="8"/>
      <c r="M471" s="15"/>
      <c r="N471" s="8"/>
      <c r="O471" s="8"/>
      <c r="P471" s="17"/>
      <c r="Q471" s="18"/>
      <c r="R471" s="8"/>
      <c r="S471" s="8"/>
    </row>
    <row r="472" customFormat="1" customHeight="1" spans="1:19">
      <c r="A472" s="8"/>
      <c r="B472" s="9"/>
      <c r="C472" s="10"/>
      <c r="D472" s="10"/>
      <c r="E472" s="11"/>
      <c r="F472" s="12"/>
      <c r="G472" s="13"/>
      <c r="H472" s="8"/>
      <c r="I472" s="14"/>
      <c r="J472" s="15"/>
      <c r="K472" s="16"/>
      <c r="L472" s="8"/>
      <c r="M472" s="15"/>
      <c r="N472" s="8"/>
      <c r="O472" s="8"/>
      <c r="P472" s="17"/>
      <c r="Q472" s="18"/>
      <c r="R472" s="8"/>
      <c r="S472" s="8"/>
    </row>
    <row r="473" customFormat="1" customHeight="1" spans="1:19">
      <c r="A473" s="8"/>
      <c r="B473" s="9"/>
      <c r="C473" s="10"/>
      <c r="D473" s="10"/>
      <c r="E473" s="11"/>
      <c r="F473" s="12"/>
      <c r="G473" s="13"/>
      <c r="H473" s="8"/>
      <c r="I473" s="14"/>
      <c r="J473" s="15"/>
      <c r="K473" s="16"/>
      <c r="L473" s="8"/>
      <c r="M473" s="15"/>
      <c r="N473" s="8"/>
      <c r="O473" s="8"/>
      <c r="P473" s="17"/>
      <c r="Q473" s="18"/>
      <c r="R473" s="8"/>
      <c r="S473" s="8"/>
    </row>
    <row r="474" customFormat="1" customHeight="1" spans="1:19">
      <c r="A474" s="8"/>
      <c r="B474" s="9"/>
      <c r="C474" s="10"/>
      <c r="D474" s="10"/>
      <c r="E474" s="11"/>
      <c r="F474" s="12"/>
      <c r="G474" s="13"/>
      <c r="H474" s="8"/>
      <c r="I474" s="14"/>
      <c r="J474" s="15"/>
      <c r="K474" s="16"/>
      <c r="L474" s="8"/>
      <c r="M474" s="15"/>
      <c r="N474" s="8"/>
      <c r="O474" s="8"/>
      <c r="P474" s="17"/>
      <c r="Q474" s="18"/>
      <c r="R474" s="8"/>
      <c r="S474" s="8"/>
    </row>
    <row r="475" customFormat="1" customHeight="1" spans="1:19">
      <c r="A475" s="8"/>
      <c r="B475" s="9"/>
      <c r="C475" s="10"/>
      <c r="D475" s="10"/>
      <c r="E475" s="11"/>
      <c r="F475" s="12"/>
      <c r="G475" s="13"/>
      <c r="H475" s="8"/>
      <c r="I475" s="14"/>
      <c r="J475" s="15"/>
      <c r="K475" s="16"/>
      <c r="L475" s="8"/>
      <c r="M475" s="15"/>
      <c r="N475" s="8"/>
      <c r="O475" s="8"/>
      <c r="P475" s="17"/>
      <c r="Q475" s="18"/>
      <c r="R475" s="8"/>
      <c r="S475" s="8"/>
    </row>
    <row r="476" customFormat="1" customHeight="1" spans="1:19">
      <c r="A476" s="8"/>
      <c r="B476" s="9"/>
      <c r="C476" s="10"/>
      <c r="D476" s="10"/>
      <c r="E476" s="11"/>
      <c r="F476" s="12"/>
      <c r="G476" s="13"/>
      <c r="H476" s="8"/>
      <c r="I476" s="14"/>
      <c r="J476" s="15"/>
      <c r="K476" s="16"/>
      <c r="L476" s="8"/>
      <c r="M476" s="15"/>
      <c r="N476" s="8"/>
      <c r="O476" s="8"/>
      <c r="P476" s="17"/>
      <c r="Q476" s="18"/>
      <c r="R476" s="8"/>
      <c r="S476" s="8"/>
    </row>
    <row r="477" customFormat="1" customHeight="1" spans="1:19">
      <c r="A477" s="8"/>
      <c r="B477" s="9"/>
      <c r="C477" s="10"/>
      <c r="D477" s="10"/>
      <c r="E477" s="11"/>
      <c r="F477" s="12"/>
      <c r="G477" s="13"/>
      <c r="H477" s="8"/>
      <c r="I477" s="14"/>
      <c r="J477" s="15"/>
      <c r="K477" s="16"/>
      <c r="L477" s="8"/>
      <c r="M477" s="15"/>
      <c r="N477" s="8"/>
      <c r="O477" s="8"/>
      <c r="P477" s="17"/>
      <c r="Q477" s="18"/>
      <c r="R477" s="8"/>
      <c r="S477" s="8"/>
    </row>
    <row r="478" customFormat="1" customHeight="1" spans="1:19">
      <c r="A478" s="8"/>
      <c r="B478" s="9"/>
      <c r="C478" s="10"/>
      <c r="D478" s="10"/>
      <c r="E478" s="11"/>
      <c r="F478" s="12"/>
      <c r="G478" s="13"/>
      <c r="H478" s="8"/>
      <c r="I478" s="14"/>
      <c r="J478" s="15"/>
      <c r="K478" s="16"/>
      <c r="L478" s="8"/>
      <c r="M478" s="15"/>
      <c r="N478" s="8"/>
      <c r="O478" s="8"/>
      <c r="P478" s="17"/>
      <c r="Q478" s="18"/>
      <c r="R478" s="8"/>
      <c r="S478" s="8"/>
    </row>
    <row r="479" customFormat="1" customHeight="1" spans="1:19">
      <c r="A479" s="8"/>
      <c r="B479" s="9"/>
      <c r="C479" s="10"/>
      <c r="D479" s="10"/>
      <c r="E479" s="11"/>
      <c r="F479" s="12"/>
      <c r="G479" s="13"/>
      <c r="H479" s="8"/>
      <c r="I479" s="14"/>
      <c r="J479" s="15"/>
      <c r="K479" s="16"/>
      <c r="L479" s="8"/>
      <c r="M479" s="15"/>
      <c r="N479" s="8"/>
      <c r="O479" s="8"/>
      <c r="P479" s="17"/>
      <c r="Q479" s="18"/>
      <c r="R479" s="8"/>
      <c r="S479" s="8"/>
    </row>
    <row r="480" customFormat="1" customHeight="1" spans="1:19">
      <c r="A480" s="8"/>
      <c r="B480" s="9"/>
      <c r="C480" s="10"/>
      <c r="D480" s="10"/>
      <c r="E480" s="11"/>
      <c r="F480" s="12"/>
      <c r="G480" s="13"/>
      <c r="H480" s="8"/>
      <c r="I480" s="14"/>
      <c r="J480" s="15"/>
      <c r="K480" s="16"/>
      <c r="L480" s="8"/>
      <c r="M480" s="15"/>
      <c r="N480" s="8"/>
      <c r="O480" s="8"/>
      <c r="P480" s="17"/>
      <c r="Q480" s="18"/>
      <c r="R480" s="8"/>
      <c r="S480" s="8"/>
    </row>
    <row r="481" customFormat="1" customHeight="1" spans="1:19">
      <c r="A481" s="8"/>
      <c r="B481" s="9"/>
      <c r="C481" s="10"/>
      <c r="D481" s="10"/>
      <c r="E481" s="11"/>
      <c r="F481" s="12"/>
      <c r="G481" s="13"/>
      <c r="H481" s="8"/>
      <c r="I481" s="14"/>
      <c r="J481" s="15"/>
      <c r="K481" s="16"/>
      <c r="L481" s="8"/>
      <c r="M481" s="15"/>
      <c r="N481" s="8"/>
      <c r="O481" s="8"/>
      <c r="P481" s="17"/>
      <c r="Q481" s="18"/>
      <c r="R481" s="8"/>
      <c r="S481" s="8"/>
    </row>
    <row r="482" customFormat="1" customHeight="1" spans="1:19">
      <c r="A482" s="8"/>
      <c r="B482" s="9"/>
      <c r="C482" s="10"/>
      <c r="D482" s="10"/>
      <c r="E482" s="11"/>
      <c r="F482" s="12"/>
      <c r="G482" s="13"/>
      <c r="H482" s="8"/>
      <c r="I482" s="14"/>
      <c r="J482" s="15"/>
      <c r="K482" s="16"/>
      <c r="L482" s="8"/>
      <c r="M482" s="15"/>
      <c r="N482" s="8"/>
      <c r="O482" s="8"/>
      <c r="P482" s="17"/>
      <c r="Q482" s="18"/>
      <c r="R482" s="8"/>
      <c r="S482" s="8"/>
    </row>
    <row r="483" customFormat="1" customHeight="1" spans="1:19">
      <c r="A483" s="8"/>
      <c r="B483" s="9"/>
      <c r="C483" s="10"/>
      <c r="D483" s="10"/>
      <c r="E483" s="11"/>
      <c r="F483" s="12"/>
      <c r="G483" s="13"/>
      <c r="H483" s="8"/>
      <c r="I483" s="14"/>
      <c r="J483" s="15"/>
      <c r="K483" s="16"/>
      <c r="L483" s="8"/>
      <c r="M483" s="15"/>
      <c r="N483" s="8"/>
      <c r="O483" s="8"/>
      <c r="P483" s="17"/>
      <c r="Q483" s="18"/>
      <c r="R483" s="8"/>
      <c r="S483" s="8"/>
    </row>
    <row r="484" customFormat="1" customHeight="1" spans="1:19">
      <c r="A484" s="8"/>
      <c r="B484" s="9"/>
      <c r="C484" s="10"/>
      <c r="D484" s="10"/>
      <c r="E484" s="11"/>
      <c r="F484" s="12"/>
      <c r="G484" s="13"/>
      <c r="H484" s="8"/>
      <c r="I484" s="14"/>
      <c r="J484" s="15"/>
      <c r="K484" s="16"/>
      <c r="L484" s="8"/>
      <c r="M484" s="15"/>
      <c r="N484" s="8"/>
      <c r="O484" s="8"/>
      <c r="P484" s="17"/>
      <c r="Q484" s="18"/>
      <c r="R484" s="8"/>
      <c r="S484" s="8"/>
    </row>
    <row r="485" customFormat="1" customHeight="1" spans="1:19">
      <c r="A485" s="8"/>
      <c r="B485" s="9"/>
      <c r="C485" s="10"/>
      <c r="D485" s="10"/>
      <c r="E485" s="11"/>
      <c r="F485" s="12"/>
      <c r="G485" s="13"/>
      <c r="H485" s="8"/>
      <c r="I485" s="14"/>
      <c r="J485" s="15"/>
      <c r="K485" s="16"/>
      <c r="L485" s="8"/>
      <c r="M485" s="15"/>
      <c r="N485" s="8"/>
      <c r="O485" s="8"/>
      <c r="P485" s="17"/>
      <c r="Q485" s="18"/>
      <c r="R485" s="8"/>
      <c r="S485" s="8"/>
    </row>
    <row r="486" customFormat="1" customHeight="1" spans="1:19">
      <c r="A486" s="8"/>
      <c r="B486" s="9"/>
      <c r="C486" s="10"/>
      <c r="D486" s="10"/>
      <c r="E486" s="11"/>
      <c r="F486" s="12"/>
      <c r="G486" s="13"/>
      <c r="H486" s="8"/>
      <c r="I486" s="14"/>
      <c r="J486" s="15"/>
      <c r="K486" s="16"/>
      <c r="L486" s="8"/>
      <c r="M486" s="15"/>
      <c r="N486" s="8"/>
      <c r="O486" s="8"/>
      <c r="P486" s="17"/>
      <c r="Q486" s="18"/>
      <c r="R486" s="8"/>
      <c r="S486" s="8"/>
    </row>
    <row r="487" customFormat="1" customHeight="1" spans="1:19">
      <c r="A487" s="8"/>
      <c r="B487" s="9"/>
      <c r="C487" s="10"/>
      <c r="D487" s="10"/>
      <c r="E487" s="11"/>
      <c r="F487" s="12"/>
      <c r="G487" s="13"/>
      <c r="H487" s="8"/>
      <c r="I487" s="14"/>
      <c r="J487" s="15"/>
      <c r="K487" s="16"/>
      <c r="L487" s="8"/>
      <c r="M487" s="15"/>
      <c r="N487" s="8"/>
      <c r="O487" s="8"/>
      <c r="P487" s="17"/>
      <c r="Q487" s="18"/>
      <c r="R487" s="8"/>
      <c r="S487" s="8"/>
    </row>
    <row r="488" customFormat="1" customHeight="1" spans="1:19">
      <c r="A488" s="8"/>
      <c r="B488" s="9"/>
      <c r="C488" s="10"/>
      <c r="D488" s="10"/>
      <c r="E488" s="11"/>
      <c r="F488" s="12"/>
      <c r="G488" s="13"/>
      <c r="H488" s="8"/>
      <c r="I488" s="14"/>
      <c r="J488" s="15"/>
      <c r="K488" s="16"/>
      <c r="L488" s="8"/>
      <c r="M488" s="15"/>
      <c r="N488" s="8"/>
      <c r="O488" s="8"/>
      <c r="P488" s="17"/>
      <c r="Q488" s="18"/>
      <c r="R488" s="8"/>
      <c r="S488" s="8"/>
    </row>
    <row r="489" customFormat="1" customHeight="1" spans="1:19">
      <c r="A489" s="8"/>
      <c r="B489" s="9"/>
      <c r="C489" s="10"/>
      <c r="D489" s="10"/>
      <c r="E489" s="11"/>
      <c r="F489" s="12"/>
      <c r="G489" s="13"/>
      <c r="H489" s="8"/>
      <c r="I489" s="14"/>
      <c r="J489" s="15"/>
      <c r="K489" s="16"/>
      <c r="L489" s="8"/>
      <c r="M489" s="15"/>
      <c r="N489" s="8"/>
      <c r="O489" s="8"/>
      <c r="P489" s="17"/>
      <c r="Q489" s="18"/>
      <c r="R489" s="8"/>
      <c r="S489" s="8"/>
    </row>
    <row r="490" customFormat="1" customHeight="1" spans="1:19">
      <c r="A490" s="8"/>
      <c r="B490" s="9"/>
      <c r="C490" s="10"/>
      <c r="D490" s="10"/>
      <c r="E490" s="11"/>
      <c r="F490" s="12"/>
      <c r="G490" s="13"/>
      <c r="H490" s="8"/>
      <c r="I490" s="14"/>
      <c r="J490" s="15"/>
      <c r="K490" s="16"/>
      <c r="L490" s="8"/>
      <c r="M490" s="15"/>
      <c r="N490" s="8"/>
      <c r="O490" s="8"/>
      <c r="P490" s="17"/>
      <c r="Q490" s="18"/>
      <c r="R490" s="8"/>
      <c r="S490" s="8"/>
    </row>
    <row r="491" customFormat="1" customHeight="1" spans="1:19">
      <c r="A491" s="8"/>
      <c r="B491" s="9"/>
      <c r="C491" s="10"/>
      <c r="D491" s="10"/>
      <c r="E491" s="11"/>
      <c r="F491" s="12"/>
      <c r="G491" s="13"/>
      <c r="H491" s="8"/>
      <c r="I491" s="14"/>
      <c r="J491" s="15"/>
      <c r="K491" s="16"/>
      <c r="L491" s="8"/>
      <c r="M491" s="15"/>
      <c r="N491" s="8"/>
      <c r="O491" s="8"/>
      <c r="P491" s="17"/>
      <c r="Q491" s="18"/>
      <c r="R491" s="8"/>
      <c r="S491" s="8"/>
    </row>
    <row r="492" customFormat="1" customHeight="1" spans="1:19">
      <c r="A492" s="8"/>
      <c r="B492" s="9"/>
      <c r="C492" s="10"/>
      <c r="D492" s="10"/>
      <c r="E492" s="11"/>
      <c r="F492" s="12"/>
      <c r="G492" s="13"/>
      <c r="H492" s="8"/>
      <c r="I492" s="14"/>
      <c r="J492" s="15"/>
      <c r="K492" s="16"/>
      <c r="L492" s="8"/>
      <c r="M492" s="15"/>
      <c r="N492" s="8"/>
      <c r="O492" s="8"/>
      <c r="P492" s="17"/>
      <c r="Q492" s="18"/>
      <c r="R492" s="8"/>
      <c r="S492" s="8"/>
    </row>
    <row r="493" customFormat="1" customHeight="1" spans="1:19">
      <c r="A493" s="8"/>
      <c r="B493" s="9"/>
      <c r="C493" s="10"/>
      <c r="D493" s="10"/>
      <c r="E493" s="11"/>
      <c r="F493" s="12"/>
      <c r="G493" s="13"/>
      <c r="H493" s="8"/>
      <c r="I493" s="14"/>
      <c r="J493" s="15"/>
      <c r="K493" s="16"/>
      <c r="L493" s="8"/>
      <c r="M493" s="15"/>
      <c r="N493" s="8"/>
      <c r="O493" s="8"/>
      <c r="P493" s="17"/>
      <c r="Q493" s="18"/>
      <c r="R493" s="8"/>
      <c r="S493" s="8"/>
    </row>
    <row r="494" customFormat="1" customHeight="1" spans="1:19">
      <c r="A494" s="8"/>
      <c r="B494" s="9"/>
      <c r="C494" s="10"/>
      <c r="D494" s="10"/>
      <c r="E494" s="11"/>
      <c r="F494" s="12"/>
      <c r="G494" s="13"/>
      <c r="H494" s="8"/>
      <c r="I494" s="14"/>
      <c r="J494" s="15"/>
      <c r="K494" s="16"/>
      <c r="L494" s="8"/>
      <c r="M494" s="15"/>
      <c r="N494" s="8"/>
      <c r="O494" s="8"/>
      <c r="P494" s="17"/>
      <c r="Q494" s="18"/>
      <c r="R494" s="8"/>
      <c r="S494" s="8"/>
    </row>
    <row r="495" customFormat="1" customHeight="1" spans="1:19">
      <c r="A495" s="8"/>
      <c r="B495" s="9"/>
      <c r="C495" s="10"/>
      <c r="D495" s="10"/>
      <c r="E495" s="11"/>
      <c r="F495" s="12"/>
      <c r="G495" s="13"/>
      <c r="H495" s="8"/>
      <c r="I495" s="14"/>
      <c r="J495" s="15"/>
      <c r="K495" s="16"/>
      <c r="L495" s="8"/>
      <c r="M495" s="15"/>
      <c r="N495" s="8"/>
      <c r="O495" s="8"/>
      <c r="P495" s="17"/>
      <c r="Q495" s="18"/>
      <c r="R495" s="8"/>
      <c r="S495" s="8"/>
    </row>
    <row r="496" customFormat="1" customHeight="1" spans="1:19">
      <c r="A496" s="8"/>
      <c r="B496" s="9"/>
      <c r="C496" s="10"/>
      <c r="D496" s="10"/>
      <c r="E496" s="11"/>
      <c r="F496" s="12"/>
      <c r="G496" s="13"/>
      <c r="H496" s="8"/>
      <c r="I496" s="14"/>
      <c r="J496" s="15"/>
      <c r="K496" s="16"/>
      <c r="L496" s="8"/>
      <c r="M496" s="15"/>
      <c r="N496" s="8"/>
      <c r="O496" s="8"/>
      <c r="P496" s="17"/>
      <c r="Q496" s="18"/>
      <c r="R496" s="8"/>
      <c r="S496" s="8"/>
    </row>
    <row r="497" customFormat="1" customHeight="1" spans="1:19">
      <c r="A497" s="8"/>
      <c r="B497" s="9"/>
      <c r="C497" s="10"/>
      <c r="D497" s="10"/>
      <c r="E497" s="11"/>
      <c r="F497" s="12"/>
      <c r="G497" s="13"/>
      <c r="H497" s="8"/>
      <c r="I497" s="14"/>
      <c r="J497" s="15"/>
      <c r="K497" s="16"/>
      <c r="L497" s="8"/>
      <c r="M497" s="15"/>
      <c r="N497" s="8"/>
      <c r="O497" s="8"/>
      <c r="P497" s="17"/>
      <c r="Q497" s="18"/>
      <c r="R497" s="8"/>
      <c r="S497" s="8"/>
    </row>
    <row r="498" customFormat="1" customHeight="1" spans="1:19">
      <c r="A498" s="8"/>
      <c r="B498" s="9"/>
      <c r="C498" s="10"/>
      <c r="D498" s="10"/>
      <c r="E498" s="11"/>
      <c r="F498" s="12"/>
      <c r="G498" s="13"/>
      <c r="H498" s="8"/>
      <c r="I498" s="14"/>
      <c r="J498" s="15"/>
      <c r="K498" s="16"/>
      <c r="L498" s="8"/>
      <c r="M498" s="15"/>
      <c r="N498" s="8"/>
      <c r="O498" s="8"/>
      <c r="P498" s="17"/>
      <c r="Q498" s="18"/>
      <c r="R498" s="8"/>
      <c r="S498" s="8"/>
    </row>
    <row r="499" customFormat="1" customHeight="1" spans="1:19">
      <c r="A499" s="8"/>
      <c r="B499" s="9"/>
      <c r="C499" s="10"/>
      <c r="D499" s="10"/>
      <c r="E499" s="11"/>
      <c r="F499" s="12"/>
      <c r="G499" s="13"/>
      <c r="H499" s="8"/>
      <c r="I499" s="14"/>
      <c r="J499" s="15"/>
      <c r="K499" s="16"/>
      <c r="L499" s="8"/>
      <c r="M499" s="15"/>
      <c r="N499" s="8"/>
      <c r="O499" s="8"/>
      <c r="P499" s="17"/>
      <c r="Q499" s="18"/>
      <c r="R499" s="8"/>
      <c r="S499" s="8"/>
    </row>
    <row r="500" customFormat="1" customHeight="1" spans="1:19">
      <c r="A500" s="8"/>
      <c r="B500" s="9"/>
      <c r="C500" s="10"/>
      <c r="D500" s="10"/>
      <c r="E500" s="11"/>
      <c r="F500" s="12"/>
      <c r="G500" s="13"/>
      <c r="H500" s="8"/>
      <c r="I500" s="14"/>
      <c r="J500" s="15"/>
      <c r="K500" s="16"/>
      <c r="L500" s="8"/>
      <c r="M500" s="15"/>
      <c r="N500" s="8"/>
      <c r="O500" s="8"/>
      <c r="P500" s="17"/>
      <c r="Q500" s="18"/>
      <c r="R500" s="8"/>
      <c r="S500" s="8"/>
    </row>
    <row r="501" customFormat="1" customHeight="1" spans="1:19">
      <c r="A501" s="8"/>
      <c r="B501" s="9"/>
      <c r="C501" s="10"/>
      <c r="D501" s="10"/>
      <c r="E501" s="11"/>
      <c r="F501" s="12"/>
      <c r="G501" s="13"/>
      <c r="H501" s="8"/>
      <c r="I501" s="14"/>
      <c r="J501" s="15"/>
      <c r="K501" s="16"/>
      <c r="L501" s="8"/>
      <c r="M501" s="15"/>
      <c r="N501" s="8"/>
      <c r="O501" s="8"/>
      <c r="P501" s="17"/>
      <c r="Q501" s="18"/>
      <c r="R501" s="8"/>
      <c r="S501" s="8"/>
    </row>
    <row r="502" customFormat="1" customHeight="1" spans="1:19">
      <c r="A502" s="8"/>
      <c r="B502" s="9"/>
      <c r="C502" s="10"/>
      <c r="D502" s="10"/>
      <c r="E502" s="11"/>
      <c r="F502" s="12"/>
      <c r="G502" s="13"/>
      <c r="H502" s="8"/>
      <c r="I502" s="14"/>
      <c r="J502" s="15"/>
      <c r="K502" s="16"/>
      <c r="L502" s="8"/>
      <c r="M502" s="15"/>
      <c r="N502" s="8"/>
      <c r="O502" s="8"/>
      <c r="P502" s="17"/>
      <c r="Q502" s="18"/>
      <c r="R502" s="8"/>
      <c r="S502" s="8"/>
    </row>
    <row r="503" customFormat="1" customHeight="1" spans="1:19">
      <c r="A503" s="8"/>
      <c r="B503" s="9"/>
      <c r="C503" s="10"/>
      <c r="D503" s="10"/>
      <c r="E503" s="11"/>
      <c r="F503" s="12"/>
      <c r="G503" s="13"/>
      <c r="H503" s="8"/>
      <c r="I503" s="14"/>
      <c r="J503" s="15"/>
      <c r="K503" s="16"/>
      <c r="L503" s="8"/>
      <c r="M503" s="15"/>
      <c r="N503" s="8"/>
      <c r="O503" s="8"/>
      <c r="P503" s="17"/>
      <c r="Q503" s="18"/>
      <c r="R503" s="8"/>
      <c r="S503" s="8"/>
    </row>
    <row r="504" customFormat="1" customHeight="1" spans="1:19">
      <c r="A504" s="8"/>
      <c r="B504" s="9"/>
      <c r="C504" s="10"/>
      <c r="D504" s="10"/>
      <c r="E504" s="11"/>
      <c r="F504" s="12"/>
      <c r="G504" s="13"/>
      <c r="H504" s="8"/>
      <c r="I504" s="14"/>
      <c r="J504" s="15"/>
      <c r="K504" s="16"/>
      <c r="L504" s="8"/>
      <c r="M504" s="15"/>
      <c r="N504" s="8"/>
      <c r="O504" s="8"/>
      <c r="P504" s="17"/>
      <c r="Q504" s="18"/>
      <c r="R504" s="8"/>
      <c r="S504" s="8"/>
    </row>
    <row r="505" customFormat="1" customHeight="1" spans="1:19">
      <c r="A505" s="8"/>
      <c r="B505" s="9"/>
      <c r="C505" s="10"/>
      <c r="D505" s="10"/>
      <c r="E505" s="11"/>
      <c r="F505" s="12"/>
      <c r="G505" s="13"/>
      <c r="H505" s="8"/>
      <c r="I505" s="14"/>
      <c r="J505" s="15"/>
      <c r="K505" s="16"/>
      <c r="L505" s="8"/>
      <c r="M505" s="15"/>
      <c r="N505" s="8"/>
      <c r="O505" s="8"/>
      <c r="P505" s="17"/>
      <c r="Q505" s="18"/>
      <c r="R505" s="8"/>
      <c r="S505" s="8"/>
    </row>
    <row r="506" customFormat="1" customHeight="1" spans="1:19">
      <c r="A506" s="8"/>
      <c r="B506" s="9"/>
      <c r="C506" s="10"/>
      <c r="D506" s="10"/>
      <c r="E506" s="11"/>
      <c r="F506" s="12"/>
      <c r="G506" s="13"/>
      <c r="H506" s="8"/>
      <c r="I506" s="14"/>
      <c r="J506" s="15"/>
      <c r="K506" s="16"/>
      <c r="L506" s="8"/>
      <c r="M506" s="15"/>
      <c r="N506" s="8"/>
      <c r="O506" s="8"/>
      <c r="P506" s="17"/>
      <c r="Q506" s="18"/>
      <c r="R506" s="8"/>
      <c r="S506" s="8"/>
    </row>
    <row r="507" customFormat="1" customHeight="1" spans="1:19">
      <c r="A507" s="8"/>
      <c r="B507" s="9"/>
      <c r="C507" s="10"/>
      <c r="D507" s="10"/>
      <c r="E507" s="11"/>
      <c r="F507" s="12"/>
      <c r="G507" s="13"/>
      <c r="H507" s="8"/>
      <c r="I507" s="14"/>
      <c r="J507" s="15"/>
      <c r="K507" s="16"/>
      <c r="L507" s="8"/>
      <c r="M507" s="15"/>
      <c r="N507" s="8"/>
      <c r="O507" s="8"/>
      <c r="P507" s="17"/>
      <c r="Q507" s="18"/>
      <c r="R507" s="8"/>
      <c r="S507" s="8"/>
    </row>
    <row r="508" customFormat="1" customHeight="1" spans="1:19">
      <c r="A508" s="8"/>
      <c r="B508" s="9"/>
      <c r="C508" s="10"/>
      <c r="D508" s="10"/>
      <c r="E508" s="11"/>
      <c r="F508" s="12"/>
      <c r="G508" s="13"/>
      <c r="H508" s="8"/>
      <c r="I508" s="14"/>
      <c r="J508" s="15"/>
      <c r="K508" s="16"/>
      <c r="L508" s="8"/>
      <c r="M508" s="15"/>
      <c r="N508" s="8"/>
      <c r="O508" s="8"/>
      <c r="P508" s="17"/>
      <c r="Q508" s="18"/>
      <c r="R508" s="8"/>
      <c r="S508" s="8"/>
    </row>
    <row r="509" customFormat="1" customHeight="1" spans="1:19">
      <c r="A509" s="8"/>
      <c r="B509" s="9"/>
      <c r="C509" s="10"/>
      <c r="D509" s="10"/>
      <c r="E509" s="11"/>
      <c r="F509" s="12"/>
      <c r="G509" s="13"/>
      <c r="H509" s="8"/>
      <c r="I509" s="14"/>
      <c r="J509" s="15"/>
      <c r="K509" s="16"/>
      <c r="L509" s="8"/>
      <c r="M509" s="15"/>
      <c r="N509" s="8"/>
      <c r="O509" s="8"/>
      <c r="P509" s="17"/>
      <c r="Q509" s="18"/>
      <c r="R509" s="8"/>
      <c r="S509" s="8"/>
    </row>
    <row r="510" customFormat="1" customHeight="1" spans="1:19">
      <c r="A510" s="8"/>
      <c r="B510" s="9"/>
      <c r="C510" s="10"/>
      <c r="D510" s="10"/>
      <c r="E510" s="11"/>
      <c r="F510" s="12"/>
      <c r="G510" s="13"/>
      <c r="H510" s="8"/>
      <c r="I510" s="14"/>
      <c r="J510" s="15"/>
      <c r="K510" s="16"/>
      <c r="L510" s="8"/>
      <c r="M510" s="15"/>
      <c r="N510" s="8"/>
      <c r="O510" s="8"/>
      <c r="P510" s="17"/>
      <c r="Q510" s="18"/>
      <c r="R510" s="8"/>
      <c r="S510" s="8"/>
    </row>
    <row r="511" customFormat="1" customHeight="1" spans="1:19">
      <c r="A511" s="8"/>
      <c r="B511" s="9"/>
      <c r="C511" s="10"/>
      <c r="D511" s="10"/>
      <c r="E511" s="11"/>
      <c r="F511" s="12"/>
      <c r="G511" s="13"/>
      <c r="H511" s="8"/>
      <c r="I511" s="14"/>
      <c r="J511" s="15"/>
      <c r="K511" s="16"/>
      <c r="L511" s="8"/>
      <c r="M511" s="15"/>
      <c r="N511" s="8"/>
      <c r="O511" s="8"/>
      <c r="P511" s="17"/>
      <c r="Q511" s="18"/>
      <c r="R511" s="8"/>
      <c r="S511" s="8"/>
    </row>
    <row r="512" customFormat="1" customHeight="1" spans="1:19">
      <c r="A512" s="8"/>
      <c r="B512" s="9"/>
      <c r="C512" s="10"/>
      <c r="D512" s="10"/>
      <c r="E512" s="11"/>
      <c r="F512" s="12"/>
      <c r="G512" s="13"/>
      <c r="H512" s="8"/>
      <c r="I512" s="14"/>
      <c r="J512" s="15"/>
      <c r="K512" s="16"/>
      <c r="L512" s="8"/>
      <c r="M512" s="15"/>
      <c r="N512" s="8"/>
      <c r="O512" s="8"/>
      <c r="P512" s="17"/>
      <c r="Q512" s="18"/>
      <c r="R512" s="8"/>
      <c r="S512" s="8"/>
    </row>
    <row r="513" customFormat="1" customHeight="1" spans="1:19">
      <c r="A513" s="8"/>
      <c r="B513" s="9"/>
      <c r="C513" s="10"/>
      <c r="D513" s="10"/>
      <c r="E513" s="11"/>
      <c r="F513" s="12"/>
      <c r="G513" s="13"/>
      <c r="H513" s="8"/>
      <c r="I513" s="14"/>
      <c r="J513" s="15"/>
      <c r="K513" s="16"/>
      <c r="L513" s="8"/>
      <c r="M513" s="15"/>
      <c r="N513" s="8"/>
      <c r="O513" s="8"/>
      <c r="P513" s="17"/>
      <c r="Q513" s="18"/>
      <c r="R513" s="8"/>
      <c r="S513" s="8"/>
    </row>
    <row r="514" customFormat="1" customHeight="1" spans="1:19">
      <c r="A514" s="8"/>
      <c r="B514" s="9"/>
      <c r="C514" s="10"/>
      <c r="D514" s="10"/>
      <c r="E514" s="11"/>
      <c r="F514" s="12"/>
      <c r="G514" s="13"/>
      <c r="H514" s="8"/>
      <c r="I514" s="14"/>
      <c r="J514" s="15"/>
      <c r="K514" s="16"/>
      <c r="L514" s="8"/>
      <c r="M514" s="15"/>
      <c r="N514" s="8"/>
      <c r="O514" s="8"/>
      <c r="P514" s="17"/>
      <c r="Q514" s="18"/>
      <c r="R514" s="8"/>
      <c r="S514" s="8"/>
    </row>
    <row r="515" customFormat="1" customHeight="1" spans="1:19">
      <c r="A515" s="8"/>
      <c r="B515" s="9"/>
      <c r="C515" s="10"/>
      <c r="D515" s="10"/>
      <c r="E515" s="11"/>
      <c r="F515" s="12"/>
      <c r="G515" s="13"/>
      <c r="H515" s="8"/>
      <c r="I515" s="14"/>
      <c r="J515" s="15"/>
      <c r="K515" s="16"/>
      <c r="L515" s="8"/>
      <c r="M515" s="15"/>
      <c r="N515" s="8"/>
      <c r="O515" s="8"/>
      <c r="P515" s="17"/>
      <c r="Q515" s="18"/>
      <c r="R515" s="8"/>
      <c r="S515" s="8"/>
    </row>
    <row r="516" customFormat="1" customHeight="1" spans="1:19">
      <c r="A516" s="8"/>
      <c r="B516" s="9"/>
      <c r="C516" s="10"/>
      <c r="D516" s="10"/>
      <c r="E516" s="11"/>
      <c r="F516" s="12"/>
      <c r="G516" s="13"/>
      <c r="H516" s="8"/>
      <c r="I516" s="14"/>
      <c r="J516" s="15"/>
      <c r="K516" s="16"/>
      <c r="L516" s="8"/>
      <c r="M516" s="15"/>
      <c r="N516" s="8"/>
      <c r="O516" s="8"/>
      <c r="P516" s="17"/>
      <c r="Q516" s="18"/>
      <c r="R516" s="8"/>
      <c r="S516" s="8"/>
    </row>
    <row r="517" customFormat="1" customHeight="1" spans="1:19">
      <c r="A517" s="8"/>
      <c r="B517" s="9"/>
      <c r="C517" s="10"/>
      <c r="D517" s="10"/>
      <c r="E517" s="11"/>
      <c r="F517" s="12"/>
      <c r="G517" s="13"/>
      <c r="H517" s="8"/>
      <c r="I517" s="14"/>
      <c r="J517" s="15"/>
      <c r="K517" s="16"/>
      <c r="L517" s="8"/>
      <c r="M517" s="15"/>
      <c r="N517" s="8"/>
      <c r="O517" s="8"/>
      <c r="P517" s="17"/>
      <c r="Q517" s="18"/>
      <c r="R517" s="8"/>
      <c r="S517" s="8"/>
    </row>
    <row r="518" customFormat="1" customHeight="1" spans="1:19">
      <c r="A518" s="8"/>
      <c r="B518" s="9"/>
      <c r="C518" s="10"/>
      <c r="D518" s="10"/>
      <c r="E518" s="11"/>
      <c r="F518" s="12"/>
      <c r="G518" s="13"/>
      <c r="H518" s="8"/>
      <c r="I518" s="14"/>
      <c r="J518" s="15"/>
      <c r="K518" s="16"/>
      <c r="L518" s="8"/>
      <c r="M518" s="15"/>
      <c r="N518" s="8"/>
      <c r="O518" s="8"/>
      <c r="P518" s="17"/>
      <c r="Q518" s="18"/>
      <c r="R518" s="8"/>
      <c r="S518" s="8"/>
    </row>
    <row r="519" customFormat="1" customHeight="1" spans="1:19">
      <c r="A519" s="8"/>
      <c r="B519" s="9"/>
      <c r="C519" s="10"/>
      <c r="D519" s="10"/>
      <c r="E519" s="11"/>
      <c r="F519" s="12"/>
      <c r="G519" s="13"/>
      <c r="H519" s="8"/>
      <c r="I519" s="14"/>
      <c r="J519" s="15"/>
      <c r="K519" s="16"/>
      <c r="L519" s="8"/>
      <c r="M519" s="15"/>
      <c r="N519" s="8"/>
      <c r="O519" s="8"/>
      <c r="P519" s="17"/>
      <c r="Q519" s="18"/>
      <c r="R519" s="8"/>
      <c r="S519" s="8"/>
    </row>
    <row r="520" customFormat="1" customHeight="1" spans="1:19">
      <c r="A520" s="8"/>
      <c r="B520" s="9"/>
      <c r="C520" s="10"/>
      <c r="D520" s="10"/>
      <c r="E520" s="11"/>
      <c r="F520" s="12"/>
      <c r="G520" s="13"/>
      <c r="H520" s="8"/>
      <c r="I520" s="14"/>
      <c r="J520" s="15"/>
      <c r="K520" s="16"/>
      <c r="L520" s="8"/>
      <c r="M520" s="15"/>
      <c r="N520" s="8"/>
      <c r="O520" s="8"/>
      <c r="P520" s="17"/>
      <c r="Q520" s="18"/>
      <c r="R520" s="8"/>
      <c r="S520" s="8"/>
    </row>
    <row r="521" customFormat="1" customHeight="1" spans="1:19">
      <c r="A521" s="8"/>
      <c r="B521" s="9"/>
      <c r="C521" s="10"/>
      <c r="D521" s="10"/>
      <c r="E521" s="11"/>
      <c r="F521" s="12"/>
      <c r="G521" s="13"/>
      <c r="H521" s="8"/>
      <c r="I521" s="14"/>
      <c r="J521" s="15"/>
      <c r="K521" s="16"/>
      <c r="L521" s="8"/>
      <c r="M521" s="15"/>
      <c r="N521" s="8"/>
      <c r="O521" s="8"/>
      <c r="P521" s="17"/>
      <c r="Q521" s="18"/>
      <c r="R521" s="8"/>
      <c r="S521" s="8"/>
    </row>
    <row r="522" customFormat="1" customHeight="1" spans="1:19">
      <c r="A522" s="8"/>
      <c r="B522" s="9"/>
      <c r="C522" s="10"/>
      <c r="D522" s="10"/>
      <c r="E522" s="11"/>
      <c r="F522" s="12"/>
      <c r="G522" s="13"/>
      <c r="H522" s="8"/>
      <c r="I522" s="14"/>
      <c r="J522" s="15"/>
      <c r="K522" s="16"/>
      <c r="L522" s="8"/>
      <c r="M522" s="15"/>
      <c r="N522" s="8"/>
      <c r="O522" s="8"/>
      <c r="P522" s="17"/>
      <c r="Q522" s="18"/>
      <c r="R522" s="8"/>
      <c r="S522" s="8"/>
    </row>
    <row r="523" customFormat="1" customHeight="1" spans="1:19">
      <c r="A523" s="8"/>
      <c r="B523" s="9"/>
      <c r="C523" s="10"/>
      <c r="D523" s="10"/>
      <c r="E523" s="11"/>
      <c r="F523" s="12"/>
      <c r="G523" s="13"/>
      <c r="H523" s="8"/>
      <c r="I523" s="14"/>
      <c r="J523" s="15"/>
      <c r="K523" s="16"/>
      <c r="L523" s="8"/>
      <c r="M523" s="15"/>
      <c r="N523" s="8"/>
      <c r="O523" s="8"/>
      <c r="P523" s="17"/>
      <c r="Q523" s="18"/>
      <c r="R523" s="8"/>
      <c r="S523" s="8"/>
    </row>
    <row r="524" customFormat="1" customHeight="1" spans="1:19">
      <c r="A524" s="8"/>
      <c r="B524" s="9"/>
      <c r="C524" s="10"/>
      <c r="D524" s="10"/>
      <c r="E524" s="11"/>
      <c r="F524" s="12"/>
      <c r="G524" s="13"/>
      <c r="H524" s="8"/>
      <c r="I524" s="14"/>
      <c r="J524" s="15"/>
      <c r="K524" s="16"/>
      <c r="L524" s="8"/>
      <c r="M524" s="15"/>
      <c r="N524" s="8"/>
      <c r="O524" s="8"/>
      <c r="P524" s="17"/>
      <c r="Q524" s="18"/>
      <c r="R524" s="8"/>
      <c r="S524" s="8"/>
    </row>
    <row r="525" customFormat="1" customHeight="1" spans="1:19">
      <c r="A525" s="8"/>
      <c r="B525" s="9"/>
      <c r="C525" s="10"/>
      <c r="D525" s="10"/>
      <c r="E525" s="11"/>
      <c r="F525" s="12"/>
      <c r="G525" s="13"/>
      <c r="H525" s="8"/>
      <c r="I525" s="14"/>
      <c r="J525" s="15"/>
      <c r="K525" s="16"/>
      <c r="L525" s="8"/>
      <c r="M525" s="15"/>
      <c r="N525" s="8"/>
      <c r="O525" s="8"/>
      <c r="P525" s="17"/>
      <c r="Q525" s="18"/>
      <c r="R525" s="8"/>
      <c r="S525" s="8"/>
    </row>
    <row r="526" customFormat="1" customHeight="1" spans="1:19">
      <c r="A526" s="8"/>
      <c r="B526" s="9"/>
      <c r="C526" s="10"/>
      <c r="D526" s="10"/>
      <c r="E526" s="11"/>
      <c r="F526" s="12"/>
      <c r="G526" s="13"/>
      <c r="H526" s="8"/>
      <c r="I526" s="14"/>
      <c r="J526" s="15"/>
      <c r="K526" s="16"/>
      <c r="L526" s="8"/>
      <c r="M526" s="15"/>
      <c r="N526" s="8"/>
      <c r="O526" s="8"/>
      <c r="P526" s="17"/>
      <c r="Q526" s="18"/>
      <c r="R526" s="8"/>
      <c r="S526" s="8"/>
    </row>
    <row r="527" customFormat="1" customHeight="1" spans="1:19">
      <c r="A527" s="8"/>
      <c r="B527" s="9"/>
      <c r="C527" s="10"/>
      <c r="D527" s="10"/>
      <c r="E527" s="11"/>
      <c r="F527" s="12"/>
      <c r="G527" s="13"/>
      <c r="H527" s="8"/>
      <c r="I527" s="14"/>
      <c r="J527" s="15"/>
      <c r="K527" s="16"/>
      <c r="L527" s="8"/>
      <c r="M527" s="15"/>
      <c r="N527" s="8"/>
      <c r="O527" s="8"/>
      <c r="P527" s="17"/>
      <c r="Q527" s="18"/>
      <c r="R527" s="8"/>
      <c r="S527" s="8"/>
    </row>
    <row r="528" customFormat="1" customHeight="1" spans="1:19">
      <c r="A528" s="8"/>
      <c r="B528" s="9"/>
      <c r="C528" s="10"/>
      <c r="D528" s="10"/>
      <c r="E528" s="11"/>
      <c r="F528" s="12"/>
      <c r="G528" s="13"/>
      <c r="H528" s="8"/>
      <c r="I528" s="14"/>
      <c r="J528" s="15"/>
      <c r="K528" s="16"/>
      <c r="L528" s="8"/>
      <c r="M528" s="15"/>
      <c r="N528" s="8"/>
      <c r="O528" s="8"/>
      <c r="P528" s="17"/>
      <c r="Q528" s="18"/>
      <c r="R528" s="8"/>
      <c r="S528" s="8"/>
    </row>
    <row r="529" customFormat="1" customHeight="1" spans="1:19">
      <c r="A529" s="8"/>
      <c r="B529" s="9"/>
      <c r="C529" s="10"/>
      <c r="D529" s="10"/>
      <c r="E529" s="11"/>
      <c r="F529" s="12"/>
      <c r="G529" s="13"/>
      <c r="H529" s="8"/>
      <c r="I529" s="14"/>
      <c r="J529" s="15"/>
      <c r="K529" s="16"/>
      <c r="L529" s="8"/>
      <c r="M529" s="15"/>
      <c r="N529" s="8"/>
      <c r="O529" s="8"/>
      <c r="P529" s="17"/>
      <c r="Q529" s="18"/>
      <c r="R529" s="8"/>
      <c r="S529" s="8"/>
    </row>
    <row r="530" customFormat="1" customHeight="1" spans="1:19">
      <c r="A530" s="8"/>
      <c r="B530" s="9"/>
      <c r="C530" s="10"/>
      <c r="D530" s="10"/>
      <c r="E530" s="11"/>
      <c r="F530" s="12"/>
      <c r="G530" s="13"/>
      <c r="H530" s="8"/>
      <c r="I530" s="14"/>
      <c r="J530" s="15"/>
      <c r="K530" s="16"/>
      <c r="L530" s="8"/>
      <c r="M530" s="15"/>
      <c r="N530" s="8"/>
      <c r="O530" s="8"/>
      <c r="P530" s="17"/>
      <c r="Q530" s="18"/>
      <c r="R530" s="8"/>
      <c r="S530" s="8"/>
    </row>
    <row r="531" customFormat="1" customHeight="1" spans="1:19">
      <c r="A531" s="8"/>
      <c r="B531" s="9"/>
      <c r="C531" s="10"/>
      <c r="D531" s="10"/>
      <c r="E531" s="11"/>
      <c r="F531" s="12"/>
      <c r="G531" s="13"/>
      <c r="H531" s="8"/>
      <c r="I531" s="14"/>
      <c r="J531" s="15"/>
      <c r="K531" s="16"/>
      <c r="L531" s="8"/>
      <c r="M531" s="15"/>
      <c r="N531" s="8"/>
      <c r="O531" s="8"/>
      <c r="P531" s="17"/>
      <c r="Q531" s="18"/>
      <c r="R531" s="8"/>
      <c r="S531" s="8"/>
    </row>
    <row r="532" customFormat="1" customHeight="1" spans="1:19">
      <c r="A532" s="8"/>
      <c r="B532" s="9"/>
      <c r="C532" s="10"/>
      <c r="D532" s="10"/>
      <c r="E532" s="11"/>
      <c r="F532" s="12"/>
      <c r="G532" s="13"/>
      <c r="H532" s="8"/>
      <c r="I532" s="14"/>
      <c r="J532" s="15"/>
      <c r="K532" s="16"/>
      <c r="L532" s="8"/>
      <c r="M532" s="15"/>
      <c r="N532" s="8"/>
      <c r="O532" s="8"/>
      <c r="P532" s="17"/>
      <c r="Q532" s="18"/>
      <c r="R532" s="8"/>
      <c r="S532" s="8"/>
    </row>
    <row r="533" customFormat="1" customHeight="1" spans="1:19">
      <c r="A533" s="8"/>
      <c r="B533" s="9"/>
      <c r="C533" s="10"/>
      <c r="D533" s="10"/>
      <c r="E533" s="11"/>
      <c r="F533" s="12"/>
      <c r="G533" s="13"/>
      <c r="H533" s="8"/>
      <c r="I533" s="14"/>
      <c r="J533" s="15"/>
      <c r="K533" s="16"/>
      <c r="L533" s="8"/>
      <c r="M533" s="15"/>
      <c r="N533" s="8"/>
      <c r="O533" s="8"/>
      <c r="P533" s="17"/>
      <c r="Q533" s="18"/>
      <c r="R533" s="8"/>
      <c r="S533" s="8"/>
    </row>
    <row r="534" customFormat="1" customHeight="1" spans="1:19">
      <c r="A534" s="8"/>
      <c r="B534" s="9"/>
      <c r="C534" s="10"/>
      <c r="D534" s="10"/>
      <c r="E534" s="11"/>
      <c r="F534" s="12"/>
      <c r="G534" s="13"/>
      <c r="H534" s="8"/>
      <c r="I534" s="14"/>
      <c r="J534" s="15"/>
      <c r="K534" s="16"/>
      <c r="L534" s="8"/>
      <c r="M534" s="15"/>
      <c r="N534" s="8"/>
      <c r="O534" s="8"/>
      <c r="P534" s="17"/>
      <c r="Q534" s="18"/>
      <c r="R534" s="8"/>
      <c r="S534" s="8"/>
    </row>
    <row r="535" customFormat="1" customHeight="1" spans="1:19">
      <c r="A535" s="8"/>
      <c r="B535" s="9"/>
      <c r="C535" s="10"/>
      <c r="D535" s="10"/>
      <c r="E535" s="11"/>
      <c r="F535" s="12"/>
      <c r="G535" s="13"/>
      <c r="H535" s="8"/>
      <c r="I535" s="14"/>
      <c r="J535" s="15"/>
      <c r="K535" s="16"/>
      <c r="L535" s="8"/>
      <c r="M535" s="15"/>
      <c r="N535" s="8"/>
      <c r="O535" s="8"/>
      <c r="P535" s="17"/>
      <c r="Q535" s="18"/>
      <c r="R535" s="8"/>
      <c r="S535" s="8"/>
    </row>
    <row r="536" customFormat="1" customHeight="1" spans="1:19">
      <c r="A536" s="8"/>
      <c r="B536" s="9"/>
      <c r="C536" s="10"/>
      <c r="D536" s="10"/>
      <c r="E536" s="11"/>
      <c r="F536" s="12"/>
      <c r="G536" s="13"/>
      <c r="H536" s="8"/>
      <c r="I536" s="14"/>
      <c r="J536" s="15"/>
      <c r="K536" s="16"/>
      <c r="L536" s="8"/>
      <c r="M536" s="15"/>
      <c r="N536" s="8"/>
      <c r="O536" s="8"/>
      <c r="P536" s="17"/>
      <c r="Q536" s="18"/>
      <c r="R536" s="8"/>
      <c r="S536" s="8"/>
    </row>
    <row r="537" customFormat="1" customHeight="1" spans="1:19">
      <c r="A537" s="8"/>
      <c r="B537" s="9"/>
      <c r="C537" s="10"/>
      <c r="D537" s="10"/>
      <c r="E537" s="11"/>
      <c r="F537" s="12"/>
      <c r="G537" s="13"/>
      <c r="H537" s="8"/>
      <c r="I537" s="14"/>
      <c r="J537" s="15"/>
      <c r="K537" s="16"/>
      <c r="L537" s="8"/>
      <c r="M537" s="15"/>
      <c r="N537" s="8"/>
      <c r="O537" s="8"/>
      <c r="P537" s="17"/>
      <c r="Q537" s="18"/>
      <c r="R537" s="8"/>
      <c r="S537" s="8"/>
    </row>
    <row r="538" customFormat="1" customHeight="1" spans="1:19">
      <c r="A538" s="8"/>
      <c r="B538" s="9"/>
      <c r="C538" s="10"/>
      <c r="D538" s="10"/>
      <c r="E538" s="11"/>
      <c r="F538" s="12"/>
      <c r="G538" s="13"/>
      <c r="H538" s="8"/>
      <c r="I538" s="14"/>
      <c r="J538" s="15"/>
      <c r="K538" s="16"/>
      <c r="L538" s="8"/>
      <c r="M538" s="15"/>
      <c r="N538" s="8"/>
      <c r="O538" s="8"/>
      <c r="P538" s="17"/>
      <c r="Q538" s="18"/>
      <c r="R538" s="8"/>
      <c r="S538" s="8"/>
    </row>
    <row r="539" customFormat="1" customHeight="1" spans="1:19">
      <c r="A539" s="8"/>
      <c r="B539" s="9"/>
      <c r="C539" s="10"/>
      <c r="D539" s="10"/>
      <c r="E539" s="11"/>
      <c r="F539" s="12"/>
      <c r="G539" s="13"/>
      <c r="H539" s="8"/>
      <c r="I539" s="14"/>
      <c r="J539" s="15"/>
      <c r="K539" s="16"/>
      <c r="L539" s="8"/>
      <c r="M539" s="15"/>
      <c r="N539" s="8"/>
      <c r="O539" s="8"/>
      <c r="P539" s="17"/>
      <c r="Q539" s="18"/>
      <c r="R539" s="8"/>
      <c r="S539" s="8"/>
    </row>
    <row r="540" customFormat="1" customHeight="1" spans="1:19">
      <c r="A540" s="8"/>
      <c r="B540" s="9"/>
      <c r="C540" s="10"/>
      <c r="D540" s="10"/>
      <c r="E540" s="11"/>
      <c r="F540" s="12"/>
      <c r="G540" s="13"/>
      <c r="H540" s="8"/>
      <c r="I540" s="14"/>
      <c r="J540" s="15"/>
      <c r="K540" s="16"/>
      <c r="L540" s="8"/>
      <c r="M540" s="15"/>
      <c r="N540" s="8"/>
      <c r="O540" s="8"/>
      <c r="P540" s="17"/>
      <c r="Q540" s="18"/>
      <c r="R540" s="8"/>
      <c r="S540" s="8"/>
    </row>
    <row r="541" customFormat="1" customHeight="1" spans="1:19">
      <c r="A541" s="8"/>
      <c r="B541" s="9"/>
      <c r="C541" s="10"/>
      <c r="D541" s="10"/>
      <c r="E541" s="11"/>
      <c r="F541" s="12"/>
      <c r="G541" s="13"/>
      <c r="H541" s="8"/>
      <c r="I541" s="14"/>
      <c r="J541" s="15"/>
      <c r="K541" s="16"/>
      <c r="L541" s="8"/>
      <c r="M541" s="15"/>
      <c r="N541" s="8"/>
      <c r="O541" s="8"/>
      <c r="P541" s="17"/>
      <c r="Q541" s="18"/>
      <c r="R541" s="8"/>
      <c r="S541" s="8"/>
    </row>
    <row r="542" customFormat="1" customHeight="1" spans="1:19">
      <c r="A542" s="8"/>
      <c r="B542" s="9"/>
      <c r="C542" s="10"/>
      <c r="D542" s="10"/>
      <c r="E542" s="11"/>
      <c r="F542" s="12"/>
      <c r="G542" s="13"/>
      <c r="H542" s="8"/>
      <c r="I542" s="14"/>
      <c r="J542" s="15"/>
      <c r="K542" s="16"/>
      <c r="L542" s="8"/>
      <c r="M542" s="15"/>
      <c r="N542" s="8"/>
      <c r="O542" s="8"/>
      <c r="P542" s="17"/>
      <c r="Q542" s="18"/>
      <c r="R542" s="8"/>
      <c r="S542" s="8"/>
    </row>
    <row r="543" customFormat="1" customHeight="1" spans="1:19">
      <c r="A543" s="8"/>
      <c r="B543" s="9"/>
      <c r="C543" s="10"/>
      <c r="D543" s="10"/>
      <c r="E543" s="11"/>
      <c r="F543" s="12"/>
      <c r="G543" s="13"/>
      <c r="H543" s="8"/>
      <c r="I543" s="14"/>
      <c r="J543" s="15"/>
      <c r="K543" s="16"/>
      <c r="L543" s="8"/>
      <c r="M543" s="15"/>
      <c r="N543" s="8"/>
      <c r="O543" s="8"/>
      <c r="P543" s="17"/>
      <c r="Q543" s="18"/>
      <c r="R543" s="8"/>
      <c r="S543" s="8"/>
    </row>
    <row r="544" customFormat="1" customHeight="1" spans="1:19">
      <c r="A544" s="8"/>
      <c r="B544" s="9"/>
      <c r="C544" s="10"/>
      <c r="D544" s="10"/>
      <c r="E544" s="11"/>
      <c r="F544" s="12"/>
      <c r="G544" s="13"/>
      <c r="H544" s="8"/>
      <c r="I544" s="14"/>
      <c r="J544" s="15"/>
      <c r="K544" s="16"/>
      <c r="L544" s="8"/>
      <c r="M544" s="15"/>
      <c r="N544" s="8"/>
      <c r="O544" s="8"/>
      <c r="P544" s="17"/>
      <c r="Q544" s="18"/>
      <c r="R544" s="8"/>
      <c r="S544" s="8"/>
    </row>
    <row r="545" customFormat="1" customHeight="1" spans="1:19">
      <c r="A545" s="8"/>
      <c r="B545" s="9"/>
      <c r="C545" s="10"/>
      <c r="D545" s="10"/>
      <c r="E545" s="11"/>
      <c r="F545" s="12"/>
      <c r="G545" s="13"/>
      <c r="H545" s="8"/>
      <c r="I545" s="14"/>
      <c r="J545" s="15"/>
      <c r="K545" s="16"/>
      <c r="L545" s="8"/>
      <c r="M545" s="15"/>
      <c r="N545" s="8"/>
      <c r="O545" s="8"/>
      <c r="P545" s="17"/>
      <c r="Q545" s="18"/>
      <c r="R545" s="8"/>
      <c r="S545" s="8"/>
    </row>
    <row r="546" customFormat="1" customHeight="1" spans="1:19">
      <c r="A546" s="8"/>
      <c r="B546" s="9"/>
      <c r="C546" s="10"/>
      <c r="D546" s="10"/>
      <c r="E546" s="11"/>
      <c r="F546" s="12"/>
      <c r="G546" s="13"/>
      <c r="H546" s="8"/>
      <c r="I546" s="14"/>
      <c r="J546" s="15"/>
      <c r="K546" s="16"/>
      <c r="L546" s="8"/>
      <c r="M546" s="15"/>
      <c r="N546" s="8"/>
      <c r="O546" s="8"/>
      <c r="P546" s="17"/>
      <c r="Q546" s="18"/>
      <c r="R546" s="8"/>
      <c r="S546" s="8"/>
    </row>
    <row r="547" customFormat="1" customHeight="1" spans="1:19">
      <c r="A547" s="8"/>
      <c r="B547" s="9"/>
      <c r="C547" s="10"/>
      <c r="D547" s="10"/>
      <c r="E547" s="11"/>
      <c r="F547" s="12"/>
      <c r="G547" s="13"/>
      <c r="H547" s="8"/>
      <c r="I547" s="14"/>
      <c r="J547" s="15"/>
      <c r="K547" s="16"/>
      <c r="L547" s="8"/>
      <c r="M547" s="15"/>
      <c r="N547" s="8"/>
      <c r="O547" s="8"/>
      <c r="P547" s="17"/>
      <c r="Q547" s="18"/>
      <c r="R547" s="8"/>
      <c r="S547" s="8"/>
    </row>
    <row r="548" customFormat="1" customHeight="1" spans="1:19">
      <c r="A548" s="8"/>
      <c r="B548" s="9"/>
      <c r="C548" s="10"/>
      <c r="D548" s="10"/>
      <c r="E548" s="11"/>
      <c r="F548" s="12"/>
      <c r="G548" s="13"/>
      <c r="H548" s="8"/>
      <c r="I548" s="14"/>
      <c r="J548" s="15"/>
      <c r="K548" s="16"/>
      <c r="L548" s="8"/>
      <c r="M548" s="15"/>
      <c r="N548" s="8"/>
      <c r="O548" s="8"/>
      <c r="P548" s="17"/>
      <c r="Q548" s="18"/>
      <c r="R548" s="8"/>
      <c r="S548" s="8"/>
    </row>
    <row r="549" customFormat="1" customHeight="1" spans="1:19">
      <c r="A549" s="8"/>
      <c r="B549" s="9"/>
      <c r="C549" s="10"/>
      <c r="D549" s="10"/>
      <c r="E549" s="11"/>
      <c r="F549" s="12"/>
      <c r="G549" s="13"/>
      <c r="H549" s="8"/>
      <c r="I549" s="14"/>
      <c r="J549" s="15"/>
      <c r="K549" s="16"/>
      <c r="L549" s="8"/>
      <c r="M549" s="15"/>
      <c r="N549" s="8"/>
      <c r="O549" s="8"/>
      <c r="P549" s="17"/>
      <c r="Q549" s="18"/>
      <c r="R549" s="8"/>
      <c r="S549" s="8"/>
    </row>
    <row r="550" customFormat="1" customHeight="1" spans="1:19">
      <c r="A550" s="8"/>
      <c r="B550" s="9"/>
      <c r="C550" s="10"/>
      <c r="D550" s="10"/>
      <c r="E550" s="11"/>
      <c r="F550" s="12"/>
      <c r="G550" s="13"/>
      <c r="H550" s="8"/>
      <c r="I550" s="14"/>
      <c r="J550" s="15"/>
      <c r="K550" s="16"/>
      <c r="L550" s="8"/>
      <c r="M550" s="15"/>
      <c r="N550" s="8"/>
      <c r="O550" s="8"/>
      <c r="P550" s="17"/>
      <c r="Q550" s="18"/>
      <c r="R550" s="8"/>
      <c r="S550" s="8"/>
    </row>
    <row r="551" customFormat="1" customHeight="1" spans="1:19">
      <c r="A551" s="8"/>
      <c r="B551" s="9"/>
      <c r="C551" s="10"/>
      <c r="D551" s="10"/>
      <c r="E551" s="11"/>
      <c r="F551" s="12"/>
      <c r="G551" s="13"/>
      <c r="H551" s="8"/>
      <c r="I551" s="14"/>
      <c r="J551" s="15"/>
      <c r="K551" s="16"/>
      <c r="L551" s="8"/>
      <c r="M551" s="15"/>
      <c r="N551" s="8"/>
      <c r="O551" s="8"/>
      <c r="P551" s="17"/>
      <c r="Q551" s="18"/>
      <c r="R551" s="8"/>
      <c r="S551" s="8"/>
    </row>
    <row r="552" customFormat="1" customHeight="1" spans="1:19">
      <c r="A552" s="8"/>
      <c r="B552" s="9"/>
      <c r="C552" s="10"/>
      <c r="D552" s="10"/>
      <c r="E552" s="11"/>
      <c r="F552" s="12"/>
      <c r="G552" s="13"/>
      <c r="H552" s="8"/>
      <c r="I552" s="14"/>
      <c r="J552" s="15"/>
      <c r="K552" s="16"/>
      <c r="L552" s="8"/>
      <c r="M552" s="15"/>
      <c r="N552" s="8"/>
      <c r="O552" s="8"/>
      <c r="P552" s="17"/>
      <c r="Q552" s="18"/>
      <c r="R552" s="8"/>
      <c r="S552" s="8"/>
    </row>
    <row r="553" customFormat="1" customHeight="1" spans="1:19">
      <c r="A553" s="8"/>
      <c r="B553" s="9"/>
      <c r="C553" s="10"/>
      <c r="D553" s="10"/>
      <c r="E553" s="11"/>
      <c r="F553" s="12"/>
      <c r="G553" s="13"/>
      <c r="H553" s="8"/>
      <c r="I553" s="14"/>
      <c r="J553" s="15"/>
      <c r="K553" s="16"/>
      <c r="L553" s="8"/>
      <c r="M553" s="15"/>
      <c r="N553" s="8"/>
      <c r="O553" s="8"/>
      <c r="P553" s="17"/>
      <c r="Q553" s="18"/>
      <c r="R553" s="8"/>
      <c r="S553" s="8"/>
    </row>
    <row r="554" customFormat="1" customHeight="1" spans="1:19">
      <c r="A554" s="8"/>
      <c r="B554" s="9"/>
      <c r="C554" s="10"/>
      <c r="D554" s="10"/>
      <c r="E554" s="11"/>
      <c r="F554" s="12"/>
      <c r="G554" s="13"/>
      <c r="H554" s="8"/>
      <c r="I554" s="14"/>
      <c r="J554" s="15"/>
      <c r="K554" s="16"/>
      <c r="L554" s="8"/>
      <c r="M554" s="15"/>
      <c r="N554" s="8"/>
      <c r="O554" s="8"/>
      <c r="P554" s="17"/>
      <c r="Q554" s="18"/>
      <c r="R554" s="8"/>
      <c r="S554" s="8"/>
    </row>
    <row r="555" customFormat="1" customHeight="1" spans="1:19">
      <c r="A555" s="8"/>
      <c r="B555" s="9"/>
      <c r="C555" s="10"/>
      <c r="D555" s="10"/>
      <c r="E555" s="11"/>
      <c r="F555" s="12"/>
      <c r="G555" s="13"/>
      <c r="H555" s="8"/>
      <c r="I555" s="14"/>
      <c r="J555" s="15"/>
      <c r="K555" s="16"/>
      <c r="L555" s="8"/>
      <c r="M555" s="15"/>
      <c r="N555" s="8"/>
      <c r="O555" s="8"/>
      <c r="P555" s="17"/>
      <c r="Q555" s="18"/>
      <c r="R555" s="8"/>
      <c r="S555" s="8"/>
    </row>
    <row r="556" customFormat="1" customHeight="1" spans="1:19">
      <c r="A556" s="8"/>
      <c r="B556" s="9"/>
      <c r="C556" s="10"/>
      <c r="D556" s="10"/>
      <c r="E556" s="11"/>
      <c r="F556" s="12"/>
      <c r="G556" s="13"/>
      <c r="H556" s="8"/>
      <c r="I556" s="14"/>
      <c r="J556" s="15"/>
      <c r="K556" s="16"/>
      <c r="L556" s="8"/>
      <c r="M556" s="15"/>
      <c r="N556" s="8"/>
      <c r="O556" s="8"/>
      <c r="P556" s="17"/>
      <c r="Q556" s="18"/>
      <c r="R556" s="8"/>
      <c r="S556" s="8"/>
    </row>
    <row r="557" customFormat="1" customHeight="1" spans="1:19">
      <c r="A557" s="8"/>
      <c r="B557" s="9"/>
      <c r="C557" s="10"/>
      <c r="D557" s="10"/>
      <c r="E557" s="11"/>
      <c r="F557" s="12"/>
      <c r="G557" s="13"/>
      <c r="H557" s="8"/>
      <c r="I557" s="14"/>
      <c r="J557" s="15"/>
      <c r="K557" s="16"/>
      <c r="L557" s="8"/>
      <c r="M557" s="15"/>
      <c r="N557" s="8"/>
      <c r="O557" s="8"/>
      <c r="P557" s="17"/>
      <c r="Q557" s="18"/>
      <c r="R557" s="8"/>
      <c r="S557" s="8"/>
    </row>
    <row r="558" customFormat="1" customHeight="1" spans="1:19">
      <c r="A558" s="8"/>
      <c r="B558" s="9"/>
      <c r="C558" s="10"/>
      <c r="D558" s="10"/>
      <c r="E558" s="11"/>
      <c r="F558" s="12"/>
      <c r="G558" s="13"/>
      <c r="H558" s="8"/>
      <c r="I558" s="14"/>
      <c r="J558" s="15"/>
      <c r="K558" s="16"/>
      <c r="L558" s="8"/>
      <c r="M558" s="15"/>
      <c r="N558" s="8"/>
      <c r="O558" s="8"/>
      <c r="P558" s="17"/>
      <c r="Q558" s="18"/>
      <c r="R558" s="8"/>
      <c r="S558" s="8"/>
    </row>
    <row r="559" customFormat="1" customHeight="1" spans="1:19">
      <c r="A559" s="8"/>
      <c r="B559" s="9"/>
      <c r="C559" s="10"/>
      <c r="D559" s="10"/>
      <c r="E559" s="11"/>
      <c r="F559" s="12"/>
      <c r="G559" s="13"/>
      <c r="H559" s="8"/>
      <c r="I559" s="14"/>
      <c r="J559" s="15"/>
      <c r="K559" s="16"/>
      <c r="L559" s="8"/>
      <c r="M559" s="15"/>
      <c r="N559" s="8"/>
      <c r="O559" s="8"/>
      <c r="P559" s="17"/>
      <c r="Q559" s="18"/>
      <c r="R559" s="8"/>
      <c r="S559" s="8"/>
    </row>
    <row r="560" customFormat="1" customHeight="1" spans="1:19">
      <c r="A560" s="8"/>
      <c r="B560" s="9"/>
      <c r="C560" s="10"/>
      <c r="D560" s="10"/>
      <c r="E560" s="11"/>
      <c r="F560" s="12"/>
      <c r="G560" s="13"/>
      <c r="H560" s="8"/>
      <c r="I560" s="14"/>
      <c r="J560" s="15"/>
      <c r="K560" s="16"/>
      <c r="L560" s="8"/>
      <c r="M560" s="15"/>
      <c r="N560" s="8"/>
      <c r="O560" s="8"/>
      <c r="P560" s="17"/>
      <c r="Q560" s="18"/>
      <c r="R560" s="8"/>
      <c r="S560" s="8"/>
    </row>
    <row r="561" customFormat="1" customHeight="1" spans="1:19">
      <c r="A561" s="8"/>
      <c r="B561" s="9"/>
      <c r="C561" s="10"/>
      <c r="D561" s="10"/>
      <c r="E561" s="11"/>
      <c r="F561" s="12"/>
      <c r="G561" s="13"/>
      <c r="H561" s="8"/>
      <c r="I561" s="14"/>
      <c r="J561" s="15"/>
      <c r="K561" s="16"/>
      <c r="L561" s="8"/>
      <c r="M561" s="15"/>
      <c r="N561" s="8"/>
      <c r="O561" s="8"/>
      <c r="P561" s="17"/>
      <c r="Q561" s="18"/>
      <c r="R561" s="8"/>
      <c r="S561" s="8"/>
    </row>
    <row r="562" customFormat="1" customHeight="1" spans="1:19">
      <c r="A562" s="8"/>
      <c r="B562" s="9"/>
      <c r="C562" s="10"/>
      <c r="D562" s="10"/>
      <c r="E562" s="11"/>
      <c r="F562" s="12"/>
      <c r="G562" s="13"/>
      <c r="H562" s="8"/>
      <c r="I562" s="14"/>
      <c r="J562" s="15"/>
      <c r="K562" s="16"/>
      <c r="L562" s="8"/>
      <c r="M562" s="15"/>
      <c r="N562" s="8"/>
      <c r="O562" s="8"/>
      <c r="P562" s="17"/>
      <c r="Q562" s="18"/>
      <c r="R562" s="8"/>
      <c r="S562" s="8"/>
    </row>
    <row r="563" customFormat="1" customHeight="1" spans="1:19">
      <c r="A563" s="8"/>
      <c r="B563" s="9"/>
      <c r="C563" s="10"/>
      <c r="D563" s="10"/>
      <c r="E563" s="11"/>
      <c r="F563" s="12"/>
      <c r="G563" s="13"/>
      <c r="H563" s="8"/>
      <c r="I563" s="14"/>
      <c r="J563" s="15"/>
      <c r="K563" s="16"/>
      <c r="L563" s="8"/>
      <c r="M563" s="15"/>
      <c r="N563" s="8"/>
      <c r="O563" s="8"/>
      <c r="P563" s="17"/>
      <c r="Q563" s="18"/>
      <c r="R563" s="8"/>
      <c r="S563" s="8"/>
    </row>
    <row r="564" customFormat="1" customHeight="1" spans="1:19">
      <c r="A564" s="8"/>
      <c r="B564" s="9"/>
      <c r="C564" s="10"/>
      <c r="D564" s="10"/>
      <c r="E564" s="11"/>
      <c r="F564" s="12"/>
      <c r="G564" s="13"/>
      <c r="H564" s="8"/>
      <c r="I564" s="14"/>
      <c r="J564" s="15"/>
      <c r="K564" s="16"/>
      <c r="L564" s="8"/>
      <c r="M564" s="15"/>
      <c r="N564" s="8"/>
      <c r="O564" s="8"/>
      <c r="P564" s="17"/>
      <c r="Q564" s="18"/>
      <c r="R564" s="8"/>
      <c r="S564" s="8"/>
    </row>
    <row r="565" customFormat="1" customHeight="1" spans="1:19">
      <c r="A565" s="8"/>
      <c r="B565" s="9"/>
      <c r="C565" s="10"/>
      <c r="D565" s="10"/>
      <c r="E565" s="11"/>
      <c r="F565" s="12"/>
      <c r="G565" s="13"/>
      <c r="H565" s="8"/>
      <c r="I565" s="14"/>
      <c r="J565" s="15"/>
      <c r="K565" s="16"/>
      <c r="L565" s="8"/>
      <c r="M565" s="15"/>
      <c r="N565" s="8"/>
      <c r="O565" s="8"/>
      <c r="P565" s="17"/>
      <c r="Q565" s="18"/>
      <c r="R565" s="8"/>
      <c r="S565" s="8"/>
    </row>
    <row r="566" customFormat="1" customHeight="1" spans="1:19">
      <c r="A566" s="8"/>
      <c r="B566" s="9"/>
      <c r="C566" s="10"/>
      <c r="D566" s="10"/>
      <c r="E566" s="11"/>
      <c r="F566" s="12"/>
      <c r="G566" s="13"/>
      <c r="H566" s="8"/>
      <c r="I566" s="14"/>
      <c r="J566" s="15"/>
      <c r="K566" s="16"/>
      <c r="L566" s="8"/>
      <c r="M566" s="15"/>
      <c r="N566" s="8"/>
      <c r="O566" s="8"/>
      <c r="P566" s="17"/>
      <c r="Q566" s="18"/>
      <c r="R566" s="8"/>
      <c r="S566" s="8"/>
    </row>
    <row r="567" customFormat="1" customHeight="1" spans="1:19">
      <c r="A567" s="8"/>
      <c r="B567" s="9"/>
      <c r="C567" s="10"/>
      <c r="D567" s="10"/>
      <c r="E567" s="11"/>
      <c r="F567" s="12"/>
      <c r="G567" s="13"/>
      <c r="H567" s="8"/>
      <c r="I567" s="14"/>
      <c r="J567" s="15"/>
      <c r="K567" s="16"/>
      <c r="L567" s="8"/>
      <c r="M567" s="15"/>
      <c r="N567" s="8"/>
      <c r="O567" s="8"/>
      <c r="P567" s="17"/>
      <c r="Q567" s="18"/>
      <c r="R567" s="8"/>
      <c r="S567" s="8"/>
    </row>
    <row r="568" customFormat="1" customHeight="1" spans="1:19">
      <c r="A568" s="8"/>
      <c r="B568" s="9"/>
      <c r="C568" s="10"/>
      <c r="D568" s="10"/>
      <c r="E568" s="11"/>
      <c r="F568" s="12"/>
      <c r="G568" s="13"/>
      <c r="H568" s="8"/>
      <c r="I568" s="14"/>
      <c r="J568" s="15"/>
      <c r="K568" s="16"/>
      <c r="L568" s="8"/>
      <c r="M568" s="15"/>
      <c r="N568" s="8"/>
      <c r="O568" s="8"/>
      <c r="P568" s="17"/>
      <c r="Q568" s="18"/>
      <c r="R568" s="8"/>
      <c r="S568" s="8"/>
    </row>
    <row r="569" customFormat="1" customHeight="1" spans="1:19">
      <c r="A569" s="8"/>
      <c r="B569" s="9"/>
      <c r="C569" s="10"/>
      <c r="D569" s="10"/>
      <c r="E569" s="11"/>
      <c r="F569" s="12"/>
      <c r="G569" s="13"/>
      <c r="H569" s="8"/>
      <c r="I569" s="14"/>
      <c r="J569" s="15"/>
      <c r="K569" s="16"/>
      <c r="L569" s="8"/>
      <c r="M569" s="15"/>
      <c r="N569" s="8"/>
      <c r="O569" s="8"/>
      <c r="P569" s="17"/>
      <c r="Q569" s="18"/>
      <c r="R569" s="8"/>
      <c r="S569" s="8"/>
    </row>
    <row r="570" customFormat="1" customHeight="1" spans="1:19">
      <c r="A570" s="8"/>
      <c r="B570" s="9"/>
      <c r="C570" s="10"/>
      <c r="D570" s="10"/>
      <c r="E570" s="11"/>
      <c r="F570" s="12"/>
      <c r="G570" s="13"/>
      <c r="H570" s="8"/>
      <c r="I570" s="14"/>
      <c r="J570" s="15"/>
      <c r="K570" s="16"/>
      <c r="L570" s="8"/>
      <c r="M570" s="15"/>
      <c r="N570" s="8"/>
      <c r="O570" s="8"/>
      <c r="P570" s="17"/>
      <c r="Q570" s="18"/>
      <c r="R570" s="8"/>
      <c r="S570" s="8"/>
    </row>
    <row r="571" customFormat="1" customHeight="1" spans="1:19">
      <c r="A571" s="8"/>
      <c r="B571" s="9"/>
      <c r="C571" s="10"/>
      <c r="D571" s="10"/>
      <c r="E571" s="11"/>
      <c r="F571" s="12"/>
      <c r="G571" s="13"/>
      <c r="H571" s="8"/>
      <c r="I571" s="14"/>
      <c r="J571" s="15"/>
      <c r="K571" s="16"/>
      <c r="L571" s="8"/>
      <c r="M571" s="15"/>
      <c r="N571" s="8"/>
      <c r="O571" s="8"/>
      <c r="P571" s="17"/>
      <c r="Q571" s="18"/>
      <c r="R571" s="8"/>
      <c r="S571" s="8"/>
    </row>
    <row r="572" customFormat="1" customHeight="1" spans="1:19">
      <c r="A572" s="8"/>
      <c r="B572" s="9"/>
      <c r="C572" s="10"/>
      <c r="D572" s="10"/>
      <c r="E572" s="11"/>
      <c r="F572" s="12"/>
      <c r="G572" s="13"/>
      <c r="H572" s="8"/>
      <c r="I572" s="14"/>
      <c r="J572" s="15"/>
      <c r="K572" s="16"/>
      <c r="L572" s="8"/>
      <c r="M572" s="15"/>
      <c r="N572" s="8"/>
      <c r="O572" s="8"/>
      <c r="P572" s="17"/>
      <c r="Q572" s="18"/>
      <c r="R572" s="8"/>
      <c r="S572" s="8"/>
    </row>
    <row r="573" customFormat="1" customHeight="1" spans="1:19">
      <c r="A573" s="8"/>
      <c r="B573" s="9"/>
      <c r="C573" s="10"/>
      <c r="D573" s="10"/>
      <c r="E573" s="11"/>
      <c r="F573" s="12"/>
      <c r="G573" s="13"/>
      <c r="H573" s="8"/>
      <c r="I573" s="14"/>
      <c r="J573" s="15"/>
      <c r="K573" s="16"/>
      <c r="L573" s="8"/>
      <c r="M573" s="15"/>
      <c r="N573" s="8"/>
      <c r="O573" s="8"/>
      <c r="P573" s="17"/>
      <c r="Q573" s="18"/>
      <c r="R573" s="8"/>
      <c r="S573" s="8"/>
    </row>
    <row r="574" customFormat="1" customHeight="1" spans="1:19">
      <c r="A574" s="8"/>
      <c r="B574" s="9"/>
      <c r="C574" s="10"/>
      <c r="D574" s="10"/>
      <c r="E574" s="11"/>
      <c r="F574" s="12"/>
      <c r="G574" s="13"/>
      <c r="H574" s="8"/>
      <c r="I574" s="14"/>
      <c r="J574" s="15"/>
      <c r="K574" s="16"/>
      <c r="L574" s="8"/>
      <c r="M574" s="15"/>
      <c r="N574" s="8"/>
      <c r="O574" s="8"/>
      <c r="P574" s="17"/>
      <c r="Q574" s="18"/>
      <c r="R574" s="8"/>
      <c r="S574" s="8"/>
    </row>
    <row r="575" customFormat="1" customHeight="1" spans="1:19">
      <c r="A575" s="8"/>
      <c r="B575" s="9"/>
      <c r="C575" s="10"/>
      <c r="D575" s="10"/>
      <c r="E575" s="11"/>
      <c r="F575" s="12"/>
      <c r="G575" s="13"/>
      <c r="H575" s="8"/>
      <c r="I575" s="14"/>
      <c r="J575" s="15"/>
      <c r="K575" s="16"/>
      <c r="L575" s="8"/>
      <c r="M575" s="15"/>
      <c r="N575" s="8"/>
      <c r="O575" s="8"/>
      <c r="P575" s="17"/>
      <c r="Q575" s="18"/>
      <c r="R575" s="8"/>
      <c r="S575" s="8"/>
    </row>
    <row r="576" customFormat="1" customHeight="1" spans="1:19">
      <c r="A576" s="8"/>
      <c r="B576" s="9"/>
      <c r="C576" s="10"/>
      <c r="D576" s="10"/>
      <c r="E576" s="11"/>
      <c r="F576" s="12"/>
      <c r="G576" s="13"/>
      <c r="H576" s="8"/>
      <c r="I576" s="14"/>
      <c r="J576" s="15"/>
      <c r="K576" s="16"/>
      <c r="L576" s="8"/>
      <c r="M576" s="15"/>
      <c r="N576" s="8"/>
      <c r="O576" s="8"/>
      <c r="P576" s="17"/>
      <c r="Q576" s="18"/>
      <c r="R576" s="8"/>
      <c r="S576" s="8"/>
    </row>
    <row r="577" customFormat="1" customHeight="1" spans="1:19">
      <c r="A577" s="8"/>
      <c r="B577" s="9"/>
      <c r="C577" s="10"/>
      <c r="D577" s="10"/>
      <c r="E577" s="11"/>
      <c r="F577" s="12"/>
      <c r="G577" s="13"/>
      <c r="H577" s="8"/>
      <c r="I577" s="14"/>
      <c r="J577" s="15"/>
      <c r="K577" s="16"/>
      <c r="L577" s="8"/>
      <c r="M577" s="15"/>
      <c r="N577" s="8"/>
      <c r="O577" s="8"/>
      <c r="P577" s="17"/>
      <c r="Q577" s="18"/>
      <c r="R577" s="8"/>
      <c r="S577" s="8"/>
    </row>
    <row r="578" customFormat="1" customHeight="1" spans="1:19">
      <c r="A578" s="8"/>
      <c r="B578" s="9"/>
      <c r="C578" s="10"/>
      <c r="D578" s="10"/>
      <c r="E578" s="11"/>
      <c r="F578" s="12"/>
      <c r="G578" s="13"/>
      <c r="H578" s="8"/>
      <c r="I578" s="14"/>
      <c r="J578" s="15"/>
      <c r="K578" s="16"/>
      <c r="L578" s="8"/>
      <c r="M578" s="15"/>
      <c r="N578" s="8"/>
      <c r="O578" s="8"/>
      <c r="P578" s="17"/>
      <c r="Q578" s="18"/>
      <c r="R578" s="8"/>
      <c r="S578" s="8"/>
    </row>
    <row r="579" customFormat="1" customHeight="1" spans="1:19">
      <c r="A579" s="8"/>
      <c r="B579" s="9"/>
      <c r="C579" s="10"/>
      <c r="D579" s="10"/>
      <c r="E579" s="11"/>
      <c r="F579" s="12"/>
      <c r="G579" s="13"/>
      <c r="H579" s="8"/>
      <c r="I579" s="14"/>
      <c r="J579" s="15"/>
      <c r="K579" s="16"/>
      <c r="L579" s="8"/>
      <c r="M579" s="15"/>
      <c r="N579" s="8"/>
      <c r="O579" s="8"/>
      <c r="P579" s="17"/>
      <c r="Q579" s="18"/>
      <c r="R579" s="8"/>
      <c r="S579" s="8"/>
    </row>
    <row r="580" customFormat="1" customHeight="1" spans="1:19">
      <c r="A580" s="8"/>
      <c r="B580" s="9"/>
      <c r="C580" s="10"/>
      <c r="D580" s="10"/>
      <c r="E580" s="11"/>
      <c r="F580" s="12"/>
      <c r="G580" s="13"/>
      <c r="H580" s="8"/>
      <c r="I580" s="14"/>
      <c r="J580" s="15"/>
      <c r="K580" s="16"/>
      <c r="L580" s="8"/>
      <c r="M580" s="15"/>
      <c r="N580" s="8"/>
      <c r="O580" s="8"/>
      <c r="P580" s="17"/>
      <c r="Q580" s="18"/>
      <c r="R580" s="8"/>
      <c r="S580" s="8"/>
    </row>
    <row r="581" customFormat="1" customHeight="1" spans="1:19">
      <c r="A581" s="8"/>
      <c r="B581" s="9"/>
      <c r="C581" s="10"/>
      <c r="D581" s="10"/>
      <c r="E581" s="11"/>
      <c r="F581" s="12"/>
      <c r="G581" s="13"/>
      <c r="H581" s="8"/>
      <c r="I581" s="14"/>
      <c r="J581" s="15"/>
      <c r="K581" s="16"/>
      <c r="L581" s="8"/>
      <c r="M581" s="15"/>
      <c r="N581" s="8"/>
      <c r="O581" s="8"/>
      <c r="P581" s="17"/>
      <c r="Q581" s="18"/>
      <c r="R581" s="8"/>
      <c r="S581" s="8"/>
    </row>
    <row r="582" customFormat="1" customHeight="1" spans="1:19">
      <c r="A582" s="8"/>
      <c r="B582" s="9"/>
      <c r="C582" s="10"/>
      <c r="D582" s="10"/>
      <c r="E582" s="11"/>
      <c r="F582" s="12"/>
      <c r="G582" s="13"/>
      <c r="H582" s="8"/>
      <c r="I582" s="14"/>
      <c r="J582" s="15"/>
      <c r="K582" s="16"/>
      <c r="L582" s="8"/>
      <c r="M582" s="15"/>
      <c r="N582" s="8"/>
      <c r="O582" s="8"/>
      <c r="P582" s="17"/>
      <c r="Q582" s="18"/>
      <c r="R582" s="8"/>
      <c r="S582" s="8"/>
    </row>
    <row r="583" customFormat="1" customHeight="1" spans="1:19">
      <c r="A583" s="8"/>
      <c r="B583" s="9"/>
      <c r="C583" s="10"/>
      <c r="D583" s="10"/>
      <c r="E583" s="11"/>
      <c r="F583" s="12"/>
      <c r="G583" s="13"/>
      <c r="H583" s="8"/>
      <c r="I583" s="14"/>
      <c r="J583" s="15"/>
      <c r="K583" s="16"/>
      <c r="L583" s="8"/>
      <c r="M583" s="15"/>
      <c r="N583" s="8"/>
      <c r="O583" s="8"/>
      <c r="P583" s="17"/>
      <c r="Q583" s="18"/>
      <c r="R583" s="8"/>
      <c r="S583" s="8"/>
    </row>
    <row r="584" customFormat="1" customHeight="1" spans="1:19">
      <c r="A584" s="8"/>
      <c r="B584" s="9"/>
      <c r="C584" s="10"/>
      <c r="D584" s="10"/>
      <c r="E584" s="11"/>
      <c r="F584" s="12"/>
      <c r="G584" s="13"/>
      <c r="H584" s="8"/>
      <c r="I584" s="14"/>
      <c r="J584" s="15"/>
      <c r="K584" s="16"/>
      <c r="L584" s="8"/>
      <c r="M584" s="15"/>
      <c r="N584" s="8"/>
      <c r="O584" s="8"/>
      <c r="P584" s="17"/>
      <c r="Q584" s="18"/>
      <c r="R584" s="8"/>
      <c r="S584" s="8"/>
    </row>
    <row r="585" customFormat="1" customHeight="1" spans="1:19">
      <c r="A585" s="8"/>
      <c r="B585" s="9"/>
      <c r="C585" s="10"/>
      <c r="D585" s="10"/>
      <c r="E585" s="11"/>
      <c r="F585" s="12"/>
      <c r="G585" s="13"/>
      <c r="H585" s="8"/>
      <c r="I585" s="14"/>
      <c r="J585" s="15"/>
      <c r="K585" s="16"/>
      <c r="L585" s="8"/>
      <c r="M585" s="15"/>
      <c r="N585" s="8"/>
      <c r="O585" s="8"/>
      <c r="P585" s="17"/>
      <c r="Q585" s="18"/>
      <c r="R585" s="8"/>
      <c r="S585" s="8"/>
    </row>
    <row r="586" customFormat="1" customHeight="1" spans="1:19">
      <c r="A586" s="8"/>
      <c r="B586" s="9"/>
      <c r="C586" s="10"/>
      <c r="D586" s="10"/>
      <c r="E586" s="11"/>
      <c r="F586" s="12"/>
      <c r="G586" s="13"/>
      <c r="H586" s="8"/>
      <c r="I586" s="14"/>
      <c r="J586" s="15"/>
      <c r="K586" s="16"/>
      <c r="L586" s="8"/>
      <c r="M586" s="15"/>
      <c r="N586" s="8"/>
      <c r="O586" s="8"/>
      <c r="P586" s="17"/>
      <c r="Q586" s="18"/>
      <c r="R586" s="8"/>
      <c r="S586" s="8"/>
    </row>
    <row r="587" customFormat="1" customHeight="1" spans="1:19">
      <c r="A587" s="8"/>
      <c r="B587" s="9"/>
      <c r="C587" s="10"/>
      <c r="D587" s="10"/>
      <c r="E587" s="11"/>
      <c r="F587" s="12"/>
      <c r="G587" s="13"/>
      <c r="H587" s="8"/>
      <c r="I587" s="14"/>
      <c r="J587" s="15"/>
      <c r="K587" s="16"/>
      <c r="L587" s="8"/>
      <c r="M587" s="15"/>
      <c r="N587" s="8"/>
      <c r="O587" s="8"/>
      <c r="P587" s="17"/>
      <c r="Q587" s="18"/>
      <c r="R587" s="8"/>
      <c r="S587" s="8"/>
    </row>
    <row r="588" customFormat="1" customHeight="1" spans="1:19">
      <c r="A588" s="8"/>
      <c r="B588" s="9"/>
      <c r="C588" s="10"/>
      <c r="D588" s="10"/>
      <c r="E588" s="11"/>
      <c r="F588" s="12"/>
      <c r="G588" s="13"/>
      <c r="H588" s="8"/>
      <c r="I588" s="14"/>
      <c r="J588" s="15"/>
      <c r="K588" s="16"/>
      <c r="L588" s="8"/>
      <c r="M588" s="15"/>
      <c r="N588" s="8"/>
      <c r="O588" s="8"/>
      <c r="P588" s="17"/>
      <c r="Q588" s="18"/>
      <c r="R588" s="8"/>
      <c r="S588" s="8"/>
    </row>
    <row r="589" customFormat="1" customHeight="1" spans="1:19">
      <c r="A589" s="8"/>
      <c r="B589" s="9"/>
      <c r="C589" s="10"/>
      <c r="D589" s="10"/>
      <c r="E589" s="11"/>
      <c r="F589" s="12"/>
      <c r="G589" s="13"/>
      <c r="H589" s="8"/>
      <c r="I589" s="14"/>
      <c r="J589" s="15"/>
      <c r="K589" s="16"/>
      <c r="L589" s="8"/>
      <c r="M589" s="15"/>
      <c r="N589" s="8"/>
      <c r="O589" s="8"/>
      <c r="P589" s="17"/>
      <c r="Q589" s="18"/>
      <c r="R589" s="8"/>
      <c r="S589" s="8"/>
    </row>
    <row r="590" customFormat="1" customHeight="1" spans="1:19">
      <c r="A590" s="8"/>
      <c r="B590" s="9"/>
      <c r="C590" s="10"/>
      <c r="D590" s="10"/>
      <c r="E590" s="11"/>
      <c r="F590" s="12"/>
      <c r="G590" s="13"/>
      <c r="H590" s="8"/>
      <c r="I590" s="14"/>
      <c r="J590" s="15"/>
      <c r="K590" s="16"/>
      <c r="L590" s="8"/>
      <c r="M590" s="15"/>
      <c r="N590" s="8"/>
      <c r="O590" s="8"/>
      <c r="P590" s="17"/>
      <c r="Q590" s="18"/>
      <c r="R590" s="8"/>
      <c r="S590" s="8"/>
    </row>
    <row r="591" customFormat="1" customHeight="1" spans="1:19">
      <c r="A591" s="8"/>
      <c r="B591" s="9"/>
      <c r="C591" s="10"/>
      <c r="D591" s="10"/>
      <c r="E591" s="11"/>
      <c r="F591" s="12"/>
      <c r="G591" s="13"/>
      <c r="H591" s="8"/>
      <c r="I591" s="14"/>
      <c r="J591" s="15"/>
      <c r="K591" s="16"/>
      <c r="L591" s="8"/>
      <c r="M591" s="15"/>
      <c r="N591" s="8"/>
      <c r="O591" s="8"/>
      <c r="P591" s="17"/>
      <c r="Q591" s="18"/>
      <c r="R591" s="8"/>
      <c r="S591" s="8"/>
    </row>
    <row r="592" customFormat="1" customHeight="1" spans="1:19">
      <c r="A592" s="8"/>
      <c r="B592" s="9"/>
      <c r="C592" s="10"/>
      <c r="D592" s="10"/>
      <c r="E592" s="11"/>
      <c r="F592" s="12"/>
      <c r="G592" s="13"/>
      <c r="H592" s="8"/>
      <c r="I592" s="14"/>
      <c r="J592" s="15"/>
      <c r="K592" s="16"/>
      <c r="L592" s="8"/>
      <c r="M592" s="15"/>
      <c r="N592" s="8"/>
      <c r="O592" s="8"/>
      <c r="P592" s="17"/>
      <c r="Q592" s="18"/>
      <c r="R592" s="8"/>
      <c r="S592" s="8"/>
    </row>
    <row r="593" customFormat="1" customHeight="1" spans="1:19">
      <c r="A593" s="8"/>
      <c r="B593" s="9"/>
      <c r="C593" s="10"/>
      <c r="D593" s="10"/>
      <c r="E593" s="11"/>
      <c r="F593" s="12"/>
      <c r="G593" s="13"/>
      <c r="H593" s="8"/>
      <c r="I593" s="14"/>
      <c r="J593" s="15"/>
      <c r="K593" s="16"/>
      <c r="L593" s="8"/>
      <c r="M593" s="15"/>
      <c r="N593" s="8"/>
      <c r="O593" s="8"/>
      <c r="P593" s="17"/>
      <c r="Q593" s="18"/>
      <c r="R593" s="8"/>
      <c r="S593" s="8"/>
    </row>
    <row r="594" customFormat="1" customHeight="1" spans="1:19">
      <c r="A594" s="8"/>
      <c r="B594" s="9"/>
      <c r="C594" s="10"/>
      <c r="D594" s="10"/>
      <c r="E594" s="11"/>
      <c r="F594" s="12"/>
      <c r="G594" s="13"/>
      <c r="H594" s="8"/>
      <c r="I594" s="14"/>
      <c r="J594" s="15"/>
      <c r="K594" s="16"/>
      <c r="L594" s="8"/>
      <c r="M594" s="15"/>
      <c r="N594" s="8"/>
      <c r="O594" s="8"/>
      <c r="P594" s="17"/>
      <c r="Q594" s="18"/>
      <c r="R594" s="8"/>
      <c r="S594" s="8"/>
    </row>
    <row r="595" customFormat="1" customHeight="1" spans="1:19">
      <c r="A595" s="8"/>
      <c r="B595" s="9"/>
      <c r="C595" s="10"/>
      <c r="D595" s="10"/>
      <c r="E595" s="11"/>
      <c r="F595" s="12"/>
      <c r="G595" s="13"/>
      <c r="H595" s="8"/>
      <c r="I595" s="14"/>
      <c r="J595" s="15"/>
      <c r="K595" s="16"/>
      <c r="L595" s="8"/>
      <c r="M595" s="15"/>
      <c r="N595" s="8"/>
      <c r="O595" s="8"/>
      <c r="P595" s="17"/>
      <c r="Q595" s="18"/>
      <c r="R595" s="8"/>
      <c r="S595" s="8"/>
    </row>
    <row r="596" customFormat="1" customHeight="1" spans="1:19">
      <c r="A596" s="8"/>
      <c r="B596" s="9"/>
      <c r="C596" s="10"/>
      <c r="D596" s="10"/>
      <c r="E596" s="11"/>
      <c r="F596" s="12"/>
      <c r="G596" s="13"/>
      <c r="H596" s="8"/>
      <c r="I596" s="14"/>
      <c r="J596" s="15"/>
      <c r="K596" s="16"/>
      <c r="L596" s="8"/>
      <c r="M596" s="15"/>
      <c r="N596" s="8"/>
      <c r="O596" s="8"/>
      <c r="P596" s="17"/>
      <c r="Q596" s="18"/>
      <c r="R596" s="8"/>
      <c r="S596" s="8"/>
    </row>
    <row r="597" customFormat="1" customHeight="1" spans="1:19">
      <c r="A597" s="8"/>
      <c r="B597" s="9"/>
      <c r="C597" s="10"/>
      <c r="D597" s="10"/>
      <c r="E597" s="11"/>
      <c r="F597" s="12"/>
      <c r="G597" s="13"/>
      <c r="H597" s="8"/>
      <c r="I597" s="14"/>
      <c r="J597" s="15"/>
      <c r="K597" s="16"/>
      <c r="L597" s="8"/>
      <c r="M597" s="15"/>
      <c r="N597" s="8"/>
      <c r="O597" s="8"/>
      <c r="P597" s="17"/>
      <c r="Q597" s="18"/>
      <c r="R597" s="8"/>
      <c r="S597" s="8"/>
    </row>
    <row r="598" customFormat="1" customHeight="1" spans="1:19">
      <c r="A598" s="8"/>
      <c r="B598" s="9"/>
      <c r="C598" s="10"/>
      <c r="D598" s="10"/>
      <c r="E598" s="11"/>
      <c r="F598" s="12"/>
      <c r="G598" s="13"/>
      <c r="H598" s="8"/>
      <c r="I598" s="14"/>
      <c r="J598" s="15"/>
      <c r="K598" s="16"/>
      <c r="L598" s="8"/>
      <c r="M598" s="15"/>
      <c r="N598" s="8"/>
      <c r="O598" s="8"/>
      <c r="P598" s="17"/>
      <c r="Q598" s="18"/>
      <c r="R598" s="8"/>
      <c r="S598" s="8"/>
    </row>
    <row r="599" customFormat="1" customHeight="1" spans="1:19">
      <c r="A599" s="8"/>
      <c r="B599" s="9"/>
      <c r="C599" s="10"/>
      <c r="D599" s="10"/>
      <c r="E599" s="11"/>
      <c r="F599" s="12"/>
      <c r="G599" s="13"/>
      <c r="H599" s="8"/>
      <c r="I599" s="14"/>
      <c r="J599" s="15"/>
      <c r="K599" s="16"/>
      <c r="L599" s="8"/>
      <c r="M599" s="15"/>
      <c r="N599" s="8"/>
      <c r="O599" s="8"/>
      <c r="P599" s="17"/>
      <c r="Q599" s="18"/>
      <c r="R599" s="8"/>
      <c r="S599" s="8"/>
    </row>
    <row r="600" customFormat="1" customHeight="1" spans="1:19">
      <c r="A600" s="8"/>
      <c r="B600" s="9"/>
      <c r="C600" s="10"/>
      <c r="D600" s="10"/>
      <c r="E600" s="11"/>
      <c r="F600" s="12"/>
      <c r="G600" s="13"/>
      <c r="H600" s="8"/>
      <c r="I600" s="14"/>
      <c r="J600" s="15"/>
      <c r="K600" s="16"/>
      <c r="L600" s="8"/>
      <c r="M600" s="15"/>
      <c r="N600" s="8"/>
      <c r="O600" s="8"/>
      <c r="P600" s="17"/>
      <c r="Q600" s="18"/>
      <c r="R600" s="8"/>
      <c r="S600" s="8"/>
    </row>
    <row r="601" customFormat="1" customHeight="1" spans="1:19">
      <c r="A601" s="8"/>
      <c r="B601" s="9"/>
      <c r="C601" s="10"/>
      <c r="D601" s="10"/>
      <c r="E601" s="11"/>
      <c r="F601" s="12"/>
      <c r="G601" s="13"/>
      <c r="H601" s="8"/>
      <c r="I601" s="14"/>
      <c r="J601" s="15"/>
      <c r="K601" s="16"/>
      <c r="L601" s="8"/>
      <c r="M601" s="15"/>
      <c r="N601" s="8"/>
      <c r="O601" s="8"/>
      <c r="P601" s="17"/>
      <c r="Q601" s="18"/>
      <c r="R601" s="8"/>
      <c r="S601" s="8"/>
    </row>
    <row r="602" customFormat="1" customHeight="1" spans="1:19">
      <c r="A602" s="8"/>
      <c r="B602" s="9"/>
      <c r="C602" s="10"/>
      <c r="D602" s="10"/>
      <c r="E602" s="11"/>
      <c r="F602" s="12"/>
      <c r="G602" s="13"/>
      <c r="H602" s="8"/>
      <c r="I602" s="14"/>
      <c r="J602" s="15"/>
      <c r="K602" s="16"/>
      <c r="L602" s="8"/>
      <c r="M602" s="15"/>
      <c r="N602" s="8"/>
      <c r="O602" s="8"/>
      <c r="P602" s="17"/>
      <c r="Q602" s="18"/>
      <c r="R602" s="8"/>
      <c r="S602" s="8"/>
    </row>
    <row r="603" customFormat="1" customHeight="1" spans="1:19">
      <c r="A603" s="8"/>
      <c r="B603" s="9"/>
      <c r="C603" s="10"/>
      <c r="D603" s="10"/>
      <c r="E603" s="11"/>
      <c r="F603" s="12"/>
      <c r="G603" s="13"/>
      <c r="H603" s="8"/>
      <c r="I603" s="14"/>
      <c r="J603" s="15"/>
      <c r="K603" s="16"/>
      <c r="L603" s="8"/>
      <c r="M603" s="15"/>
      <c r="N603" s="8"/>
      <c r="O603" s="8"/>
      <c r="P603" s="17"/>
      <c r="Q603" s="18"/>
      <c r="R603" s="8"/>
      <c r="S603" s="8"/>
    </row>
    <row r="604" customFormat="1" customHeight="1" spans="1:19">
      <c r="A604" s="8"/>
      <c r="B604" s="9"/>
      <c r="C604" s="10"/>
      <c r="D604" s="10"/>
      <c r="E604" s="11"/>
      <c r="F604" s="12"/>
      <c r="G604" s="13"/>
      <c r="H604" s="8"/>
      <c r="I604" s="14"/>
      <c r="J604" s="15"/>
      <c r="K604" s="16"/>
      <c r="L604" s="8"/>
      <c r="M604" s="15"/>
      <c r="N604" s="8"/>
      <c r="O604" s="8"/>
      <c r="P604" s="17"/>
      <c r="Q604" s="18"/>
      <c r="R604" s="8"/>
      <c r="S604" s="8"/>
    </row>
    <row r="605" customFormat="1" customHeight="1" spans="1:19">
      <c r="A605" s="8"/>
      <c r="B605" s="9"/>
      <c r="C605" s="10"/>
      <c r="D605" s="10"/>
      <c r="E605" s="11"/>
      <c r="F605" s="12"/>
      <c r="G605" s="13"/>
      <c r="H605" s="8"/>
      <c r="I605" s="14"/>
      <c r="J605" s="15"/>
      <c r="K605" s="16"/>
      <c r="L605" s="8"/>
      <c r="M605" s="15"/>
      <c r="N605" s="8"/>
      <c r="O605" s="8"/>
      <c r="P605" s="17"/>
      <c r="Q605" s="18"/>
      <c r="R605" s="8"/>
      <c r="S605" s="8"/>
    </row>
    <row r="606" customFormat="1" customHeight="1" spans="1:19">
      <c r="A606" s="8"/>
      <c r="B606" s="9"/>
      <c r="C606" s="10"/>
      <c r="D606" s="10"/>
      <c r="E606" s="11"/>
      <c r="F606" s="12"/>
      <c r="G606" s="13"/>
      <c r="H606" s="8"/>
      <c r="I606" s="14"/>
      <c r="J606" s="15"/>
      <c r="K606" s="16"/>
      <c r="L606" s="8"/>
      <c r="M606" s="15"/>
      <c r="N606" s="8"/>
      <c r="O606" s="8"/>
      <c r="P606" s="17"/>
      <c r="Q606" s="18"/>
      <c r="R606" s="8"/>
      <c r="S606" s="8"/>
    </row>
    <row r="607" customFormat="1" customHeight="1" spans="1:19">
      <c r="A607" s="8"/>
      <c r="B607" s="9"/>
      <c r="C607" s="10"/>
      <c r="D607" s="10"/>
      <c r="E607" s="11"/>
      <c r="F607" s="12"/>
      <c r="G607" s="13"/>
      <c r="H607" s="8"/>
      <c r="I607" s="14"/>
      <c r="J607" s="15"/>
      <c r="K607" s="16"/>
      <c r="L607" s="8"/>
      <c r="M607" s="15"/>
      <c r="N607" s="8"/>
      <c r="O607" s="8"/>
      <c r="P607" s="17"/>
      <c r="Q607" s="18"/>
      <c r="R607" s="8"/>
      <c r="S607" s="8"/>
    </row>
    <row r="608" customFormat="1" customHeight="1" spans="1:19">
      <c r="A608" s="8"/>
      <c r="B608" s="9"/>
      <c r="C608" s="10"/>
      <c r="D608" s="10"/>
      <c r="E608" s="11"/>
      <c r="F608" s="12"/>
      <c r="G608" s="13"/>
      <c r="H608" s="8"/>
      <c r="I608" s="14"/>
      <c r="J608" s="15"/>
      <c r="K608" s="16"/>
      <c r="L608" s="8"/>
      <c r="M608" s="15"/>
      <c r="N608" s="8"/>
      <c r="O608" s="8"/>
      <c r="P608" s="17"/>
      <c r="Q608" s="18"/>
      <c r="R608" s="8"/>
      <c r="S608" s="8"/>
    </row>
    <row r="609" customFormat="1" customHeight="1" spans="1:19">
      <c r="A609" s="8"/>
      <c r="B609" s="9"/>
      <c r="C609" s="10"/>
      <c r="D609" s="10"/>
      <c r="E609" s="11"/>
      <c r="F609" s="12"/>
      <c r="G609" s="13"/>
      <c r="H609" s="8"/>
      <c r="I609" s="14"/>
      <c r="J609" s="15"/>
      <c r="K609" s="16"/>
      <c r="L609" s="8"/>
      <c r="M609" s="15"/>
      <c r="N609" s="8"/>
      <c r="O609" s="8"/>
      <c r="P609" s="17"/>
      <c r="Q609" s="18"/>
      <c r="R609" s="8"/>
      <c r="S609" s="8"/>
    </row>
    <row r="610" customFormat="1" customHeight="1" spans="1:19">
      <c r="A610" s="8"/>
      <c r="B610" s="9"/>
      <c r="C610" s="10"/>
      <c r="D610" s="10"/>
      <c r="E610" s="11"/>
      <c r="F610" s="12"/>
      <c r="G610" s="13"/>
      <c r="H610" s="8"/>
      <c r="I610" s="14"/>
      <c r="J610" s="15"/>
      <c r="K610" s="16"/>
      <c r="L610" s="8"/>
      <c r="M610" s="15"/>
      <c r="N610" s="8"/>
      <c r="O610" s="8"/>
      <c r="P610" s="17"/>
      <c r="Q610" s="18"/>
      <c r="R610" s="8"/>
      <c r="S610" s="8"/>
    </row>
    <row r="611" customFormat="1" customHeight="1" spans="1:19">
      <c r="A611" s="8"/>
      <c r="B611" s="9"/>
      <c r="C611" s="10"/>
      <c r="D611" s="10"/>
      <c r="E611" s="11"/>
      <c r="F611" s="12"/>
      <c r="G611" s="13"/>
      <c r="H611" s="8"/>
      <c r="I611" s="14"/>
      <c r="J611" s="15"/>
      <c r="K611" s="16"/>
      <c r="L611" s="8"/>
      <c r="M611" s="15"/>
      <c r="N611" s="8"/>
      <c r="O611" s="8"/>
      <c r="P611" s="17"/>
      <c r="Q611" s="18"/>
      <c r="R611" s="8"/>
      <c r="S611" s="8"/>
    </row>
    <row r="612" customFormat="1" customHeight="1" spans="1:19">
      <c r="A612" s="8"/>
      <c r="B612" s="9"/>
      <c r="C612" s="10"/>
      <c r="D612" s="10"/>
      <c r="E612" s="11"/>
      <c r="F612" s="12"/>
      <c r="G612" s="13"/>
      <c r="H612" s="8"/>
      <c r="I612" s="14"/>
      <c r="J612" s="15"/>
      <c r="K612" s="16"/>
      <c r="L612" s="8"/>
      <c r="M612" s="15"/>
      <c r="N612" s="8"/>
      <c r="O612" s="8"/>
      <c r="P612" s="17"/>
      <c r="Q612" s="18"/>
      <c r="R612" s="8"/>
      <c r="S612" s="8"/>
    </row>
    <row r="613" customFormat="1" customHeight="1" spans="1:19">
      <c r="A613" s="8"/>
      <c r="B613" s="9"/>
      <c r="C613" s="10"/>
      <c r="D613" s="10"/>
      <c r="E613" s="11"/>
      <c r="F613" s="12"/>
      <c r="G613" s="13"/>
      <c r="H613" s="8"/>
      <c r="I613" s="14"/>
      <c r="J613" s="15"/>
      <c r="K613" s="16"/>
      <c r="L613" s="8"/>
      <c r="M613" s="15"/>
      <c r="N613" s="8"/>
      <c r="O613" s="8"/>
      <c r="P613" s="17"/>
      <c r="Q613" s="18"/>
      <c r="R613" s="8"/>
      <c r="S613" s="8"/>
    </row>
    <row r="614" customFormat="1" customHeight="1" spans="1:19">
      <c r="A614" s="8"/>
      <c r="B614" s="9"/>
      <c r="C614" s="10"/>
      <c r="D614" s="10"/>
      <c r="E614" s="11"/>
      <c r="F614" s="12"/>
      <c r="G614" s="13"/>
      <c r="H614" s="8"/>
      <c r="I614" s="14"/>
      <c r="J614" s="15"/>
      <c r="K614" s="16"/>
      <c r="L614" s="8"/>
      <c r="M614" s="15"/>
      <c r="N614" s="8"/>
      <c r="O614" s="8"/>
      <c r="P614" s="17"/>
      <c r="Q614" s="18"/>
      <c r="R614" s="8"/>
      <c r="S614" s="8"/>
    </row>
    <row r="615" customFormat="1" customHeight="1" spans="1:19">
      <c r="A615" s="8"/>
      <c r="B615" s="9"/>
      <c r="C615" s="10"/>
      <c r="D615" s="10"/>
      <c r="E615" s="11"/>
      <c r="F615" s="12"/>
      <c r="G615" s="13"/>
      <c r="H615" s="8"/>
      <c r="I615" s="14"/>
      <c r="J615" s="15"/>
      <c r="K615" s="16"/>
      <c r="L615" s="8"/>
      <c r="M615" s="15"/>
      <c r="N615" s="8"/>
      <c r="O615" s="8"/>
      <c r="P615" s="17"/>
      <c r="Q615" s="18"/>
      <c r="R615" s="8"/>
      <c r="S615" s="8"/>
    </row>
    <row r="616" customFormat="1" customHeight="1" spans="1:19">
      <c r="A616" s="8"/>
      <c r="B616" s="9"/>
      <c r="C616" s="10"/>
      <c r="D616" s="10"/>
      <c r="E616" s="11"/>
      <c r="F616" s="12"/>
      <c r="G616" s="13"/>
      <c r="H616" s="8"/>
      <c r="I616" s="14"/>
      <c r="J616" s="15"/>
      <c r="K616" s="16"/>
      <c r="L616" s="8"/>
      <c r="M616" s="15"/>
      <c r="N616" s="8"/>
      <c r="O616" s="8"/>
      <c r="P616" s="17"/>
      <c r="Q616" s="18"/>
      <c r="R616" s="8"/>
      <c r="S616" s="8"/>
    </row>
    <row r="617" customFormat="1" customHeight="1" spans="1:19">
      <c r="A617" s="8"/>
      <c r="B617" s="9"/>
      <c r="C617" s="10"/>
      <c r="D617" s="10"/>
      <c r="E617" s="11"/>
      <c r="F617" s="12"/>
      <c r="G617" s="13"/>
      <c r="H617" s="8"/>
      <c r="I617" s="14"/>
      <c r="J617" s="15"/>
      <c r="K617" s="16"/>
      <c r="L617" s="8"/>
      <c r="M617" s="15"/>
      <c r="N617" s="8"/>
      <c r="O617" s="8"/>
      <c r="P617" s="17"/>
      <c r="Q617" s="18"/>
      <c r="R617" s="8"/>
      <c r="S617" s="8"/>
    </row>
    <row r="618" customFormat="1" customHeight="1" spans="1:19">
      <c r="A618" s="8"/>
      <c r="B618" s="9"/>
      <c r="C618" s="10"/>
      <c r="D618" s="10"/>
      <c r="E618" s="11"/>
      <c r="F618" s="12"/>
      <c r="G618" s="13"/>
      <c r="H618" s="8"/>
      <c r="I618" s="14"/>
      <c r="J618" s="15"/>
      <c r="K618" s="16"/>
      <c r="L618" s="8"/>
      <c r="M618" s="15"/>
      <c r="N618" s="8"/>
      <c r="O618" s="8"/>
      <c r="P618" s="17"/>
      <c r="Q618" s="18"/>
      <c r="R618" s="8"/>
      <c r="S618" s="8"/>
    </row>
    <row r="619" customFormat="1" customHeight="1" spans="1:19">
      <c r="A619" s="8"/>
      <c r="B619" s="9"/>
      <c r="C619" s="10"/>
      <c r="D619" s="10"/>
      <c r="E619" s="11"/>
      <c r="F619" s="12"/>
      <c r="G619" s="13"/>
      <c r="H619" s="8"/>
      <c r="I619" s="14"/>
      <c r="J619" s="15"/>
      <c r="K619" s="16"/>
      <c r="L619" s="8"/>
      <c r="M619" s="15"/>
      <c r="N619" s="8"/>
      <c r="O619" s="8"/>
      <c r="P619" s="17"/>
      <c r="Q619" s="18"/>
      <c r="R619" s="8"/>
      <c r="S619" s="8"/>
    </row>
    <row r="620" customFormat="1" customHeight="1" spans="1:19">
      <c r="A620" s="8"/>
      <c r="B620" s="9"/>
      <c r="C620" s="10"/>
      <c r="D620" s="10"/>
      <c r="E620" s="11"/>
      <c r="F620" s="12"/>
      <c r="G620" s="13"/>
      <c r="H620" s="8"/>
      <c r="I620" s="14"/>
      <c r="J620" s="15"/>
      <c r="K620" s="16"/>
      <c r="L620" s="8"/>
      <c r="M620" s="15"/>
      <c r="N620" s="8"/>
      <c r="O620" s="8"/>
      <c r="P620" s="17"/>
      <c r="Q620" s="18"/>
      <c r="R620" s="8"/>
      <c r="S620" s="8"/>
    </row>
    <row r="621" customFormat="1" customHeight="1" spans="1:19">
      <c r="A621" s="8"/>
      <c r="B621" s="9"/>
      <c r="C621" s="10"/>
      <c r="D621" s="10"/>
      <c r="E621" s="11"/>
      <c r="F621" s="12"/>
      <c r="G621" s="13"/>
      <c r="H621" s="8"/>
      <c r="I621" s="14"/>
      <c r="J621" s="15"/>
      <c r="K621" s="16"/>
      <c r="L621" s="8"/>
      <c r="M621" s="15"/>
      <c r="N621" s="8"/>
      <c r="O621" s="8"/>
      <c r="P621" s="17"/>
      <c r="Q621" s="18"/>
      <c r="R621" s="8"/>
      <c r="S621" s="8"/>
    </row>
    <row r="622" customFormat="1" customHeight="1" spans="1:19">
      <c r="A622" s="8"/>
      <c r="B622" s="9"/>
      <c r="C622" s="10"/>
      <c r="D622" s="10"/>
      <c r="E622" s="11"/>
      <c r="F622" s="12"/>
      <c r="G622" s="13"/>
      <c r="H622" s="8"/>
      <c r="I622" s="14"/>
      <c r="J622" s="15"/>
      <c r="K622" s="16"/>
      <c r="L622" s="8"/>
      <c r="M622" s="15"/>
      <c r="N622" s="8"/>
      <c r="O622" s="8"/>
      <c r="P622" s="17"/>
      <c r="Q622" s="18"/>
      <c r="R622" s="8"/>
      <c r="S622" s="8"/>
    </row>
    <row r="623" customFormat="1" customHeight="1" spans="1:19">
      <c r="A623" s="8"/>
      <c r="B623" s="9"/>
      <c r="C623" s="10"/>
      <c r="D623" s="10"/>
      <c r="E623" s="11"/>
      <c r="F623" s="12"/>
      <c r="G623" s="13"/>
      <c r="H623" s="8"/>
      <c r="I623" s="14"/>
      <c r="J623" s="15"/>
      <c r="K623" s="16"/>
      <c r="L623" s="8"/>
      <c r="M623" s="15"/>
      <c r="N623" s="8"/>
      <c r="O623" s="8"/>
      <c r="P623" s="17"/>
      <c r="Q623" s="18"/>
      <c r="R623" s="8"/>
      <c r="S623" s="8"/>
    </row>
    <row r="624" customFormat="1" customHeight="1" spans="1:19">
      <c r="A624" s="8"/>
      <c r="B624" s="9"/>
      <c r="C624" s="10"/>
      <c r="D624" s="10"/>
      <c r="E624" s="11"/>
      <c r="F624" s="12"/>
      <c r="G624" s="13"/>
      <c r="H624" s="8"/>
      <c r="I624" s="14"/>
      <c r="J624" s="15"/>
      <c r="K624" s="16"/>
      <c r="L624" s="8"/>
      <c r="M624" s="15"/>
      <c r="N624" s="8"/>
      <c r="O624" s="8"/>
      <c r="P624" s="17"/>
      <c r="Q624" s="18"/>
      <c r="R624" s="8"/>
      <c r="S624" s="8"/>
    </row>
    <row r="625" customFormat="1" customHeight="1" spans="1:19">
      <c r="A625" s="8"/>
      <c r="B625" s="9"/>
      <c r="C625" s="10"/>
      <c r="D625" s="10"/>
      <c r="E625" s="11"/>
      <c r="F625" s="12"/>
      <c r="G625" s="13"/>
      <c r="H625" s="8"/>
      <c r="I625" s="14"/>
      <c r="J625" s="15"/>
      <c r="K625" s="16"/>
      <c r="L625" s="8"/>
      <c r="M625" s="15"/>
      <c r="N625" s="8"/>
      <c r="O625" s="8"/>
      <c r="P625" s="17"/>
      <c r="Q625" s="18"/>
      <c r="R625" s="8"/>
      <c r="S625" s="8"/>
    </row>
    <row r="626" customFormat="1" customHeight="1" spans="1:19">
      <c r="A626" s="8"/>
      <c r="B626" s="9"/>
      <c r="C626" s="10"/>
      <c r="D626" s="10"/>
      <c r="E626" s="11"/>
      <c r="F626" s="12"/>
      <c r="G626" s="13"/>
      <c r="H626" s="8"/>
      <c r="I626" s="14"/>
      <c r="J626" s="15"/>
      <c r="K626" s="16"/>
      <c r="L626" s="8"/>
      <c r="M626" s="15"/>
      <c r="N626" s="8"/>
      <c r="O626" s="8"/>
      <c r="P626" s="17"/>
      <c r="Q626" s="18"/>
      <c r="R626" s="8"/>
      <c r="S626" s="8"/>
    </row>
    <row r="627" customFormat="1" customHeight="1" spans="1:19">
      <c r="A627" s="8"/>
      <c r="B627" s="9"/>
      <c r="C627" s="10"/>
      <c r="D627" s="10"/>
      <c r="E627" s="11"/>
      <c r="F627" s="12"/>
      <c r="G627" s="13"/>
      <c r="H627" s="8"/>
      <c r="I627" s="14"/>
      <c r="J627" s="15"/>
      <c r="K627" s="16"/>
      <c r="L627" s="8"/>
      <c r="M627" s="15"/>
      <c r="N627" s="8"/>
      <c r="O627" s="8"/>
      <c r="P627" s="17"/>
      <c r="Q627" s="18"/>
      <c r="R627" s="8"/>
      <c r="S627" s="8"/>
    </row>
    <row r="628" customFormat="1" customHeight="1" spans="1:19">
      <c r="A628" s="8"/>
      <c r="B628" s="9"/>
      <c r="C628" s="10"/>
      <c r="D628" s="10"/>
      <c r="E628" s="11"/>
      <c r="F628" s="12"/>
      <c r="G628" s="13"/>
      <c r="H628" s="8"/>
      <c r="I628" s="14"/>
      <c r="J628" s="15"/>
      <c r="K628" s="16"/>
      <c r="L628" s="8"/>
      <c r="M628" s="15"/>
      <c r="N628" s="8"/>
      <c r="O628" s="8"/>
      <c r="P628" s="17"/>
      <c r="Q628" s="18"/>
      <c r="R628" s="8"/>
      <c r="S628" s="8"/>
    </row>
    <row r="629" customFormat="1" customHeight="1" spans="1:19">
      <c r="A629" s="8"/>
      <c r="B629" s="9"/>
      <c r="C629" s="10"/>
      <c r="D629" s="10"/>
      <c r="E629" s="11"/>
      <c r="F629" s="12"/>
      <c r="G629" s="13"/>
      <c r="H629" s="8"/>
      <c r="I629" s="14"/>
      <c r="J629" s="15"/>
      <c r="K629" s="16"/>
      <c r="L629" s="8"/>
      <c r="M629" s="15"/>
      <c r="N629" s="8"/>
      <c r="O629" s="8"/>
      <c r="P629" s="17"/>
      <c r="Q629" s="18"/>
      <c r="R629" s="8"/>
      <c r="S629" s="8"/>
    </row>
    <row r="630" customFormat="1" customHeight="1" spans="1:19">
      <c r="A630" s="8"/>
      <c r="B630" s="9"/>
      <c r="C630" s="10"/>
      <c r="D630" s="10"/>
      <c r="E630" s="11"/>
      <c r="F630" s="12"/>
      <c r="G630" s="13"/>
      <c r="H630" s="8"/>
      <c r="I630" s="14"/>
      <c r="J630" s="15"/>
      <c r="K630" s="16"/>
      <c r="L630" s="8"/>
      <c r="M630" s="15"/>
      <c r="N630" s="8"/>
      <c r="O630" s="8"/>
      <c r="P630" s="17"/>
      <c r="Q630" s="18"/>
      <c r="R630" s="8"/>
      <c r="S630" s="8"/>
    </row>
    <row r="631" customFormat="1" customHeight="1" spans="1:19">
      <c r="A631" s="8"/>
      <c r="B631" s="9"/>
      <c r="C631" s="10"/>
      <c r="D631" s="10"/>
      <c r="E631" s="11"/>
      <c r="F631" s="12"/>
      <c r="G631" s="13"/>
      <c r="H631" s="8"/>
      <c r="I631" s="14"/>
      <c r="J631" s="15"/>
      <c r="K631" s="16"/>
      <c r="L631" s="8"/>
      <c r="M631" s="15"/>
      <c r="N631" s="8"/>
      <c r="O631" s="8"/>
      <c r="P631" s="17"/>
      <c r="Q631" s="18"/>
      <c r="R631" s="8"/>
      <c r="S631" s="8"/>
    </row>
    <row r="632" customFormat="1" customHeight="1" spans="1:19">
      <c r="A632" s="8"/>
      <c r="B632" s="9"/>
      <c r="C632" s="10"/>
      <c r="D632" s="10"/>
      <c r="E632" s="11"/>
      <c r="F632" s="12"/>
      <c r="G632" s="13"/>
      <c r="H632" s="8"/>
      <c r="I632" s="14"/>
      <c r="J632" s="15"/>
      <c r="K632" s="16"/>
      <c r="L632" s="8"/>
      <c r="M632" s="15"/>
      <c r="N632" s="8"/>
      <c r="O632" s="8"/>
      <c r="P632" s="17"/>
      <c r="Q632" s="18"/>
      <c r="R632" s="8"/>
      <c r="S632" s="8"/>
    </row>
    <row r="633" customFormat="1" customHeight="1" spans="1:19">
      <c r="A633" s="8"/>
      <c r="B633" s="9"/>
      <c r="C633" s="10"/>
      <c r="D633" s="10"/>
      <c r="E633" s="11"/>
      <c r="F633" s="12"/>
      <c r="G633" s="13"/>
      <c r="H633" s="8"/>
      <c r="I633" s="14"/>
      <c r="J633" s="15"/>
      <c r="K633" s="16"/>
      <c r="L633" s="8"/>
      <c r="M633" s="15"/>
      <c r="N633" s="8"/>
      <c r="O633" s="8"/>
      <c r="P633" s="17"/>
      <c r="Q633" s="18"/>
      <c r="R633" s="8"/>
      <c r="S633" s="8"/>
    </row>
    <row r="634" customFormat="1" customHeight="1" spans="1:19">
      <c r="A634" s="8"/>
      <c r="B634" s="9"/>
      <c r="C634" s="10"/>
      <c r="D634" s="10"/>
      <c r="E634" s="11"/>
      <c r="F634" s="12"/>
      <c r="G634" s="13"/>
      <c r="H634" s="8"/>
      <c r="I634" s="14"/>
      <c r="J634" s="15"/>
      <c r="K634" s="16"/>
      <c r="L634" s="8"/>
      <c r="M634" s="15"/>
      <c r="N634" s="8"/>
      <c r="O634" s="8"/>
      <c r="P634" s="17"/>
      <c r="Q634" s="18"/>
      <c r="R634" s="8"/>
      <c r="S634" s="8"/>
    </row>
    <row r="635" customFormat="1" customHeight="1" spans="1:19">
      <c r="A635" s="8"/>
      <c r="B635" s="9"/>
      <c r="C635" s="10"/>
      <c r="D635" s="10"/>
      <c r="E635" s="11"/>
      <c r="F635" s="12"/>
      <c r="G635" s="13"/>
      <c r="H635" s="8"/>
      <c r="I635" s="14"/>
      <c r="J635" s="15"/>
      <c r="K635" s="16"/>
      <c r="L635" s="8"/>
      <c r="M635" s="15"/>
      <c r="N635" s="8"/>
      <c r="O635" s="8"/>
      <c r="P635" s="17"/>
      <c r="Q635" s="18"/>
      <c r="R635" s="8"/>
      <c r="S635" s="8"/>
    </row>
    <row r="636" customFormat="1" customHeight="1" spans="1:19">
      <c r="A636" s="8"/>
      <c r="B636" s="9"/>
      <c r="C636" s="10"/>
      <c r="D636" s="10"/>
      <c r="E636" s="11"/>
      <c r="F636" s="12"/>
      <c r="G636" s="13"/>
      <c r="H636" s="8"/>
      <c r="I636" s="14"/>
      <c r="J636" s="15"/>
      <c r="K636" s="16"/>
      <c r="L636" s="8"/>
      <c r="M636" s="15"/>
      <c r="N636" s="8"/>
      <c r="O636" s="8"/>
      <c r="P636" s="17"/>
      <c r="Q636" s="18"/>
      <c r="R636" s="8"/>
      <c r="S636" s="8"/>
    </row>
    <row r="637" customFormat="1" customHeight="1" spans="1:19">
      <c r="A637" s="8"/>
      <c r="B637" s="9"/>
      <c r="C637" s="10"/>
      <c r="D637" s="10"/>
      <c r="E637" s="11"/>
      <c r="F637" s="12"/>
      <c r="G637" s="13"/>
      <c r="H637" s="8"/>
      <c r="I637" s="14"/>
      <c r="J637" s="15"/>
      <c r="K637" s="16"/>
      <c r="L637" s="8"/>
      <c r="M637" s="15"/>
      <c r="N637" s="8"/>
      <c r="O637" s="8"/>
      <c r="P637" s="17"/>
      <c r="Q637" s="18"/>
      <c r="R637" s="8"/>
      <c r="S637" s="8"/>
    </row>
    <row r="638" customFormat="1" customHeight="1" spans="1:19">
      <c r="A638" s="8"/>
      <c r="B638" s="9"/>
      <c r="C638" s="10"/>
      <c r="D638" s="10"/>
      <c r="E638" s="11"/>
      <c r="F638" s="12"/>
      <c r="G638" s="13"/>
      <c r="H638" s="8"/>
      <c r="I638" s="14"/>
      <c r="J638" s="15"/>
      <c r="K638" s="16"/>
      <c r="L638" s="8"/>
      <c r="M638" s="15"/>
      <c r="N638" s="8"/>
      <c r="O638" s="8"/>
      <c r="P638" s="17"/>
      <c r="Q638" s="18"/>
      <c r="R638" s="8"/>
      <c r="S638" s="8"/>
    </row>
    <row r="639" customFormat="1" customHeight="1" spans="1:19">
      <c r="A639" s="8"/>
      <c r="B639" s="9"/>
      <c r="C639" s="10"/>
      <c r="D639" s="10"/>
      <c r="E639" s="11"/>
      <c r="F639" s="12"/>
      <c r="G639" s="13"/>
      <c r="H639" s="8"/>
      <c r="I639" s="14"/>
      <c r="J639" s="15"/>
      <c r="K639" s="16"/>
      <c r="L639" s="8"/>
      <c r="M639" s="15"/>
      <c r="N639" s="8"/>
      <c r="O639" s="8"/>
      <c r="P639" s="17"/>
      <c r="Q639" s="18"/>
      <c r="R639" s="8"/>
      <c r="S639" s="8"/>
    </row>
    <row r="640" customFormat="1" customHeight="1" spans="1:19">
      <c r="A640" s="8"/>
      <c r="B640" s="9"/>
      <c r="C640" s="10"/>
      <c r="D640" s="10"/>
      <c r="E640" s="11"/>
      <c r="F640" s="12"/>
      <c r="G640" s="13"/>
      <c r="H640" s="8"/>
      <c r="I640" s="14"/>
      <c r="J640" s="15"/>
      <c r="K640" s="16"/>
      <c r="L640" s="8"/>
      <c r="M640" s="15"/>
      <c r="N640" s="8"/>
      <c r="O640" s="8"/>
      <c r="P640" s="17"/>
      <c r="Q640" s="18"/>
      <c r="R640" s="8"/>
      <c r="S640" s="8"/>
    </row>
    <row r="641" customFormat="1" customHeight="1" spans="1:19">
      <c r="A641" s="8"/>
      <c r="B641" s="9"/>
      <c r="C641" s="10"/>
      <c r="D641" s="10"/>
      <c r="E641" s="11"/>
      <c r="F641" s="12"/>
      <c r="G641" s="13"/>
      <c r="H641" s="8"/>
      <c r="I641" s="14"/>
      <c r="J641" s="15"/>
      <c r="K641" s="16"/>
      <c r="L641" s="8"/>
      <c r="M641" s="15"/>
      <c r="N641" s="8"/>
      <c r="O641" s="8"/>
      <c r="P641" s="17"/>
      <c r="Q641" s="18"/>
      <c r="R641" s="8"/>
      <c r="S641" s="8"/>
    </row>
    <row r="642" customFormat="1" customHeight="1" spans="1:19">
      <c r="A642" s="8"/>
      <c r="B642" s="9"/>
      <c r="C642" s="10"/>
      <c r="D642" s="10"/>
      <c r="E642" s="11"/>
      <c r="F642" s="12"/>
      <c r="G642" s="13"/>
      <c r="H642" s="8"/>
      <c r="I642" s="14"/>
      <c r="J642" s="15"/>
      <c r="K642" s="16"/>
      <c r="L642" s="8"/>
      <c r="M642" s="15"/>
      <c r="N642" s="8"/>
      <c r="O642" s="8"/>
      <c r="P642" s="17"/>
      <c r="Q642" s="18"/>
      <c r="R642" s="8"/>
      <c r="S642" s="8"/>
    </row>
    <row r="643" customFormat="1" customHeight="1" spans="1:19">
      <c r="A643" s="8"/>
      <c r="B643" s="9"/>
      <c r="C643" s="10"/>
      <c r="D643" s="10"/>
      <c r="E643" s="11"/>
      <c r="F643" s="12"/>
      <c r="G643" s="13"/>
      <c r="H643" s="8"/>
      <c r="I643" s="14"/>
      <c r="J643" s="15"/>
      <c r="K643" s="16"/>
      <c r="L643" s="8"/>
      <c r="M643" s="15"/>
      <c r="N643" s="8"/>
      <c r="O643" s="8"/>
      <c r="P643" s="17"/>
      <c r="Q643" s="18"/>
      <c r="R643" s="8"/>
      <c r="S643" s="8"/>
    </row>
    <row r="644" customFormat="1" customHeight="1" spans="1:19">
      <c r="A644" s="8"/>
      <c r="B644" s="9"/>
      <c r="C644" s="10"/>
      <c r="D644" s="10"/>
      <c r="E644" s="11"/>
      <c r="F644" s="12"/>
      <c r="G644" s="13"/>
      <c r="H644" s="8"/>
      <c r="I644" s="14"/>
      <c r="J644" s="15"/>
      <c r="K644" s="16"/>
      <c r="L644" s="8"/>
      <c r="M644" s="15"/>
      <c r="N644" s="8"/>
      <c r="O644" s="8"/>
      <c r="P644" s="17"/>
      <c r="Q644" s="18"/>
      <c r="R644" s="8"/>
      <c r="S644" s="8"/>
    </row>
    <row r="645" customFormat="1" customHeight="1" spans="1:19">
      <c r="A645" s="8"/>
      <c r="B645" s="9"/>
      <c r="C645" s="10"/>
      <c r="D645" s="10"/>
      <c r="E645" s="11"/>
      <c r="F645" s="12"/>
      <c r="G645" s="13"/>
      <c r="H645" s="8"/>
      <c r="I645" s="14"/>
      <c r="J645" s="15"/>
      <c r="K645" s="16"/>
      <c r="L645" s="8"/>
      <c r="M645" s="15"/>
      <c r="N645" s="8"/>
      <c r="O645" s="8"/>
      <c r="P645" s="17"/>
      <c r="Q645" s="18"/>
      <c r="R645" s="8"/>
      <c r="S645" s="8"/>
    </row>
    <row r="646" customFormat="1" customHeight="1" spans="1:19">
      <c r="A646" s="8"/>
      <c r="B646" s="9"/>
      <c r="C646" s="10"/>
      <c r="D646" s="10"/>
      <c r="E646" s="11"/>
      <c r="F646" s="12"/>
      <c r="G646" s="13"/>
      <c r="H646" s="8"/>
      <c r="I646" s="14"/>
      <c r="J646" s="15"/>
      <c r="K646" s="16"/>
      <c r="L646" s="8"/>
      <c r="M646" s="15"/>
      <c r="N646" s="8"/>
      <c r="O646" s="8"/>
      <c r="P646" s="17"/>
      <c r="Q646" s="18"/>
      <c r="R646" s="8"/>
      <c r="S646" s="8"/>
    </row>
    <row r="647" customFormat="1" customHeight="1" spans="1:19">
      <c r="A647" s="8"/>
      <c r="B647" s="9"/>
      <c r="C647" s="10"/>
      <c r="D647" s="10"/>
      <c r="E647" s="11"/>
      <c r="F647" s="12"/>
      <c r="G647" s="13"/>
      <c r="H647" s="8"/>
      <c r="I647" s="14"/>
      <c r="J647" s="15"/>
      <c r="K647" s="16"/>
      <c r="L647" s="8"/>
      <c r="M647" s="15"/>
      <c r="N647" s="8"/>
      <c r="O647" s="8"/>
      <c r="P647" s="17"/>
      <c r="Q647" s="18"/>
      <c r="R647" s="8"/>
      <c r="S647" s="8"/>
    </row>
    <row r="648" customFormat="1" customHeight="1" spans="1:19">
      <c r="A648" s="8"/>
      <c r="B648" s="9"/>
      <c r="C648" s="10"/>
      <c r="D648" s="10"/>
      <c r="E648" s="11"/>
      <c r="F648" s="12"/>
      <c r="G648" s="13"/>
      <c r="H648" s="8"/>
      <c r="I648" s="14"/>
      <c r="J648" s="15"/>
      <c r="K648" s="16"/>
      <c r="L648" s="8"/>
      <c r="M648" s="15"/>
      <c r="N648" s="8"/>
      <c r="O648" s="8"/>
      <c r="P648" s="17"/>
      <c r="Q648" s="18"/>
      <c r="R648" s="8"/>
      <c r="S648" s="8"/>
    </row>
    <row r="649" customFormat="1" customHeight="1" spans="1:19">
      <c r="A649" s="8"/>
      <c r="B649" s="9"/>
      <c r="C649" s="10"/>
      <c r="D649" s="10"/>
      <c r="E649" s="11"/>
      <c r="F649" s="12"/>
      <c r="G649" s="13"/>
      <c r="H649" s="8"/>
      <c r="I649" s="14"/>
      <c r="J649" s="15"/>
      <c r="K649" s="16"/>
      <c r="L649" s="8"/>
      <c r="M649" s="15"/>
      <c r="N649" s="8"/>
      <c r="O649" s="8"/>
      <c r="P649" s="17"/>
      <c r="Q649" s="18"/>
      <c r="R649" s="8"/>
      <c r="S649" s="8"/>
    </row>
    <row r="650" customFormat="1" customHeight="1" spans="1:19">
      <c r="A650" s="8"/>
      <c r="B650" s="9"/>
      <c r="C650" s="10"/>
      <c r="D650" s="10"/>
      <c r="E650" s="11"/>
      <c r="F650" s="12"/>
      <c r="G650" s="13"/>
      <c r="H650" s="8"/>
      <c r="I650" s="14"/>
      <c r="J650" s="15"/>
      <c r="K650" s="16"/>
      <c r="L650" s="8"/>
      <c r="M650" s="15"/>
      <c r="N650" s="8"/>
      <c r="O650" s="8"/>
      <c r="P650" s="17"/>
      <c r="Q650" s="18"/>
      <c r="R650" s="8"/>
      <c r="S650" s="8"/>
    </row>
    <row r="651" customFormat="1" customHeight="1" spans="1:19">
      <c r="A651" s="8"/>
      <c r="B651" s="9"/>
      <c r="C651" s="10"/>
      <c r="D651" s="10"/>
      <c r="E651" s="11"/>
      <c r="F651" s="12"/>
      <c r="G651" s="13"/>
      <c r="H651" s="8"/>
      <c r="I651" s="14"/>
      <c r="J651" s="15"/>
      <c r="K651" s="16"/>
      <c r="L651" s="8"/>
      <c r="M651" s="15"/>
      <c r="N651" s="8"/>
      <c r="O651" s="8"/>
      <c r="P651" s="17"/>
      <c r="Q651" s="18"/>
      <c r="R651" s="8"/>
      <c r="S651" s="8"/>
    </row>
    <row r="652" customFormat="1" customHeight="1" spans="1:19">
      <c r="A652" s="8"/>
      <c r="B652" s="9"/>
      <c r="C652" s="10"/>
      <c r="D652" s="10"/>
      <c r="E652" s="11"/>
      <c r="F652" s="12"/>
      <c r="G652" s="13"/>
      <c r="H652" s="8"/>
      <c r="I652" s="14"/>
      <c r="J652" s="15"/>
      <c r="K652" s="16"/>
      <c r="L652" s="8"/>
      <c r="M652" s="15"/>
      <c r="N652" s="8"/>
      <c r="O652" s="8"/>
      <c r="P652" s="17"/>
      <c r="Q652" s="18"/>
      <c r="R652" s="8"/>
      <c r="S652" s="8"/>
    </row>
    <row r="653" customFormat="1" customHeight="1" spans="1:19">
      <c r="A653" s="8"/>
      <c r="B653" s="9"/>
      <c r="C653" s="10"/>
      <c r="D653" s="10"/>
      <c r="E653" s="11"/>
      <c r="F653" s="12"/>
      <c r="G653" s="13"/>
      <c r="H653" s="8"/>
      <c r="I653" s="14"/>
      <c r="J653" s="15"/>
      <c r="K653" s="16"/>
      <c r="L653" s="8"/>
      <c r="M653" s="15"/>
      <c r="N653" s="8"/>
      <c r="O653" s="8"/>
      <c r="P653" s="17"/>
      <c r="Q653" s="18"/>
      <c r="R653" s="8"/>
      <c r="S653" s="8"/>
    </row>
    <row r="654" customFormat="1" customHeight="1" spans="1:19">
      <c r="A654" s="8"/>
      <c r="B654" s="9"/>
      <c r="C654" s="10"/>
      <c r="D654" s="10"/>
      <c r="E654" s="11"/>
      <c r="F654" s="12"/>
      <c r="G654" s="13"/>
      <c r="H654" s="8"/>
      <c r="I654" s="14"/>
      <c r="J654" s="15"/>
      <c r="K654" s="16"/>
      <c r="L654" s="8"/>
      <c r="M654" s="15"/>
      <c r="N654" s="8"/>
      <c r="O654" s="8"/>
      <c r="P654" s="17"/>
      <c r="Q654" s="18"/>
      <c r="R654" s="8"/>
      <c r="S654" s="8"/>
    </row>
    <row r="655" customFormat="1" customHeight="1" spans="1:19">
      <c r="A655" s="8"/>
      <c r="B655" s="9"/>
      <c r="C655" s="10"/>
      <c r="D655" s="10"/>
      <c r="E655" s="11"/>
      <c r="F655" s="12"/>
      <c r="G655" s="13"/>
      <c r="H655" s="8"/>
      <c r="I655" s="14"/>
      <c r="J655" s="15"/>
      <c r="K655" s="16"/>
      <c r="L655" s="8"/>
      <c r="M655" s="15"/>
      <c r="N655" s="8"/>
      <c r="O655" s="8"/>
      <c r="P655" s="17"/>
      <c r="Q655" s="18"/>
      <c r="R655" s="8"/>
      <c r="S655" s="8"/>
    </row>
    <row r="656" customFormat="1" customHeight="1" spans="1:19">
      <c r="A656" s="8"/>
      <c r="B656" s="9"/>
      <c r="C656" s="10"/>
      <c r="D656" s="10"/>
      <c r="E656" s="11"/>
      <c r="F656" s="12"/>
      <c r="G656" s="13"/>
      <c r="H656" s="8"/>
      <c r="I656" s="14"/>
      <c r="J656" s="15"/>
      <c r="K656" s="16"/>
      <c r="L656" s="8"/>
      <c r="M656" s="15"/>
      <c r="N656" s="8"/>
      <c r="O656" s="8"/>
      <c r="P656" s="17"/>
      <c r="Q656" s="18"/>
      <c r="R656" s="8"/>
      <c r="S656" s="8"/>
    </row>
    <row r="657" customFormat="1" customHeight="1" spans="1:19">
      <c r="A657" s="8"/>
      <c r="B657" s="9"/>
      <c r="C657" s="10"/>
      <c r="D657" s="10"/>
      <c r="E657" s="11"/>
      <c r="F657" s="12"/>
      <c r="G657" s="13"/>
      <c r="H657" s="8"/>
      <c r="I657" s="14"/>
      <c r="J657" s="15"/>
      <c r="K657" s="16"/>
      <c r="L657" s="8"/>
      <c r="M657" s="15"/>
      <c r="N657" s="8"/>
      <c r="O657" s="8"/>
      <c r="P657" s="17"/>
      <c r="Q657" s="18"/>
      <c r="R657" s="8"/>
      <c r="S657" s="8"/>
    </row>
    <row r="658" customFormat="1" customHeight="1" spans="1:19">
      <c r="A658" s="8"/>
      <c r="B658" s="9"/>
      <c r="C658" s="10"/>
      <c r="D658" s="10"/>
      <c r="E658" s="11"/>
      <c r="F658" s="12"/>
      <c r="G658" s="13"/>
      <c r="H658" s="8"/>
      <c r="I658" s="14"/>
      <c r="J658" s="15"/>
      <c r="K658" s="16"/>
      <c r="L658" s="8"/>
      <c r="M658" s="15"/>
      <c r="N658" s="8"/>
      <c r="O658" s="8"/>
      <c r="P658" s="17"/>
      <c r="Q658" s="18"/>
      <c r="R658" s="8"/>
      <c r="S658" s="8"/>
    </row>
    <row r="659" customFormat="1" customHeight="1" spans="1:19">
      <c r="A659" s="8"/>
      <c r="B659" s="9"/>
      <c r="C659" s="10"/>
      <c r="D659" s="10"/>
      <c r="E659" s="11"/>
      <c r="F659" s="12"/>
      <c r="G659" s="13"/>
      <c r="H659" s="8"/>
      <c r="I659" s="14"/>
      <c r="J659" s="15"/>
      <c r="K659" s="16"/>
      <c r="L659" s="8"/>
      <c r="M659" s="15"/>
      <c r="N659" s="8"/>
      <c r="O659" s="8"/>
      <c r="P659" s="17"/>
      <c r="Q659" s="18"/>
      <c r="R659" s="8"/>
      <c r="S659" s="8"/>
    </row>
    <row r="660" customFormat="1" customHeight="1" spans="1:19">
      <c r="A660" s="8"/>
      <c r="B660" s="9"/>
      <c r="C660" s="10"/>
      <c r="D660" s="10"/>
      <c r="E660" s="11"/>
      <c r="F660" s="12"/>
      <c r="G660" s="13"/>
      <c r="H660" s="8"/>
      <c r="I660" s="14"/>
      <c r="J660" s="15"/>
      <c r="K660" s="16"/>
      <c r="L660" s="8"/>
      <c r="M660" s="15"/>
      <c r="N660" s="8"/>
      <c r="O660" s="8"/>
      <c r="P660" s="17"/>
      <c r="Q660" s="18"/>
      <c r="R660" s="8"/>
      <c r="S660" s="8"/>
    </row>
    <row r="661" customFormat="1" customHeight="1" spans="1:19">
      <c r="A661" s="8"/>
      <c r="B661" s="9"/>
      <c r="C661" s="10"/>
      <c r="D661" s="10"/>
      <c r="E661" s="11"/>
      <c r="F661" s="12"/>
      <c r="G661" s="13"/>
      <c r="H661" s="8"/>
      <c r="I661" s="14"/>
      <c r="J661" s="15"/>
      <c r="K661" s="16"/>
      <c r="L661" s="8"/>
      <c r="M661" s="15"/>
      <c r="N661" s="8"/>
      <c r="O661" s="8"/>
      <c r="P661" s="17"/>
      <c r="Q661" s="18"/>
      <c r="R661" s="8"/>
      <c r="S661" s="8"/>
    </row>
    <row r="662" customFormat="1" customHeight="1" spans="1:19">
      <c r="A662" s="8"/>
      <c r="B662" s="9"/>
      <c r="C662" s="10"/>
      <c r="D662" s="10"/>
      <c r="E662" s="11"/>
      <c r="F662" s="12"/>
      <c r="G662" s="13"/>
      <c r="H662" s="8"/>
      <c r="I662" s="14"/>
      <c r="J662" s="15"/>
      <c r="K662" s="16"/>
      <c r="L662" s="8"/>
      <c r="M662" s="15"/>
      <c r="N662" s="8"/>
      <c r="O662" s="8"/>
      <c r="P662" s="17"/>
      <c r="Q662" s="18"/>
      <c r="R662" s="8"/>
      <c r="S662" s="8"/>
    </row>
    <row r="663" customFormat="1" customHeight="1" spans="1:19">
      <c r="A663" s="8"/>
      <c r="B663" s="9"/>
      <c r="C663" s="10"/>
      <c r="D663" s="10"/>
      <c r="E663" s="11"/>
      <c r="F663" s="12"/>
      <c r="G663" s="13"/>
      <c r="H663" s="8"/>
      <c r="I663" s="14"/>
      <c r="J663" s="15"/>
      <c r="K663" s="16"/>
      <c r="L663" s="8"/>
      <c r="M663" s="15"/>
      <c r="N663" s="8"/>
      <c r="O663" s="8"/>
      <c r="P663" s="17"/>
      <c r="Q663" s="18"/>
      <c r="R663" s="8"/>
      <c r="S663" s="8"/>
    </row>
    <row r="664" customFormat="1" customHeight="1" spans="1:19">
      <c r="A664" s="8"/>
      <c r="B664" s="9"/>
      <c r="C664" s="10"/>
      <c r="D664" s="10"/>
      <c r="E664" s="11"/>
      <c r="F664" s="12"/>
      <c r="G664" s="13"/>
      <c r="H664" s="8"/>
      <c r="I664" s="14"/>
      <c r="J664" s="15"/>
      <c r="K664" s="16"/>
      <c r="L664" s="8"/>
      <c r="M664" s="15"/>
      <c r="N664" s="8"/>
      <c r="O664" s="8"/>
      <c r="P664" s="17"/>
      <c r="Q664" s="18"/>
      <c r="R664" s="8"/>
      <c r="S664" s="8"/>
    </row>
    <row r="665" customFormat="1" customHeight="1" spans="1:19">
      <c r="A665" s="8"/>
      <c r="B665" s="9"/>
      <c r="C665" s="10"/>
      <c r="D665" s="10"/>
      <c r="E665" s="11"/>
      <c r="F665" s="12"/>
      <c r="G665" s="13"/>
      <c r="H665" s="8"/>
      <c r="I665" s="14"/>
      <c r="J665" s="15"/>
      <c r="K665" s="16"/>
      <c r="L665" s="8"/>
      <c r="M665" s="15"/>
      <c r="N665" s="8"/>
      <c r="O665" s="8"/>
      <c r="P665" s="17"/>
      <c r="Q665" s="18"/>
      <c r="R665" s="8"/>
      <c r="S665" s="8"/>
    </row>
    <row r="666" customFormat="1" customHeight="1" spans="1:19">
      <c r="A666" s="8"/>
      <c r="B666" s="9"/>
      <c r="C666" s="10"/>
      <c r="D666" s="10"/>
      <c r="E666" s="11"/>
      <c r="F666" s="12"/>
      <c r="G666" s="13"/>
      <c r="H666" s="8"/>
      <c r="I666" s="14"/>
      <c r="J666" s="15"/>
      <c r="K666" s="16"/>
      <c r="L666" s="8"/>
      <c r="M666" s="15"/>
      <c r="N666" s="8"/>
      <c r="O666" s="8"/>
      <c r="P666" s="17"/>
      <c r="Q666" s="18"/>
      <c r="R666" s="8"/>
      <c r="S666" s="8"/>
    </row>
    <row r="667" customFormat="1" customHeight="1" spans="1:19">
      <c r="A667" s="8"/>
      <c r="B667" s="9"/>
      <c r="C667" s="10"/>
      <c r="D667" s="10"/>
      <c r="E667" s="11"/>
      <c r="F667" s="12"/>
      <c r="G667" s="13"/>
      <c r="H667" s="8"/>
      <c r="I667" s="14"/>
      <c r="J667" s="15"/>
      <c r="K667" s="16"/>
      <c r="L667" s="8"/>
      <c r="M667" s="15"/>
      <c r="N667" s="8"/>
      <c r="O667" s="8"/>
      <c r="P667" s="17"/>
      <c r="Q667" s="18"/>
      <c r="R667" s="8"/>
      <c r="S667" s="8"/>
    </row>
    <row r="668" customFormat="1" customHeight="1" spans="1:19">
      <c r="A668" s="8"/>
      <c r="B668" s="9"/>
      <c r="C668" s="10"/>
      <c r="D668" s="10"/>
      <c r="E668" s="11"/>
      <c r="F668" s="12"/>
      <c r="G668" s="13"/>
      <c r="H668" s="8"/>
      <c r="I668" s="14"/>
      <c r="J668" s="15"/>
      <c r="K668" s="16"/>
      <c r="L668" s="8"/>
      <c r="M668" s="15"/>
      <c r="N668" s="8"/>
      <c r="O668" s="8"/>
      <c r="P668" s="17"/>
      <c r="Q668" s="18"/>
      <c r="R668" s="8"/>
      <c r="S668" s="8"/>
    </row>
    <row r="669" customFormat="1" customHeight="1" spans="1:19">
      <c r="A669" s="8"/>
      <c r="B669" s="9"/>
      <c r="C669" s="10"/>
      <c r="D669" s="10"/>
      <c r="E669" s="11"/>
      <c r="F669" s="12"/>
      <c r="G669" s="13"/>
      <c r="H669" s="8"/>
      <c r="I669" s="14"/>
      <c r="J669" s="15"/>
      <c r="K669" s="16"/>
      <c r="L669" s="8"/>
      <c r="M669" s="15"/>
      <c r="N669" s="8"/>
      <c r="O669" s="8"/>
      <c r="P669" s="17"/>
      <c r="Q669" s="18"/>
      <c r="R669" s="8"/>
      <c r="S669" s="8"/>
    </row>
    <row r="670" customFormat="1" customHeight="1" spans="1:19">
      <c r="A670" s="8"/>
      <c r="B670" s="9"/>
      <c r="C670" s="10"/>
      <c r="D670" s="10"/>
      <c r="E670" s="11"/>
      <c r="F670" s="12"/>
      <c r="G670" s="13"/>
      <c r="H670" s="8"/>
      <c r="I670" s="14"/>
      <c r="J670" s="15"/>
      <c r="K670" s="16"/>
      <c r="L670" s="8"/>
      <c r="M670" s="15"/>
      <c r="N670" s="8"/>
      <c r="O670" s="8"/>
      <c r="P670" s="17"/>
      <c r="Q670" s="18"/>
      <c r="R670" s="8"/>
      <c r="S670" s="8"/>
    </row>
    <row r="671" customFormat="1" customHeight="1" spans="1:19">
      <c r="A671" s="8"/>
      <c r="B671" s="9"/>
      <c r="C671" s="10"/>
      <c r="D671" s="10"/>
      <c r="E671" s="11"/>
      <c r="F671" s="12"/>
      <c r="G671" s="13"/>
      <c r="H671" s="8"/>
      <c r="I671" s="14"/>
      <c r="J671" s="15"/>
      <c r="K671" s="16"/>
      <c r="L671" s="8"/>
      <c r="M671" s="15"/>
      <c r="N671" s="8"/>
      <c r="O671" s="8"/>
      <c r="P671" s="17"/>
      <c r="Q671" s="18"/>
      <c r="R671" s="8"/>
      <c r="S671" s="8"/>
    </row>
    <row r="672" customFormat="1" customHeight="1" spans="1:19">
      <c r="A672" s="8"/>
      <c r="B672" s="9"/>
      <c r="C672" s="10"/>
      <c r="D672" s="10"/>
      <c r="E672" s="11"/>
      <c r="F672" s="12"/>
      <c r="G672" s="13"/>
      <c r="H672" s="8"/>
      <c r="I672" s="14"/>
      <c r="J672" s="15"/>
      <c r="K672" s="16"/>
      <c r="L672" s="8"/>
      <c r="M672" s="15"/>
      <c r="N672" s="8"/>
      <c r="O672" s="8"/>
      <c r="P672" s="17"/>
      <c r="Q672" s="18"/>
      <c r="R672" s="8"/>
      <c r="S672" s="8"/>
    </row>
    <row r="673" customFormat="1" customHeight="1" spans="1:19">
      <c r="A673" s="8"/>
      <c r="B673" s="9"/>
      <c r="C673" s="10"/>
      <c r="D673" s="10"/>
      <c r="E673" s="11"/>
      <c r="F673" s="12"/>
      <c r="G673" s="13"/>
      <c r="H673" s="8"/>
      <c r="I673" s="14"/>
      <c r="J673" s="15"/>
      <c r="K673" s="16"/>
      <c r="L673" s="8"/>
      <c r="M673" s="15"/>
      <c r="N673" s="8"/>
      <c r="O673" s="8"/>
      <c r="P673" s="17"/>
      <c r="Q673" s="18"/>
      <c r="R673" s="8"/>
      <c r="S673" s="8"/>
    </row>
    <row r="674" customFormat="1" customHeight="1" spans="1:19">
      <c r="A674" s="8"/>
      <c r="B674" s="9"/>
      <c r="C674" s="10"/>
      <c r="D674" s="10"/>
      <c r="E674" s="11"/>
      <c r="F674" s="12"/>
      <c r="G674" s="13"/>
      <c r="H674" s="8"/>
      <c r="I674" s="14"/>
      <c r="J674" s="15"/>
      <c r="K674" s="16"/>
      <c r="L674" s="8"/>
      <c r="M674" s="15"/>
      <c r="N674" s="8"/>
      <c r="O674" s="8"/>
      <c r="P674" s="17"/>
      <c r="Q674" s="18"/>
      <c r="R674" s="8"/>
      <c r="S674" s="8"/>
    </row>
    <row r="675" customFormat="1" customHeight="1" spans="1:19">
      <c r="A675" s="8"/>
      <c r="B675" s="9"/>
      <c r="C675" s="10"/>
      <c r="D675" s="10"/>
      <c r="E675" s="11"/>
      <c r="F675" s="12"/>
      <c r="G675" s="13"/>
      <c r="H675" s="8"/>
      <c r="I675" s="14"/>
      <c r="J675" s="15"/>
      <c r="K675" s="16"/>
      <c r="L675" s="8"/>
      <c r="M675" s="15"/>
      <c r="N675" s="8"/>
      <c r="O675" s="8"/>
      <c r="P675" s="17"/>
      <c r="Q675" s="18"/>
      <c r="R675" s="8"/>
      <c r="S675" s="8"/>
    </row>
    <row r="676" customFormat="1" customHeight="1" spans="1:19">
      <c r="A676" s="8"/>
      <c r="B676" s="9"/>
      <c r="C676" s="10"/>
      <c r="D676" s="10"/>
      <c r="E676" s="11"/>
      <c r="F676" s="12"/>
      <c r="G676" s="13"/>
      <c r="H676" s="8"/>
      <c r="I676" s="14"/>
      <c r="J676" s="15"/>
      <c r="K676" s="16"/>
      <c r="L676" s="8"/>
      <c r="M676" s="15"/>
      <c r="N676" s="8"/>
      <c r="O676" s="8"/>
      <c r="P676" s="17"/>
      <c r="Q676" s="18"/>
      <c r="R676" s="8"/>
      <c r="S676" s="8"/>
    </row>
    <row r="677" customFormat="1" customHeight="1" spans="1:19">
      <c r="A677" s="8"/>
      <c r="B677" s="9"/>
      <c r="C677" s="10"/>
      <c r="D677" s="10"/>
      <c r="E677" s="11"/>
      <c r="F677" s="12"/>
      <c r="G677" s="13"/>
      <c r="H677" s="8"/>
      <c r="I677" s="14"/>
      <c r="J677" s="15"/>
      <c r="K677" s="16"/>
      <c r="L677" s="8"/>
      <c r="M677" s="15"/>
      <c r="N677" s="8"/>
      <c r="O677" s="8"/>
      <c r="P677" s="17"/>
      <c r="Q677" s="18"/>
      <c r="R677" s="8"/>
      <c r="S677" s="8"/>
    </row>
    <row r="678" customFormat="1" customHeight="1" spans="1:19">
      <c r="A678" s="8"/>
      <c r="B678" s="9"/>
      <c r="C678" s="10"/>
      <c r="D678" s="10"/>
      <c r="E678" s="11"/>
      <c r="F678" s="12"/>
      <c r="G678" s="13"/>
      <c r="H678" s="8"/>
      <c r="I678" s="14"/>
      <c r="J678" s="15"/>
      <c r="K678" s="16"/>
      <c r="L678" s="8"/>
      <c r="M678" s="15"/>
      <c r="N678" s="8"/>
      <c r="O678" s="8"/>
      <c r="P678" s="17"/>
      <c r="Q678" s="18"/>
      <c r="R678" s="8"/>
      <c r="S678" s="8"/>
    </row>
    <row r="679" customFormat="1" customHeight="1" spans="1:19">
      <c r="A679" s="8"/>
      <c r="B679" s="9"/>
      <c r="C679" s="10"/>
      <c r="D679" s="10"/>
      <c r="E679" s="11"/>
      <c r="F679" s="12"/>
      <c r="G679" s="13"/>
      <c r="H679" s="8"/>
      <c r="I679" s="14"/>
      <c r="J679" s="15"/>
      <c r="K679" s="16"/>
      <c r="L679" s="8"/>
      <c r="M679" s="15"/>
      <c r="N679" s="8"/>
      <c r="O679" s="8"/>
      <c r="P679" s="17"/>
      <c r="Q679" s="18"/>
      <c r="R679" s="8"/>
      <c r="S679" s="8"/>
    </row>
    <row r="680" customFormat="1" customHeight="1" spans="1:19">
      <c r="A680" s="8"/>
      <c r="B680" s="9"/>
      <c r="C680" s="10"/>
      <c r="D680" s="10"/>
      <c r="E680" s="11"/>
      <c r="F680" s="12"/>
      <c r="G680" s="13"/>
      <c r="H680" s="8"/>
      <c r="I680" s="14"/>
      <c r="J680" s="15"/>
      <c r="K680" s="16"/>
      <c r="L680" s="8"/>
      <c r="M680" s="15"/>
      <c r="N680" s="8"/>
      <c r="O680" s="8"/>
      <c r="P680" s="17"/>
      <c r="Q680" s="18"/>
      <c r="R680" s="8"/>
      <c r="S680" s="8"/>
    </row>
    <row r="681" customFormat="1" customHeight="1" spans="1:19">
      <c r="A681" s="8"/>
      <c r="B681" s="9"/>
      <c r="C681" s="10"/>
      <c r="D681" s="10"/>
      <c r="E681" s="11"/>
      <c r="F681" s="12"/>
      <c r="G681" s="13"/>
      <c r="H681" s="8"/>
      <c r="I681" s="14"/>
      <c r="J681" s="15"/>
      <c r="K681" s="16"/>
      <c r="L681" s="8"/>
      <c r="M681" s="15"/>
      <c r="N681" s="8"/>
      <c r="O681" s="8"/>
      <c r="P681" s="17"/>
      <c r="Q681" s="18"/>
      <c r="R681" s="8"/>
      <c r="S681" s="8"/>
    </row>
    <row r="682" customFormat="1" customHeight="1" spans="1:19">
      <c r="A682" s="8"/>
      <c r="B682" s="9"/>
      <c r="C682" s="10"/>
      <c r="D682" s="10"/>
      <c r="E682" s="11"/>
      <c r="F682" s="12"/>
      <c r="G682" s="13"/>
      <c r="H682" s="8"/>
      <c r="I682" s="14"/>
      <c r="J682" s="15"/>
      <c r="K682" s="16"/>
      <c r="L682" s="8"/>
      <c r="M682" s="15"/>
      <c r="N682" s="8"/>
      <c r="O682" s="8"/>
      <c r="P682" s="17"/>
      <c r="Q682" s="18"/>
      <c r="R682" s="8"/>
      <c r="S682" s="8"/>
    </row>
    <row r="683" customFormat="1" customHeight="1" spans="1:19">
      <c r="A683" s="8"/>
      <c r="B683" s="9"/>
      <c r="C683" s="10"/>
      <c r="D683" s="10"/>
      <c r="E683" s="11"/>
      <c r="F683" s="12"/>
      <c r="G683" s="13"/>
      <c r="H683" s="8"/>
      <c r="I683" s="14"/>
      <c r="J683" s="15"/>
      <c r="K683" s="16"/>
      <c r="L683" s="8"/>
      <c r="M683" s="15"/>
      <c r="N683" s="8"/>
      <c r="O683" s="8"/>
      <c r="P683" s="17"/>
      <c r="Q683" s="18"/>
      <c r="R683" s="8"/>
      <c r="S683" s="8"/>
    </row>
    <row r="684" customFormat="1" customHeight="1" spans="1:19">
      <c r="A684" s="8"/>
      <c r="B684" s="9"/>
      <c r="C684" s="10"/>
      <c r="D684" s="10"/>
      <c r="E684" s="11"/>
      <c r="F684" s="12"/>
      <c r="G684" s="13"/>
      <c r="H684" s="8"/>
      <c r="I684" s="14"/>
      <c r="J684" s="15"/>
      <c r="K684" s="16"/>
      <c r="L684" s="8"/>
      <c r="M684" s="15"/>
      <c r="N684" s="8"/>
      <c r="O684" s="8"/>
      <c r="P684" s="17"/>
      <c r="Q684" s="18"/>
      <c r="R684" s="8"/>
      <c r="S684" s="8"/>
    </row>
    <row r="685" customFormat="1" customHeight="1" spans="1:19">
      <c r="A685" s="8"/>
      <c r="B685" s="9"/>
      <c r="C685" s="10"/>
      <c r="D685" s="10"/>
      <c r="E685" s="11"/>
      <c r="F685" s="12"/>
      <c r="G685" s="13"/>
      <c r="H685" s="8"/>
      <c r="I685" s="14"/>
      <c r="J685" s="15"/>
      <c r="K685" s="16"/>
      <c r="L685" s="8"/>
      <c r="M685" s="15"/>
      <c r="N685" s="8"/>
      <c r="O685" s="8"/>
      <c r="P685" s="17"/>
      <c r="Q685" s="18"/>
      <c r="R685" s="8"/>
      <c r="S685" s="8"/>
    </row>
    <row r="686" customFormat="1" customHeight="1" spans="1:19">
      <c r="A686" s="8"/>
      <c r="B686" s="9"/>
      <c r="C686" s="10"/>
      <c r="D686" s="10"/>
      <c r="E686" s="11"/>
      <c r="F686" s="12"/>
      <c r="G686" s="13"/>
      <c r="H686" s="8"/>
      <c r="I686" s="14"/>
      <c r="J686" s="15"/>
      <c r="K686" s="16"/>
      <c r="L686" s="8"/>
      <c r="M686" s="15"/>
      <c r="N686" s="8"/>
      <c r="O686" s="8"/>
      <c r="P686" s="17"/>
      <c r="Q686" s="18"/>
      <c r="R686" s="8"/>
      <c r="S686" s="8"/>
    </row>
    <row r="687" customFormat="1" customHeight="1" spans="1:19">
      <c r="A687" s="8"/>
      <c r="B687" s="9"/>
      <c r="C687" s="10"/>
      <c r="D687" s="10"/>
      <c r="E687" s="11"/>
      <c r="F687" s="12"/>
      <c r="G687" s="13"/>
      <c r="H687" s="8"/>
      <c r="I687" s="14"/>
      <c r="J687" s="15"/>
      <c r="K687" s="16"/>
      <c r="L687" s="8"/>
      <c r="M687" s="15"/>
      <c r="N687" s="8"/>
      <c r="O687" s="8"/>
      <c r="P687" s="17"/>
      <c r="Q687" s="18"/>
      <c r="R687" s="8"/>
      <c r="S687" s="8"/>
    </row>
    <row r="688" customFormat="1" customHeight="1" spans="1:19">
      <c r="A688" s="8"/>
      <c r="B688" s="9"/>
      <c r="C688" s="10"/>
      <c r="D688" s="10"/>
      <c r="E688" s="11"/>
      <c r="F688" s="12"/>
      <c r="G688" s="13"/>
      <c r="H688" s="8"/>
      <c r="I688" s="14"/>
      <c r="J688" s="15"/>
      <c r="K688" s="16"/>
      <c r="L688" s="8"/>
      <c r="M688" s="15"/>
      <c r="N688" s="8"/>
      <c r="O688" s="8"/>
      <c r="P688" s="17"/>
      <c r="Q688" s="18"/>
      <c r="R688" s="8"/>
      <c r="S688" s="8"/>
    </row>
    <row r="689" customFormat="1" customHeight="1" spans="1:19">
      <c r="A689" s="8"/>
      <c r="B689" s="9"/>
      <c r="C689" s="10"/>
      <c r="D689" s="10"/>
      <c r="E689" s="11"/>
      <c r="F689" s="12"/>
      <c r="G689" s="13"/>
      <c r="H689" s="8"/>
      <c r="I689" s="14"/>
      <c r="J689" s="15"/>
      <c r="K689" s="16"/>
      <c r="L689" s="8"/>
      <c r="M689" s="15"/>
      <c r="N689" s="8"/>
      <c r="O689" s="8"/>
      <c r="P689" s="17"/>
      <c r="Q689" s="18"/>
      <c r="R689" s="8"/>
      <c r="S689" s="8"/>
    </row>
    <row r="690" customFormat="1" customHeight="1" spans="1:19">
      <c r="A690" s="8"/>
      <c r="B690" s="9"/>
      <c r="C690" s="10"/>
      <c r="D690" s="10"/>
      <c r="E690" s="11"/>
      <c r="F690" s="12"/>
      <c r="G690" s="13"/>
      <c r="H690" s="8"/>
      <c r="I690" s="14"/>
      <c r="J690" s="15"/>
      <c r="K690" s="16"/>
      <c r="L690" s="8"/>
      <c r="M690" s="15"/>
      <c r="N690" s="8"/>
      <c r="O690" s="8"/>
      <c r="P690" s="17"/>
      <c r="Q690" s="18"/>
      <c r="R690" s="8"/>
      <c r="S690" s="8"/>
    </row>
    <row r="691" customFormat="1" customHeight="1" spans="1:19">
      <c r="A691" s="8"/>
      <c r="B691" s="9"/>
      <c r="C691" s="10"/>
      <c r="D691" s="10"/>
      <c r="E691" s="11"/>
      <c r="F691" s="12"/>
      <c r="G691" s="13"/>
      <c r="H691" s="8"/>
      <c r="I691" s="14"/>
      <c r="J691" s="15"/>
      <c r="K691" s="16"/>
      <c r="L691" s="8"/>
      <c r="M691" s="15"/>
      <c r="N691" s="8"/>
      <c r="O691" s="8"/>
      <c r="P691" s="17"/>
      <c r="Q691" s="18"/>
      <c r="R691" s="8"/>
      <c r="S691" s="8"/>
    </row>
    <row r="692" customFormat="1" customHeight="1" spans="1:19">
      <c r="A692" s="8"/>
      <c r="B692" s="9"/>
      <c r="C692" s="10"/>
      <c r="D692" s="10"/>
      <c r="E692" s="11"/>
      <c r="F692" s="12"/>
      <c r="G692" s="13"/>
      <c r="H692" s="8"/>
      <c r="I692" s="14"/>
      <c r="J692" s="15"/>
      <c r="K692" s="16"/>
      <c r="L692" s="8"/>
      <c r="M692" s="15"/>
      <c r="N692" s="8"/>
      <c r="O692" s="8"/>
      <c r="P692" s="17"/>
      <c r="Q692" s="18"/>
      <c r="R692" s="8"/>
      <c r="S692" s="8"/>
    </row>
    <row r="693" customFormat="1" customHeight="1" spans="1:19">
      <c r="A693" s="8"/>
      <c r="B693" s="9"/>
      <c r="C693" s="10"/>
      <c r="D693" s="10"/>
      <c r="E693" s="11"/>
      <c r="F693" s="12"/>
      <c r="G693" s="13"/>
      <c r="H693" s="8"/>
      <c r="I693" s="14"/>
      <c r="J693" s="15"/>
      <c r="K693" s="16"/>
      <c r="L693" s="8"/>
      <c r="M693" s="15"/>
      <c r="N693" s="8"/>
      <c r="O693" s="8"/>
      <c r="P693" s="17"/>
      <c r="Q693" s="18"/>
      <c r="R693" s="8"/>
      <c r="S693" s="8"/>
    </row>
    <row r="694" customFormat="1" customHeight="1" spans="1:19">
      <c r="A694" s="8"/>
      <c r="B694" s="9"/>
      <c r="C694" s="10"/>
      <c r="D694" s="10"/>
      <c r="E694" s="11"/>
      <c r="F694" s="12"/>
      <c r="G694" s="13"/>
      <c r="H694" s="8"/>
      <c r="I694" s="14"/>
      <c r="J694" s="15"/>
      <c r="K694" s="16"/>
      <c r="L694" s="8"/>
      <c r="M694" s="15"/>
      <c r="N694" s="8"/>
      <c r="O694" s="8"/>
      <c r="P694" s="17"/>
      <c r="Q694" s="18"/>
      <c r="R694" s="8"/>
      <c r="S694" s="8"/>
    </row>
    <row r="695" customFormat="1" customHeight="1" spans="1:19">
      <c r="A695" s="8"/>
      <c r="B695" s="9"/>
      <c r="C695" s="10"/>
      <c r="D695" s="10"/>
      <c r="E695" s="11"/>
      <c r="F695" s="12"/>
      <c r="G695" s="13"/>
      <c r="H695" s="8"/>
      <c r="I695" s="14"/>
      <c r="J695" s="15"/>
      <c r="K695" s="16"/>
      <c r="L695" s="8"/>
      <c r="M695" s="15"/>
      <c r="N695" s="8"/>
      <c r="O695" s="8"/>
      <c r="P695" s="17"/>
      <c r="Q695" s="18"/>
      <c r="R695" s="8"/>
      <c r="S695" s="8"/>
    </row>
    <row r="696" customFormat="1" customHeight="1" spans="1:19">
      <c r="A696" s="8"/>
      <c r="B696" s="9"/>
      <c r="C696" s="10"/>
      <c r="D696" s="10"/>
      <c r="E696" s="11"/>
      <c r="F696" s="12"/>
      <c r="G696" s="13"/>
      <c r="H696" s="8"/>
      <c r="I696" s="14"/>
      <c r="J696" s="15"/>
      <c r="K696" s="16"/>
      <c r="L696" s="8"/>
      <c r="M696" s="15"/>
      <c r="N696" s="8"/>
      <c r="O696" s="8"/>
      <c r="P696" s="17"/>
      <c r="Q696" s="18"/>
      <c r="R696" s="8"/>
      <c r="S696" s="8"/>
    </row>
    <row r="697" customFormat="1" customHeight="1" spans="1:19">
      <c r="A697" s="8"/>
      <c r="B697" s="9"/>
      <c r="C697" s="10"/>
      <c r="D697" s="10"/>
      <c r="E697" s="11"/>
      <c r="F697" s="12"/>
      <c r="G697" s="13"/>
      <c r="H697" s="8"/>
      <c r="I697" s="14"/>
      <c r="J697" s="15"/>
      <c r="K697" s="16"/>
      <c r="L697" s="8"/>
      <c r="M697" s="15"/>
      <c r="N697" s="8"/>
      <c r="O697" s="8"/>
      <c r="P697" s="17"/>
      <c r="Q697" s="18"/>
      <c r="R697" s="8"/>
      <c r="S697" s="8"/>
    </row>
    <row r="698" customFormat="1" customHeight="1" spans="1:19">
      <c r="A698" s="8"/>
      <c r="B698" s="9"/>
      <c r="C698" s="10"/>
      <c r="D698" s="10"/>
      <c r="E698" s="11"/>
      <c r="F698" s="12"/>
      <c r="G698" s="13"/>
      <c r="H698" s="8"/>
      <c r="I698" s="14"/>
      <c r="J698" s="15"/>
      <c r="K698" s="16"/>
      <c r="L698" s="8"/>
      <c r="M698" s="15"/>
      <c r="N698" s="8"/>
      <c r="O698" s="8"/>
      <c r="P698" s="17"/>
      <c r="Q698" s="18"/>
      <c r="R698" s="8"/>
      <c r="S698" s="8"/>
    </row>
    <row r="699" customFormat="1" customHeight="1" spans="1:19">
      <c r="A699" s="8"/>
      <c r="B699" s="9"/>
      <c r="C699" s="10"/>
      <c r="D699" s="10"/>
      <c r="E699" s="11"/>
      <c r="F699" s="12"/>
      <c r="G699" s="13"/>
      <c r="H699" s="8"/>
      <c r="I699" s="14"/>
      <c r="J699" s="15"/>
      <c r="K699" s="16"/>
      <c r="L699" s="8"/>
      <c r="M699" s="15"/>
      <c r="N699" s="8"/>
      <c r="O699" s="8"/>
      <c r="P699" s="17"/>
      <c r="Q699" s="18"/>
      <c r="R699" s="8"/>
      <c r="S699" s="8"/>
    </row>
    <row r="700" customFormat="1" customHeight="1" spans="1:19">
      <c r="A700" s="8"/>
      <c r="B700" s="9"/>
      <c r="C700" s="10"/>
      <c r="D700" s="10"/>
      <c r="E700" s="11"/>
      <c r="F700" s="12"/>
      <c r="G700" s="13"/>
      <c r="H700" s="8"/>
      <c r="I700" s="14"/>
      <c r="J700" s="15"/>
      <c r="K700" s="16"/>
      <c r="L700" s="8"/>
      <c r="M700" s="15"/>
      <c r="N700" s="8"/>
      <c r="O700" s="8"/>
      <c r="P700" s="17"/>
      <c r="Q700" s="18"/>
      <c r="R700" s="8"/>
      <c r="S700" s="8"/>
    </row>
    <row r="701" customFormat="1" customHeight="1" spans="1:19">
      <c r="A701" s="8"/>
      <c r="B701" s="9"/>
      <c r="C701" s="10"/>
      <c r="D701" s="10"/>
      <c r="E701" s="11"/>
      <c r="F701" s="12"/>
      <c r="G701" s="13"/>
      <c r="H701" s="8"/>
      <c r="I701" s="14"/>
      <c r="J701" s="15"/>
      <c r="K701" s="16"/>
      <c r="L701" s="8"/>
      <c r="M701" s="15"/>
      <c r="N701" s="8"/>
      <c r="O701" s="8"/>
      <c r="P701" s="17"/>
      <c r="Q701" s="18"/>
      <c r="R701" s="8"/>
      <c r="S701" s="8"/>
    </row>
    <row r="702" customFormat="1" customHeight="1" spans="1:19">
      <c r="A702" s="8"/>
      <c r="B702" s="9"/>
      <c r="C702" s="10"/>
      <c r="D702" s="10"/>
      <c r="E702" s="11"/>
      <c r="F702" s="12"/>
      <c r="G702" s="13"/>
      <c r="H702" s="8"/>
      <c r="I702" s="14"/>
      <c r="J702" s="15"/>
      <c r="K702" s="16"/>
      <c r="L702" s="8"/>
      <c r="M702" s="15"/>
      <c r="N702" s="8"/>
      <c r="O702" s="8"/>
      <c r="P702" s="17"/>
      <c r="Q702" s="18"/>
      <c r="R702" s="8"/>
      <c r="S702" s="8"/>
    </row>
    <row r="703" customFormat="1" customHeight="1" spans="1:19">
      <c r="A703" s="8"/>
      <c r="B703" s="9"/>
      <c r="C703" s="10"/>
      <c r="D703" s="10"/>
      <c r="E703" s="11"/>
      <c r="F703" s="12"/>
      <c r="G703" s="13"/>
      <c r="H703" s="8"/>
      <c r="I703" s="14"/>
      <c r="J703" s="15"/>
      <c r="K703" s="16"/>
      <c r="L703" s="8"/>
      <c r="M703" s="15"/>
      <c r="N703" s="8"/>
      <c r="O703" s="8"/>
      <c r="P703" s="17"/>
      <c r="Q703" s="18"/>
      <c r="R703" s="8"/>
      <c r="S703" s="8"/>
    </row>
    <row r="704" customFormat="1" customHeight="1" spans="1:19">
      <c r="A704" s="8"/>
      <c r="B704" s="9"/>
      <c r="C704" s="10"/>
      <c r="D704" s="10"/>
      <c r="E704" s="11"/>
      <c r="F704" s="12"/>
      <c r="G704" s="13"/>
      <c r="H704" s="8"/>
      <c r="I704" s="14"/>
      <c r="J704" s="15"/>
      <c r="K704" s="16"/>
      <c r="L704" s="8"/>
      <c r="M704" s="15"/>
      <c r="N704" s="8"/>
      <c r="O704" s="8"/>
      <c r="P704" s="17"/>
      <c r="Q704" s="18"/>
      <c r="R704" s="8"/>
      <c r="S704" s="8"/>
    </row>
    <row r="705" customFormat="1" customHeight="1" spans="1:19">
      <c r="A705" s="8"/>
      <c r="B705" s="9"/>
      <c r="C705" s="10"/>
      <c r="D705" s="10"/>
      <c r="E705" s="11"/>
      <c r="F705" s="12"/>
      <c r="G705" s="13"/>
      <c r="H705" s="8"/>
      <c r="I705" s="14"/>
      <c r="J705" s="15"/>
      <c r="K705" s="16"/>
      <c r="L705" s="8"/>
      <c r="M705" s="15"/>
      <c r="N705" s="8"/>
      <c r="O705" s="8"/>
      <c r="P705" s="17"/>
      <c r="Q705" s="18"/>
      <c r="R705" s="8"/>
      <c r="S705" s="8"/>
    </row>
    <row r="706" customFormat="1" customHeight="1" spans="1:19">
      <c r="A706" s="8"/>
      <c r="B706" s="9"/>
      <c r="C706" s="10"/>
      <c r="D706" s="10"/>
      <c r="E706" s="11"/>
      <c r="F706" s="12"/>
      <c r="G706" s="13"/>
      <c r="H706" s="8"/>
      <c r="I706" s="14"/>
      <c r="J706" s="15"/>
      <c r="K706" s="16"/>
      <c r="L706" s="8"/>
      <c r="M706" s="15"/>
      <c r="N706" s="8"/>
      <c r="O706" s="8"/>
      <c r="P706" s="17"/>
      <c r="Q706" s="18"/>
      <c r="R706" s="8"/>
      <c r="S706" s="8"/>
    </row>
    <row r="707" customFormat="1" customHeight="1" spans="1:19">
      <c r="A707" s="8"/>
      <c r="B707" s="9"/>
      <c r="C707" s="10"/>
      <c r="D707" s="10"/>
      <c r="E707" s="11"/>
      <c r="F707" s="12"/>
      <c r="G707" s="13"/>
      <c r="H707" s="8"/>
      <c r="I707" s="14"/>
      <c r="J707" s="15"/>
      <c r="K707" s="16"/>
      <c r="L707" s="8"/>
      <c r="M707" s="15"/>
      <c r="N707" s="8"/>
      <c r="O707" s="8"/>
      <c r="P707" s="17"/>
      <c r="Q707" s="18"/>
      <c r="R707" s="8"/>
      <c r="S707" s="8"/>
    </row>
    <row r="708" customFormat="1" customHeight="1" spans="1:19">
      <c r="A708" s="8"/>
      <c r="B708" s="9"/>
      <c r="C708" s="10"/>
      <c r="D708" s="10"/>
      <c r="E708" s="11"/>
      <c r="F708" s="12"/>
      <c r="G708" s="13"/>
      <c r="H708" s="8"/>
      <c r="I708" s="14"/>
      <c r="J708" s="15"/>
      <c r="K708" s="16"/>
      <c r="L708" s="8"/>
      <c r="M708" s="15"/>
      <c r="N708" s="8"/>
      <c r="O708" s="8"/>
      <c r="P708" s="17"/>
      <c r="Q708" s="18"/>
      <c r="R708" s="8"/>
      <c r="S708" s="8"/>
    </row>
    <row r="709" customFormat="1" customHeight="1" spans="1:19">
      <c r="A709" s="8"/>
      <c r="B709" s="9"/>
      <c r="C709" s="10"/>
      <c r="D709" s="10"/>
      <c r="E709" s="11"/>
      <c r="F709" s="12"/>
      <c r="G709" s="13"/>
      <c r="H709" s="8"/>
      <c r="I709" s="14"/>
      <c r="J709" s="15"/>
      <c r="K709" s="16"/>
      <c r="L709" s="8"/>
      <c r="M709" s="15"/>
      <c r="N709" s="8"/>
      <c r="O709" s="8"/>
      <c r="P709" s="17"/>
      <c r="Q709" s="18"/>
      <c r="R709" s="8"/>
      <c r="S709" s="8"/>
    </row>
    <row r="710" customFormat="1" customHeight="1" spans="1:19">
      <c r="A710" s="8"/>
      <c r="B710" s="9"/>
      <c r="C710" s="10"/>
      <c r="D710" s="10"/>
      <c r="E710" s="11"/>
      <c r="F710" s="12"/>
      <c r="G710" s="13"/>
      <c r="H710" s="8"/>
      <c r="I710" s="14"/>
      <c r="J710" s="15"/>
      <c r="K710" s="16"/>
      <c r="L710" s="8"/>
      <c r="M710" s="15"/>
      <c r="N710" s="8"/>
      <c r="O710" s="8"/>
      <c r="P710" s="17"/>
      <c r="Q710" s="18"/>
      <c r="R710" s="8"/>
      <c r="S710" s="8"/>
    </row>
    <row r="711" customFormat="1" customHeight="1" spans="1:19">
      <c r="A711" s="8"/>
      <c r="B711" s="9"/>
      <c r="C711" s="10"/>
      <c r="D711" s="10"/>
      <c r="E711" s="11"/>
      <c r="F711" s="12"/>
      <c r="G711" s="13"/>
      <c r="H711" s="8"/>
      <c r="I711" s="14"/>
      <c r="J711" s="15"/>
      <c r="K711" s="16"/>
      <c r="L711" s="8"/>
      <c r="M711" s="15"/>
      <c r="N711" s="8"/>
      <c r="O711" s="8"/>
      <c r="P711" s="17"/>
      <c r="Q711" s="18"/>
      <c r="R711" s="8"/>
      <c r="S711" s="8"/>
    </row>
    <row r="712" customFormat="1" customHeight="1" spans="1:19">
      <c r="A712" s="8"/>
      <c r="B712" s="9"/>
      <c r="C712" s="10"/>
      <c r="D712" s="10"/>
      <c r="E712" s="11"/>
      <c r="F712" s="12"/>
      <c r="G712" s="13"/>
      <c r="H712" s="8"/>
      <c r="I712" s="14"/>
      <c r="J712" s="15"/>
      <c r="K712" s="16"/>
      <c r="L712" s="8"/>
      <c r="M712" s="15"/>
      <c r="N712" s="8"/>
      <c r="O712" s="8"/>
      <c r="P712" s="17"/>
      <c r="Q712" s="18"/>
      <c r="R712" s="8"/>
      <c r="S712" s="8"/>
    </row>
    <row r="713" customFormat="1" customHeight="1" spans="1:19">
      <c r="A713" s="8"/>
      <c r="B713" s="9"/>
      <c r="C713" s="10"/>
      <c r="D713" s="10"/>
      <c r="E713" s="11"/>
      <c r="F713" s="12"/>
      <c r="G713" s="13"/>
      <c r="H713" s="8"/>
      <c r="I713" s="14"/>
      <c r="J713" s="15"/>
      <c r="K713" s="16"/>
      <c r="L713" s="8"/>
      <c r="M713" s="15"/>
      <c r="N713" s="8"/>
      <c r="O713" s="8"/>
      <c r="P713" s="17"/>
      <c r="Q713" s="18"/>
      <c r="R713" s="8"/>
      <c r="S713" s="8"/>
    </row>
    <row r="714" customFormat="1" customHeight="1" spans="1:19">
      <c r="A714" s="8"/>
      <c r="B714" s="9"/>
      <c r="C714" s="10"/>
      <c r="D714" s="10"/>
      <c r="E714" s="11"/>
      <c r="F714" s="12"/>
      <c r="G714" s="13"/>
      <c r="H714" s="8"/>
      <c r="I714" s="14"/>
      <c r="J714" s="15"/>
      <c r="K714" s="16"/>
      <c r="L714" s="8"/>
      <c r="M714" s="15"/>
      <c r="N714" s="8"/>
      <c r="O714" s="8"/>
      <c r="P714" s="17"/>
      <c r="Q714" s="18"/>
      <c r="R714" s="8"/>
      <c r="S714" s="8"/>
    </row>
    <row r="715" customFormat="1" customHeight="1" spans="1:19">
      <c r="A715" s="8"/>
      <c r="B715" s="9"/>
      <c r="C715" s="10"/>
      <c r="D715" s="10"/>
      <c r="E715" s="11"/>
      <c r="F715" s="12"/>
      <c r="G715" s="13"/>
      <c r="H715" s="8"/>
      <c r="I715" s="14"/>
      <c r="J715" s="15"/>
      <c r="K715" s="16"/>
      <c r="L715" s="8"/>
      <c r="M715" s="15"/>
      <c r="N715" s="8"/>
      <c r="O715" s="8"/>
      <c r="P715" s="17"/>
      <c r="Q715" s="18"/>
      <c r="R715" s="8"/>
      <c r="S715" s="8"/>
    </row>
    <row r="716" customFormat="1" customHeight="1" spans="1:19">
      <c r="A716" s="8"/>
      <c r="B716" s="9"/>
      <c r="C716" s="10"/>
      <c r="D716" s="10"/>
      <c r="E716" s="11"/>
      <c r="F716" s="12"/>
      <c r="G716" s="13"/>
      <c r="H716" s="8"/>
      <c r="I716" s="14"/>
      <c r="J716" s="15"/>
      <c r="K716" s="16"/>
      <c r="L716" s="8"/>
      <c r="M716" s="15"/>
      <c r="N716" s="8"/>
      <c r="O716" s="8"/>
      <c r="P716" s="17"/>
      <c r="Q716" s="18"/>
      <c r="R716" s="8"/>
      <c r="S716" s="8"/>
    </row>
    <row r="717" customFormat="1" customHeight="1" spans="1:19">
      <c r="A717" s="8"/>
      <c r="B717" s="9"/>
      <c r="C717" s="10"/>
      <c r="D717" s="10"/>
      <c r="E717" s="11"/>
      <c r="F717" s="12"/>
      <c r="G717" s="13"/>
      <c r="H717" s="8"/>
      <c r="I717" s="14"/>
      <c r="J717" s="15"/>
      <c r="K717" s="16"/>
      <c r="L717" s="8"/>
      <c r="M717" s="15"/>
      <c r="N717" s="8"/>
      <c r="O717" s="8"/>
      <c r="P717" s="17"/>
      <c r="Q717" s="18"/>
      <c r="R717" s="8"/>
      <c r="S717" s="8"/>
    </row>
    <row r="718" customFormat="1" customHeight="1" spans="1:19">
      <c r="A718" s="8"/>
      <c r="B718" s="9"/>
      <c r="C718" s="10"/>
      <c r="D718" s="10"/>
      <c r="E718" s="11"/>
      <c r="F718" s="12"/>
      <c r="G718" s="13"/>
      <c r="H718" s="8"/>
      <c r="I718" s="14"/>
      <c r="J718" s="15"/>
      <c r="K718" s="16"/>
      <c r="L718" s="8"/>
      <c r="M718" s="15"/>
      <c r="N718" s="8"/>
      <c r="O718" s="8"/>
      <c r="P718" s="17"/>
      <c r="Q718" s="18"/>
      <c r="R718" s="8"/>
      <c r="S718" s="8"/>
    </row>
    <row r="719" customFormat="1" customHeight="1" spans="1:19">
      <c r="A719" s="8"/>
      <c r="B719" s="9"/>
      <c r="C719" s="10"/>
      <c r="D719" s="10"/>
      <c r="E719" s="11"/>
      <c r="F719" s="12"/>
      <c r="G719" s="13"/>
      <c r="H719" s="8"/>
      <c r="I719" s="14"/>
      <c r="J719" s="15"/>
      <c r="K719" s="16"/>
      <c r="L719" s="8"/>
      <c r="M719" s="15"/>
      <c r="N719" s="8"/>
      <c r="O719" s="8"/>
      <c r="P719" s="17"/>
      <c r="Q719" s="18"/>
      <c r="R719" s="8"/>
      <c r="S719" s="8"/>
    </row>
    <row r="720" customFormat="1" customHeight="1" spans="1:19">
      <c r="A720" s="8"/>
      <c r="B720" s="9"/>
      <c r="C720" s="10"/>
      <c r="D720" s="10"/>
      <c r="E720" s="11"/>
      <c r="F720" s="12"/>
      <c r="G720" s="13"/>
      <c r="H720" s="8"/>
      <c r="I720" s="14"/>
      <c r="J720" s="15"/>
      <c r="K720" s="16"/>
      <c r="L720" s="8"/>
      <c r="M720" s="15"/>
      <c r="N720" s="8"/>
      <c r="O720" s="8"/>
      <c r="P720" s="17"/>
      <c r="Q720" s="18"/>
      <c r="R720" s="8"/>
      <c r="S720" s="8"/>
    </row>
    <row r="721" customFormat="1" customHeight="1" spans="1:19">
      <c r="A721" s="8"/>
      <c r="B721" s="9"/>
      <c r="C721" s="10"/>
      <c r="D721" s="10"/>
      <c r="E721" s="11"/>
      <c r="F721" s="12"/>
      <c r="G721" s="13"/>
      <c r="H721" s="8"/>
      <c r="I721" s="14"/>
      <c r="J721" s="15"/>
      <c r="K721" s="16"/>
      <c r="L721" s="8"/>
      <c r="M721" s="15"/>
      <c r="N721" s="8"/>
      <c r="O721" s="8"/>
      <c r="P721" s="17"/>
      <c r="Q721" s="18"/>
      <c r="R721" s="8"/>
      <c r="S721" s="8"/>
    </row>
    <row r="722" customFormat="1" customHeight="1" spans="1:19">
      <c r="A722" s="8"/>
      <c r="B722" s="9"/>
      <c r="C722" s="10"/>
      <c r="D722" s="10"/>
      <c r="E722" s="11"/>
      <c r="F722" s="12"/>
      <c r="G722" s="13"/>
      <c r="H722" s="8"/>
      <c r="I722" s="14"/>
      <c r="J722" s="15"/>
      <c r="K722" s="16"/>
      <c r="L722" s="8"/>
      <c r="M722" s="15"/>
      <c r="N722" s="8"/>
      <c r="O722" s="8"/>
      <c r="P722" s="17"/>
      <c r="Q722" s="18"/>
      <c r="R722" s="8"/>
      <c r="S722" s="8"/>
    </row>
    <row r="723" customFormat="1" customHeight="1" spans="1:19">
      <c r="A723" s="8"/>
      <c r="B723" s="9"/>
      <c r="C723" s="10"/>
      <c r="D723" s="10"/>
      <c r="E723" s="11"/>
      <c r="F723" s="12"/>
      <c r="G723" s="13"/>
      <c r="H723" s="8"/>
      <c r="I723" s="14"/>
      <c r="J723" s="15"/>
      <c r="K723" s="16"/>
      <c r="L723" s="8"/>
      <c r="M723" s="15"/>
      <c r="N723" s="8"/>
      <c r="O723" s="8"/>
      <c r="P723" s="17"/>
      <c r="Q723" s="18"/>
      <c r="R723" s="8"/>
      <c r="S723" s="8"/>
    </row>
    <row r="724" customFormat="1" customHeight="1" spans="1:19">
      <c r="A724" s="8"/>
      <c r="B724" s="9"/>
      <c r="C724" s="10"/>
      <c r="D724" s="10"/>
      <c r="E724" s="11"/>
      <c r="F724" s="12"/>
      <c r="G724" s="13"/>
      <c r="H724" s="8"/>
      <c r="I724" s="14"/>
      <c r="J724" s="15"/>
      <c r="K724" s="16"/>
      <c r="L724" s="8"/>
      <c r="M724" s="15"/>
      <c r="N724" s="8"/>
      <c r="O724" s="8"/>
      <c r="P724" s="17"/>
      <c r="Q724" s="18"/>
      <c r="R724" s="8"/>
      <c r="S724" s="8"/>
    </row>
    <row r="725" customFormat="1" customHeight="1" spans="1:19">
      <c r="A725" s="8"/>
      <c r="B725" s="9"/>
      <c r="C725" s="10"/>
      <c r="D725" s="10"/>
      <c r="E725" s="11"/>
      <c r="F725" s="12"/>
      <c r="G725" s="13"/>
      <c r="H725" s="8"/>
      <c r="I725" s="14"/>
      <c r="J725" s="15"/>
      <c r="K725" s="16"/>
      <c r="L725" s="8"/>
      <c r="M725" s="15"/>
      <c r="N725" s="8"/>
      <c r="O725" s="8"/>
      <c r="P725" s="17"/>
      <c r="Q725" s="18"/>
      <c r="R725" s="8"/>
      <c r="S725" s="8"/>
    </row>
    <row r="726" customFormat="1" customHeight="1" spans="1:19">
      <c r="A726" s="8"/>
      <c r="B726" s="9"/>
      <c r="C726" s="10"/>
      <c r="D726" s="10"/>
      <c r="E726" s="11"/>
      <c r="F726" s="12"/>
      <c r="G726" s="13"/>
      <c r="H726" s="8"/>
      <c r="I726" s="14"/>
      <c r="J726" s="15"/>
      <c r="K726" s="16"/>
      <c r="L726" s="8"/>
      <c r="M726" s="15"/>
      <c r="N726" s="8"/>
      <c r="O726" s="8"/>
      <c r="P726" s="17"/>
      <c r="Q726" s="18"/>
      <c r="R726" s="8"/>
      <c r="S726" s="8"/>
    </row>
    <row r="727" customFormat="1" customHeight="1" spans="1:19">
      <c r="A727" s="8"/>
      <c r="B727" s="9"/>
      <c r="C727" s="10"/>
      <c r="D727" s="10"/>
      <c r="E727" s="11"/>
      <c r="F727" s="12"/>
      <c r="G727" s="13"/>
      <c r="H727" s="8"/>
      <c r="I727" s="14"/>
      <c r="J727" s="15"/>
      <c r="K727" s="16"/>
      <c r="L727" s="8"/>
      <c r="M727" s="15"/>
      <c r="N727" s="8"/>
      <c r="O727" s="8"/>
      <c r="P727" s="17"/>
      <c r="Q727" s="18"/>
      <c r="R727" s="8"/>
      <c r="S727" s="8"/>
    </row>
    <row r="728" customFormat="1" customHeight="1" spans="1:19">
      <c r="A728" s="8"/>
      <c r="B728" s="9"/>
      <c r="C728" s="10"/>
      <c r="D728" s="10"/>
      <c r="E728" s="11"/>
      <c r="F728" s="12"/>
      <c r="G728" s="13"/>
      <c r="H728" s="8"/>
      <c r="I728" s="14"/>
      <c r="J728" s="15"/>
      <c r="K728" s="16"/>
      <c r="L728" s="8"/>
      <c r="M728" s="15"/>
      <c r="N728" s="8"/>
      <c r="O728" s="8"/>
      <c r="P728" s="17"/>
      <c r="Q728" s="18"/>
      <c r="R728" s="8"/>
      <c r="S728" s="8"/>
    </row>
    <row r="729" customFormat="1" customHeight="1" spans="1:19">
      <c r="A729" s="8"/>
      <c r="B729" s="9"/>
      <c r="C729" s="10"/>
      <c r="D729" s="10"/>
      <c r="E729" s="11"/>
      <c r="F729" s="12"/>
      <c r="G729" s="13"/>
      <c r="H729" s="8"/>
      <c r="I729" s="14"/>
      <c r="J729" s="15"/>
      <c r="K729" s="16"/>
      <c r="L729" s="8"/>
      <c r="M729" s="15"/>
      <c r="N729" s="8"/>
      <c r="O729" s="8"/>
      <c r="P729" s="17"/>
      <c r="Q729" s="18"/>
      <c r="R729" s="8"/>
      <c r="S729" s="8"/>
    </row>
    <row r="730" customFormat="1" customHeight="1" spans="1:19">
      <c r="A730" s="8"/>
      <c r="B730" s="9"/>
      <c r="C730" s="10"/>
      <c r="D730" s="10"/>
      <c r="E730" s="11"/>
      <c r="F730" s="12"/>
      <c r="G730" s="13"/>
      <c r="H730" s="8"/>
      <c r="I730" s="14"/>
      <c r="J730" s="15"/>
      <c r="K730" s="16"/>
      <c r="L730" s="8"/>
      <c r="M730" s="15"/>
      <c r="N730" s="8"/>
      <c r="O730" s="8"/>
      <c r="P730" s="17"/>
      <c r="Q730" s="18"/>
      <c r="R730" s="8"/>
      <c r="S730" s="8"/>
    </row>
    <row r="731" customFormat="1" customHeight="1" spans="1:19">
      <c r="A731" s="8"/>
      <c r="B731" s="9"/>
      <c r="C731" s="10"/>
      <c r="D731" s="10"/>
      <c r="E731" s="11"/>
      <c r="F731" s="12"/>
      <c r="G731" s="13"/>
      <c r="H731" s="8"/>
      <c r="I731" s="14"/>
      <c r="J731" s="15"/>
      <c r="K731" s="16"/>
      <c r="L731" s="8"/>
      <c r="M731" s="15"/>
      <c r="N731" s="8"/>
      <c r="O731" s="8"/>
      <c r="P731" s="17"/>
      <c r="Q731" s="18"/>
      <c r="R731" s="8"/>
      <c r="S731" s="8"/>
    </row>
    <row r="732" customFormat="1" customHeight="1" spans="1:19">
      <c r="A732" s="8"/>
      <c r="B732" s="9"/>
      <c r="C732" s="10"/>
      <c r="D732" s="10"/>
      <c r="E732" s="11"/>
      <c r="F732" s="12"/>
      <c r="G732" s="13"/>
      <c r="H732" s="8"/>
      <c r="I732" s="14"/>
      <c r="J732" s="15"/>
      <c r="K732" s="16"/>
      <c r="L732" s="8"/>
      <c r="M732" s="15"/>
      <c r="N732" s="8"/>
      <c r="O732" s="8"/>
      <c r="P732" s="17"/>
      <c r="Q732" s="18"/>
      <c r="R732" s="8"/>
      <c r="S732" s="8"/>
    </row>
    <row r="733" customFormat="1" customHeight="1" spans="1:19">
      <c r="A733" s="8"/>
      <c r="B733" s="9"/>
      <c r="C733" s="10"/>
      <c r="D733" s="10"/>
      <c r="E733" s="11"/>
      <c r="F733" s="12"/>
      <c r="G733" s="13"/>
      <c r="H733" s="8"/>
      <c r="I733" s="14"/>
      <c r="J733" s="15"/>
      <c r="K733" s="16"/>
      <c r="L733" s="8"/>
      <c r="M733" s="15"/>
      <c r="N733" s="8"/>
      <c r="O733" s="8"/>
      <c r="P733" s="17"/>
      <c r="Q733" s="18"/>
      <c r="R733" s="8"/>
      <c r="S733" s="8"/>
    </row>
    <row r="734" customFormat="1" customHeight="1" spans="1:19">
      <c r="A734" s="8"/>
      <c r="B734" s="9"/>
      <c r="C734" s="10"/>
      <c r="D734" s="10"/>
      <c r="E734" s="11"/>
      <c r="F734" s="12"/>
      <c r="G734" s="13"/>
      <c r="H734" s="8"/>
      <c r="I734" s="14"/>
      <c r="J734" s="15"/>
      <c r="K734" s="16"/>
      <c r="L734" s="8"/>
      <c r="M734" s="15"/>
      <c r="N734" s="8"/>
      <c r="O734" s="8"/>
      <c r="P734" s="17"/>
      <c r="Q734" s="18"/>
      <c r="R734" s="8"/>
      <c r="S734" s="8"/>
    </row>
    <row r="735" customFormat="1" customHeight="1" spans="1:19">
      <c r="A735" s="8"/>
      <c r="B735" s="9"/>
      <c r="C735" s="10"/>
      <c r="D735" s="10"/>
      <c r="E735" s="11"/>
      <c r="F735" s="12"/>
      <c r="G735" s="13"/>
      <c r="H735" s="8"/>
      <c r="I735" s="14"/>
      <c r="J735" s="15"/>
      <c r="K735" s="16"/>
      <c r="L735" s="8"/>
      <c r="M735" s="15"/>
      <c r="N735" s="8"/>
      <c r="O735" s="8"/>
      <c r="P735" s="17"/>
      <c r="Q735" s="18"/>
      <c r="R735" s="8"/>
      <c r="S735" s="8"/>
    </row>
    <row r="736" customFormat="1" customHeight="1" spans="1:19">
      <c r="A736" s="8"/>
      <c r="B736" s="9"/>
      <c r="C736" s="10"/>
      <c r="D736" s="10"/>
      <c r="E736" s="11"/>
      <c r="F736" s="12"/>
      <c r="G736" s="13"/>
      <c r="H736" s="8"/>
      <c r="I736" s="14"/>
      <c r="J736" s="15"/>
      <c r="K736" s="16"/>
      <c r="L736" s="8"/>
      <c r="M736" s="15"/>
      <c r="N736" s="8"/>
      <c r="O736" s="8"/>
      <c r="P736" s="17"/>
      <c r="Q736" s="18"/>
      <c r="R736" s="8"/>
      <c r="S736" s="8"/>
    </row>
    <row r="737" customFormat="1" customHeight="1" spans="1:19">
      <c r="A737" s="8"/>
      <c r="B737" s="9"/>
      <c r="C737" s="10"/>
      <c r="D737" s="10"/>
      <c r="E737" s="11"/>
      <c r="F737" s="12"/>
      <c r="G737" s="13"/>
      <c r="H737" s="8"/>
      <c r="I737" s="14"/>
      <c r="J737" s="15"/>
      <c r="K737" s="16"/>
      <c r="L737" s="8"/>
      <c r="M737" s="15"/>
      <c r="N737" s="8"/>
      <c r="O737" s="8"/>
      <c r="P737" s="17"/>
      <c r="Q737" s="18"/>
      <c r="R737" s="8"/>
      <c r="S737" s="8"/>
    </row>
    <row r="738" customFormat="1" customHeight="1" spans="1:19">
      <c r="A738" s="8"/>
      <c r="B738" s="9"/>
      <c r="C738" s="10"/>
      <c r="D738" s="10"/>
      <c r="E738" s="11"/>
      <c r="F738" s="12"/>
      <c r="G738" s="13"/>
      <c r="H738" s="8"/>
      <c r="I738" s="14"/>
      <c r="J738" s="15"/>
      <c r="K738" s="16"/>
      <c r="L738" s="8"/>
      <c r="M738" s="15"/>
      <c r="N738" s="8"/>
      <c r="O738" s="8"/>
      <c r="P738" s="17"/>
      <c r="Q738" s="18"/>
      <c r="R738" s="8"/>
      <c r="S738" s="8"/>
    </row>
    <row r="739" customFormat="1" customHeight="1" spans="1:19">
      <c r="A739" s="8"/>
      <c r="B739" s="9"/>
      <c r="C739" s="10"/>
      <c r="D739" s="10"/>
      <c r="E739" s="11"/>
      <c r="F739" s="12"/>
      <c r="G739" s="13"/>
      <c r="H739" s="8"/>
      <c r="I739" s="14"/>
      <c r="J739" s="15"/>
      <c r="K739" s="16"/>
      <c r="L739" s="8"/>
      <c r="M739" s="15"/>
      <c r="N739" s="8"/>
      <c r="O739" s="8"/>
      <c r="P739" s="17"/>
      <c r="Q739" s="18"/>
      <c r="R739" s="8"/>
      <c r="S739" s="8"/>
    </row>
    <row r="740" customFormat="1" customHeight="1" spans="1:19">
      <c r="A740" s="8"/>
      <c r="B740" s="9"/>
      <c r="C740" s="10"/>
      <c r="D740" s="10"/>
      <c r="E740" s="11"/>
      <c r="F740" s="12"/>
      <c r="G740" s="13"/>
      <c r="H740" s="8"/>
      <c r="I740" s="14"/>
      <c r="J740" s="15"/>
      <c r="K740" s="16"/>
      <c r="L740" s="8"/>
      <c r="M740" s="15"/>
      <c r="N740" s="8"/>
      <c r="O740" s="8"/>
      <c r="P740" s="17"/>
      <c r="Q740" s="18"/>
      <c r="R740" s="8"/>
      <c r="S740" s="8"/>
    </row>
    <row r="741" customFormat="1" customHeight="1" spans="1:19">
      <c r="A741" s="8"/>
      <c r="B741" s="9"/>
      <c r="C741" s="10"/>
      <c r="D741" s="10"/>
      <c r="E741" s="11"/>
      <c r="F741" s="12"/>
      <c r="G741" s="13"/>
      <c r="H741" s="8"/>
      <c r="I741" s="14"/>
      <c r="J741" s="15"/>
      <c r="K741" s="16"/>
      <c r="L741" s="8"/>
      <c r="M741" s="15"/>
      <c r="N741" s="8"/>
      <c r="O741" s="8"/>
      <c r="P741" s="17"/>
      <c r="Q741" s="18"/>
      <c r="R741" s="8"/>
      <c r="S741" s="8"/>
    </row>
    <row r="742" customFormat="1" customHeight="1" spans="1:19">
      <c r="A742" s="8"/>
      <c r="B742" s="9"/>
      <c r="C742" s="10"/>
      <c r="D742" s="10"/>
      <c r="E742" s="11"/>
      <c r="F742" s="12"/>
      <c r="G742" s="13"/>
      <c r="H742" s="8"/>
      <c r="I742" s="14"/>
      <c r="J742" s="15"/>
      <c r="K742" s="16"/>
      <c r="L742" s="8"/>
      <c r="M742" s="15"/>
      <c r="N742" s="8"/>
      <c r="O742" s="8"/>
      <c r="P742" s="17"/>
      <c r="Q742" s="18"/>
      <c r="R742" s="8"/>
      <c r="S742" s="8"/>
    </row>
    <row r="743" customFormat="1" customHeight="1" spans="1:19">
      <c r="A743" s="8"/>
      <c r="B743" s="9"/>
      <c r="C743" s="10"/>
      <c r="D743" s="10"/>
      <c r="E743" s="11"/>
      <c r="F743" s="12"/>
      <c r="G743" s="13"/>
      <c r="H743" s="8"/>
      <c r="I743" s="14"/>
      <c r="J743" s="15"/>
      <c r="K743" s="16"/>
      <c r="L743" s="8"/>
      <c r="M743" s="15"/>
      <c r="N743" s="8"/>
      <c r="O743" s="8"/>
      <c r="P743" s="17"/>
      <c r="Q743" s="18"/>
      <c r="R743" s="8"/>
      <c r="S743" s="8"/>
    </row>
    <row r="744" customFormat="1" customHeight="1" spans="1:19">
      <c r="A744" s="8"/>
      <c r="B744" s="9"/>
      <c r="C744" s="10"/>
      <c r="D744" s="10"/>
      <c r="E744" s="11"/>
      <c r="F744" s="12"/>
      <c r="G744" s="13"/>
      <c r="H744" s="8"/>
      <c r="I744" s="14"/>
      <c r="J744" s="15"/>
      <c r="K744" s="16"/>
      <c r="L744" s="8"/>
      <c r="M744" s="15"/>
      <c r="N744" s="8"/>
      <c r="O744" s="8"/>
      <c r="P744" s="17"/>
      <c r="Q744" s="18"/>
      <c r="R744" s="8"/>
      <c r="S744" s="8"/>
    </row>
    <row r="745" customFormat="1" customHeight="1" spans="1:19">
      <c r="A745" s="8"/>
      <c r="B745" s="9"/>
      <c r="C745" s="10"/>
      <c r="D745" s="10"/>
      <c r="E745" s="11"/>
      <c r="F745" s="12"/>
      <c r="G745" s="13"/>
      <c r="H745" s="8"/>
      <c r="I745" s="14"/>
      <c r="J745" s="15"/>
      <c r="K745" s="16"/>
      <c r="L745" s="8"/>
      <c r="M745" s="15"/>
      <c r="N745" s="8"/>
      <c r="O745" s="8"/>
      <c r="P745" s="17"/>
      <c r="Q745" s="18"/>
      <c r="R745" s="8"/>
      <c r="S745" s="8"/>
    </row>
    <row r="746" customFormat="1" customHeight="1" spans="1:19">
      <c r="A746" s="8"/>
      <c r="B746" s="9"/>
      <c r="C746" s="10"/>
      <c r="D746" s="10"/>
      <c r="E746" s="11"/>
      <c r="F746" s="12"/>
      <c r="G746" s="13"/>
      <c r="H746" s="8"/>
      <c r="I746" s="14"/>
      <c r="J746" s="15"/>
      <c r="K746" s="16"/>
      <c r="L746" s="8"/>
      <c r="M746" s="15"/>
      <c r="N746" s="8"/>
      <c r="O746" s="8"/>
      <c r="P746" s="17"/>
      <c r="Q746" s="18"/>
      <c r="R746" s="8"/>
      <c r="S746" s="8"/>
    </row>
    <row r="747" customFormat="1" customHeight="1" spans="1:19">
      <c r="A747" s="8"/>
      <c r="B747" s="9"/>
      <c r="C747" s="10"/>
      <c r="D747" s="10"/>
      <c r="E747" s="11"/>
      <c r="F747" s="12"/>
      <c r="G747" s="13"/>
      <c r="H747" s="8"/>
      <c r="I747" s="14"/>
      <c r="J747" s="15"/>
      <c r="K747" s="16"/>
      <c r="L747" s="8"/>
      <c r="M747" s="15"/>
      <c r="N747" s="8"/>
      <c r="O747" s="8"/>
      <c r="P747" s="17"/>
      <c r="Q747" s="18"/>
      <c r="R747" s="8"/>
      <c r="S747" s="8"/>
    </row>
    <row r="748" customFormat="1" customHeight="1" spans="1:19">
      <c r="A748" s="8"/>
      <c r="B748" s="9"/>
      <c r="C748" s="10"/>
      <c r="D748" s="10"/>
      <c r="E748" s="11"/>
      <c r="F748" s="12"/>
      <c r="G748" s="13"/>
      <c r="H748" s="8"/>
      <c r="I748" s="14"/>
      <c r="J748" s="15"/>
      <c r="K748" s="16"/>
      <c r="L748" s="8"/>
      <c r="M748" s="15"/>
      <c r="N748" s="8"/>
      <c r="O748" s="8"/>
      <c r="P748" s="17"/>
      <c r="Q748" s="18"/>
      <c r="R748" s="8"/>
      <c r="S748" s="8"/>
    </row>
    <row r="749" customFormat="1" customHeight="1" spans="1:19">
      <c r="A749" s="8"/>
      <c r="B749" s="9"/>
      <c r="C749" s="10"/>
      <c r="D749" s="10"/>
      <c r="E749" s="11"/>
      <c r="F749" s="12"/>
      <c r="G749" s="13"/>
      <c r="H749" s="8"/>
      <c r="I749" s="14"/>
      <c r="J749" s="15"/>
      <c r="K749" s="16"/>
      <c r="L749" s="8"/>
      <c r="M749" s="15"/>
      <c r="N749" s="8"/>
      <c r="O749" s="8"/>
      <c r="P749" s="17"/>
      <c r="Q749" s="18"/>
      <c r="R749" s="8"/>
      <c r="S749" s="8"/>
    </row>
    <row r="750" customFormat="1" customHeight="1" spans="1:19">
      <c r="A750" s="8"/>
      <c r="B750" s="9"/>
      <c r="C750" s="10"/>
      <c r="D750" s="10"/>
      <c r="E750" s="11"/>
      <c r="F750" s="12"/>
      <c r="G750" s="13"/>
      <c r="H750" s="8"/>
      <c r="I750" s="14"/>
      <c r="J750" s="15"/>
      <c r="K750" s="16"/>
      <c r="L750" s="8"/>
      <c r="M750" s="15"/>
      <c r="N750" s="8"/>
      <c r="O750" s="8"/>
      <c r="P750" s="17"/>
      <c r="Q750" s="18"/>
      <c r="R750" s="8"/>
      <c r="S750" s="8"/>
    </row>
    <row r="751" customFormat="1" customHeight="1" spans="1:19">
      <c r="A751" s="8"/>
      <c r="B751" s="9"/>
      <c r="C751" s="10"/>
      <c r="D751" s="10"/>
      <c r="E751" s="11"/>
      <c r="F751" s="12"/>
      <c r="G751" s="13"/>
      <c r="H751" s="8"/>
      <c r="I751" s="14"/>
      <c r="J751" s="15"/>
      <c r="K751" s="16"/>
      <c r="L751" s="8"/>
      <c r="M751" s="15"/>
      <c r="N751" s="8"/>
      <c r="O751" s="8"/>
      <c r="P751" s="17"/>
      <c r="Q751" s="18"/>
      <c r="R751" s="8"/>
      <c r="S751" s="8"/>
    </row>
    <row r="752" customFormat="1" customHeight="1" spans="1:19">
      <c r="A752" s="8"/>
      <c r="B752" s="9"/>
      <c r="C752" s="10"/>
      <c r="D752" s="10"/>
      <c r="E752" s="11"/>
      <c r="F752" s="12"/>
      <c r="G752" s="13"/>
      <c r="H752" s="8"/>
      <c r="I752" s="14"/>
      <c r="J752" s="15"/>
      <c r="K752" s="16"/>
      <c r="L752" s="8"/>
      <c r="M752" s="15"/>
      <c r="N752" s="8"/>
      <c r="O752" s="8"/>
      <c r="P752" s="17"/>
      <c r="Q752" s="18"/>
      <c r="R752" s="8"/>
      <c r="S752" s="8"/>
    </row>
    <row r="753" customFormat="1" customHeight="1" spans="1:19">
      <c r="A753" s="8"/>
      <c r="B753" s="9"/>
      <c r="C753" s="10"/>
      <c r="D753" s="10"/>
      <c r="E753" s="11"/>
      <c r="F753" s="12"/>
      <c r="G753" s="13"/>
      <c r="H753" s="8"/>
      <c r="I753" s="14"/>
      <c r="J753" s="15"/>
      <c r="K753" s="16"/>
      <c r="L753" s="8"/>
      <c r="M753" s="15"/>
      <c r="N753" s="8"/>
      <c r="O753" s="8"/>
      <c r="P753" s="17"/>
      <c r="Q753" s="18"/>
      <c r="R753" s="8"/>
      <c r="S753" s="8"/>
    </row>
    <row r="754" customFormat="1" customHeight="1" spans="1:19">
      <c r="A754" s="8"/>
      <c r="B754" s="9"/>
      <c r="C754" s="10"/>
      <c r="D754" s="10"/>
      <c r="E754" s="11"/>
      <c r="F754" s="12"/>
      <c r="G754" s="13"/>
      <c r="H754" s="8"/>
      <c r="I754" s="14"/>
      <c r="J754" s="15"/>
      <c r="K754" s="16"/>
      <c r="L754" s="8"/>
      <c r="M754" s="15"/>
      <c r="N754" s="8"/>
      <c r="O754" s="8"/>
      <c r="P754" s="17"/>
      <c r="Q754" s="18"/>
      <c r="R754" s="8"/>
      <c r="S754" s="8"/>
    </row>
    <row r="755" customFormat="1" customHeight="1" spans="1:19">
      <c r="A755" s="8"/>
      <c r="B755" s="9"/>
      <c r="C755" s="10"/>
      <c r="D755" s="10"/>
      <c r="E755" s="11"/>
      <c r="F755" s="12"/>
      <c r="G755" s="13"/>
      <c r="H755" s="8"/>
      <c r="I755" s="14"/>
      <c r="J755" s="15"/>
      <c r="K755" s="16"/>
      <c r="L755" s="8"/>
      <c r="M755" s="15"/>
      <c r="N755" s="8"/>
      <c r="O755" s="8"/>
      <c r="P755" s="17"/>
      <c r="Q755" s="18"/>
      <c r="R755" s="8"/>
      <c r="S755" s="8"/>
    </row>
    <row r="756" customFormat="1" customHeight="1" spans="1:19">
      <c r="A756" s="8"/>
      <c r="B756" s="9"/>
      <c r="C756" s="10"/>
      <c r="D756" s="10"/>
      <c r="E756" s="11"/>
      <c r="F756" s="12"/>
      <c r="G756" s="13"/>
      <c r="H756" s="8"/>
      <c r="I756" s="14"/>
      <c r="J756" s="15"/>
      <c r="K756" s="16"/>
      <c r="L756" s="8"/>
      <c r="M756" s="15"/>
      <c r="N756" s="8"/>
      <c r="O756" s="8"/>
      <c r="P756" s="17"/>
      <c r="Q756" s="18"/>
      <c r="R756" s="8"/>
      <c r="S756" s="8"/>
    </row>
    <row r="757" customFormat="1" customHeight="1" spans="1:19">
      <c r="A757" s="8"/>
      <c r="B757" s="9"/>
      <c r="C757" s="10"/>
      <c r="D757" s="10"/>
      <c r="E757" s="11"/>
      <c r="F757" s="12"/>
      <c r="G757" s="13"/>
      <c r="H757" s="8"/>
      <c r="I757" s="14"/>
      <c r="J757" s="15"/>
      <c r="K757" s="16"/>
      <c r="L757" s="8"/>
      <c r="M757" s="15"/>
      <c r="N757" s="8"/>
      <c r="O757" s="8"/>
      <c r="P757" s="17"/>
      <c r="Q757" s="18"/>
      <c r="R757" s="8"/>
      <c r="S757" s="8"/>
    </row>
    <row r="758" customFormat="1" customHeight="1" spans="1:19">
      <c r="A758" s="8"/>
      <c r="B758" s="9"/>
      <c r="C758" s="10"/>
      <c r="D758" s="10"/>
      <c r="E758" s="11"/>
      <c r="F758" s="12"/>
      <c r="G758" s="13"/>
      <c r="H758" s="8"/>
      <c r="I758" s="14"/>
      <c r="J758" s="15"/>
      <c r="K758" s="16"/>
      <c r="L758" s="8"/>
      <c r="M758" s="15"/>
      <c r="N758" s="8"/>
      <c r="O758" s="8"/>
      <c r="P758" s="17"/>
      <c r="Q758" s="18"/>
      <c r="R758" s="8"/>
      <c r="S758" s="8"/>
    </row>
    <row r="759" customFormat="1" customHeight="1" spans="1:19">
      <c r="A759" s="8"/>
      <c r="B759" s="9"/>
      <c r="C759" s="10"/>
      <c r="D759" s="10"/>
      <c r="E759" s="11"/>
      <c r="F759" s="12"/>
      <c r="G759" s="13"/>
      <c r="H759" s="8"/>
      <c r="I759" s="14"/>
      <c r="J759" s="15"/>
      <c r="K759" s="16"/>
      <c r="L759" s="8"/>
      <c r="M759" s="15"/>
      <c r="N759" s="8"/>
      <c r="O759" s="8"/>
      <c r="P759" s="17"/>
      <c r="Q759" s="18"/>
      <c r="R759" s="8"/>
      <c r="S759" s="8"/>
    </row>
    <row r="760" customFormat="1" customHeight="1" spans="1:19">
      <c r="A760" s="8"/>
      <c r="B760" s="9"/>
      <c r="C760" s="10"/>
      <c r="D760" s="10"/>
      <c r="E760" s="11"/>
      <c r="F760" s="12"/>
      <c r="G760" s="13"/>
      <c r="H760" s="8"/>
      <c r="I760" s="14"/>
      <c r="J760" s="15"/>
      <c r="K760" s="16"/>
      <c r="L760" s="8"/>
      <c r="M760" s="15"/>
      <c r="N760" s="8"/>
      <c r="O760" s="8"/>
      <c r="P760" s="17"/>
      <c r="Q760" s="18"/>
      <c r="R760" s="8"/>
      <c r="S760" s="8"/>
    </row>
    <row r="761" customFormat="1" customHeight="1" spans="1:19">
      <c r="A761" s="8"/>
      <c r="B761" s="9"/>
      <c r="C761" s="10"/>
      <c r="D761" s="10"/>
      <c r="E761" s="11"/>
      <c r="F761" s="12"/>
      <c r="G761" s="13"/>
      <c r="H761" s="8"/>
      <c r="I761" s="14"/>
      <c r="J761" s="15"/>
      <c r="K761" s="16"/>
      <c r="L761" s="8"/>
      <c r="M761" s="15"/>
      <c r="N761" s="8"/>
      <c r="O761" s="8"/>
      <c r="P761" s="17"/>
      <c r="Q761" s="18"/>
      <c r="R761" s="8"/>
      <c r="S761" s="8"/>
    </row>
    <row r="762" customFormat="1" customHeight="1" spans="1:19">
      <c r="A762" s="8"/>
      <c r="B762" s="9"/>
      <c r="C762" s="10"/>
      <c r="D762" s="10"/>
      <c r="E762" s="11"/>
      <c r="F762" s="12"/>
      <c r="G762" s="13"/>
      <c r="H762" s="8"/>
      <c r="I762" s="14"/>
      <c r="J762" s="15"/>
      <c r="K762" s="16"/>
      <c r="L762" s="8"/>
      <c r="M762" s="15"/>
      <c r="N762" s="8"/>
      <c r="O762" s="8"/>
      <c r="P762" s="17"/>
      <c r="Q762" s="18"/>
      <c r="R762" s="8"/>
      <c r="S762" s="8"/>
    </row>
    <row r="763" customFormat="1" customHeight="1" spans="1:19">
      <c r="A763" s="8"/>
      <c r="B763" s="9"/>
      <c r="C763" s="10"/>
      <c r="D763" s="10"/>
      <c r="E763" s="11"/>
      <c r="F763" s="12"/>
      <c r="G763" s="13"/>
      <c r="H763" s="8"/>
      <c r="I763" s="14"/>
      <c r="J763" s="15"/>
      <c r="K763" s="16"/>
      <c r="L763" s="8"/>
      <c r="M763" s="15"/>
      <c r="N763" s="8"/>
      <c r="O763" s="8"/>
      <c r="P763" s="17"/>
      <c r="Q763" s="18"/>
      <c r="R763" s="8"/>
      <c r="S763" s="8"/>
    </row>
    <row r="764" customFormat="1" customHeight="1" spans="1:19">
      <c r="A764" s="8"/>
      <c r="B764" s="9"/>
      <c r="C764" s="10"/>
      <c r="D764" s="10"/>
      <c r="E764" s="11"/>
      <c r="F764" s="12"/>
      <c r="G764" s="13"/>
      <c r="H764" s="8"/>
      <c r="I764" s="14"/>
      <c r="J764" s="15"/>
      <c r="K764" s="16"/>
      <c r="L764" s="8"/>
      <c r="M764" s="15"/>
      <c r="N764" s="8"/>
      <c r="O764" s="8"/>
      <c r="P764" s="17"/>
      <c r="Q764" s="18"/>
      <c r="R764" s="8"/>
      <c r="S764" s="8"/>
    </row>
    <row r="765" customFormat="1" customHeight="1" spans="1:19">
      <c r="A765" s="8"/>
      <c r="B765" s="9"/>
      <c r="C765" s="10"/>
      <c r="D765" s="10"/>
      <c r="E765" s="11"/>
      <c r="F765" s="12"/>
      <c r="G765" s="13"/>
      <c r="H765" s="8"/>
      <c r="I765" s="14"/>
      <c r="J765" s="15"/>
      <c r="K765" s="16"/>
      <c r="L765" s="8"/>
      <c r="M765" s="15"/>
      <c r="N765" s="8"/>
      <c r="O765" s="8"/>
      <c r="P765" s="17"/>
      <c r="Q765" s="18"/>
      <c r="R765" s="8"/>
      <c r="S765" s="8"/>
    </row>
    <row r="766" customFormat="1" customHeight="1" spans="1:19">
      <c r="A766" s="8"/>
      <c r="B766" s="9"/>
      <c r="C766" s="10"/>
      <c r="D766" s="10"/>
      <c r="E766" s="11"/>
      <c r="F766" s="12"/>
      <c r="G766" s="13"/>
      <c r="H766" s="8"/>
      <c r="I766" s="14"/>
      <c r="J766" s="15"/>
      <c r="K766" s="16"/>
      <c r="L766" s="8"/>
      <c r="M766" s="15"/>
      <c r="N766" s="8"/>
      <c r="O766" s="8"/>
      <c r="P766" s="17"/>
      <c r="Q766" s="18"/>
      <c r="R766" s="8"/>
      <c r="S766" s="8"/>
    </row>
    <row r="767" customFormat="1" customHeight="1" spans="1:19">
      <c r="A767" s="8"/>
      <c r="B767" s="9"/>
      <c r="C767" s="10"/>
      <c r="D767" s="10"/>
      <c r="E767" s="11"/>
      <c r="F767" s="12"/>
      <c r="G767" s="13"/>
      <c r="H767" s="8"/>
      <c r="I767" s="14"/>
      <c r="J767" s="15"/>
      <c r="K767" s="16"/>
      <c r="L767" s="8"/>
      <c r="M767" s="15"/>
      <c r="N767" s="8"/>
      <c r="O767" s="8"/>
      <c r="P767" s="17"/>
      <c r="Q767" s="18"/>
      <c r="R767" s="8"/>
      <c r="S767" s="8"/>
    </row>
    <row r="768" customFormat="1" customHeight="1" spans="1:19">
      <c r="A768" s="8"/>
      <c r="B768" s="9"/>
      <c r="C768" s="10"/>
      <c r="D768" s="10"/>
      <c r="E768" s="11"/>
      <c r="F768" s="12"/>
      <c r="G768" s="13"/>
      <c r="H768" s="8"/>
      <c r="I768" s="14"/>
      <c r="J768" s="15"/>
      <c r="K768" s="16"/>
      <c r="L768" s="8"/>
      <c r="M768" s="15"/>
      <c r="N768" s="8"/>
      <c r="O768" s="8"/>
      <c r="P768" s="17"/>
      <c r="Q768" s="18"/>
      <c r="R768" s="8"/>
      <c r="S768" s="8"/>
    </row>
    <row r="769" customFormat="1" customHeight="1" spans="1:19">
      <c r="A769" s="8"/>
      <c r="B769" s="9"/>
      <c r="C769" s="10"/>
      <c r="D769" s="10"/>
      <c r="E769" s="11"/>
      <c r="F769" s="12"/>
      <c r="G769" s="13"/>
      <c r="H769" s="8"/>
      <c r="I769" s="14"/>
      <c r="J769" s="15"/>
      <c r="K769" s="16"/>
      <c r="L769" s="8"/>
      <c r="M769" s="15"/>
      <c r="N769" s="8"/>
      <c r="O769" s="8"/>
      <c r="P769" s="17"/>
      <c r="Q769" s="18"/>
      <c r="R769" s="8"/>
      <c r="S769" s="8"/>
    </row>
    <row r="770" customFormat="1" customHeight="1" spans="1:19">
      <c r="A770" s="8"/>
      <c r="B770" s="9"/>
      <c r="C770" s="10"/>
      <c r="D770" s="10"/>
      <c r="E770" s="11"/>
      <c r="F770" s="12"/>
      <c r="G770" s="13"/>
      <c r="H770" s="8"/>
      <c r="I770" s="14"/>
      <c r="J770" s="15"/>
      <c r="K770" s="16"/>
      <c r="L770" s="8"/>
      <c r="M770" s="15"/>
      <c r="N770" s="8"/>
      <c r="O770" s="8"/>
      <c r="P770" s="17"/>
      <c r="Q770" s="18"/>
      <c r="R770" s="8"/>
      <c r="S770" s="8"/>
    </row>
    <row r="771" customFormat="1" customHeight="1" spans="1:19">
      <c r="A771" s="8"/>
      <c r="B771" s="9"/>
      <c r="C771" s="10"/>
      <c r="D771" s="10"/>
      <c r="E771" s="11"/>
      <c r="F771" s="12"/>
      <c r="G771" s="13"/>
      <c r="H771" s="8"/>
      <c r="I771" s="14"/>
      <c r="J771" s="15"/>
      <c r="K771" s="16"/>
      <c r="L771" s="8"/>
      <c r="M771" s="15"/>
      <c r="N771" s="8"/>
      <c r="O771" s="8"/>
      <c r="P771" s="17"/>
      <c r="Q771" s="18"/>
      <c r="R771" s="8"/>
      <c r="S771" s="8"/>
    </row>
    <row r="772" customFormat="1" customHeight="1" spans="1:19">
      <c r="A772" s="8"/>
      <c r="B772" s="9"/>
      <c r="C772" s="10"/>
      <c r="D772" s="10"/>
      <c r="E772" s="11"/>
      <c r="F772" s="12"/>
      <c r="G772" s="13"/>
      <c r="H772" s="8"/>
      <c r="I772" s="14"/>
      <c r="J772" s="15"/>
      <c r="K772" s="16"/>
      <c r="L772" s="8"/>
      <c r="M772" s="15"/>
      <c r="N772" s="8"/>
      <c r="O772" s="8"/>
      <c r="P772" s="17"/>
      <c r="Q772" s="18"/>
      <c r="R772" s="8"/>
      <c r="S772" s="8"/>
    </row>
    <row r="773" customFormat="1" customHeight="1" spans="1:19">
      <c r="A773" s="8"/>
      <c r="B773" s="9"/>
      <c r="C773" s="10"/>
      <c r="D773" s="10"/>
      <c r="E773" s="11"/>
      <c r="F773" s="12"/>
      <c r="G773" s="13"/>
      <c r="H773" s="8"/>
      <c r="I773" s="14"/>
      <c r="J773" s="15"/>
      <c r="K773" s="16"/>
      <c r="L773" s="8"/>
      <c r="M773" s="15"/>
      <c r="N773" s="8"/>
      <c r="O773" s="8"/>
      <c r="P773" s="17"/>
      <c r="Q773" s="18"/>
      <c r="R773" s="8"/>
      <c r="S773" s="8"/>
    </row>
    <row r="774" customFormat="1" customHeight="1" spans="1:19">
      <c r="A774" s="8"/>
      <c r="B774" s="9"/>
      <c r="C774" s="10"/>
      <c r="D774" s="10"/>
      <c r="E774" s="11"/>
      <c r="F774" s="12"/>
      <c r="G774" s="13"/>
      <c r="H774" s="8"/>
      <c r="I774" s="14"/>
      <c r="J774" s="15"/>
      <c r="K774" s="16"/>
      <c r="L774" s="8"/>
      <c r="M774" s="15"/>
      <c r="N774" s="8"/>
      <c r="O774" s="8"/>
      <c r="P774" s="17"/>
      <c r="Q774" s="18"/>
      <c r="R774" s="8"/>
      <c r="S774" s="8"/>
    </row>
    <row r="775" customFormat="1" customHeight="1" spans="1:19">
      <c r="A775" s="8"/>
      <c r="B775" s="9"/>
      <c r="C775" s="10"/>
      <c r="D775" s="10"/>
      <c r="E775" s="11"/>
      <c r="F775" s="12"/>
      <c r="G775" s="13"/>
      <c r="H775" s="8"/>
      <c r="I775" s="14"/>
      <c r="J775" s="15"/>
      <c r="K775" s="16"/>
      <c r="L775" s="8"/>
      <c r="M775" s="15"/>
      <c r="N775" s="8"/>
      <c r="O775" s="8"/>
      <c r="P775" s="17"/>
      <c r="Q775" s="18"/>
      <c r="R775" s="8"/>
      <c r="S775" s="8"/>
    </row>
    <row r="776" customFormat="1" customHeight="1" spans="1:19">
      <c r="A776" s="8"/>
      <c r="B776" s="9"/>
      <c r="C776" s="10"/>
      <c r="D776" s="10"/>
      <c r="E776" s="11"/>
      <c r="F776" s="12"/>
      <c r="G776" s="13"/>
      <c r="H776" s="8"/>
      <c r="I776" s="14"/>
      <c r="J776" s="15"/>
      <c r="K776" s="16"/>
      <c r="L776" s="8"/>
      <c r="M776" s="15"/>
      <c r="N776" s="8"/>
      <c r="O776" s="8"/>
      <c r="P776" s="17"/>
      <c r="Q776" s="18"/>
      <c r="R776" s="8"/>
      <c r="S776" s="8"/>
    </row>
    <row r="777" customFormat="1" customHeight="1" spans="1:19">
      <c r="A777" s="8"/>
      <c r="B777" s="9"/>
      <c r="C777" s="10"/>
      <c r="D777" s="10"/>
      <c r="E777" s="11"/>
      <c r="F777" s="12"/>
      <c r="G777" s="13"/>
      <c r="H777" s="8"/>
      <c r="I777" s="14"/>
      <c r="J777" s="15"/>
      <c r="K777" s="16"/>
      <c r="L777" s="8"/>
      <c r="M777" s="15"/>
      <c r="N777" s="8"/>
      <c r="O777" s="8"/>
      <c r="P777" s="17"/>
      <c r="Q777" s="18"/>
      <c r="R777" s="8"/>
      <c r="S777" s="8"/>
    </row>
    <row r="778" customFormat="1" customHeight="1" spans="1:19">
      <c r="A778" s="8"/>
      <c r="B778" s="9"/>
      <c r="C778" s="10"/>
      <c r="D778" s="10"/>
      <c r="E778" s="11"/>
      <c r="F778" s="12"/>
      <c r="G778" s="13"/>
      <c r="H778" s="8"/>
      <c r="I778" s="14"/>
      <c r="J778" s="15"/>
      <c r="K778" s="16"/>
      <c r="L778" s="8"/>
      <c r="M778" s="15"/>
      <c r="N778" s="8"/>
      <c r="O778" s="8"/>
      <c r="P778" s="17"/>
      <c r="Q778" s="18"/>
      <c r="R778" s="8"/>
      <c r="S778" s="8"/>
    </row>
    <row r="779" customFormat="1" customHeight="1" spans="1:19">
      <c r="A779" s="8"/>
      <c r="B779" s="9"/>
      <c r="C779" s="10"/>
      <c r="D779" s="10"/>
      <c r="E779" s="11"/>
      <c r="F779" s="12"/>
      <c r="G779" s="13"/>
      <c r="H779" s="8"/>
      <c r="I779" s="14"/>
      <c r="J779" s="15"/>
      <c r="K779" s="16"/>
      <c r="L779" s="8"/>
      <c r="M779" s="15"/>
      <c r="N779" s="8"/>
      <c r="O779" s="8"/>
      <c r="P779" s="17"/>
      <c r="Q779" s="18"/>
      <c r="R779" s="8"/>
      <c r="S779" s="8"/>
    </row>
    <row r="780" customFormat="1" customHeight="1" spans="1:19">
      <c r="A780" s="8"/>
      <c r="B780" s="9"/>
      <c r="C780" s="10"/>
      <c r="D780" s="10"/>
      <c r="E780" s="11"/>
      <c r="F780" s="12"/>
      <c r="G780" s="13"/>
      <c r="H780" s="8"/>
      <c r="I780" s="14"/>
      <c r="J780" s="15"/>
      <c r="K780" s="16"/>
      <c r="L780" s="8"/>
      <c r="M780" s="15"/>
      <c r="N780" s="8"/>
      <c r="O780" s="8"/>
      <c r="P780" s="17"/>
      <c r="Q780" s="18"/>
      <c r="R780" s="8"/>
      <c r="S780" s="8"/>
    </row>
    <row r="781" customFormat="1" customHeight="1" spans="1:19">
      <c r="A781" s="8"/>
      <c r="B781" s="9"/>
      <c r="C781" s="10"/>
      <c r="D781" s="10"/>
      <c r="E781" s="11"/>
      <c r="F781" s="12"/>
      <c r="G781" s="13"/>
      <c r="H781" s="8"/>
      <c r="I781" s="14"/>
      <c r="J781" s="15"/>
      <c r="K781" s="16"/>
      <c r="L781" s="8"/>
      <c r="M781" s="15"/>
      <c r="N781" s="8"/>
      <c r="O781" s="8"/>
      <c r="P781" s="17"/>
      <c r="Q781" s="18"/>
      <c r="R781" s="8"/>
      <c r="S781" s="8"/>
    </row>
    <row r="782" customFormat="1" customHeight="1" spans="1:19">
      <c r="A782" s="8"/>
      <c r="B782" s="9"/>
      <c r="C782" s="10"/>
      <c r="D782" s="10"/>
      <c r="E782" s="11"/>
      <c r="F782" s="12"/>
      <c r="G782" s="13"/>
      <c r="H782" s="8"/>
      <c r="I782" s="14"/>
      <c r="J782" s="15"/>
      <c r="K782" s="16"/>
      <c r="L782" s="8"/>
      <c r="M782" s="15"/>
      <c r="N782" s="8"/>
      <c r="O782" s="8"/>
      <c r="P782" s="17"/>
      <c r="Q782" s="18"/>
      <c r="R782" s="8"/>
      <c r="S782" s="8"/>
    </row>
    <row r="783" customFormat="1" customHeight="1" spans="1:19">
      <c r="A783" s="8"/>
      <c r="B783" s="9"/>
      <c r="C783" s="10"/>
      <c r="D783" s="10"/>
      <c r="E783" s="11"/>
      <c r="F783" s="12"/>
      <c r="G783" s="13"/>
      <c r="H783" s="8"/>
      <c r="I783" s="14"/>
      <c r="J783" s="15"/>
      <c r="K783" s="16"/>
      <c r="L783" s="8"/>
      <c r="M783" s="15"/>
      <c r="N783" s="8"/>
      <c r="O783" s="8"/>
      <c r="P783" s="17"/>
      <c r="Q783" s="18"/>
      <c r="R783" s="8"/>
      <c r="S783" s="8"/>
    </row>
    <row r="784" customFormat="1" customHeight="1" spans="1:19">
      <c r="A784" s="8"/>
      <c r="B784" s="9"/>
      <c r="C784" s="10"/>
      <c r="D784" s="10"/>
      <c r="E784" s="11"/>
      <c r="F784" s="12"/>
      <c r="G784" s="13"/>
      <c r="H784" s="8"/>
      <c r="I784" s="14"/>
      <c r="J784" s="15"/>
      <c r="K784" s="16"/>
      <c r="L784" s="8"/>
      <c r="M784" s="15"/>
      <c r="N784" s="8"/>
      <c r="O784" s="8"/>
      <c r="P784" s="17"/>
      <c r="Q784" s="18"/>
      <c r="R784" s="8"/>
      <c r="S784" s="8"/>
    </row>
    <row r="785" customFormat="1" customHeight="1" spans="1:19">
      <c r="A785" s="8"/>
      <c r="B785" s="9"/>
      <c r="C785" s="10"/>
      <c r="D785" s="10"/>
      <c r="E785" s="11"/>
      <c r="F785" s="12"/>
      <c r="G785" s="13"/>
      <c r="H785" s="8"/>
      <c r="I785" s="14"/>
      <c r="J785" s="15"/>
      <c r="K785" s="16"/>
      <c r="L785" s="8"/>
      <c r="M785" s="15"/>
      <c r="N785" s="8"/>
      <c r="O785" s="8"/>
      <c r="P785" s="17"/>
      <c r="Q785" s="18"/>
      <c r="R785" s="8"/>
      <c r="S785" s="8"/>
    </row>
    <row r="786" customFormat="1" customHeight="1" spans="1:19">
      <c r="A786" s="8"/>
      <c r="B786" s="9"/>
      <c r="C786" s="10"/>
      <c r="D786" s="10"/>
      <c r="E786" s="11"/>
      <c r="F786" s="12"/>
      <c r="G786" s="13"/>
      <c r="H786" s="8"/>
      <c r="I786" s="14"/>
      <c r="J786" s="15"/>
      <c r="K786" s="16"/>
      <c r="L786" s="8"/>
      <c r="M786" s="15"/>
      <c r="N786" s="8"/>
      <c r="O786" s="8"/>
      <c r="P786" s="17"/>
      <c r="Q786" s="18"/>
      <c r="R786" s="8"/>
      <c r="S786" s="8"/>
    </row>
    <row r="787" customFormat="1" customHeight="1" spans="1:19">
      <c r="A787" s="8"/>
      <c r="B787" s="9"/>
      <c r="C787" s="10"/>
      <c r="D787" s="10"/>
      <c r="E787" s="11"/>
      <c r="F787" s="12"/>
      <c r="G787" s="13"/>
      <c r="H787" s="8"/>
      <c r="I787" s="14"/>
      <c r="J787" s="15"/>
      <c r="K787" s="16"/>
      <c r="L787" s="8"/>
      <c r="M787" s="15"/>
      <c r="N787" s="8"/>
      <c r="O787" s="8"/>
      <c r="P787" s="17"/>
      <c r="Q787" s="18"/>
      <c r="R787" s="8"/>
      <c r="S787" s="8"/>
    </row>
    <row r="788" customFormat="1" customHeight="1" spans="1:19">
      <c r="A788" s="8"/>
      <c r="B788" s="9"/>
      <c r="C788" s="10"/>
      <c r="D788" s="10"/>
      <c r="E788" s="11"/>
      <c r="F788" s="12"/>
      <c r="G788" s="13"/>
      <c r="H788" s="8"/>
      <c r="I788" s="14"/>
      <c r="J788" s="15"/>
      <c r="K788" s="16"/>
      <c r="L788" s="8"/>
      <c r="M788" s="15"/>
      <c r="N788" s="8"/>
      <c r="O788" s="8"/>
      <c r="P788" s="17"/>
      <c r="Q788" s="18"/>
      <c r="R788" s="8"/>
      <c r="S788" s="8"/>
    </row>
    <row r="789" customFormat="1" customHeight="1" spans="1:19">
      <c r="A789" s="8"/>
      <c r="B789" s="9"/>
      <c r="C789" s="10"/>
      <c r="D789" s="10"/>
      <c r="E789" s="11"/>
      <c r="F789" s="12"/>
      <c r="G789" s="13"/>
      <c r="H789" s="8"/>
      <c r="I789" s="14"/>
      <c r="J789" s="15"/>
      <c r="K789" s="16"/>
      <c r="L789" s="8"/>
      <c r="M789" s="15"/>
      <c r="N789" s="8"/>
      <c r="O789" s="8"/>
      <c r="P789" s="17"/>
      <c r="Q789" s="18"/>
      <c r="R789" s="8"/>
      <c r="S789" s="8"/>
    </row>
    <row r="790" customFormat="1" customHeight="1" spans="1:19">
      <c r="A790" s="8"/>
      <c r="B790" s="9"/>
      <c r="C790" s="10"/>
      <c r="D790" s="10"/>
      <c r="E790" s="11"/>
      <c r="F790" s="12"/>
      <c r="G790" s="13"/>
      <c r="H790" s="8"/>
      <c r="I790" s="14"/>
      <c r="J790" s="15"/>
      <c r="K790" s="16"/>
      <c r="L790" s="8"/>
      <c r="M790" s="15"/>
      <c r="N790" s="8"/>
      <c r="O790" s="8"/>
      <c r="P790" s="17"/>
      <c r="Q790" s="18"/>
      <c r="R790" s="8"/>
      <c r="S790" s="8"/>
    </row>
    <row r="791" customFormat="1" customHeight="1" spans="1:19">
      <c r="A791" s="8"/>
      <c r="B791" s="9"/>
      <c r="C791" s="10"/>
      <c r="D791" s="10"/>
      <c r="E791" s="11"/>
      <c r="F791" s="12"/>
      <c r="G791" s="13"/>
      <c r="H791" s="8"/>
      <c r="I791" s="14"/>
      <c r="J791" s="15"/>
      <c r="K791" s="16"/>
      <c r="L791" s="8"/>
      <c r="M791" s="15"/>
      <c r="N791" s="8"/>
      <c r="O791" s="8"/>
      <c r="P791" s="17"/>
      <c r="Q791" s="18"/>
      <c r="R791" s="8"/>
      <c r="S791" s="8"/>
    </row>
    <row r="792" customFormat="1" customHeight="1" spans="1:19">
      <c r="A792" s="8"/>
      <c r="B792" s="9"/>
      <c r="C792" s="10"/>
      <c r="D792" s="10"/>
      <c r="E792" s="11"/>
      <c r="F792" s="12"/>
      <c r="G792" s="13"/>
      <c r="H792" s="8"/>
      <c r="I792" s="14"/>
      <c r="J792" s="15"/>
      <c r="K792" s="16"/>
      <c r="L792" s="8"/>
      <c r="M792" s="15"/>
      <c r="N792" s="8"/>
      <c r="O792" s="8"/>
      <c r="P792" s="17"/>
      <c r="Q792" s="18"/>
      <c r="R792" s="8"/>
      <c r="S792" s="8"/>
    </row>
    <row r="793" customFormat="1" customHeight="1" spans="1:19">
      <c r="A793" s="8"/>
      <c r="B793" s="9"/>
      <c r="C793" s="10"/>
      <c r="D793" s="10"/>
      <c r="E793" s="11"/>
      <c r="F793" s="12"/>
      <c r="G793" s="13"/>
      <c r="H793" s="8"/>
      <c r="I793" s="14"/>
      <c r="J793" s="15"/>
      <c r="K793" s="16"/>
      <c r="L793" s="8"/>
      <c r="M793" s="15"/>
      <c r="N793" s="8"/>
      <c r="O793" s="8"/>
      <c r="P793" s="17"/>
      <c r="Q793" s="18"/>
      <c r="R793" s="8"/>
      <c r="S793" s="8"/>
    </row>
    <row r="794" customFormat="1" customHeight="1" spans="1:19">
      <c r="A794" s="8"/>
      <c r="B794" s="9"/>
      <c r="C794" s="10"/>
      <c r="D794" s="10"/>
      <c r="E794" s="11"/>
      <c r="F794" s="12"/>
      <c r="G794" s="13"/>
      <c r="H794" s="8"/>
      <c r="I794" s="14"/>
      <c r="J794" s="15"/>
      <c r="K794" s="16"/>
      <c r="L794" s="8"/>
      <c r="M794" s="15"/>
      <c r="N794" s="8"/>
      <c r="O794" s="8"/>
      <c r="P794" s="17"/>
      <c r="Q794" s="18"/>
      <c r="R794" s="8"/>
      <c r="S794" s="8"/>
    </row>
    <row r="795" customFormat="1" customHeight="1" spans="1:19">
      <c r="A795" s="8"/>
      <c r="B795" s="9"/>
      <c r="C795" s="10"/>
      <c r="D795" s="10"/>
      <c r="E795" s="11"/>
      <c r="F795" s="12"/>
      <c r="G795" s="13"/>
      <c r="H795" s="8"/>
      <c r="I795" s="14"/>
      <c r="J795" s="15"/>
      <c r="K795" s="16"/>
      <c r="L795" s="8"/>
      <c r="M795" s="15"/>
      <c r="N795" s="8"/>
      <c r="O795" s="8"/>
      <c r="P795" s="17"/>
      <c r="Q795" s="18"/>
      <c r="R795" s="8"/>
      <c r="S795" s="8"/>
    </row>
    <row r="796" customFormat="1" customHeight="1" spans="1:19">
      <c r="A796" s="8"/>
      <c r="B796" s="9"/>
      <c r="C796" s="10"/>
      <c r="D796" s="10"/>
      <c r="E796" s="11"/>
      <c r="F796" s="12"/>
      <c r="G796" s="13"/>
      <c r="H796" s="8"/>
      <c r="I796" s="14"/>
      <c r="J796" s="15"/>
      <c r="K796" s="16"/>
      <c r="L796" s="8"/>
      <c r="M796" s="15"/>
      <c r="N796" s="8"/>
      <c r="O796" s="8"/>
      <c r="P796" s="17"/>
      <c r="Q796" s="18"/>
      <c r="R796" s="8"/>
      <c r="S796" s="8"/>
    </row>
    <row r="797" customFormat="1" customHeight="1" spans="1:19">
      <c r="A797" s="8"/>
      <c r="B797" s="9"/>
      <c r="C797" s="10"/>
      <c r="D797" s="10"/>
      <c r="E797" s="11"/>
      <c r="F797" s="12"/>
      <c r="G797" s="13"/>
      <c r="H797" s="8"/>
      <c r="I797" s="14"/>
      <c r="J797" s="15"/>
      <c r="K797" s="16"/>
      <c r="L797" s="8"/>
      <c r="M797" s="15"/>
      <c r="N797" s="8"/>
      <c r="O797" s="8"/>
      <c r="P797" s="17"/>
      <c r="Q797" s="18"/>
      <c r="R797" s="8"/>
      <c r="S797" s="8"/>
    </row>
    <row r="798" customFormat="1" customHeight="1" spans="1:19">
      <c r="A798" s="8"/>
      <c r="B798" s="9"/>
      <c r="C798" s="10"/>
      <c r="D798" s="10"/>
      <c r="E798" s="11"/>
      <c r="F798" s="12"/>
      <c r="G798" s="13"/>
      <c r="H798" s="8"/>
      <c r="I798" s="14"/>
      <c r="J798" s="15"/>
      <c r="K798" s="16"/>
      <c r="L798" s="8"/>
      <c r="M798" s="15"/>
      <c r="N798" s="8"/>
      <c r="O798" s="8"/>
      <c r="P798" s="17"/>
      <c r="Q798" s="18"/>
      <c r="R798" s="8"/>
      <c r="S798" s="8"/>
    </row>
    <row r="799" customFormat="1" customHeight="1" spans="1:19">
      <c r="A799" s="8"/>
      <c r="B799" s="9"/>
      <c r="C799" s="10"/>
      <c r="D799" s="10"/>
      <c r="E799" s="11"/>
      <c r="F799" s="12"/>
      <c r="G799" s="13"/>
      <c r="H799" s="8"/>
      <c r="I799" s="14"/>
      <c r="J799" s="15"/>
      <c r="K799" s="16"/>
      <c r="L799" s="8"/>
      <c r="M799" s="15"/>
      <c r="N799" s="8"/>
      <c r="O799" s="8"/>
      <c r="P799" s="17"/>
      <c r="Q799" s="18"/>
      <c r="R799" s="8"/>
      <c r="S799" s="8"/>
    </row>
    <row r="800" customFormat="1" customHeight="1" spans="1:19">
      <c r="A800" s="8"/>
      <c r="B800" s="9"/>
      <c r="C800" s="10"/>
      <c r="D800" s="10"/>
      <c r="E800" s="11"/>
      <c r="F800" s="12"/>
      <c r="G800" s="13"/>
      <c r="H800" s="8"/>
      <c r="I800" s="14"/>
      <c r="J800" s="15"/>
      <c r="K800" s="16"/>
      <c r="L800" s="8"/>
      <c r="M800" s="15"/>
      <c r="N800" s="8"/>
      <c r="O800" s="8"/>
      <c r="P800" s="17"/>
      <c r="Q800" s="18"/>
      <c r="R800" s="8"/>
      <c r="S800" s="8"/>
    </row>
    <row r="801" customFormat="1" customHeight="1" spans="1:19">
      <c r="A801" s="8"/>
      <c r="B801" s="9"/>
      <c r="C801" s="10"/>
      <c r="D801" s="10"/>
      <c r="E801" s="11"/>
      <c r="F801" s="12"/>
      <c r="G801" s="13"/>
      <c r="H801" s="8"/>
      <c r="I801" s="14"/>
      <c r="J801" s="15"/>
      <c r="K801" s="16"/>
      <c r="L801" s="8"/>
      <c r="M801" s="15"/>
      <c r="N801" s="8"/>
      <c r="O801" s="8"/>
      <c r="P801" s="17"/>
      <c r="Q801" s="18"/>
      <c r="R801" s="8"/>
      <c r="S801" s="8"/>
    </row>
    <row r="802" customFormat="1" customHeight="1" spans="1:19">
      <c r="A802" s="8"/>
      <c r="B802" s="9"/>
      <c r="C802" s="10"/>
      <c r="D802" s="10"/>
      <c r="E802" s="11"/>
      <c r="F802" s="12"/>
      <c r="G802" s="13"/>
      <c r="H802" s="8"/>
      <c r="I802" s="14"/>
      <c r="J802" s="15"/>
      <c r="K802" s="16"/>
      <c r="L802" s="8"/>
      <c r="M802" s="15"/>
      <c r="N802" s="8"/>
      <c r="O802" s="8"/>
      <c r="P802" s="17"/>
      <c r="Q802" s="18"/>
      <c r="R802" s="8"/>
      <c r="S802" s="8"/>
    </row>
    <row r="803" customFormat="1" customHeight="1" spans="1:19">
      <c r="A803" s="8"/>
      <c r="B803" s="9"/>
      <c r="C803" s="10"/>
      <c r="D803" s="10"/>
      <c r="E803" s="11"/>
      <c r="F803" s="12"/>
      <c r="G803" s="13"/>
      <c r="H803" s="8"/>
      <c r="I803" s="14"/>
      <c r="J803" s="15"/>
      <c r="K803" s="16"/>
      <c r="L803" s="8"/>
      <c r="M803" s="15"/>
      <c r="N803" s="8"/>
      <c r="O803" s="8"/>
      <c r="P803" s="17"/>
      <c r="Q803" s="18"/>
      <c r="R803" s="8"/>
      <c r="S803" s="8"/>
    </row>
    <row r="804" customFormat="1" customHeight="1" spans="1:19">
      <c r="A804" s="8"/>
      <c r="B804" s="9"/>
      <c r="C804" s="10"/>
      <c r="D804" s="10"/>
      <c r="E804" s="11"/>
      <c r="F804" s="12"/>
      <c r="G804" s="13"/>
      <c r="H804" s="8"/>
      <c r="I804" s="14"/>
      <c r="J804" s="15"/>
      <c r="K804" s="16"/>
      <c r="L804" s="8"/>
      <c r="M804" s="15"/>
      <c r="N804" s="8"/>
      <c r="O804" s="8"/>
      <c r="P804" s="17"/>
      <c r="Q804" s="18"/>
      <c r="R804" s="8"/>
      <c r="S804" s="8"/>
    </row>
    <row r="805" customFormat="1" customHeight="1" spans="1:19">
      <c r="A805" s="8"/>
      <c r="B805" s="9"/>
      <c r="C805" s="10"/>
      <c r="D805" s="10"/>
      <c r="E805" s="11"/>
      <c r="F805" s="12"/>
      <c r="G805" s="13"/>
      <c r="H805" s="8"/>
      <c r="I805" s="14"/>
      <c r="J805" s="15"/>
      <c r="K805" s="16"/>
      <c r="L805" s="8"/>
      <c r="M805" s="15"/>
      <c r="N805" s="8"/>
      <c r="O805" s="8"/>
      <c r="P805" s="17"/>
      <c r="Q805" s="18"/>
      <c r="R805" s="8"/>
      <c r="S805" s="8"/>
    </row>
    <row r="806" customFormat="1" customHeight="1" spans="1:19">
      <c r="A806" s="8"/>
      <c r="B806" s="9"/>
      <c r="C806" s="10"/>
      <c r="D806" s="10"/>
      <c r="E806" s="11"/>
      <c r="F806" s="12"/>
      <c r="G806" s="13"/>
      <c r="H806" s="8"/>
      <c r="I806" s="14"/>
      <c r="J806" s="15"/>
      <c r="K806" s="16"/>
      <c r="L806" s="8"/>
      <c r="M806" s="15"/>
      <c r="N806" s="8"/>
      <c r="O806" s="8"/>
      <c r="P806" s="17"/>
      <c r="Q806" s="18"/>
      <c r="R806" s="8"/>
      <c r="S806" s="8"/>
    </row>
    <row r="807" customFormat="1" customHeight="1" spans="1:19">
      <c r="A807" s="8"/>
      <c r="B807" s="9"/>
      <c r="C807" s="10"/>
      <c r="D807" s="10"/>
      <c r="E807" s="11"/>
      <c r="F807" s="12"/>
      <c r="G807" s="13"/>
      <c r="H807" s="8"/>
      <c r="I807" s="14"/>
      <c r="J807" s="15"/>
      <c r="K807" s="16"/>
      <c r="L807" s="8"/>
      <c r="M807" s="15"/>
      <c r="N807" s="8"/>
      <c r="O807" s="8"/>
      <c r="P807" s="17"/>
      <c r="Q807" s="18"/>
      <c r="R807" s="8"/>
      <c r="S807" s="8"/>
    </row>
    <row r="808" customFormat="1" customHeight="1" spans="1:19">
      <c r="A808" s="8"/>
      <c r="B808" s="9"/>
      <c r="C808" s="10"/>
      <c r="D808" s="10"/>
      <c r="E808" s="11"/>
      <c r="F808" s="12"/>
      <c r="G808" s="13"/>
      <c r="H808" s="8"/>
      <c r="I808" s="14"/>
      <c r="J808" s="15"/>
      <c r="K808" s="16"/>
      <c r="L808" s="8"/>
      <c r="M808" s="15"/>
      <c r="N808" s="8"/>
      <c r="O808" s="8"/>
      <c r="P808" s="17"/>
      <c r="Q808" s="18"/>
      <c r="R808" s="8"/>
      <c r="S808" s="8"/>
    </row>
    <row r="809" customFormat="1" customHeight="1" spans="1:19">
      <c r="A809" s="8"/>
      <c r="B809" s="9"/>
      <c r="C809" s="10"/>
      <c r="D809" s="10"/>
      <c r="E809" s="11"/>
      <c r="F809" s="12"/>
      <c r="G809" s="13"/>
      <c r="H809" s="8"/>
      <c r="I809" s="14"/>
      <c r="J809" s="15"/>
      <c r="K809" s="16"/>
      <c r="L809" s="8"/>
      <c r="M809" s="15"/>
      <c r="N809" s="8"/>
      <c r="O809" s="8"/>
      <c r="P809" s="17"/>
      <c r="Q809" s="18"/>
      <c r="R809" s="8"/>
      <c r="S809" s="8"/>
    </row>
    <row r="810" customFormat="1" customHeight="1" spans="1:19">
      <c r="A810" s="8"/>
      <c r="B810" s="9"/>
      <c r="C810" s="10"/>
      <c r="D810" s="10"/>
      <c r="E810" s="11"/>
      <c r="F810" s="12"/>
      <c r="G810" s="13"/>
      <c r="H810" s="8"/>
      <c r="I810" s="14"/>
      <c r="J810" s="15"/>
      <c r="K810" s="16"/>
      <c r="L810" s="8"/>
      <c r="M810" s="15"/>
      <c r="N810" s="8"/>
      <c r="O810" s="8"/>
      <c r="P810" s="17"/>
      <c r="Q810" s="18"/>
      <c r="R810" s="8"/>
      <c r="S810" s="8"/>
    </row>
    <row r="811" customFormat="1" customHeight="1" spans="1:19">
      <c r="A811" s="8"/>
      <c r="B811" s="9"/>
      <c r="C811" s="10"/>
      <c r="D811" s="10"/>
      <c r="E811" s="11"/>
      <c r="F811" s="12"/>
      <c r="G811" s="13"/>
      <c r="H811" s="8"/>
      <c r="I811" s="14"/>
      <c r="J811" s="15"/>
      <c r="K811" s="16"/>
      <c r="L811" s="8"/>
      <c r="M811" s="15"/>
      <c r="N811" s="8"/>
      <c r="O811" s="8"/>
      <c r="P811" s="17"/>
      <c r="Q811" s="18"/>
      <c r="R811" s="8"/>
      <c r="S811" s="8"/>
    </row>
    <row r="812" customFormat="1" customHeight="1" spans="1:19">
      <c r="A812" s="8"/>
      <c r="B812" s="9"/>
      <c r="C812" s="10"/>
      <c r="D812" s="10"/>
      <c r="E812" s="11"/>
      <c r="F812" s="12"/>
      <c r="G812" s="13"/>
      <c r="H812" s="8"/>
      <c r="I812" s="14"/>
      <c r="J812" s="15"/>
      <c r="K812" s="16"/>
      <c r="L812" s="8"/>
      <c r="M812" s="15"/>
      <c r="N812" s="8"/>
      <c r="O812" s="8"/>
      <c r="P812" s="17"/>
      <c r="Q812" s="18"/>
      <c r="R812" s="8"/>
      <c r="S812" s="8"/>
    </row>
    <row r="813" customFormat="1" customHeight="1" spans="1:19">
      <c r="A813" s="8"/>
      <c r="B813" s="9"/>
      <c r="C813" s="10"/>
      <c r="D813" s="10"/>
      <c r="E813" s="11"/>
      <c r="F813" s="12"/>
      <c r="G813" s="13"/>
      <c r="H813" s="8"/>
      <c r="I813" s="14"/>
      <c r="J813" s="15"/>
      <c r="K813" s="16"/>
      <c r="L813" s="8"/>
      <c r="M813" s="15"/>
      <c r="N813" s="8"/>
      <c r="O813" s="8"/>
      <c r="P813" s="17"/>
      <c r="Q813" s="18"/>
      <c r="R813" s="8"/>
      <c r="S813" s="8"/>
    </row>
    <row r="814" customFormat="1" customHeight="1" spans="1:19">
      <c r="A814" s="8"/>
      <c r="B814" s="9"/>
      <c r="C814" s="10"/>
      <c r="D814" s="10"/>
      <c r="E814" s="11"/>
      <c r="F814" s="12"/>
      <c r="G814" s="13"/>
      <c r="H814" s="8"/>
      <c r="I814" s="14"/>
      <c r="J814" s="15"/>
      <c r="K814" s="16"/>
      <c r="L814" s="8"/>
      <c r="M814" s="15"/>
      <c r="N814" s="8"/>
      <c r="O814" s="8"/>
      <c r="P814" s="17"/>
      <c r="Q814" s="18"/>
      <c r="R814" s="8"/>
      <c r="S814" s="8"/>
    </row>
    <row r="815" customFormat="1" customHeight="1" spans="1:19">
      <c r="A815" s="8"/>
      <c r="B815" s="9"/>
      <c r="C815" s="10"/>
      <c r="D815" s="10"/>
      <c r="E815" s="11"/>
      <c r="F815" s="12"/>
      <c r="G815" s="13"/>
      <c r="H815" s="8"/>
      <c r="I815" s="14"/>
      <c r="J815" s="15"/>
      <c r="K815" s="16"/>
      <c r="L815" s="8"/>
      <c r="M815" s="15"/>
      <c r="N815" s="8"/>
      <c r="O815" s="8"/>
      <c r="P815" s="17"/>
      <c r="Q815" s="18"/>
      <c r="R815" s="8"/>
      <c r="S815" s="8"/>
    </row>
    <row r="816" customFormat="1" customHeight="1" spans="1:19">
      <c r="A816" s="8"/>
      <c r="B816" s="9"/>
      <c r="C816" s="10"/>
      <c r="D816" s="10"/>
      <c r="E816" s="11"/>
      <c r="F816" s="12"/>
      <c r="G816" s="13"/>
      <c r="H816" s="8"/>
      <c r="I816" s="14"/>
      <c r="J816" s="15"/>
      <c r="K816" s="16"/>
      <c r="L816" s="8"/>
      <c r="M816" s="15"/>
      <c r="N816" s="8"/>
      <c r="O816" s="8"/>
      <c r="P816" s="17"/>
      <c r="Q816" s="18"/>
      <c r="R816" s="8"/>
      <c r="S816" s="8"/>
    </row>
    <row r="817" customFormat="1" customHeight="1" spans="1:19">
      <c r="A817" s="8"/>
      <c r="B817" s="9"/>
      <c r="C817" s="10"/>
      <c r="D817" s="10"/>
      <c r="E817" s="11"/>
      <c r="F817" s="12"/>
      <c r="G817" s="13"/>
      <c r="H817" s="8"/>
      <c r="I817" s="14"/>
      <c r="J817" s="15"/>
      <c r="K817" s="16"/>
      <c r="L817" s="8"/>
      <c r="M817" s="15"/>
      <c r="N817" s="8"/>
      <c r="O817" s="8"/>
      <c r="P817" s="17"/>
      <c r="Q817" s="18"/>
      <c r="R817" s="8"/>
      <c r="S817" s="8"/>
    </row>
    <row r="818" customFormat="1" customHeight="1" spans="1:19">
      <c r="A818" s="8"/>
      <c r="B818" s="9"/>
      <c r="C818" s="10"/>
      <c r="D818" s="10"/>
      <c r="E818" s="11"/>
      <c r="F818" s="12"/>
      <c r="G818" s="13"/>
      <c r="H818" s="8"/>
      <c r="I818" s="14"/>
      <c r="J818" s="15"/>
      <c r="K818" s="16"/>
      <c r="L818" s="8"/>
      <c r="M818" s="15"/>
      <c r="N818" s="8"/>
      <c r="O818" s="8"/>
      <c r="P818" s="17"/>
      <c r="Q818" s="18"/>
      <c r="R818" s="8"/>
      <c r="S818" s="8"/>
    </row>
    <row r="819" customFormat="1" customHeight="1" spans="1:19">
      <c r="A819" s="8"/>
      <c r="B819" s="9"/>
      <c r="C819" s="10"/>
      <c r="D819" s="10"/>
      <c r="E819" s="11"/>
      <c r="F819" s="12"/>
      <c r="G819" s="13"/>
      <c r="H819" s="8"/>
      <c r="I819" s="14"/>
      <c r="J819" s="15"/>
      <c r="K819" s="16"/>
      <c r="L819" s="8"/>
      <c r="M819" s="15"/>
      <c r="N819" s="8"/>
      <c r="O819" s="8"/>
      <c r="P819" s="17"/>
      <c r="Q819" s="18"/>
      <c r="R819" s="8"/>
      <c r="S819" s="8"/>
    </row>
    <row r="820" customFormat="1" customHeight="1" spans="1:19">
      <c r="A820" s="8"/>
      <c r="B820" s="9"/>
      <c r="C820" s="10"/>
      <c r="D820" s="10"/>
      <c r="E820" s="11"/>
      <c r="F820" s="12"/>
      <c r="G820" s="13"/>
      <c r="H820" s="8"/>
      <c r="I820" s="14"/>
      <c r="J820" s="15"/>
      <c r="K820" s="16"/>
      <c r="L820" s="8"/>
      <c r="M820" s="15"/>
      <c r="N820" s="8"/>
      <c r="O820" s="8"/>
      <c r="P820" s="17"/>
      <c r="Q820" s="18"/>
      <c r="R820" s="8"/>
      <c r="S820" s="8"/>
    </row>
    <row r="821" customFormat="1" customHeight="1" spans="1:19">
      <c r="A821" s="8"/>
      <c r="B821" s="9"/>
      <c r="C821" s="10"/>
      <c r="D821" s="10"/>
      <c r="E821" s="11"/>
      <c r="F821" s="12"/>
      <c r="G821" s="13"/>
      <c r="H821" s="8"/>
      <c r="I821" s="14"/>
      <c r="J821" s="15"/>
      <c r="K821" s="16"/>
      <c r="L821" s="8"/>
      <c r="M821" s="15"/>
      <c r="N821" s="8"/>
      <c r="O821" s="8"/>
      <c r="P821" s="17"/>
      <c r="Q821" s="18"/>
      <c r="R821" s="8"/>
      <c r="S821" s="8"/>
    </row>
    <row r="822" customFormat="1" customHeight="1" spans="1:19">
      <c r="A822" s="8"/>
      <c r="B822" s="9"/>
      <c r="C822" s="10"/>
      <c r="D822" s="10"/>
      <c r="E822" s="11"/>
      <c r="F822" s="12"/>
      <c r="G822" s="13"/>
      <c r="H822" s="8"/>
      <c r="I822" s="14"/>
      <c r="J822" s="15"/>
      <c r="K822" s="16"/>
      <c r="L822" s="8"/>
      <c r="M822" s="15"/>
      <c r="N822" s="8"/>
      <c r="O822" s="8"/>
      <c r="P822" s="17"/>
      <c r="Q822" s="18"/>
      <c r="R822" s="8"/>
      <c r="S822" s="8"/>
    </row>
    <row r="823" customFormat="1" customHeight="1" spans="1:19">
      <c r="A823" s="8"/>
      <c r="B823" s="9"/>
      <c r="C823" s="10"/>
      <c r="D823" s="10"/>
      <c r="E823" s="11"/>
      <c r="F823" s="12"/>
      <c r="G823" s="13"/>
      <c r="H823" s="8"/>
      <c r="I823" s="14"/>
      <c r="J823" s="15"/>
      <c r="K823" s="16"/>
      <c r="L823" s="8"/>
      <c r="M823" s="15"/>
      <c r="N823" s="8"/>
      <c r="O823" s="8"/>
      <c r="P823" s="17"/>
      <c r="Q823" s="18"/>
      <c r="R823" s="8"/>
      <c r="S823" s="8"/>
    </row>
    <row r="824" customFormat="1" customHeight="1" spans="1:19">
      <c r="A824" s="8"/>
      <c r="B824" s="9"/>
      <c r="C824" s="10"/>
      <c r="D824" s="10"/>
      <c r="E824" s="11"/>
      <c r="F824" s="12"/>
      <c r="G824" s="13"/>
      <c r="H824" s="8"/>
      <c r="I824" s="14"/>
      <c r="J824" s="15"/>
      <c r="K824" s="16"/>
      <c r="L824" s="8"/>
      <c r="M824" s="15"/>
      <c r="N824" s="8"/>
      <c r="O824" s="8"/>
      <c r="P824" s="17"/>
      <c r="Q824" s="18"/>
      <c r="R824" s="8"/>
      <c r="S824" s="8"/>
    </row>
    <row r="825" customFormat="1" customHeight="1" spans="1:19">
      <c r="A825" s="8"/>
      <c r="B825" s="9"/>
      <c r="C825" s="10"/>
      <c r="D825" s="10"/>
      <c r="E825" s="11"/>
      <c r="F825" s="12"/>
      <c r="G825" s="13"/>
      <c r="H825" s="8"/>
      <c r="I825" s="14"/>
      <c r="J825" s="15"/>
      <c r="K825" s="16"/>
      <c r="L825" s="8"/>
      <c r="M825" s="15"/>
      <c r="N825" s="8"/>
      <c r="O825" s="8"/>
      <c r="P825" s="17"/>
      <c r="Q825" s="18"/>
      <c r="R825" s="8"/>
      <c r="S825" s="8"/>
    </row>
    <row r="826" customFormat="1" customHeight="1" spans="1:19">
      <c r="A826" s="8"/>
      <c r="B826" s="9"/>
      <c r="C826" s="10"/>
      <c r="D826" s="10"/>
      <c r="E826" s="11"/>
      <c r="F826" s="12"/>
      <c r="G826" s="13"/>
      <c r="H826" s="8"/>
      <c r="I826" s="14"/>
      <c r="J826" s="15"/>
      <c r="K826" s="16"/>
      <c r="L826" s="8"/>
      <c r="M826" s="15"/>
      <c r="N826" s="8"/>
      <c r="O826" s="8"/>
      <c r="P826" s="17"/>
      <c r="Q826" s="18"/>
      <c r="R826" s="8"/>
      <c r="S826" s="8"/>
    </row>
    <row r="827" customFormat="1" customHeight="1" spans="1:19">
      <c r="A827" s="8"/>
      <c r="B827" s="9"/>
      <c r="C827" s="10"/>
      <c r="D827" s="10"/>
      <c r="E827" s="11"/>
      <c r="F827" s="12"/>
      <c r="G827" s="13"/>
      <c r="H827" s="8"/>
      <c r="I827" s="14"/>
      <c r="J827" s="15"/>
      <c r="K827" s="16"/>
      <c r="L827" s="8"/>
      <c r="M827" s="15"/>
      <c r="N827" s="8"/>
      <c r="O827" s="8"/>
      <c r="P827" s="17"/>
      <c r="Q827" s="18"/>
      <c r="R827" s="8"/>
      <c r="S827" s="8"/>
    </row>
    <row r="828" customFormat="1" customHeight="1" spans="1:19">
      <c r="A828" s="8"/>
      <c r="B828" s="9"/>
      <c r="C828" s="10"/>
      <c r="D828" s="10"/>
      <c r="E828" s="11"/>
      <c r="F828" s="12"/>
      <c r="G828" s="13"/>
      <c r="H828" s="8"/>
      <c r="I828" s="14"/>
      <c r="J828" s="15"/>
      <c r="K828" s="16"/>
      <c r="L828" s="8"/>
      <c r="M828" s="15"/>
      <c r="N828" s="8"/>
      <c r="O828" s="8"/>
      <c r="P828" s="17"/>
      <c r="Q828" s="18"/>
      <c r="R828" s="8"/>
      <c r="S828" s="8"/>
    </row>
    <row r="829" customFormat="1" customHeight="1" spans="1:19">
      <c r="A829" s="8"/>
      <c r="B829" s="9"/>
      <c r="C829" s="10"/>
      <c r="D829" s="10"/>
      <c r="E829" s="11"/>
      <c r="F829" s="12"/>
      <c r="G829" s="13"/>
      <c r="H829" s="8"/>
      <c r="I829" s="14"/>
      <c r="J829" s="15"/>
      <c r="K829" s="16"/>
      <c r="L829" s="8"/>
      <c r="M829" s="15"/>
      <c r="N829" s="8"/>
      <c r="O829" s="8"/>
      <c r="P829" s="17"/>
      <c r="Q829" s="18"/>
      <c r="R829" s="8"/>
      <c r="S829" s="8"/>
    </row>
    <row r="830" customFormat="1" customHeight="1" spans="1:19">
      <c r="A830" s="8"/>
      <c r="B830" s="9"/>
      <c r="C830" s="10"/>
      <c r="D830" s="10"/>
      <c r="E830" s="11"/>
      <c r="F830" s="12"/>
      <c r="G830" s="13"/>
      <c r="H830" s="8"/>
      <c r="I830" s="14"/>
      <c r="J830" s="15"/>
      <c r="K830" s="16"/>
      <c r="L830" s="8"/>
      <c r="M830" s="15"/>
      <c r="N830" s="8"/>
      <c r="O830" s="8"/>
      <c r="P830" s="17"/>
      <c r="Q830" s="18"/>
      <c r="R830" s="8"/>
      <c r="S830" s="8"/>
    </row>
    <row r="831" customFormat="1" customHeight="1" spans="1:19">
      <c r="A831" s="8"/>
      <c r="B831" s="9"/>
      <c r="C831" s="10"/>
      <c r="D831" s="10"/>
      <c r="E831" s="11"/>
      <c r="F831" s="12"/>
      <c r="G831" s="13"/>
      <c r="H831" s="8"/>
      <c r="I831" s="14"/>
      <c r="J831" s="15"/>
      <c r="K831" s="16"/>
      <c r="L831" s="8"/>
      <c r="M831" s="15"/>
      <c r="N831" s="8"/>
      <c r="O831" s="8"/>
      <c r="P831" s="17"/>
      <c r="Q831" s="18"/>
      <c r="R831" s="8"/>
      <c r="S831" s="8"/>
    </row>
    <row r="832" customFormat="1" customHeight="1" spans="1:19">
      <c r="A832" s="8"/>
      <c r="B832" s="9"/>
      <c r="C832" s="10"/>
      <c r="D832" s="10"/>
      <c r="E832" s="11"/>
      <c r="F832" s="12"/>
      <c r="G832" s="13"/>
      <c r="H832" s="8"/>
      <c r="I832" s="14"/>
      <c r="J832" s="15"/>
      <c r="K832" s="16"/>
      <c r="L832" s="8"/>
      <c r="M832" s="15"/>
      <c r="N832" s="8"/>
      <c r="O832" s="8"/>
      <c r="P832" s="17"/>
      <c r="Q832" s="18"/>
      <c r="R832" s="8"/>
      <c r="S832" s="8"/>
    </row>
    <row r="833" customFormat="1" customHeight="1" spans="1:19">
      <c r="A833" s="8"/>
      <c r="B833" s="9"/>
      <c r="C833" s="10"/>
      <c r="D833" s="10"/>
      <c r="E833" s="11"/>
      <c r="F833" s="12"/>
      <c r="G833" s="13"/>
      <c r="H833" s="8"/>
      <c r="I833" s="14"/>
      <c r="J833" s="15"/>
      <c r="K833" s="16"/>
      <c r="L833" s="8"/>
      <c r="M833" s="15"/>
      <c r="N833" s="8"/>
      <c r="O833" s="8"/>
      <c r="P833" s="17"/>
      <c r="Q833" s="18"/>
      <c r="R833" s="8"/>
      <c r="S833" s="8"/>
    </row>
    <row r="834" customFormat="1" customHeight="1" spans="1:19">
      <c r="A834" s="8"/>
      <c r="B834" s="9"/>
      <c r="C834" s="10"/>
      <c r="D834" s="10"/>
      <c r="E834" s="11"/>
      <c r="F834" s="12"/>
      <c r="G834" s="13"/>
      <c r="H834" s="8"/>
      <c r="I834" s="14"/>
      <c r="J834" s="15"/>
      <c r="K834" s="16"/>
      <c r="L834" s="8"/>
      <c r="M834" s="15"/>
      <c r="N834" s="8"/>
      <c r="O834" s="8"/>
      <c r="P834" s="17"/>
      <c r="Q834" s="18"/>
      <c r="R834" s="8"/>
      <c r="S834" s="8"/>
    </row>
    <row r="835" customFormat="1" customHeight="1" spans="1:19">
      <c r="A835" s="8"/>
      <c r="B835" s="9"/>
      <c r="C835" s="10"/>
      <c r="D835" s="10"/>
      <c r="E835" s="11"/>
      <c r="F835" s="12"/>
      <c r="G835" s="13"/>
      <c r="H835" s="8"/>
      <c r="I835" s="14"/>
      <c r="J835" s="15"/>
      <c r="K835" s="16"/>
      <c r="L835" s="8"/>
      <c r="M835" s="15"/>
      <c r="N835" s="8"/>
      <c r="O835" s="8"/>
      <c r="P835" s="17"/>
      <c r="Q835" s="18"/>
      <c r="R835" s="8"/>
      <c r="S835" s="8"/>
    </row>
    <row r="836" customFormat="1" customHeight="1" spans="1:19">
      <c r="A836" s="8"/>
      <c r="B836" s="9"/>
      <c r="C836" s="10"/>
      <c r="D836" s="10"/>
      <c r="E836" s="11"/>
      <c r="F836" s="12"/>
      <c r="G836" s="13"/>
      <c r="H836" s="8"/>
      <c r="I836" s="14"/>
      <c r="J836" s="15"/>
      <c r="K836" s="16"/>
      <c r="L836" s="8"/>
      <c r="M836" s="15"/>
      <c r="N836" s="8"/>
      <c r="O836" s="8"/>
      <c r="P836" s="17"/>
      <c r="Q836" s="18"/>
      <c r="R836" s="8"/>
      <c r="S836" s="8"/>
    </row>
    <row r="837" customFormat="1" customHeight="1" spans="1:19">
      <c r="A837" s="8"/>
      <c r="B837" s="9"/>
      <c r="C837" s="10"/>
      <c r="D837" s="10"/>
      <c r="E837" s="11"/>
      <c r="F837" s="12"/>
      <c r="G837" s="13"/>
      <c r="H837" s="8"/>
      <c r="I837" s="14"/>
      <c r="J837" s="15"/>
      <c r="K837" s="16"/>
      <c r="L837" s="8"/>
      <c r="M837" s="15"/>
      <c r="N837" s="8"/>
      <c r="O837" s="8"/>
      <c r="P837" s="17"/>
      <c r="Q837" s="18"/>
      <c r="R837" s="8"/>
      <c r="S837" s="8"/>
    </row>
    <row r="838" customFormat="1" customHeight="1" spans="1:19">
      <c r="A838" s="8"/>
      <c r="B838" s="9"/>
      <c r="C838" s="10"/>
      <c r="D838" s="10"/>
      <c r="E838" s="11"/>
      <c r="F838" s="12"/>
      <c r="G838" s="13"/>
      <c r="H838" s="8"/>
      <c r="I838" s="14"/>
      <c r="J838" s="15"/>
      <c r="K838" s="16"/>
      <c r="L838" s="8"/>
      <c r="M838" s="15"/>
      <c r="N838" s="8"/>
      <c r="O838" s="8"/>
      <c r="P838" s="17"/>
      <c r="Q838" s="18"/>
      <c r="R838" s="8"/>
      <c r="S838" s="8"/>
    </row>
    <row r="839" customFormat="1" customHeight="1" spans="1:19">
      <c r="A839" s="8"/>
      <c r="B839" s="9"/>
      <c r="C839" s="10"/>
      <c r="D839" s="10"/>
      <c r="E839" s="11"/>
      <c r="F839" s="12"/>
      <c r="G839" s="13"/>
      <c r="H839" s="8"/>
      <c r="I839" s="14"/>
      <c r="J839" s="15"/>
      <c r="K839" s="16"/>
      <c r="L839" s="8"/>
      <c r="M839" s="15"/>
      <c r="N839" s="8"/>
      <c r="O839" s="8"/>
      <c r="P839" s="17"/>
      <c r="Q839" s="18"/>
      <c r="R839" s="8"/>
      <c r="S839" s="8"/>
    </row>
    <row r="840" customFormat="1" customHeight="1" spans="1:19">
      <c r="A840" s="8"/>
      <c r="B840" s="9"/>
      <c r="C840" s="10"/>
      <c r="D840" s="10"/>
      <c r="E840" s="11"/>
      <c r="F840" s="12"/>
      <c r="G840" s="13"/>
      <c r="H840" s="8"/>
      <c r="I840" s="14"/>
      <c r="J840" s="15"/>
      <c r="K840" s="16"/>
      <c r="L840" s="8"/>
      <c r="M840" s="15"/>
      <c r="N840" s="8"/>
      <c r="O840" s="8"/>
      <c r="P840" s="17"/>
      <c r="Q840" s="18"/>
      <c r="R840" s="8"/>
      <c r="S840" s="8"/>
    </row>
    <row r="841" customFormat="1" customHeight="1" spans="1:19">
      <c r="A841" s="8"/>
      <c r="B841" s="9"/>
      <c r="C841" s="10"/>
      <c r="D841" s="10"/>
      <c r="E841" s="11"/>
      <c r="F841" s="12"/>
      <c r="G841" s="13"/>
      <c r="H841" s="8"/>
      <c r="I841" s="14"/>
      <c r="J841" s="15"/>
      <c r="K841" s="16"/>
      <c r="L841" s="8"/>
      <c r="M841" s="15"/>
      <c r="N841" s="8"/>
      <c r="O841" s="8"/>
      <c r="P841" s="17"/>
      <c r="Q841" s="18"/>
      <c r="R841" s="8"/>
      <c r="S841" s="8"/>
    </row>
    <row r="842" customFormat="1" customHeight="1" spans="1:19">
      <c r="A842" s="8"/>
      <c r="B842" s="9"/>
      <c r="C842" s="10"/>
      <c r="D842" s="10"/>
      <c r="E842" s="11"/>
      <c r="F842" s="12"/>
      <c r="G842" s="13"/>
      <c r="H842" s="8"/>
      <c r="I842" s="14"/>
      <c r="J842" s="15"/>
      <c r="K842" s="16"/>
      <c r="L842" s="8"/>
      <c r="M842" s="15"/>
      <c r="N842" s="8"/>
      <c r="O842" s="8"/>
      <c r="P842" s="17"/>
      <c r="Q842" s="18"/>
      <c r="R842" s="8"/>
      <c r="S842" s="8"/>
    </row>
    <row r="843" customFormat="1" customHeight="1" spans="1:19">
      <c r="A843" s="8"/>
      <c r="B843" s="9"/>
      <c r="C843" s="10"/>
      <c r="D843" s="10"/>
      <c r="E843" s="11"/>
      <c r="F843" s="12"/>
      <c r="G843" s="13"/>
      <c r="H843" s="8"/>
      <c r="I843" s="14"/>
      <c r="J843" s="15"/>
      <c r="K843" s="16"/>
      <c r="L843" s="8"/>
      <c r="M843" s="15"/>
      <c r="N843" s="8"/>
      <c r="O843" s="8"/>
      <c r="P843" s="17"/>
      <c r="Q843" s="18"/>
      <c r="R843" s="8"/>
      <c r="S843" s="8"/>
    </row>
    <row r="844" customFormat="1" customHeight="1" spans="1:19">
      <c r="A844" s="8"/>
      <c r="B844" s="9"/>
      <c r="C844" s="10"/>
      <c r="D844" s="10"/>
      <c r="E844" s="11"/>
      <c r="F844" s="12"/>
      <c r="G844" s="13"/>
      <c r="H844" s="8"/>
      <c r="I844" s="14"/>
      <c r="J844" s="15"/>
      <c r="K844" s="16"/>
      <c r="L844" s="8"/>
      <c r="M844" s="15"/>
      <c r="N844" s="8"/>
      <c r="O844" s="8"/>
      <c r="P844" s="17"/>
      <c r="Q844" s="18"/>
      <c r="R844" s="8"/>
      <c r="S844" s="8"/>
    </row>
    <row r="845" customFormat="1" customHeight="1" spans="1:19">
      <c r="A845" s="8"/>
      <c r="B845" s="9"/>
      <c r="C845" s="10"/>
      <c r="D845" s="10"/>
      <c r="E845" s="11"/>
      <c r="F845" s="12"/>
      <c r="G845" s="13"/>
      <c r="H845" s="8"/>
      <c r="I845" s="14"/>
      <c r="J845" s="15"/>
      <c r="K845" s="16"/>
      <c r="L845" s="8"/>
      <c r="M845" s="15"/>
      <c r="N845" s="8"/>
      <c r="O845" s="8"/>
      <c r="P845" s="17"/>
      <c r="Q845" s="18"/>
      <c r="R845" s="8"/>
      <c r="S845" s="8"/>
    </row>
    <row r="846" customFormat="1" customHeight="1" spans="1:19">
      <c r="A846" s="8"/>
      <c r="B846" s="9"/>
      <c r="C846" s="10"/>
      <c r="D846" s="10"/>
      <c r="E846" s="11"/>
      <c r="F846" s="12"/>
      <c r="G846" s="13"/>
      <c r="H846" s="8"/>
      <c r="I846" s="14"/>
      <c r="J846" s="15"/>
      <c r="K846" s="16"/>
      <c r="L846" s="8"/>
      <c r="M846" s="15"/>
      <c r="N846" s="8"/>
      <c r="O846" s="8"/>
      <c r="P846" s="17"/>
      <c r="Q846" s="18"/>
      <c r="R846" s="8"/>
      <c r="S846" s="8"/>
    </row>
    <row r="847" customFormat="1" customHeight="1" spans="1:19">
      <c r="A847" s="8"/>
      <c r="B847" s="9"/>
      <c r="C847" s="10"/>
      <c r="D847" s="10"/>
      <c r="E847" s="11"/>
      <c r="F847" s="12"/>
      <c r="G847" s="13"/>
      <c r="H847" s="8"/>
      <c r="I847" s="14"/>
      <c r="J847" s="15"/>
      <c r="K847" s="16"/>
      <c r="L847" s="8"/>
      <c r="M847" s="15"/>
      <c r="N847" s="8"/>
      <c r="O847" s="8"/>
      <c r="P847" s="17"/>
      <c r="Q847" s="18"/>
      <c r="R847" s="8"/>
      <c r="S847" s="8"/>
    </row>
    <row r="848" customFormat="1" customHeight="1" spans="1:19">
      <c r="A848" s="8"/>
      <c r="B848" s="9"/>
      <c r="C848" s="10"/>
      <c r="D848" s="10"/>
      <c r="E848" s="11"/>
      <c r="F848" s="12"/>
      <c r="G848" s="13"/>
      <c r="H848" s="8"/>
      <c r="I848" s="14"/>
      <c r="J848" s="15"/>
      <c r="K848" s="16"/>
      <c r="L848" s="8"/>
      <c r="M848" s="15"/>
      <c r="N848" s="8"/>
      <c r="O848" s="8"/>
      <c r="P848" s="17"/>
      <c r="Q848" s="18"/>
      <c r="R848" s="8"/>
      <c r="S848" s="8"/>
    </row>
    <row r="849" customFormat="1" customHeight="1" spans="1:19">
      <c r="A849" s="8"/>
      <c r="B849" s="9"/>
      <c r="C849" s="10"/>
      <c r="D849" s="10"/>
      <c r="E849" s="11"/>
      <c r="F849" s="12"/>
      <c r="G849" s="13"/>
      <c r="H849" s="8"/>
      <c r="I849" s="14"/>
      <c r="J849" s="15"/>
      <c r="K849" s="16"/>
      <c r="L849" s="8"/>
      <c r="M849" s="15"/>
      <c r="N849" s="8"/>
      <c r="O849" s="8"/>
      <c r="P849" s="17"/>
      <c r="Q849" s="18"/>
      <c r="R849" s="8"/>
      <c r="S849" s="8"/>
    </row>
    <row r="850" customFormat="1" customHeight="1" spans="1:19">
      <c r="A850" s="8"/>
      <c r="B850" s="9"/>
      <c r="C850" s="10"/>
      <c r="D850" s="10"/>
      <c r="E850" s="11"/>
      <c r="F850" s="12"/>
      <c r="G850" s="13"/>
      <c r="H850" s="8"/>
      <c r="I850" s="14"/>
      <c r="J850" s="15"/>
      <c r="K850" s="16"/>
      <c r="L850" s="8"/>
      <c r="M850" s="15"/>
      <c r="N850" s="8"/>
      <c r="O850" s="8"/>
      <c r="P850" s="17"/>
      <c r="Q850" s="18"/>
      <c r="R850" s="8"/>
      <c r="S850" s="8"/>
    </row>
    <row r="851" customFormat="1" customHeight="1" spans="1:19">
      <c r="A851" s="8"/>
      <c r="B851" s="9"/>
      <c r="C851" s="10"/>
      <c r="D851" s="10"/>
      <c r="E851" s="11"/>
      <c r="F851" s="12"/>
      <c r="G851" s="13"/>
      <c r="H851" s="8"/>
      <c r="I851" s="14"/>
      <c r="J851" s="15"/>
      <c r="K851" s="16"/>
      <c r="L851" s="8"/>
      <c r="M851" s="15"/>
      <c r="N851" s="8"/>
      <c r="O851" s="8"/>
      <c r="P851" s="17"/>
      <c r="Q851" s="18"/>
      <c r="R851" s="8"/>
      <c r="S851" s="8"/>
    </row>
    <row r="852" customFormat="1" customHeight="1" spans="1:19">
      <c r="A852" s="8"/>
      <c r="B852" s="9"/>
      <c r="C852" s="10"/>
      <c r="D852" s="10"/>
      <c r="E852" s="11"/>
      <c r="F852" s="12"/>
      <c r="G852" s="13"/>
      <c r="H852" s="8"/>
      <c r="I852" s="14"/>
      <c r="J852" s="15"/>
      <c r="K852" s="16"/>
      <c r="L852" s="8"/>
      <c r="M852" s="15"/>
      <c r="N852" s="8"/>
      <c r="O852" s="8"/>
      <c r="P852" s="17"/>
      <c r="Q852" s="18"/>
      <c r="R852" s="8"/>
      <c r="S852" s="8"/>
    </row>
    <row r="853" customFormat="1" customHeight="1" spans="1:19">
      <c r="A853" s="8"/>
      <c r="B853" s="9"/>
      <c r="C853" s="10"/>
      <c r="D853" s="10"/>
      <c r="E853" s="11"/>
      <c r="F853" s="12"/>
      <c r="G853" s="13"/>
      <c r="H853" s="8"/>
      <c r="I853" s="14"/>
      <c r="J853" s="15"/>
      <c r="K853" s="16"/>
      <c r="L853" s="8"/>
      <c r="M853" s="15"/>
      <c r="N853" s="8"/>
      <c r="O853" s="8"/>
      <c r="P853" s="17"/>
      <c r="Q853" s="18"/>
      <c r="R853" s="8"/>
      <c r="S853" s="8"/>
    </row>
    <row r="854" customFormat="1" customHeight="1" spans="1:19">
      <c r="A854" s="8"/>
      <c r="B854" s="9"/>
      <c r="C854" s="10"/>
      <c r="D854" s="10"/>
      <c r="E854" s="11"/>
      <c r="F854" s="12"/>
      <c r="G854" s="13"/>
      <c r="H854" s="8"/>
      <c r="I854" s="14"/>
      <c r="J854" s="15"/>
      <c r="K854" s="16"/>
      <c r="L854" s="8"/>
      <c r="M854" s="15"/>
      <c r="N854" s="8"/>
      <c r="O854" s="8"/>
      <c r="P854" s="17"/>
      <c r="Q854" s="18"/>
      <c r="R854" s="8"/>
      <c r="S854" s="8"/>
    </row>
    <row r="855" customFormat="1" customHeight="1" spans="1:19">
      <c r="A855" s="8"/>
      <c r="B855" s="9"/>
      <c r="C855" s="10"/>
      <c r="D855" s="10"/>
      <c r="E855" s="11"/>
      <c r="F855" s="12"/>
      <c r="G855" s="13"/>
      <c r="H855" s="8"/>
      <c r="I855" s="14"/>
      <c r="J855" s="15"/>
      <c r="K855" s="16"/>
      <c r="L855" s="8"/>
      <c r="M855" s="15"/>
      <c r="N855" s="8"/>
      <c r="O855" s="8"/>
      <c r="P855" s="17"/>
      <c r="Q855" s="18"/>
      <c r="R855" s="8"/>
      <c r="S855" s="8"/>
    </row>
    <row r="856" customFormat="1" customHeight="1" spans="1:19">
      <c r="A856" s="8"/>
      <c r="B856" s="9"/>
      <c r="C856" s="10"/>
      <c r="D856" s="10"/>
      <c r="E856" s="11"/>
      <c r="F856" s="12"/>
      <c r="G856" s="13"/>
      <c r="H856" s="8"/>
      <c r="I856" s="14"/>
      <c r="J856" s="15"/>
      <c r="K856" s="16"/>
      <c r="L856" s="8"/>
      <c r="M856" s="15"/>
      <c r="N856" s="8"/>
      <c r="O856" s="8"/>
      <c r="P856" s="17"/>
      <c r="Q856" s="18"/>
      <c r="R856" s="8"/>
      <c r="S856" s="8"/>
    </row>
    <row r="857" customFormat="1" customHeight="1" spans="1:19">
      <c r="A857" s="8"/>
      <c r="B857" s="9"/>
      <c r="C857" s="10"/>
      <c r="D857" s="10"/>
      <c r="E857" s="11"/>
      <c r="F857" s="12"/>
      <c r="G857" s="13"/>
      <c r="H857" s="8"/>
      <c r="I857" s="14"/>
      <c r="J857" s="15"/>
      <c r="K857" s="16"/>
      <c r="L857" s="8"/>
      <c r="M857" s="15"/>
      <c r="N857" s="8"/>
      <c r="O857" s="8"/>
      <c r="P857" s="17"/>
      <c r="Q857" s="18"/>
      <c r="R857" s="8"/>
      <c r="S857" s="8"/>
    </row>
    <row r="858" customFormat="1" customHeight="1" spans="1:19">
      <c r="A858" s="8"/>
      <c r="B858" s="9"/>
      <c r="C858" s="10"/>
      <c r="D858" s="10"/>
      <c r="E858" s="11"/>
      <c r="F858" s="12"/>
      <c r="G858" s="13"/>
      <c r="H858" s="8"/>
      <c r="I858" s="14"/>
      <c r="J858" s="15"/>
      <c r="K858" s="16"/>
      <c r="L858" s="8"/>
      <c r="M858" s="15"/>
      <c r="N858" s="8"/>
      <c r="O858" s="8"/>
      <c r="P858" s="17"/>
      <c r="Q858" s="18"/>
      <c r="R858" s="8"/>
      <c r="S858" s="8"/>
    </row>
    <row r="859" customFormat="1" customHeight="1" spans="1:19">
      <c r="A859" s="8"/>
      <c r="B859" s="9"/>
      <c r="C859" s="10"/>
      <c r="D859" s="10"/>
      <c r="E859" s="11"/>
      <c r="F859" s="12"/>
      <c r="G859" s="13"/>
      <c r="H859" s="8"/>
      <c r="I859" s="14"/>
      <c r="J859" s="15"/>
      <c r="K859" s="16"/>
      <c r="L859" s="8"/>
      <c r="M859" s="15"/>
      <c r="N859" s="8"/>
      <c r="O859" s="8"/>
      <c r="P859" s="17"/>
      <c r="Q859" s="18"/>
      <c r="R859" s="8"/>
      <c r="S859" s="8"/>
    </row>
    <row r="860" customFormat="1" customHeight="1" spans="1:19">
      <c r="A860" s="8"/>
      <c r="B860" s="9"/>
      <c r="C860" s="10"/>
      <c r="D860" s="10"/>
      <c r="E860" s="11"/>
      <c r="F860" s="12"/>
      <c r="G860" s="13"/>
      <c r="H860" s="8"/>
      <c r="I860" s="14"/>
      <c r="J860" s="15"/>
      <c r="K860" s="16"/>
      <c r="L860" s="8"/>
      <c r="M860" s="15"/>
      <c r="N860" s="8"/>
      <c r="O860" s="8"/>
      <c r="P860" s="17"/>
      <c r="Q860" s="18"/>
      <c r="R860" s="8"/>
      <c r="S860" s="8"/>
    </row>
    <row r="861" customFormat="1" customHeight="1" spans="1:19">
      <c r="A861" s="8"/>
      <c r="B861" s="9"/>
      <c r="C861" s="10"/>
      <c r="D861" s="10"/>
      <c r="E861" s="11"/>
      <c r="F861" s="12"/>
      <c r="G861" s="13"/>
      <c r="H861" s="8"/>
      <c r="I861" s="14"/>
      <c r="J861" s="15"/>
      <c r="K861" s="16"/>
      <c r="L861" s="8"/>
      <c r="M861" s="15"/>
      <c r="N861" s="8"/>
      <c r="O861" s="8"/>
      <c r="P861" s="17"/>
      <c r="Q861" s="18"/>
      <c r="R861" s="8"/>
      <c r="S861" s="8"/>
    </row>
    <row r="862" customFormat="1" customHeight="1" spans="1:19">
      <c r="A862" s="8"/>
      <c r="B862" s="9"/>
      <c r="C862" s="10"/>
      <c r="D862" s="10"/>
      <c r="E862" s="11"/>
      <c r="F862" s="12"/>
      <c r="G862" s="13"/>
      <c r="H862" s="8"/>
      <c r="I862" s="14"/>
      <c r="J862" s="15"/>
      <c r="K862" s="16"/>
      <c r="L862" s="8"/>
      <c r="M862" s="15"/>
      <c r="N862" s="8"/>
      <c r="O862" s="8"/>
      <c r="P862" s="17"/>
      <c r="Q862" s="18"/>
      <c r="R862" s="8"/>
      <c r="S862" s="8"/>
    </row>
    <row r="863" customFormat="1" customHeight="1" spans="1:19">
      <c r="A863" s="8"/>
      <c r="B863" s="9"/>
      <c r="C863" s="10"/>
      <c r="D863" s="10"/>
      <c r="E863" s="11"/>
      <c r="F863" s="12"/>
      <c r="G863" s="13"/>
      <c r="H863" s="8"/>
      <c r="I863" s="14"/>
      <c r="J863" s="15"/>
      <c r="K863" s="16"/>
      <c r="L863" s="8"/>
      <c r="M863" s="15"/>
      <c r="N863" s="8"/>
      <c r="O863" s="8"/>
      <c r="P863" s="17"/>
      <c r="Q863" s="18"/>
      <c r="R863" s="8"/>
      <c r="S863" s="8"/>
    </row>
    <row r="864" customFormat="1" customHeight="1" spans="1:19">
      <c r="A864" s="8"/>
      <c r="B864" s="9"/>
      <c r="C864" s="10"/>
      <c r="D864" s="10"/>
      <c r="E864" s="11"/>
      <c r="F864" s="12"/>
      <c r="G864" s="13"/>
      <c r="H864" s="8"/>
      <c r="I864" s="14"/>
      <c r="J864" s="15"/>
      <c r="K864" s="16"/>
      <c r="L864" s="8"/>
      <c r="M864" s="15"/>
      <c r="N864" s="8"/>
      <c r="O864" s="8"/>
      <c r="P864" s="17"/>
      <c r="Q864" s="18"/>
      <c r="R864" s="8"/>
      <c r="S864" s="8"/>
    </row>
    <row r="865" customFormat="1" customHeight="1" spans="1:19">
      <c r="A865" s="8"/>
      <c r="B865" s="9"/>
      <c r="C865" s="10"/>
      <c r="D865" s="10"/>
      <c r="E865" s="11"/>
      <c r="F865" s="12"/>
      <c r="G865" s="13"/>
      <c r="H865" s="8"/>
      <c r="I865" s="14"/>
      <c r="J865" s="15"/>
      <c r="K865" s="16"/>
      <c r="L865" s="8"/>
      <c r="M865" s="15"/>
      <c r="N865" s="8"/>
      <c r="O865" s="8"/>
      <c r="P865" s="17"/>
      <c r="Q865" s="18"/>
      <c r="R865" s="8"/>
      <c r="S865" s="8"/>
    </row>
    <row r="866" customFormat="1" customHeight="1" spans="1:19">
      <c r="A866" s="8"/>
      <c r="B866" s="9"/>
      <c r="C866" s="10"/>
      <c r="D866" s="10"/>
      <c r="E866" s="11"/>
      <c r="F866" s="12"/>
      <c r="G866" s="13"/>
      <c r="H866" s="8"/>
      <c r="I866" s="14"/>
      <c r="J866" s="15"/>
      <c r="K866" s="16"/>
      <c r="L866" s="8"/>
      <c r="M866" s="15"/>
      <c r="N866" s="8"/>
      <c r="O866" s="8"/>
      <c r="P866" s="17"/>
      <c r="Q866" s="18"/>
      <c r="R866" s="8"/>
      <c r="S866" s="8"/>
    </row>
    <row r="867" customFormat="1" customHeight="1" spans="1:19">
      <c r="A867" s="8"/>
      <c r="B867" s="9"/>
      <c r="C867" s="10"/>
      <c r="D867" s="10"/>
      <c r="E867" s="11"/>
      <c r="F867" s="12"/>
      <c r="G867" s="13"/>
      <c r="H867" s="8"/>
      <c r="I867" s="14"/>
      <c r="J867" s="15"/>
      <c r="K867" s="16"/>
      <c r="L867" s="8"/>
      <c r="M867" s="15"/>
      <c r="N867" s="8"/>
      <c r="O867" s="8"/>
      <c r="P867" s="17"/>
      <c r="Q867" s="18"/>
      <c r="R867" s="8"/>
      <c r="S867" s="8"/>
    </row>
    <row r="868" customFormat="1" customHeight="1" spans="1:19">
      <c r="A868" s="8"/>
      <c r="B868" s="9"/>
      <c r="C868" s="10"/>
      <c r="D868" s="10"/>
      <c r="E868" s="11"/>
      <c r="F868" s="12"/>
      <c r="G868" s="13"/>
      <c r="H868" s="8"/>
      <c r="I868" s="14"/>
      <c r="J868" s="15"/>
      <c r="K868" s="16"/>
      <c r="L868" s="8"/>
      <c r="M868" s="15"/>
      <c r="N868" s="8"/>
      <c r="O868" s="8"/>
      <c r="P868" s="17"/>
      <c r="Q868" s="18"/>
      <c r="R868" s="8"/>
      <c r="S868" s="8"/>
    </row>
    <row r="869" customFormat="1" customHeight="1" spans="1:19">
      <c r="A869" s="8"/>
      <c r="B869" s="9"/>
      <c r="C869" s="10"/>
      <c r="D869" s="10"/>
      <c r="E869" s="11"/>
      <c r="F869" s="12"/>
      <c r="G869" s="13"/>
      <c r="H869" s="8"/>
      <c r="I869" s="14"/>
      <c r="J869" s="15"/>
      <c r="K869" s="16"/>
      <c r="L869" s="8"/>
      <c r="M869" s="15"/>
      <c r="N869" s="8"/>
      <c r="O869" s="8"/>
      <c r="P869" s="17"/>
      <c r="Q869" s="18"/>
      <c r="R869" s="8"/>
      <c r="S869" s="8"/>
    </row>
    <row r="870" customFormat="1" customHeight="1" spans="1:19">
      <c r="A870" s="8"/>
      <c r="B870" s="9"/>
      <c r="C870" s="10"/>
      <c r="D870" s="10"/>
      <c r="E870" s="11"/>
      <c r="F870" s="12"/>
      <c r="G870" s="13"/>
      <c r="H870" s="8"/>
      <c r="I870" s="14"/>
      <c r="J870" s="15"/>
      <c r="K870" s="16"/>
      <c r="L870" s="8"/>
      <c r="M870" s="15"/>
      <c r="N870" s="8"/>
      <c r="O870" s="8"/>
      <c r="P870" s="17"/>
      <c r="Q870" s="18"/>
      <c r="R870" s="8"/>
      <c r="S870" s="8"/>
    </row>
    <row r="871" customFormat="1" customHeight="1" spans="1:19">
      <c r="A871" s="8"/>
      <c r="B871" s="9"/>
      <c r="C871" s="10"/>
      <c r="D871" s="10"/>
      <c r="E871" s="11"/>
      <c r="F871" s="12"/>
      <c r="G871" s="13"/>
      <c r="H871" s="8"/>
      <c r="I871" s="14"/>
      <c r="J871" s="15"/>
      <c r="K871" s="16"/>
      <c r="L871" s="8"/>
      <c r="M871" s="15"/>
      <c r="N871" s="8"/>
      <c r="O871" s="8"/>
      <c r="P871" s="17"/>
      <c r="Q871" s="18"/>
      <c r="R871" s="8"/>
      <c r="S871" s="8"/>
    </row>
    <row r="872" customFormat="1" customHeight="1" spans="1:19">
      <c r="A872" s="8"/>
      <c r="B872" s="9"/>
      <c r="C872" s="10"/>
      <c r="D872" s="10"/>
      <c r="E872" s="11"/>
      <c r="F872" s="12"/>
      <c r="G872" s="13"/>
      <c r="H872" s="8"/>
      <c r="I872" s="14"/>
      <c r="J872" s="15"/>
      <c r="K872" s="16"/>
      <c r="L872" s="8"/>
      <c r="M872" s="15"/>
      <c r="N872" s="8"/>
      <c r="O872" s="8"/>
      <c r="P872" s="17"/>
      <c r="Q872" s="18"/>
      <c r="R872" s="8"/>
      <c r="S872" s="8"/>
    </row>
    <row r="873" customFormat="1" customHeight="1" spans="1:19">
      <c r="A873" s="8"/>
      <c r="B873" s="9"/>
      <c r="C873" s="10"/>
      <c r="D873" s="10"/>
      <c r="E873" s="11"/>
      <c r="F873" s="12"/>
      <c r="G873" s="13"/>
      <c r="H873" s="8"/>
      <c r="I873" s="14"/>
      <c r="J873" s="15"/>
      <c r="K873" s="16"/>
      <c r="L873" s="8"/>
      <c r="M873" s="15"/>
      <c r="N873" s="8"/>
      <c r="O873" s="8"/>
      <c r="P873" s="17"/>
      <c r="Q873" s="18"/>
      <c r="R873" s="8"/>
      <c r="S873" s="8"/>
    </row>
    <row r="874" customFormat="1" customHeight="1" spans="1:19">
      <c r="A874" s="8"/>
      <c r="B874" s="9"/>
      <c r="C874" s="10"/>
      <c r="D874" s="10"/>
      <c r="E874" s="11"/>
      <c r="F874" s="12"/>
      <c r="G874" s="13"/>
      <c r="H874" s="8"/>
      <c r="I874" s="14"/>
      <c r="J874" s="15"/>
      <c r="K874" s="16"/>
      <c r="L874" s="8"/>
      <c r="M874" s="15"/>
      <c r="N874" s="8"/>
      <c r="O874" s="8"/>
      <c r="P874" s="17"/>
      <c r="Q874" s="18"/>
      <c r="R874" s="8"/>
      <c r="S874" s="8"/>
    </row>
    <row r="875" customFormat="1" customHeight="1" spans="1:19">
      <c r="A875" s="8"/>
      <c r="B875" s="9"/>
      <c r="C875" s="10"/>
      <c r="D875" s="10"/>
      <c r="E875" s="11"/>
      <c r="F875" s="12"/>
      <c r="G875" s="13"/>
      <c r="H875" s="8"/>
      <c r="I875" s="14"/>
      <c r="J875" s="15"/>
      <c r="K875" s="16"/>
      <c r="L875" s="8"/>
      <c r="M875" s="15"/>
      <c r="N875" s="8"/>
      <c r="O875" s="8"/>
      <c r="P875" s="17"/>
      <c r="Q875" s="18"/>
      <c r="R875" s="8"/>
      <c r="S875" s="8"/>
    </row>
    <row r="876" customFormat="1" customHeight="1" spans="1:19">
      <c r="A876" s="8"/>
      <c r="B876" s="9"/>
      <c r="C876" s="10"/>
      <c r="D876" s="10"/>
      <c r="E876" s="11"/>
      <c r="F876" s="12"/>
      <c r="G876" s="13"/>
      <c r="H876" s="8"/>
      <c r="I876" s="14"/>
      <c r="J876" s="15"/>
      <c r="K876" s="16"/>
      <c r="L876" s="8"/>
      <c r="M876" s="15"/>
      <c r="N876" s="8"/>
      <c r="O876" s="8"/>
      <c r="P876" s="17"/>
      <c r="Q876" s="18"/>
      <c r="R876" s="8"/>
      <c r="S876" s="8"/>
    </row>
    <row r="877" customFormat="1" customHeight="1" spans="1:19">
      <c r="A877" s="8"/>
      <c r="B877" s="9"/>
      <c r="C877" s="10"/>
      <c r="D877" s="10"/>
      <c r="E877" s="11"/>
      <c r="F877" s="12"/>
      <c r="G877" s="13"/>
      <c r="H877" s="8"/>
      <c r="I877" s="14"/>
      <c r="J877" s="15"/>
      <c r="K877" s="16"/>
      <c r="L877" s="8"/>
      <c r="M877" s="15"/>
      <c r="N877" s="8"/>
      <c r="O877" s="8"/>
      <c r="P877" s="17"/>
      <c r="Q877" s="18"/>
      <c r="R877" s="8"/>
      <c r="S877" s="8"/>
    </row>
    <row r="878" customFormat="1" customHeight="1" spans="1:19">
      <c r="A878" s="8"/>
      <c r="B878" s="9"/>
      <c r="C878" s="10"/>
      <c r="D878" s="10"/>
      <c r="E878" s="11"/>
      <c r="F878" s="12"/>
      <c r="G878" s="13"/>
      <c r="H878" s="8"/>
      <c r="I878" s="14"/>
      <c r="J878" s="15"/>
      <c r="K878" s="16"/>
      <c r="L878" s="8"/>
      <c r="M878" s="15"/>
      <c r="N878" s="8"/>
      <c r="O878" s="8"/>
      <c r="P878" s="17"/>
      <c r="Q878" s="18"/>
      <c r="R878" s="8"/>
      <c r="S878" s="8"/>
    </row>
    <row r="879" customFormat="1" customHeight="1" spans="1:19">
      <c r="A879" s="8"/>
      <c r="B879" s="9"/>
      <c r="C879" s="10"/>
      <c r="D879" s="10"/>
      <c r="E879" s="11"/>
      <c r="F879" s="12"/>
      <c r="G879" s="13"/>
      <c r="H879" s="8"/>
      <c r="I879" s="14"/>
      <c r="J879" s="15"/>
      <c r="K879" s="16"/>
      <c r="L879" s="8"/>
      <c r="M879" s="15"/>
      <c r="N879" s="8"/>
      <c r="O879" s="8"/>
      <c r="P879" s="17"/>
      <c r="Q879" s="18"/>
      <c r="R879" s="8"/>
      <c r="S879" s="8"/>
    </row>
    <row r="880" customFormat="1" customHeight="1" spans="1:19">
      <c r="A880" s="8"/>
      <c r="B880" s="9"/>
      <c r="C880" s="10"/>
      <c r="D880" s="10"/>
      <c r="E880" s="11"/>
      <c r="F880" s="12"/>
      <c r="G880" s="13"/>
      <c r="H880" s="8"/>
      <c r="I880" s="14"/>
      <c r="J880" s="15"/>
      <c r="K880" s="16"/>
      <c r="L880" s="8"/>
      <c r="M880" s="15"/>
      <c r="N880" s="8"/>
      <c r="O880" s="8"/>
      <c r="P880" s="17"/>
      <c r="Q880" s="18"/>
      <c r="R880" s="8"/>
      <c r="S880" s="8"/>
    </row>
    <row r="881" customFormat="1" customHeight="1" spans="1:19">
      <c r="A881" s="8"/>
      <c r="B881" s="9"/>
      <c r="C881" s="10"/>
      <c r="D881" s="10"/>
      <c r="E881" s="11"/>
      <c r="F881" s="12"/>
      <c r="G881" s="13"/>
      <c r="H881" s="8"/>
      <c r="I881" s="14"/>
      <c r="J881" s="15"/>
      <c r="K881" s="16"/>
      <c r="L881" s="8"/>
      <c r="M881" s="15"/>
      <c r="N881" s="8"/>
      <c r="O881" s="8"/>
      <c r="P881" s="17"/>
      <c r="Q881" s="18"/>
      <c r="R881" s="8"/>
      <c r="S881" s="8"/>
    </row>
    <row r="882" customFormat="1" customHeight="1" spans="1:19">
      <c r="A882" s="8"/>
      <c r="B882" s="9"/>
      <c r="C882" s="10"/>
      <c r="D882" s="10"/>
      <c r="E882" s="11"/>
      <c r="F882" s="12"/>
      <c r="G882" s="13"/>
      <c r="H882" s="8"/>
      <c r="I882" s="14"/>
      <c r="J882" s="15"/>
      <c r="K882" s="16"/>
      <c r="L882" s="8"/>
      <c r="M882" s="15"/>
      <c r="N882" s="8"/>
      <c r="O882" s="8"/>
      <c r="P882" s="17"/>
      <c r="Q882" s="18"/>
      <c r="R882" s="8"/>
      <c r="S882" s="8"/>
    </row>
    <row r="883" customFormat="1" customHeight="1" spans="1:19">
      <c r="A883" s="8"/>
      <c r="B883" s="9"/>
      <c r="C883" s="10"/>
      <c r="D883" s="10"/>
      <c r="E883" s="11"/>
      <c r="F883" s="12"/>
      <c r="G883" s="13"/>
      <c r="H883" s="8"/>
      <c r="I883" s="14"/>
      <c r="J883" s="15"/>
      <c r="K883" s="16"/>
      <c r="L883" s="8"/>
      <c r="M883" s="15"/>
      <c r="N883" s="8"/>
      <c r="O883" s="8"/>
      <c r="P883" s="17"/>
      <c r="Q883" s="18"/>
      <c r="R883" s="8"/>
      <c r="S883" s="8"/>
    </row>
    <row r="884" customFormat="1" customHeight="1" spans="1:19">
      <c r="A884" s="8"/>
      <c r="B884" s="9"/>
      <c r="C884" s="10"/>
      <c r="D884" s="10"/>
      <c r="E884" s="11"/>
      <c r="F884" s="12"/>
      <c r="G884" s="13"/>
      <c r="H884" s="8"/>
      <c r="I884" s="14"/>
      <c r="J884" s="15"/>
      <c r="K884" s="16"/>
      <c r="L884" s="8"/>
      <c r="M884" s="15"/>
      <c r="N884" s="8"/>
      <c r="O884" s="8"/>
      <c r="P884" s="17"/>
      <c r="Q884" s="18"/>
      <c r="R884" s="8"/>
      <c r="S884" s="8"/>
    </row>
    <row r="885" customFormat="1" customHeight="1" spans="1:19">
      <c r="A885" s="8"/>
      <c r="B885" s="9"/>
      <c r="C885" s="10"/>
      <c r="D885" s="10"/>
      <c r="E885" s="11"/>
      <c r="F885" s="12"/>
      <c r="G885" s="13"/>
      <c r="H885" s="8"/>
      <c r="I885" s="14"/>
      <c r="J885" s="15"/>
      <c r="K885" s="16"/>
      <c r="L885" s="8"/>
      <c r="M885" s="15"/>
      <c r="N885" s="8"/>
      <c r="O885" s="8"/>
      <c r="P885" s="17"/>
      <c r="Q885" s="18"/>
      <c r="R885" s="8"/>
      <c r="S885" s="8"/>
    </row>
    <row r="886" customFormat="1" customHeight="1" spans="1:19">
      <c r="A886" s="8"/>
      <c r="B886" s="9"/>
      <c r="C886" s="10"/>
      <c r="D886" s="10"/>
      <c r="E886" s="11"/>
      <c r="F886" s="12"/>
      <c r="G886" s="13"/>
      <c r="H886" s="8"/>
      <c r="I886" s="14"/>
      <c r="J886" s="15"/>
      <c r="K886" s="16"/>
      <c r="L886" s="8"/>
      <c r="M886" s="15"/>
      <c r="N886" s="8"/>
      <c r="O886" s="8"/>
      <c r="P886" s="17"/>
      <c r="Q886" s="18"/>
      <c r="R886" s="8"/>
      <c r="S886" s="8"/>
    </row>
    <row r="887" customFormat="1" customHeight="1" spans="1:19">
      <c r="A887" s="8"/>
      <c r="B887" s="9"/>
      <c r="C887" s="10"/>
      <c r="D887" s="10"/>
      <c r="E887" s="11"/>
      <c r="F887" s="12"/>
      <c r="G887" s="13"/>
      <c r="H887" s="8"/>
      <c r="I887" s="14"/>
      <c r="J887" s="15"/>
      <c r="K887" s="16"/>
      <c r="L887" s="8"/>
      <c r="M887" s="15"/>
      <c r="N887" s="8"/>
      <c r="O887" s="8"/>
      <c r="P887" s="17"/>
      <c r="Q887" s="18"/>
      <c r="R887" s="8"/>
      <c r="S887" s="8"/>
    </row>
    <row r="888" customFormat="1" customHeight="1" spans="1:19">
      <c r="A888" s="8"/>
      <c r="B888" s="9"/>
      <c r="C888" s="10"/>
      <c r="D888" s="10"/>
      <c r="E888" s="11"/>
      <c r="F888" s="12"/>
      <c r="G888" s="13"/>
      <c r="H888" s="8"/>
      <c r="I888" s="14"/>
      <c r="J888" s="15"/>
      <c r="K888" s="16"/>
      <c r="L888" s="8"/>
      <c r="M888" s="15"/>
      <c r="N888" s="8"/>
      <c r="O888" s="8"/>
      <c r="P888" s="17"/>
      <c r="Q888" s="18"/>
      <c r="R888" s="8"/>
      <c r="S888" s="8"/>
    </row>
    <row r="889" customFormat="1" customHeight="1" spans="1:19">
      <c r="A889" s="8"/>
      <c r="B889" s="9"/>
      <c r="C889" s="10"/>
      <c r="D889" s="10"/>
      <c r="E889" s="11"/>
      <c r="F889" s="12"/>
      <c r="G889" s="13"/>
      <c r="H889" s="8"/>
      <c r="I889" s="14"/>
      <c r="J889" s="15"/>
      <c r="K889" s="16"/>
      <c r="L889" s="8"/>
      <c r="M889" s="15"/>
      <c r="N889" s="8"/>
      <c r="O889" s="8"/>
      <c r="P889" s="17"/>
      <c r="Q889" s="18"/>
      <c r="R889" s="8"/>
      <c r="S889" s="8"/>
    </row>
    <row r="890" customFormat="1" customHeight="1" spans="1:19">
      <c r="A890" s="8"/>
      <c r="B890" s="9"/>
      <c r="C890" s="10"/>
      <c r="D890" s="10"/>
      <c r="E890" s="11"/>
      <c r="F890" s="12"/>
      <c r="G890" s="13"/>
      <c r="H890" s="8"/>
      <c r="I890" s="14"/>
      <c r="J890" s="15"/>
      <c r="K890" s="16"/>
      <c r="L890" s="8"/>
      <c r="M890" s="15"/>
      <c r="N890" s="8"/>
      <c r="O890" s="8"/>
      <c r="P890" s="17"/>
      <c r="Q890" s="18"/>
      <c r="R890" s="8"/>
      <c r="S890" s="8"/>
    </row>
    <row r="891" customFormat="1" customHeight="1" spans="1:19">
      <c r="A891" s="8"/>
      <c r="B891" s="9"/>
      <c r="C891" s="10"/>
      <c r="D891" s="10"/>
      <c r="E891" s="11"/>
      <c r="F891" s="12"/>
      <c r="G891" s="13"/>
      <c r="H891" s="8"/>
      <c r="I891" s="14"/>
      <c r="J891" s="15"/>
      <c r="K891" s="16"/>
      <c r="L891" s="8"/>
      <c r="M891" s="15"/>
      <c r="N891" s="8"/>
      <c r="O891" s="8"/>
      <c r="P891" s="17"/>
      <c r="Q891" s="18"/>
      <c r="R891" s="8"/>
      <c r="S891" s="8"/>
    </row>
    <row r="892" customFormat="1" customHeight="1" spans="1:19">
      <c r="A892" s="8"/>
      <c r="B892" s="9"/>
      <c r="C892" s="10"/>
      <c r="D892" s="10"/>
      <c r="E892" s="11"/>
      <c r="F892" s="12"/>
      <c r="G892" s="13"/>
      <c r="H892" s="8"/>
      <c r="I892" s="14"/>
      <c r="J892" s="15"/>
      <c r="K892" s="16"/>
      <c r="L892" s="8"/>
      <c r="M892" s="15"/>
      <c r="N892" s="8"/>
      <c r="O892" s="8"/>
      <c r="P892" s="17"/>
      <c r="Q892" s="18"/>
      <c r="R892" s="8"/>
      <c r="S892" s="8"/>
    </row>
    <row r="893" customFormat="1" customHeight="1" spans="1:19">
      <c r="A893" s="8"/>
      <c r="B893" s="9"/>
      <c r="C893" s="10"/>
      <c r="D893" s="10"/>
      <c r="E893" s="11"/>
      <c r="F893" s="12"/>
      <c r="G893" s="13"/>
      <c r="H893" s="8"/>
      <c r="I893" s="14"/>
      <c r="J893" s="15"/>
      <c r="K893" s="16"/>
      <c r="L893" s="8"/>
      <c r="M893" s="15"/>
      <c r="N893" s="8"/>
      <c r="O893" s="8"/>
      <c r="P893" s="17"/>
      <c r="Q893" s="18"/>
      <c r="R893" s="8"/>
      <c r="S893" s="8"/>
    </row>
    <row r="894" customFormat="1" customHeight="1" spans="1:19">
      <c r="A894" s="8"/>
      <c r="B894" s="9"/>
      <c r="C894" s="10"/>
      <c r="D894" s="10"/>
      <c r="E894" s="11"/>
      <c r="F894" s="12"/>
      <c r="G894" s="13"/>
      <c r="H894" s="8"/>
      <c r="I894" s="14"/>
      <c r="J894" s="15"/>
      <c r="K894" s="16"/>
      <c r="L894" s="8"/>
      <c r="M894" s="15"/>
      <c r="N894" s="8"/>
      <c r="O894" s="8"/>
      <c r="P894" s="17"/>
      <c r="Q894" s="18"/>
      <c r="R894" s="8"/>
      <c r="S894" s="8"/>
    </row>
    <row r="895" customFormat="1" customHeight="1" spans="1:19">
      <c r="A895" s="8"/>
      <c r="B895" s="9"/>
      <c r="C895" s="10"/>
      <c r="D895" s="10"/>
      <c r="E895" s="11"/>
      <c r="F895" s="12"/>
      <c r="G895" s="13"/>
      <c r="H895" s="8"/>
      <c r="I895" s="14"/>
      <c r="J895" s="15"/>
      <c r="K895" s="16"/>
      <c r="L895" s="8"/>
      <c r="M895" s="15"/>
      <c r="N895" s="8"/>
      <c r="O895" s="8"/>
      <c r="P895" s="17"/>
      <c r="Q895" s="18"/>
      <c r="R895" s="8"/>
      <c r="S895" s="8"/>
    </row>
    <row r="896" customFormat="1" customHeight="1" spans="1:19">
      <c r="A896" s="8"/>
      <c r="B896" s="9"/>
      <c r="C896" s="10"/>
      <c r="D896" s="10"/>
      <c r="E896" s="11"/>
      <c r="F896" s="12"/>
      <c r="G896" s="13"/>
      <c r="H896" s="8"/>
      <c r="I896" s="14"/>
      <c r="J896" s="15"/>
      <c r="K896" s="16"/>
      <c r="L896" s="8"/>
      <c r="M896" s="15"/>
      <c r="N896" s="8"/>
      <c r="O896" s="8"/>
      <c r="P896" s="17"/>
      <c r="Q896" s="18"/>
      <c r="R896" s="8"/>
      <c r="S896" s="8"/>
    </row>
    <row r="897" customFormat="1" customHeight="1" spans="1:19">
      <c r="A897" s="8"/>
      <c r="B897" s="9"/>
      <c r="C897" s="10"/>
      <c r="D897" s="10"/>
      <c r="E897" s="11"/>
      <c r="F897" s="12"/>
      <c r="G897" s="13"/>
      <c r="H897" s="8"/>
      <c r="I897" s="14"/>
      <c r="J897" s="15"/>
      <c r="K897" s="16"/>
      <c r="L897" s="8"/>
      <c r="M897" s="15"/>
      <c r="N897" s="8"/>
      <c r="O897" s="8"/>
      <c r="P897" s="17"/>
      <c r="Q897" s="18"/>
      <c r="R897" s="8"/>
      <c r="S897" s="8"/>
    </row>
    <row r="898" customFormat="1" customHeight="1" spans="1:19">
      <c r="A898" s="8"/>
      <c r="B898" s="9"/>
      <c r="C898" s="10"/>
      <c r="D898" s="10"/>
      <c r="E898" s="11"/>
      <c r="F898" s="12"/>
      <c r="G898" s="13"/>
      <c r="H898" s="8"/>
      <c r="I898" s="14"/>
      <c r="J898" s="15"/>
      <c r="K898" s="16"/>
      <c r="L898" s="8"/>
      <c r="M898" s="15"/>
      <c r="N898" s="8"/>
      <c r="O898" s="8"/>
      <c r="P898" s="17"/>
      <c r="Q898" s="18"/>
      <c r="R898" s="8"/>
      <c r="S898" s="8"/>
    </row>
    <row r="899" customFormat="1" customHeight="1" spans="1:19">
      <c r="A899" s="8"/>
      <c r="B899" s="9"/>
      <c r="C899" s="10"/>
      <c r="D899" s="10"/>
      <c r="E899" s="11"/>
      <c r="F899" s="12"/>
      <c r="G899" s="13"/>
      <c r="H899" s="8"/>
      <c r="I899" s="14"/>
      <c r="J899" s="15"/>
      <c r="K899" s="16"/>
      <c r="L899" s="8"/>
      <c r="M899" s="15"/>
      <c r="N899" s="8"/>
      <c r="O899" s="8"/>
      <c r="P899" s="17"/>
      <c r="Q899" s="18"/>
      <c r="R899" s="8"/>
      <c r="S899" s="8"/>
    </row>
    <row r="900" customFormat="1" customHeight="1" spans="1:19">
      <c r="A900" s="8"/>
      <c r="B900" s="9"/>
      <c r="C900" s="10"/>
      <c r="D900" s="10"/>
      <c r="E900" s="11"/>
      <c r="F900" s="12"/>
      <c r="G900" s="13"/>
      <c r="H900" s="8"/>
      <c r="I900" s="14"/>
      <c r="J900" s="15"/>
      <c r="K900" s="16"/>
      <c r="L900" s="8"/>
      <c r="M900" s="15"/>
      <c r="N900" s="8"/>
      <c r="O900" s="8"/>
      <c r="P900" s="17"/>
      <c r="Q900" s="18"/>
      <c r="R900" s="8"/>
      <c r="S900" s="8"/>
    </row>
    <row r="901" customFormat="1" customHeight="1" spans="1:19">
      <c r="A901" s="8"/>
      <c r="B901" s="9"/>
      <c r="C901" s="10"/>
      <c r="D901" s="10"/>
      <c r="E901" s="11"/>
      <c r="F901" s="12"/>
      <c r="G901" s="13"/>
      <c r="H901" s="8"/>
      <c r="I901" s="14"/>
      <c r="J901" s="15"/>
      <c r="K901" s="16"/>
      <c r="L901" s="8"/>
      <c r="M901" s="15"/>
      <c r="N901" s="8"/>
      <c r="O901" s="8"/>
      <c r="P901" s="17"/>
      <c r="Q901" s="18"/>
      <c r="R901" s="8"/>
      <c r="S901" s="8"/>
    </row>
    <row r="902" customFormat="1" customHeight="1" spans="1:19">
      <c r="A902" s="8"/>
      <c r="B902" s="9"/>
      <c r="C902" s="10"/>
      <c r="D902" s="10"/>
      <c r="E902" s="11"/>
      <c r="F902" s="12"/>
      <c r="G902" s="13"/>
      <c r="H902" s="8"/>
      <c r="I902" s="14"/>
      <c r="J902" s="15"/>
      <c r="K902" s="16"/>
      <c r="L902" s="8"/>
      <c r="M902" s="15"/>
      <c r="N902" s="8"/>
      <c r="O902" s="8"/>
      <c r="P902" s="17"/>
      <c r="Q902" s="18"/>
      <c r="R902" s="8"/>
      <c r="S902" s="8"/>
    </row>
    <row r="903" customFormat="1" customHeight="1" spans="1:19">
      <c r="A903" s="8"/>
      <c r="B903" s="9"/>
      <c r="C903" s="10"/>
      <c r="D903" s="10"/>
      <c r="E903" s="11"/>
      <c r="F903" s="12"/>
      <c r="G903" s="13"/>
      <c r="H903" s="8"/>
      <c r="I903" s="14"/>
      <c r="J903" s="15"/>
      <c r="K903" s="16"/>
      <c r="L903" s="8"/>
      <c r="M903" s="15"/>
      <c r="N903" s="8"/>
      <c r="O903" s="8"/>
      <c r="P903" s="17"/>
      <c r="Q903" s="18"/>
      <c r="R903" s="8"/>
      <c r="S903" s="8"/>
    </row>
    <row r="904" customFormat="1" customHeight="1" spans="1:19">
      <c r="A904" s="8"/>
      <c r="B904" s="9"/>
      <c r="C904" s="10"/>
      <c r="D904" s="10"/>
      <c r="E904" s="11"/>
      <c r="F904" s="12"/>
      <c r="G904" s="13"/>
      <c r="H904" s="8"/>
      <c r="I904" s="14"/>
      <c r="J904" s="15"/>
      <c r="K904" s="16"/>
      <c r="L904" s="8"/>
      <c r="M904" s="15"/>
      <c r="N904" s="8"/>
      <c r="O904" s="8"/>
      <c r="P904" s="17"/>
      <c r="Q904" s="18"/>
      <c r="R904" s="8"/>
      <c r="S904" s="8"/>
    </row>
    <row r="905" customFormat="1" customHeight="1" spans="1:19">
      <c r="A905" s="8"/>
      <c r="B905" s="9"/>
      <c r="C905" s="10"/>
      <c r="D905" s="10"/>
      <c r="E905" s="11"/>
      <c r="F905" s="12"/>
      <c r="G905" s="13"/>
      <c r="H905" s="8"/>
      <c r="I905" s="14"/>
      <c r="J905" s="15"/>
      <c r="K905" s="16"/>
      <c r="L905" s="8"/>
      <c r="M905" s="15"/>
      <c r="N905" s="8"/>
      <c r="O905" s="8"/>
      <c r="P905" s="17"/>
      <c r="Q905" s="18"/>
      <c r="R905" s="8"/>
      <c r="S905" s="8"/>
    </row>
    <row r="906" customFormat="1" customHeight="1" spans="1:19">
      <c r="A906" s="8"/>
      <c r="B906" s="9"/>
      <c r="C906" s="10"/>
      <c r="D906" s="10"/>
      <c r="E906" s="11"/>
      <c r="F906" s="12"/>
      <c r="G906" s="13"/>
      <c r="H906" s="8"/>
      <c r="I906" s="14"/>
      <c r="J906" s="15"/>
      <c r="K906" s="16"/>
      <c r="L906" s="8"/>
      <c r="M906" s="15"/>
      <c r="N906" s="8"/>
      <c r="O906" s="8"/>
      <c r="P906" s="17"/>
      <c r="Q906" s="18"/>
      <c r="R906" s="8"/>
      <c r="S906" s="8"/>
    </row>
    <row r="907" customFormat="1" customHeight="1" spans="1:19">
      <c r="A907" s="8"/>
      <c r="B907" s="9"/>
      <c r="C907" s="10"/>
      <c r="D907" s="10"/>
      <c r="E907" s="11"/>
      <c r="F907" s="12"/>
      <c r="G907" s="13"/>
      <c r="H907" s="8"/>
      <c r="I907" s="14"/>
      <c r="J907" s="15"/>
      <c r="K907" s="16"/>
      <c r="L907" s="8"/>
      <c r="M907" s="15"/>
      <c r="N907" s="8"/>
      <c r="O907" s="8"/>
      <c r="P907" s="17"/>
      <c r="Q907" s="18"/>
      <c r="R907" s="8"/>
      <c r="S907" s="8"/>
    </row>
    <row r="908" customFormat="1" customHeight="1" spans="1:19">
      <c r="A908" s="8"/>
      <c r="B908" s="9"/>
      <c r="C908" s="10"/>
      <c r="D908" s="10"/>
      <c r="E908" s="11"/>
      <c r="F908" s="12"/>
      <c r="G908" s="13"/>
      <c r="H908" s="8"/>
      <c r="I908" s="14"/>
      <c r="J908" s="15"/>
      <c r="K908" s="16"/>
      <c r="L908" s="8"/>
      <c r="M908" s="15"/>
      <c r="N908" s="8"/>
      <c r="O908" s="8"/>
      <c r="P908" s="17"/>
      <c r="Q908" s="18"/>
      <c r="R908" s="8"/>
      <c r="S908" s="8"/>
    </row>
    <row r="909" customFormat="1" customHeight="1" spans="1:19">
      <c r="A909" s="8"/>
      <c r="B909" s="9"/>
      <c r="C909" s="10"/>
      <c r="D909" s="10"/>
      <c r="E909" s="11"/>
      <c r="F909" s="12"/>
      <c r="G909" s="13"/>
      <c r="H909" s="8"/>
      <c r="I909" s="14"/>
      <c r="J909" s="15"/>
      <c r="K909" s="16"/>
      <c r="L909" s="8"/>
      <c r="M909" s="15"/>
      <c r="N909" s="8"/>
      <c r="O909" s="8"/>
      <c r="P909" s="17"/>
      <c r="Q909" s="18"/>
      <c r="R909" s="8"/>
      <c r="S909" s="8"/>
    </row>
    <row r="910" customFormat="1" customHeight="1" spans="1:19">
      <c r="A910" s="8"/>
      <c r="B910" s="9"/>
      <c r="C910" s="10"/>
      <c r="D910" s="10"/>
      <c r="E910" s="11"/>
      <c r="F910" s="12"/>
      <c r="G910" s="13"/>
      <c r="H910" s="8"/>
      <c r="I910" s="14"/>
      <c r="J910" s="15"/>
      <c r="K910" s="16"/>
      <c r="L910" s="8"/>
      <c r="M910" s="15"/>
      <c r="N910" s="8"/>
      <c r="O910" s="8"/>
      <c r="P910" s="17"/>
      <c r="Q910" s="18"/>
      <c r="R910" s="8"/>
      <c r="S910" s="8"/>
    </row>
    <row r="911" customFormat="1" customHeight="1" spans="1:19">
      <c r="A911" s="8"/>
      <c r="B911" s="9"/>
      <c r="C911" s="10"/>
      <c r="D911" s="10"/>
      <c r="E911" s="11"/>
      <c r="F911" s="12"/>
      <c r="G911" s="13"/>
      <c r="H911" s="8"/>
      <c r="I911" s="14"/>
      <c r="J911" s="15"/>
      <c r="K911" s="16"/>
      <c r="L911" s="8"/>
      <c r="M911" s="15"/>
      <c r="N911" s="8"/>
      <c r="O911" s="8"/>
      <c r="P911" s="17"/>
      <c r="Q911" s="18"/>
      <c r="R911" s="8"/>
      <c r="S911" s="8"/>
    </row>
    <row r="912" customFormat="1" customHeight="1" spans="1:19">
      <c r="A912" s="8"/>
      <c r="B912" s="9"/>
      <c r="C912" s="10"/>
      <c r="D912" s="10"/>
      <c r="E912" s="11"/>
      <c r="F912" s="12"/>
      <c r="G912" s="13"/>
      <c r="H912" s="8"/>
      <c r="I912" s="14"/>
      <c r="J912" s="15"/>
      <c r="K912" s="16"/>
      <c r="L912" s="8"/>
      <c r="M912" s="15"/>
      <c r="N912" s="8"/>
      <c r="O912" s="8"/>
      <c r="P912" s="17"/>
      <c r="Q912" s="18"/>
      <c r="R912" s="8"/>
      <c r="S912" s="8"/>
    </row>
    <row r="913" customFormat="1" customHeight="1" spans="1:19">
      <c r="A913" s="8"/>
      <c r="B913" s="9"/>
      <c r="C913" s="10"/>
      <c r="D913" s="10"/>
      <c r="E913" s="11"/>
      <c r="F913" s="12"/>
      <c r="G913" s="13"/>
      <c r="H913" s="8"/>
      <c r="I913" s="14"/>
      <c r="J913" s="15"/>
      <c r="K913" s="16"/>
      <c r="L913" s="8"/>
      <c r="M913" s="15"/>
      <c r="N913" s="8"/>
      <c r="O913" s="8"/>
      <c r="P913" s="17"/>
      <c r="Q913" s="18"/>
      <c r="R913" s="8"/>
      <c r="S913" s="8"/>
    </row>
    <row r="914" customFormat="1" customHeight="1" spans="1:19">
      <c r="A914" s="8"/>
      <c r="B914" s="9"/>
      <c r="C914" s="10"/>
      <c r="D914" s="10"/>
      <c r="E914" s="11"/>
      <c r="F914" s="12"/>
      <c r="G914" s="13"/>
      <c r="H914" s="8"/>
      <c r="I914" s="14"/>
      <c r="J914" s="15"/>
      <c r="K914" s="16"/>
      <c r="L914" s="8"/>
      <c r="M914" s="15"/>
      <c r="N914" s="8"/>
      <c r="O914" s="8"/>
      <c r="P914" s="17"/>
      <c r="Q914" s="18"/>
      <c r="R914" s="8"/>
      <c r="S914" s="8"/>
    </row>
    <row r="915" customFormat="1" customHeight="1" spans="1:19">
      <c r="A915" s="8"/>
      <c r="B915" s="9"/>
      <c r="C915" s="10"/>
      <c r="D915" s="10"/>
      <c r="E915" s="11"/>
      <c r="F915" s="12"/>
      <c r="G915" s="13"/>
      <c r="H915" s="8"/>
      <c r="I915" s="14"/>
      <c r="J915" s="15"/>
      <c r="K915" s="16"/>
      <c r="L915" s="8"/>
      <c r="M915" s="15"/>
      <c r="N915" s="8"/>
      <c r="O915" s="8"/>
      <c r="P915" s="17"/>
      <c r="Q915" s="18"/>
      <c r="R915" s="8"/>
      <c r="S915" s="8"/>
    </row>
    <row r="916" customFormat="1" customHeight="1" spans="1:19">
      <c r="A916" s="8"/>
      <c r="B916" s="9"/>
      <c r="C916" s="10"/>
      <c r="D916" s="10"/>
      <c r="E916" s="11"/>
      <c r="F916" s="12"/>
      <c r="G916" s="13"/>
      <c r="H916" s="8"/>
      <c r="I916" s="14"/>
      <c r="J916" s="15"/>
      <c r="K916" s="16"/>
      <c r="L916" s="8"/>
      <c r="M916" s="15"/>
      <c r="N916" s="8"/>
      <c r="O916" s="8"/>
      <c r="P916" s="17"/>
      <c r="Q916" s="18"/>
      <c r="R916" s="8"/>
      <c r="S916" s="8"/>
    </row>
    <row r="917" customFormat="1" customHeight="1" spans="1:19">
      <c r="A917" s="8"/>
      <c r="B917" s="9"/>
      <c r="C917" s="10"/>
      <c r="D917" s="10"/>
      <c r="E917" s="11"/>
      <c r="F917" s="12"/>
      <c r="G917" s="13"/>
      <c r="H917" s="8"/>
      <c r="I917" s="14"/>
      <c r="J917" s="15"/>
      <c r="K917" s="16"/>
      <c r="L917" s="8"/>
      <c r="M917" s="15"/>
      <c r="N917" s="8"/>
      <c r="O917" s="8"/>
      <c r="P917" s="17"/>
      <c r="Q917" s="18"/>
      <c r="R917" s="8"/>
      <c r="S917" s="8"/>
    </row>
    <row r="918" customFormat="1" customHeight="1" spans="1:19">
      <c r="A918" s="8"/>
      <c r="B918" s="9"/>
      <c r="C918" s="10"/>
      <c r="D918" s="10"/>
      <c r="E918" s="11"/>
      <c r="F918" s="12"/>
      <c r="G918" s="13"/>
      <c r="H918" s="8"/>
      <c r="I918" s="14"/>
      <c r="J918" s="15"/>
      <c r="K918" s="16"/>
      <c r="L918" s="8"/>
      <c r="M918" s="15"/>
      <c r="N918" s="8"/>
      <c r="O918" s="8"/>
      <c r="P918" s="17"/>
      <c r="Q918" s="18"/>
      <c r="R918" s="8"/>
      <c r="S918" s="8"/>
    </row>
    <row r="919" customFormat="1" customHeight="1" spans="1:19">
      <c r="A919" s="8"/>
      <c r="B919" s="9"/>
      <c r="C919" s="10"/>
      <c r="D919" s="10"/>
      <c r="E919" s="11"/>
      <c r="F919" s="12"/>
      <c r="G919" s="13"/>
      <c r="H919" s="8"/>
      <c r="I919" s="14"/>
      <c r="J919" s="15"/>
      <c r="K919" s="16"/>
      <c r="L919" s="8"/>
      <c r="M919" s="15"/>
      <c r="N919" s="8"/>
      <c r="O919" s="8"/>
      <c r="P919" s="17"/>
      <c r="Q919" s="18"/>
      <c r="R919" s="8"/>
      <c r="S919" s="8"/>
    </row>
    <row r="920" customFormat="1" customHeight="1" spans="1:19">
      <c r="A920" s="8"/>
      <c r="B920" s="9"/>
      <c r="C920" s="10"/>
      <c r="D920" s="10"/>
      <c r="E920" s="11"/>
      <c r="F920" s="12"/>
      <c r="G920" s="13"/>
      <c r="H920" s="8"/>
      <c r="I920" s="14"/>
      <c r="J920" s="15"/>
      <c r="K920" s="16"/>
      <c r="L920" s="8"/>
      <c r="M920" s="15"/>
      <c r="N920" s="8"/>
      <c r="O920" s="8"/>
      <c r="P920" s="17"/>
      <c r="Q920" s="18"/>
      <c r="R920" s="8"/>
      <c r="S920" s="8"/>
    </row>
    <row r="921" customFormat="1" customHeight="1" spans="1:19">
      <c r="A921" s="8"/>
      <c r="B921" s="9"/>
      <c r="C921" s="10"/>
      <c r="D921" s="10"/>
      <c r="E921" s="11"/>
      <c r="F921" s="12"/>
      <c r="G921" s="13"/>
      <c r="H921" s="8"/>
      <c r="I921" s="14"/>
      <c r="J921" s="15"/>
      <c r="K921" s="16"/>
      <c r="L921" s="8"/>
      <c r="M921" s="15"/>
      <c r="N921" s="8"/>
      <c r="O921" s="8"/>
      <c r="P921" s="17"/>
      <c r="Q921" s="18"/>
      <c r="R921" s="8"/>
      <c r="S921" s="8"/>
    </row>
    <row r="922" customFormat="1" customHeight="1" spans="1:19">
      <c r="A922" s="8"/>
      <c r="B922" s="9"/>
      <c r="C922" s="10"/>
      <c r="D922" s="10"/>
      <c r="E922" s="11"/>
      <c r="F922" s="12"/>
      <c r="G922" s="13"/>
      <c r="H922" s="8"/>
      <c r="I922" s="14"/>
      <c r="J922" s="15"/>
      <c r="K922" s="16"/>
      <c r="L922" s="8"/>
      <c r="M922" s="15"/>
      <c r="N922" s="8"/>
      <c r="O922" s="8"/>
      <c r="P922" s="17"/>
      <c r="Q922" s="18"/>
      <c r="R922" s="8"/>
      <c r="S922" s="8"/>
    </row>
    <row r="923" customFormat="1" customHeight="1" spans="1:19">
      <c r="A923" s="8"/>
      <c r="B923" s="9"/>
      <c r="C923" s="10"/>
      <c r="D923" s="10"/>
      <c r="E923" s="11"/>
      <c r="F923" s="12"/>
      <c r="G923" s="13"/>
      <c r="H923" s="8"/>
      <c r="I923" s="14"/>
      <c r="J923" s="15"/>
      <c r="K923" s="16"/>
      <c r="L923" s="8"/>
      <c r="M923" s="15"/>
      <c r="N923" s="8"/>
      <c r="O923" s="8"/>
      <c r="P923" s="17"/>
      <c r="Q923" s="18"/>
      <c r="R923" s="8"/>
      <c r="S923" s="8"/>
    </row>
    <row r="924" customFormat="1" customHeight="1" spans="1:19">
      <c r="A924" s="8"/>
      <c r="B924" s="9"/>
      <c r="C924" s="10"/>
      <c r="D924" s="10"/>
      <c r="E924" s="11"/>
      <c r="F924" s="12"/>
      <c r="G924" s="13"/>
      <c r="H924" s="8"/>
      <c r="I924" s="14"/>
      <c r="J924" s="15"/>
      <c r="K924" s="16"/>
      <c r="L924" s="8"/>
      <c r="M924" s="15"/>
      <c r="N924" s="8"/>
      <c r="O924" s="8"/>
      <c r="P924" s="17"/>
      <c r="Q924" s="18"/>
      <c r="R924" s="8"/>
      <c r="S924" s="8"/>
    </row>
    <row r="925" customFormat="1" customHeight="1" spans="1:19">
      <c r="A925" s="8"/>
      <c r="B925" s="9"/>
      <c r="C925" s="10"/>
      <c r="D925" s="10"/>
      <c r="E925" s="11"/>
      <c r="F925" s="12"/>
      <c r="G925" s="13"/>
      <c r="H925" s="8"/>
      <c r="I925" s="14"/>
      <c r="J925" s="15"/>
      <c r="K925" s="16"/>
      <c r="L925" s="8"/>
      <c r="M925" s="15"/>
      <c r="N925" s="8"/>
      <c r="O925" s="8"/>
      <c r="P925" s="17"/>
      <c r="Q925" s="18"/>
      <c r="R925" s="8"/>
      <c r="S925" s="8"/>
    </row>
    <row r="926" customFormat="1" customHeight="1" spans="1:19">
      <c r="A926" s="8"/>
      <c r="B926" s="9"/>
      <c r="C926" s="10"/>
      <c r="D926" s="10"/>
      <c r="E926" s="11"/>
      <c r="F926" s="12"/>
      <c r="G926" s="13"/>
      <c r="H926" s="8"/>
      <c r="I926" s="14"/>
      <c r="J926" s="15"/>
      <c r="K926" s="16"/>
      <c r="L926" s="8"/>
      <c r="M926" s="15"/>
      <c r="N926" s="8"/>
      <c r="O926" s="8"/>
      <c r="P926" s="17"/>
      <c r="Q926" s="18"/>
      <c r="R926" s="8"/>
      <c r="S926" s="8"/>
    </row>
    <row r="927" customFormat="1" customHeight="1" spans="1:19">
      <c r="A927" s="8"/>
      <c r="B927" s="9"/>
      <c r="C927" s="10"/>
      <c r="D927" s="10"/>
      <c r="E927" s="11"/>
      <c r="F927" s="12"/>
      <c r="G927" s="13"/>
      <c r="H927" s="8"/>
      <c r="I927" s="14"/>
      <c r="J927" s="15"/>
      <c r="K927" s="16"/>
      <c r="L927" s="8"/>
      <c r="M927" s="15"/>
      <c r="N927" s="8"/>
      <c r="O927" s="8"/>
      <c r="P927" s="17"/>
      <c r="Q927" s="18"/>
      <c r="R927" s="8"/>
      <c r="S927" s="8"/>
    </row>
    <row r="928" customFormat="1" customHeight="1" spans="1:19">
      <c r="A928" s="8"/>
      <c r="B928" s="9"/>
      <c r="C928" s="10"/>
      <c r="D928" s="10"/>
      <c r="E928" s="11"/>
      <c r="F928" s="12"/>
      <c r="G928" s="13"/>
      <c r="H928" s="8"/>
      <c r="I928" s="14"/>
      <c r="J928" s="15"/>
      <c r="K928" s="16"/>
      <c r="L928" s="8"/>
      <c r="M928" s="15"/>
      <c r="N928" s="8"/>
      <c r="O928" s="8"/>
      <c r="P928" s="17"/>
      <c r="Q928" s="18"/>
      <c r="R928" s="8"/>
      <c r="S928" s="8"/>
    </row>
    <row r="929" customFormat="1" customHeight="1" spans="1:19">
      <c r="A929" s="8"/>
      <c r="B929" s="9"/>
      <c r="C929" s="10"/>
      <c r="D929" s="10"/>
      <c r="E929" s="11"/>
      <c r="F929" s="12"/>
      <c r="G929" s="13"/>
      <c r="H929" s="8"/>
      <c r="I929" s="14"/>
      <c r="J929" s="15"/>
      <c r="K929" s="16"/>
      <c r="L929" s="8"/>
      <c r="M929" s="15"/>
      <c r="N929" s="8"/>
      <c r="O929" s="8"/>
      <c r="P929" s="17"/>
      <c r="Q929" s="18"/>
      <c r="R929" s="8"/>
      <c r="S929" s="8"/>
    </row>
    <row r="930" customFormat="1" customHeight="1" spans="1:19">
      <c r="A930" s="8"/>
      <c r="B930" s="9"/>
      <c r="C930" s="10"/>
      <c r="D930" s="10"/>
      <c r="E930" s="11"/>
      <c r="F930" s="12"/>
      <c r="G930" s="13"/>
      <c r="H930" s="8"/>
      <c r="I930" s="14"/>
      <c r="J930" s="15"/>
      <c r="K930" s="16"/>
      <c r="L930" s="8"/>
      <c r="M930" s="15"/>
      <c r="N930" s="8"/>
      <c r="O930" s="8"/>
      <c r="P930" s="17"/>
      <c r="Q930" s="18"/>
      <c r="R930" s="8"/>
      <c r="S930" s="8"/>
    </row>
    <row r="931" customFormat="1" customHeight="1" spans="1:19">
      <c r="A931" s="8"/>
      <c r="B931" s="9"/>
      <c r="C931" s="10"/>
      <c r="D931" s="10"/>
      <c r="E931" s="11"/>
      <c r="F931" s="12"/>
      <c r="G931" s="13"/>
      <c r="H931" s="8"/>
      <c r="I931" s="14"/>
      <c r="J931" s="15"/>
      <c r="K931" s="16"/>
      <c r="L931" s="8"/>
      <c r="M931" s="15"/>
      <c r="N931" s="8"/>
      <c r="O931" s="8"/>
      <c r="P931" s="17"/>
      <c r="Q931" s="18"/>
      <c r="R931" s="8"/>
      <c r="S931" s="8"/>
    </row>
    <row r="932" customFormat="1" customHeight="1" spans="1:19">
      <c r="A932" s="8"/>
      <c r="B932" s="9"/>
      <c r="C932" s="10"/>
      <c r="D932" s="10"/>
      <c r="E932" s="11"/>
      <c r="F932" s="12"/>
      <c r="G932" s="13"/>
      <c r="H932" s="8"/>
      <c r="I932" s="14"/>
      <c r="J932" s="15"/>
      <c r="K932" s="16"/>
      <c r="L932" s="8"/>
      <c r="M932" s="15"/>
      <c r="N932" s="8"/>
      <c r="O932" s="8"/>
      <c r="P932" s="17"/>
      <c r="Q932" s="18"/>
      <c r="R932" s="8"/>
      <c r="S932" s="8"/>
    </row>
    <row r="933" customFormat="1" customHeight="1" spans="1:19">
      <c r="A933" s="8"/>
      <c r="B933" s="9"/>
      <c r="C933" s="10"/>
      <c r="D933" s="10"/>
      <c r="E933" s="11"/>
      <c r="F933" s="12"/>
      <c r="G933" s="13"/>
      <c r="H933" s="8"/>
      <c r="I933" s="14"/>
      <c r="J933" s="15"/>
      <c r="K933" s="16"/>
      <c r="L933" s="8"/>
      <c r="M933" s="15"/>
      <c r="N933" s="8"/>
      <c r="O933" s="8"/>
      <c r="P933" s="17"/>
      <c r="Q933" s="18"/>
      <c r="R933" s="8"/>
      <c r="S933" s="8"/>
    </row>
    <row r="934" customFormat="1" customHeight="1" spans="1:19">
      <c r="A934" s="8"/>
      <c r="B934" s="9"/>
      <c r="C934" s="10"/>
      <c r="D934" s="10"/>
      <c r="E934" s="11"/>
      <c r="F934" s="12"/>
      <c r="G934" s="13"/>
      <c r="H934" s="8"/>
      <c r="I934" s="14"/>
      <c r="J934" s="15"/>
      <c r="K934" s="16"/>
      <c r="L934" s="8"/>
      <c r="M934" s="15"/>
      <c r="N934" s="8"/>
      <c r="O934" s="8"/>
      <c r="P934" s="17"/>
      <c r="Q934" s="18"/>
      <c r="R934" s="8"/>
      <c r="S934" s="8"/>
    </row>
    <row r="935" customFormat="1" customHeight="1" spans="1:19">
      <c r="A935" s="8"/>
      <c r="B935" s="9"/>
      <c r="C935" s="10"/>
      <c r="D935" s="10"/>
      <c r="E935" s="11"/>
      <c r="F935" s="12"/>
      <c r="G935" s="13"/>
      <c r="H935" s="8"/>
      <c r="I935" s="14"/>
      <c r="J935" s="15"/>
      <c r="K935" s="16"/>
      <c r="L935" s="8"/>
      <c r="M935" s="15"/>
      <c r="N935" s="8"/>
      <c r="O935" s="8"/>
      <c r="P935" s="17"/>
      <c r="Q935" s="18"/>
      <c r="R935" s="8"/>
      <c r="S935" s="8"/>
    </row>
    <row r="936" customFormat="1" customHeight="1" spans="1:19">
      <c r="A936" s="8"/>
      <c r="B936" s="9"/>
      <c r="C936" s="10"/>
      <c r="D936" s="10"/>
      <c r="E936" s="11"/>
      <c r="F936" s="12"/>
      <c r="G936" s="13"/>
      <c r="H936" s="8"/>
      <c r="I936" s="14"/>
      <c r="J936" s="15"/>
      <c r="K936" s="16"/>
      <c r="L936" s="8"/>
      <c r="M936" s="15"/>
      <c r="N936" s="8"/>
      <c r="O936" s="8"/>
      <c r="P936" s="17"/>
      <c r="Q936" s="18"/>
      <c r="R936" s="8"/>
      <c r="S936" s="8"/>
    </row>
    <row r="937" customFormat="1" customHeight="1" spans="1:19">
      <c r="A937" s="8"/>
      <c r="B937" s="9"/>
      <c r="C937" s="10"/>
      <c r="D937" s="10"/>
      <c r="E937" s="11"/>
      <c r="F937" s="12"/>
      <c r="G937" s="13"/>
      <c r="H937" s="8"/>
      <c r="I937" s="14"/>
      <c r="J937" s="15"/>
      <c r="K937" s="16"/>
      <c r="L937" s="8"/>
      <c r="M937" s="15"/>
      <c r="N937" s="8"/>
      <c r="O937" s="8"/>
      <c r="P937" s="17"/>
      <c r="Q937" s="18"/>
      <c r="R937" s="8"/>
      <c r="S937" s="8"/>
    </row>
    <row r="938" customFormat="1" customHeight="1" spans="1:19">
      <c r="A938" s="8"/>
      <c r="B938" s="9"/>
      <c r="C938" s="10"/>
      <c r="D938" s="10"/>
      <c r="E938" s="11"/>
      <c r="F938" s="12"/>
      <c r="G938" s="13"/>
      <c r="H938" s="8"/>
      <c r="I938" s="14"/>
      <c r="J938" s="15"/>
      <c r="K938" s="16"/>
      <c r="L938" s="8"/>
      <c r="M938" s="15"/>
      <c r="N938" s="8"/>
      <c r="O938" s="8"/>
      <c r="P938" s="17"/>
      <c r="Q938" s="18"/>
      <c r="R938" s="8"/>
      <c r="S938" s="8"/>
    </row>
    <row r="939" customFormat="1" customHeight="1" spans="1:19">
      <c r="A939" s="8"/>
      <c r="B939" s="9"/>
      <c r="C939" s="10"/>
      <c r="D939" s="10"/>
      <c r="E939" s="11"/>
      <c r="F939" s="12"/>
      <c r="G939" s="13"/>
      <c r="H939" s="8"/>
      <c r="I939" s="14"/>
      <c r="J939" s="15"/>
      <c r="K939" s="16"/>
      <c r="L939" s="8"/>
      <c r="M939" s="15"/>
      <c r="N939" s="8"/>
      <c r="O939" s="8"/>
      <c r="P939" s="17"/>
      <c r="Q939" s="18"/>
      <c r="R939" s="8"/>
      <c r="S939" s="8"/>
    </row>
    <row r="940" customFormat="1" customHeight="1" spans="1:19">
      <c r="A940" s="8"/>
      <c r="B940" s="9"/>
      <c r="C940" s="10"/>
      <c r="D940" s="10"/>
      <c r="E940" s="11"/>
      <c r="F940" s="12"/>
      <c r="G940" s="13"/>
      <c r="H940" s="8"/>
      <c r="I940" s="14"/>
      <c r="J940" s="15"/>
      <c r="K940" s="16"/>
      <c r="L940" s="8"/>
      <c r="M940" s="15"/>
      <c r="N940" s="8"/>
      <c r="O940" s="8"/>
      <c r="P940" s="17"/>
      <c r="Q940" s="18"/>
      <c r="R940" s="8"/>
      <c r="S940" s="8"/>
    </row>
    <row r="941" customFormat="1" customHeight="1" spans="1:19">
      <c r="A941" s="8"/>
      <c r="B941" s="9"/>
      <c r="C941" s="10"/>
      <c r="D941" s="10"/>
      <c r="E941" s="11"/>
      <c r="F941" s="12"/>
      <c r="G941" s="13"/>
      <c r="H941" s="8"/>
      <c r="I941" s="14"/>
      <c r="J941" s="15"/>
      <c r="K941" s="16"/>
      <c r="L941" s="8"/>
      <c r="M941" s="15"/>
      <c r="N941" s="8"/>
      <c r="O941" s="8"/>
      <c r="P941" s="17"/>
      <c r="Q941" s="18"/>
      <c r="R941" s="8"/>
      <c r="S941" s="8"/>
    </row>
    <row r="942" customFormat="1" customHeight="1" spans="1:19">
      <c r="A942" s="8"/>
      <c r="B942" s="9"/>
      <c r="C942" s="10"/>
      <c r="D942" s="10"/>
      <c r="E942" s="11"/>
      <c r="F942" s="12"/>
      <c r="G942" s="13"/>
      <c r="H942" s="8"/>
      <c r="I942" s="14"/>
      <c r="J942" s="15"/>
      <c r="K942" s="16"/>
      <c r="L942" s="8"/>
      <c r="M942" s="15"/>
      <c r="N942" s="8"/>
      <c r="O942" s="8"/>
      <c r="P942" s="17"/>
      <c r="Q942" s="18"/>
      <c r="R942" s="8"/>
      <c r="S942" s="8"/>
    </row>
    <row r="943" customFormat="1" customHeight="1" spans="1:19">
      <c r="A943" s="8"/>
      <c r="B943" s="9"/>
      <c r="C943" s="10"/>
      <c r="D943" s="10"/>
      <c r="E943" s="11"/>
      <c r="F943" s="12"/>
      <c r="G943" s="13"/>
      <c r="H943" s="8"/>
      <c r="I943" s="14"/>
      <c r="J943" s="15"/>
      <c r="K943" s="16"/>
      <c r="L943" s="8"/>
      <c r="M943" s="15"/>
      <c r="N943" s="8"/>
      <c r="O943" s="8"/>
      <c r="P943" s="17"/>
      <c r="Q943" s="18"/>
      <c r="R943" s="8"/>
      <c r="S943" s="8"/>
    </row>
    <row r="944" customFormat="1" customHeight="1" spans="1:19">
      <c r="A944" s="8"/>
      <c r="B944" s="9"/>
      <c r="C944" s="10"/>
      <c r="D944" s="10"/>
      <c r="E944" s="11"/>
      <c r="F944" s="12"/>
      <c r="G944" s="13"/>
      <c r="H944" s="8"/>
      <c r="I944" s="14"/>
      <c r="J944" s="15"/>
      <c r="K944" s="16"/>
      <c r="L944" s="8"/>
      <c r="M944" s="15"/>
      <c r="N944" s="8"/>
      <c r="O944" s="8"/>
      <c r="P944" s="17"/>
      <c r="Q944" s="18"/>
      <c r="R944" s="8"/>
      <c r="S944" s="8"/>
    </row>
    <row r="945" customFormat="1" customHeight="1" spans="1:19">
      <c r="A945" s="8"/>
      <c r="B945" s="9"/>
      <c r="C945" s="10"/>
      <c r="D945" s="10"/>
      <c r="E945" s="11"/>
      <c r="F945" s="12"/>
      <c r="G945" s="13"/>
      <c r="H945" s="8"/>
      <c r="I945" s="14"/>
      <c r="J945" s="15"/>
      <c r="K945" s="16"/>
      <c r="L945" s="8"/>
      <c r="M945" s="15"/>
      <c r="N945" s="8"/>
      <c r="O945" s="8"/>
      <c r="P945" s="17"/>
      <c r="Q945" s="18"/>
      <c r="R945" s="8"/>
      <c r="S945" s="8"/>
    </row>
    <row r="946" customFormat="1" customHeight="1" spans="1:19">
      <c r="A946" s="8"/>
      <c r="B946" s="9"/>
      <c r="C946" s="10"/>
      <c r="D946" s="10"/>
      <c r="E946" s="11"/>
      <c r="F946" s="12"/>
      <c r="G946" s="13"/>
      <c r="H946" s="8"/>
      <c r="I946" s="14"/>
      <c r="J946" s="15"/>
      <c r="K946" s="16"/>
      <c r="L946" s="8"/>
      <c r="M946" s="15"/>
      <c r="N946" s="8"/>
      <c r="O946" s="8"/>
      <c r="P946" s="17"/>
      <c r="Q946" s="18"/>
      <c r="R946" s="8"/>
      <c r="S946" s="8"/>
    </row>
    <row r="947" customFormat="1" customHeight="1" spans="1:19">
      <c r="A947" s="8"/>
      <c r="B947" s="9"/>
      <c r="C947" s="10"/>
      <c r="D947" s="10"/>
      <c r="E947" s="11"/>
      <c r="F947" s="12"/>
      <c r="G947" s="13"/>
      <c r="H947" s="8"/>
      <c r="I947" s="14"/>
      <c r="J947" s="15"/>
      <c r="K947" s="16"/>
      <c r="L947" s="8"/>
      <c r="M947" s="15"/>
      <c r="N947" s="8"/>
      <c r="O947" s="8"/>
      <c r="P947" s="17"/>
      <c r="Q947" s="18"/>
      <c r="R947" s="8"/>
      <c r="S947" s="8"/>
    </row>
    <row r="948" customFormat="1" customHeight="1" spans="1:19">
      <c r="A948" s="8"/>
      <c r="B948" s="9"/>
      <c r="C948" s="10"/>
      <c r="D948" s="10"/>
      <c r="E948" s="11"/>
      <c r="F948" s="12"/>
      <c r="G948" s="13"/>
      <c r="H948" s="8"/>
      <c r="I948" s="14"/>
      <c r="J948" s="15"/>
      <c r="K948" s="16"/>
      <c r="L948" s="8"/>
      <c r="M948" s="15"/>
      <c r="N948" s="8"/>
      <c r="O948" s="8"/>
      <c r="P948" s="17"/>
      <c r="Q948" s="18"/>
      <c r="R948" s="8"/>
      <c r="S948" s="8"/>
    </row>
    <row r="949" customFormat="1" customHeight="1" spans="1:19">
      <c r="A949" s="8"/>
      <c r="B949" s="9"/>
      <c r="C949" s="10"/>
      <c r="D949" s="10"/>
      <c r="E949" s="11"/>
      <c r="F949" s="12"/>
      <c r="G949" s="13"/>
      <c r="H949" s="8"/>
      <c r="I949" s="14"/>
      <c r="J949" s="15"/>
      <c r="K949" s="16"/>
      <c r="L949" s="8"/>
      <c r="M949" s="15"/>
      <c r="N949" s="8"/>
      <c r="O949" s="8"/>
      <c r="P949" s="17"/>
      <c r="Q949" s="18"/>
      <c r="R949" s="8"/>
      <c r="S949" s="8"/>
    </row>
    <row r="950" customFormat="1" customHeight="1" spans="1:19">
      <c r="A950" s="8"/>
      <c r="B950" s="9"/>
      <c r="C950" s="10"/>
      <c r="D950" s="10"/>
      <c r="E950" s="11"/>
      <c r="F950" s="12"/>
      <c r="G950" s="13"/>
      <c r="H950" s="8"/>
      <c r="I950" s="14"/>
      <c r="J950" s="15"/>
      <c r="K950" s="16"/>
      <c r="L950" s="8"/>
      <c r="M950" s="15"/>
      <c r="N950" s="8"/>
      <c r="O950" s="8"/>
      <c r="P950" s="17"/>
      <c r="Q950" s="18"/>
      <c r="R950" s="8"/>
      <c r="S950" s="8"/>
    </row>
    <row r="951" customFormat="1" customHeight="1" spans="1:19">
      <c r="A951" s="8"/>
      <c r="B951" s="9"/>
      <c r="C951" s="10"/>
      <c r="D951" s="10"/>
      <c r="E951" s="11"/>
      <c r="F951" s="12"/>
      <c r="G951" s="13"/>
      <c r="H951" s="8"/>
      <c r="I951" s="14"/>
      <c r="J951" s="15"/>
      <c r="K951" s="16"/>
      <c r="L951" s="8"/>
      <c r="M951" s="15"/>
      <c r="N951" s="8"/>
      <c r="O951" s="8"/>
      <c r="P951" s="17"/>
      <c r="Q951" s="18"/>
      <c r="R951" s="8"/>
      <c r="S951" s="8"/>
    </row>
    <row r="952" customFormat="1" customHeight="1" spans="1:19">
      <c r="A952" s="8"/>
      <c r="B952" s="9"/>
      <c r="C952" s="10"/>
      <c r="D952" s="10"/>
      <c r="E952" s="11"/>
      <c r="F952" s="12"/>
      <c r="G952" s="13"/>
      <c r="H952" s="8"/>
      <c r="I952" s="14"/>
      <c r="J952" s="15"/>
      <c r="K952" s="16"/>
      <c r="L952" s="8"/>
      <c r="M952" s="15"/>
      <c r="N952" s="8"/>
      <c r="O952" s="8"/>
      <c r="P952" s="17"/>
      <c r="Q952" s="18"/>
      <c r="R952" s="8"/>
      <c r="S952" s="8"/>
    </row>
    <row r="953" customFormat="1" customHeight="1" spans="1:19">
      <c r="A953" s="8"/>
      <c r="B953" s="9"/>
      <c r="C953" s="10"/>
      <c r="D953" s="10"/>
      <c r="E953" s="11"/>
      <c r="F953" s="12"/>
      <c r="G953" s="13"/>
      <c r="H953" s="8"/>
      <c r="I953" s="14"/>
      <c r="J953" s="15"/>
      <c r="K953" s="16"/>
      <c r="L953" s="8"/>
      <c r="M953" s="15"/>
      <c r="N953" s="8"/>
      <c r="O953" s="8"/>
      <c r="P953" s="17"/>
      <c r="Q953" s="18"/>
      <c r="R953" s="8"/>
      <c r="S953" s="8"/>
    </row>
    <row r="954" customFormat="1" customHeight="1" spans="1:19">
      <c r="A954" s="8"/>
      <c r="B954" s="9"/>
      <c r="C954" s="10"/>
      <c r="D954" s="10"/>
      <c r="E954" s="11"/>
      <c r="F954" s="12"/>
      <c r="G954" s="13"/>
      <c r="H954" s="8"/>
      <c r="I954" s="14"/>
      <c r="J954" s="15"/>
      <c r="K954" s="16"/>
      <c r="L954" s="8"/>
      <c r="M954" s="15"/>
      <c r="N954" s="8"/>
      <c r="O954" s="8"/>
      <c r="P954" s="17"/>
      <c r="Q954" s="18"/>
      <c r="R954" s="8"/>
      <c r="S954" s="8"/>
    </row>
    <row r="955" customFormat="1" customHeight="1" spans="1:19">
      <c r="A955" s="8"/>
      <c r="B955" s="9"/>
      <c r="C955" s="10"/>
      <c r="D955" s="10"/>
      <c r="E955" s="11"/>
      <c r="F955" s="12"/>
      <c r="G955" s="13"/>
      <c r="H955" s="8"/>
      <c r="I955" s="14"/>
      <c r="J955" s="15"/>
      <c r="K955" s="16"/>
      <c r="L955" s="8"/>
      <c r="M955" s="15"/>
      <c r="N955" s="8"/>
      <c r="O955" s="8"/>
      <c r="P955" s="17"/>
      <c r="Q955" s="18"/>
      <c r="R955" s="8"/>
      <c r="S955" s="8"/>
    </row>
    <row r="956" customFormat="1" customHeight="1" spans="1:19">
      <c r="A956" s="8"/>
      <c r="B956" s="9"/>
      <c r="C956" s="10"/>
      <c r="D956" s="10"/>
      <c r="E956" s="11"/>
      <c r="F956" s="12"/>
      <c r="G956" s="13"/>
      <c r="H956" s="8"/>
      <c r="I956" s="14"/>
      <c r="J956" s="15"/>
      <c r="K956" s="16"/>
      <c r="L956" s="8"/>
      <c r="M956" s="15"/>
      <c r="N956" s="8"/>
      <c r="O956" s="8"/>
      <c r="P956" s="17"/>
      <c r="Q956" s="18"/>
      <c r="R956" s="8"/>
      <c r="S956" s="8"/>
    </row>
    <row r="957" customFormat="1" customHeight="1" spans="1:19">
      <c r="A957" s="8"/>
      <c r="B957" s="9"/>
      <c r="C957" s="10"/>
      <c r="D957" s="10"/>
      <c r="E957" s="11"/>
      <c r="F957" s="12"/>
      <c r="G957" s="13"/>
      <c r="H957" s="8"/>
      <c r="I957" s="14"/>
      <c r="J957" s="15"/>
      <c r="K957" s="16"/>
      <c r="L957" s="8"/>
      <c r="M957" s="15"/>
      <c r="N957" s="8"/>
      <c r="O957" s="8"/>
      <c r="P957" s="17"/>
      <c r="Q957" s="18"/>
      <c r="R957" s="8"/>
      <c r="S957" s="8"/>
    </row>
    <row r="958" customFormat="1" customHeight="1" spans="1:19">
      <c r="A958" s="8"/>
      <c r="B958" s="9"/>
      <c r="C958" s="10"/>
      <c r="D958" s="10"/>
      <c r="E958" s="11"/>
      <c r="F958" s="12"/>
      <c r="G958" s="13"/>
      <c r="H958" s="8"/>
      <c r="I958" s="14"/>
      <c r="J958" s="15"/>
      <c r="K958" s="16"/>
      <c r="L958" s="8"/>
      <c r="M958" s="15"/>
      <c r="N958" s="8"/>
      <c r="O958" s="8"/>
      <c r="P958" s="17"/>
      <c r="Q958" s="18"/>
      <c r="R958" s="8"/>
      <c r="S958" s="8"/>
    </row>
    <row r="959" customFormat="1" customHeight="1" spans="1:19">
      <c r="A959" s="8"/>
      <c r="B959" s="9"/>
      <c r="C959" s="10"/>
      <c r="D959" s="10"/>
      <c r="E959" s="11"/>
      <c r="F959" s="12"/>
      <c r="G959" s="13"/>
      <c r="H959" s="8"/>
      <c r="I959" s="14"/>
      <c r="J959" s="15"/>
      <c r="K959" s="16"/>
      <c r="L959" s="8"/>
      <c r="M959" s="15"/>
      <c r="N959" s="8"/>
      <c r="O959" s="8"/>
      <c r="P959" s="17"/>
      <c r="Q959" s="18"/>
      <c r="R959" s="8"/>
      <c r="S959" s="8"/>
    </row>
    <row r="960" customFormat="1" customHeight="1" spans="1:19">
      <c r="A960" s="8"/>
      <c r="B960" s="9"/>
      <c r="C960" s="10"/>
      <c r="D960" s="10"/>
      <c r="E960" s="11"/>
      <c r="F960" s="12"/>
      <c r="G960" s="13"/>
      <c r="H960" s="8"/>
      <c r="I960" s="14"/>
      <c r="J960" s="15"/>
      <c r="K960" s="16"/>
      <c r="L960" s="8"/>
      <c r="M960" s="15"/>
      <c r="N960" s="8"/>
      <c r="O960" s="8"/>
      <c r="P960" s="17"/>
      <c r="Q960" s="18"/>
      <c r="R960" s="8"/>
      <c r="S960" s="8"/>
    </row>
    <row r="961" customFormat="1" customHeight="1" spans="1:19">
      <c r="A961" s="8"/>
      <c r="B961" s="9"/>
      <c r="C961" s="10"/>
      <c r="D961" s="10"/>
      <c r="E961" s="11"/>
      <c r="F961" s="12"/>
      <c r="G961" s="13"/>
      <c r="H961" s="8"/>
      <c r="I961" s="14"/>
      <c r="J961" s="15"/>
      <c r="K961" s="16"/>
      <c r="L961" s="8"/>
      <c r="M961" s="15"/>
      <c r="N961" s="8"/>
      <c r="O961" s="8"/>
      <c r="P961" s="17"/>
      <c r="Q961" s="18"/>
      <c r="R961" s="8"/>
      <c r="S961" s="8"/>
    </row>
    <row r="962" customFormat="1" customHeight="1" spans="1:19">
      <c r="A962" s="8"/>
      <c r="B962" s="9"/>
      <c r="C962" s="10"/>
      <c r="D962" s="10"/>
      <c r="E962" s="11"/>
      <c r="F962" s="12"/>
      <c r="G962" s="13"/>
      <c r="H962" s="8"/>
      <c r="I962" s="14"/>
      <c r="J962" s="15"/>
      <c r="K962" s="16"/>
      <c r="L962" s="8"/>
      <c r="M962" s="15"/>
      <c r="N962" s="8"/>
      <c r="O962" s="8"/>
      <c r="P962" s="17"/>
      <c r="Q962" s="18"/>
      <c r="R962" s="8"/>
      <c r="S962" s="8"/>
    </row>
    <row r="963" customFormat="1" customHeight="1" spans="1:19">
      <c r="A963" s="8"/>
      <c r="B963" s="9"/>
      <c r="C963" s="10"/>
      <c r="D963" s="10"/>
      <c r="E963" s="11"/>
      <c r="F963" s="12"/>
      <c r="G963" s="13"/>
      <c r="H963" s="8"/>
      <c r="I963" s="14"/>
      <c r="J963" s="15"/>
      <c r="K963" s="16"/>
      <c r="L963" s="8"/>
      <c r="M963" s="15"/>
      <c r="N963" s="8"/>
      <c r="O963" s="8"/>
      <c r="P963" s="17"/>
      <c r="Q963" s="18"/>
      <c r="R963" s="8"/>
      <c r="S963" s="8"/>
    </row>
    <row r="964" customFormat="1" customHeight="1" spans="1:19">
      <c r="A964" s="8"/>
      <c r="B964" s="9"/>
      <c r="C964" s="10"/>
      <c r="D964" s="10"/>
      <c r="E964" s="11"/>
      <c r="F964" s="12"/>
      <c r="G964" s="13"/>
      <c r="H964" s="8"/>
      <c r="I964" s="14"/>
      <c r="J964" s="15"/>
      <c r="K964" s="16"/>
      <c r="L964" s="8"/>
      <c r="M964" s="15"/>
      <c r="N964" s="8"/>
      <c r="O964" s="8"/>
      <c r="P964" s="17"/>
      <c r="Q964" s="18"/>
      <c r="R964" s="8"/>
      <c r="S964" s="8"/>
    </row>
    <row r="965" customFormat="1" customHeight="1" spans="1:19">
      <c r="A965" s="8"/>
      <c r="B965" s="9"/>
      <c r="C965" s="10"/>
      <c r="D965" s="10"/>
      <c r="E965" s="11"/>
      <c r="F965" s="12"/>
      <c r="G965" s="13"/>
      <c r="H965" s="8"/>
      <c r="I965" s="14"/>
      <c r="J965" s="15"/>
      <c r="K965" s="16"/>
      <c r="L965" s="8"/>
      <c r="M965" s="15"/>
      <c r="N965" s="8"/>
      <c r="O965" s="8"/>
      <c r="P965" s="17"/>
      <c r="Q965" s="18"/>
      <c r="R965" s="8"/>
      <c r="S965" s="8"/>
    </row>
    <row r="966" customFormat="1" customHeight="1" spans="1:19">
      <c r="A966" s="8"/>
      <c r="B966" s="9"/>
      <c r="C966" s="10"/>
      <c r="D966" s="10"/>
      <c r="E966" s="11"/>
      <c r="F966" s="12"/>
      <c r="G966" s="13"/>
      <c r="H966" s="8"/>
      <c r="I966" s="14"/>
      <c r="J966" s="15"/>
      <c r="K966" s="16"/>
      <c r="L966" s="8"/>
      <c r="M966" s="15"/>
      <c r="N966" s="8"/>
      <c r="O966" s="8"/>
      <c r="P966" s="17"/>
      <c r="Q966" s="18"/>
      <c r="R966" s="8"/>
      <c r="S966" s="8"/>
    </row>
    <row r="967" customFormat="1" customHeight="1" spans="1:19">
      <c r="A967" s="8"/>
      <c r="B967" s="9"/>
      <c r="C967" s="10"/>
      <c r="D967" s="10"/>
      <c r="E967" s="11"/>
      <c r="F967" s="12"/>
      <c r="G967" s="13"/>
      <c r="H967" s="8"/>
      <c r="I967" s="14"/>
      <c r="J967" s="15"/>
      <c r="K967" s="16"/>
      <c r="L967" s="8"/>
      <c r="M967" s="15"/>
      <c r="N967" s="8"/>
      <c r="O967" s="8"/>
      <c r="P967" s="17"/>
      <c r="Q967" s="18"/>
      <c r="R967" s="8"/>
      <c r="S967" s="8"/>
    </row>
    <row r="968" customFormat="1" customHeight="1" spans="1:19">
      <c r="A968" s="8"/>
      <c r="B968" s="9"/>
      <c r="C968" s="10"/>
      <c r="D968" s="10"/>
      <c r="E968" s="11"/>
      <c r="F968" s="12"/>
      <c r="G968" s="13"/>
      <c r="H968" s="8"/>
      <c r="I968" s="14"/>
      <c r="J968" s="15"/>
      <c r="K968" s="16"/>
      <c r="L968" s="8"/>
      <c r="M968" s="15"/>
      <c r="N968" s="8"/>
      <c r="O968" s="8"/>
      <c r="P968" s="17"/>
      <c r="Q968" s="18"/>
      <c r="R968" s="8"/>
      <c r="S968" s="8"/>
    </row>
    <row r="969" customFormat="1" customHeight="1" spans="1:19">
      <c r="A969" s="8"/>
      <c r="B969" s="9"/>
      <c r="C969" s="10"/>
      <c r="D969" s="10"/>
      <c r="E969" s="11"/>
      <c r="F969" s="12"/>
      <c r="G969" s="13"/>
      <c r="H969" s="8"/>
      <c r="I969" s="14"/>
      <c r="J969" s="15"/>
      <c r="K969" s="16"/>
      <c r="L969" s="8"/>
      <c r="M969" s="15"/>
      <c r="N969" s="8"/>
      <c r="O969" s="8"/>
      <c r="P969" s="17"/>
      <c r="Q969" s="18"/>
      <c r="R969" s="8"/>
      <c r="S969" s="8"/>
    </row>
    <row r="970" customFormat="1" customHeight="1" spans="1:19">
      <c r="A970" s="8"/>
      <c r="B970" s="9"/>
      <c r="C970" s="10"/>
      <c r="D970" s="10"/>
      <c r="E970" s="11"/>
      <c r="F970" s="12"/>
      <c r="G970" s="13"/>
      <c r="H970" s="8"/>
      <c r="I970" s="14"/>
      <c r="J970" s="15"/>
      <c r="K970" s="16"/>
      <c r="L970" s="8"/>
      <c r="M970" s="15"/>
      <c r="N970" s="8"/>
      <c r="O970" s="8"/>
      <c r="P970" s="17"/>
      <c r="Q970" s="18"/>
      <c r="R970" s="8"/>
      <c r="S970" s="8"/>
    </row>
    <row r="971" customFormat="1" customHeight="1" spans="1:19">
      <c r="A971" s="8"/>
      <c r="B971" s="9"/>
      <c r="C971" s="10"/>
      <c r="D971" s="10"/>
      <c r="E971" s="11"/>
      <c r="F971" s="12"/>
      <c r="G971" s="13"/>
      <c r="H971" s="8"/>
      <c r="I971" s="14"/>
      <c r="J971" s="15"/>
      <c r="K971" s="16"/>
      <c r="L971" s="8"/>
      <c r="M971" s="15"/>
      <c r="N971" s="8"/>
      <c r="O971" s="8"/>
      <c r="P971" s="17"/>
      <c r="Q971" s="18"/>
      <c r="R971" s="8"/>
      <c r="S971" s="8"/>
    </row>
    <row r="972" customFormat="1" customHeight="1" spans="1:19">
      <c r="A972" s="8"/>
      <c r="B972" s="9"/>
      <c r="C972" s="10"/>
      <c r="D972" s="10"/>
      <c r="E972" s="11"/>
      <c r="F972" s="12"/>
      <c r="G972" s="13"/>
      <c r="H972" s="8"/>
      <c r="I972" s="14"/>
      <c r="J972" s="15"/>
      <c r="K972" s="16"/>
      <c r="L972" s="8"/>
      <c r="M972" s="15"/>
      <c r="N972" s="8"/>
      <c r="O972" s="8"/>
      <c r="P972" s="17"/>
      <c r="Q972" s="18"/>
      <c r="R972" s="8"/>
      <c r="S972" s="8"/>
    </row>
    <row r="973" customFormat="1" customHeight="1" spans="1:19">
      <c r="A973" s="8"/>
      <c r="B973" s="9"/>
      <c r="C973" s="10"/>
      <c r="D973" s="10"/>
      <c r="E973" s="11"/>
      <c r="F973" s="12"/>
      <c r="G973" s="13"/>
      <c r="H973" s="8"/>
      <c r="I973" s="14"/>
      <c r="J973" s="15"/>
      <c r="K973" s="16"/>
      <c r="L973" s="8"/>
      <c r="M973" s="15"/>
      <c r="N973" s="8"/>
      <c r="O973" s="8"/>
      <c r="P973" s="17"/>
      <c r="Q973" s="18"/>
      <c r="R973" s="8"/>
      <c r="S973" s="8"/>
    </row>
    <row r="974" customFormat="1" customHeight="1" spans="1:19">
      <c r="A974" s="8"/>
      <c r="B974" s="9"/>
      <c r="C974" s="10"/>
      <c r="D974" s="10"/>
      <c r="E974" s="11"/>
      <c r="F974" s="12"/>
      <c r="G974" s="13"/>
      <c r="H974" s="8"/>
      <c r="I974" s="14"/>
      <c r="J974" s="15"/>
      <c r="K974" s="16"/>
      <c r="L974" s="8"/>
      <c r="M974" s="15"/>
      <c r="N974" s="8"/>
      <c r="O974" s="8"/>
      <c r="P974" s="17"/>
      <c r="Q974" s="18"/>
      <c r="R974" s="8"/>
      <c r="S974" s="8"/>
    </row>
    <row r="975" customFormat="1" customHeight="1" spans="1:19">
      <c r="A975" s="8"/>
      <c r="B975" s="9"/>
      <c r="C975" s="10"/>
      <c r="D975" s="10"/>
      <c r="E975" s="11"/>
      <c r="F975" s="12"/>
      <c r="G975" s="13"/>
      <c r="H975" s="8"/>
      <c r="I975" s="14"/>
      <c r="J975" s="15"/>
      <c r="K975" s="16"/>
      <c r="L975" s="8"/>
      <c r="M975" s="15"/>
      <c r="N975" s="8"/>
      <c r="O975" s="8"/>
      <c r="P975" s="17"/>
      <c r="Q975" s="18"/>
      <c r="R975" s="8"/>
      <c r="S975" s="8"/>
    </row>
    <row r="976" customFormat="1" customHeight="1" spans="1:19">
      <c r="A976" s="8"/>
      <c r="B976" s="9"/>
      <c r="C976" s="10"/>
      <c r="D976" s="10"/>
      <c r="E976" s="11"/>
      <c r="F976" s="12"/>
      <c r="G976" s="13"/>
      <c r="H976" s="8"/>
      <c r="I976" s="14"/>
      <c r="J976" s="15"/>
      <c r="K976" s="16"/>
      <c r="L976" s="8"/>
      <c r="M976" s="15"/>
      <c r="N976" s="8"/>
      <c r="O976" s="8"/>
      <c r="P976" s="17"/>
      <c r="Q976" s="18"/>
      <c r="R976" s="8"/>
      <c r="S976" s="8"/>
    </row>
    <row r="977" customFormat="1" customHeight="1" spans="1:19">
      <c r="A977" s="8"/>
      <c r="B977" s="9"/>
      <c r="C977" s="10"/>
      <c r="D977" s="10"/>
      <c r="E977" s="11"/>
      <c r="F977" s="12"/>
      <c r="G977" s="13"/>
      <c r="H977" s="8"/>
      <c r="I977" s="14"/>
      <c r="J977" s="15"/>
      <c r="K977" s="16"/>
      <c r="L977" s="8"/>
      <c r="M977" s="15"/>
      <c r="N977" s="8"/>
      <c r="O977" s="8"/>
      <c r="P977" s="17"/>
      <c r="Q977" s="18"/>
      <c r="R977" s="8"/>
      <c r="S977" s="8"/>
    </row>
    <row r="978" customFormat="1" customHeight="1" spans="1:19">
      <c r="A978" s="8"/>
      <c r="B978" s="9"/>
      <c r="C978" s="10"/>
      <c r="D978" s="10"/>
      <c r="E978" s="11"/>
      <c r="F978" s="12"/>
      <c r="G978" s="13"/>
      <c r="H978" s="8"/>
      <c r="I978" s="14"/>
      <c r="J978" s="15"/>
      <c r="K978" s="16"/>
      <c r="L978" s="8"/>
      <c r="M978" s="15"/>
      <c r="N978" s="8"/>
      <c r="O978" s="8"/>
      <c r="P978" s="17"/>
      <c r="Q978" s="18"/>
      <c r="R978" s="8"/>
      <c r="S978" s="8"/>
    </row>
    <row r="979" customFormat="1" customHeight="1" spans="1:19">
      <c r="A979" s="8"/>
      <c r="B979" s="9"/>
      <c r="C979" s="10"/>
      <c r="D979" s="10"/>
      <c r="E979" s="11"/>
      <c r="F979" s="12"/>
      <c r="G979" s="13"/>
      <c r="H979" s="8"/>
      <c r="I979" s="14"/>
      <c r="J979" s="15"/>
      <c r="K979" s="16"/>
      <c r="L979" s="8"/>
      <c r="M979" s="15"/>
      <c r="N979" s="8"/>
      <c r="O979" s="8"/>
      <c r="P979" s="17"/>
      <c r="Q979" s="18"/>
      <c r="R979" s="8"/>
      <c r="S979" s="8"/>
    </row>
    <row r="980" customFormat="1" customHeight="1" spans="1:19">
      <c r="A980" s="8"/>
      <c r="B980" s="9"/>
      <c r="C980" s="10"/>
      <c r="D980" s="10"/>
      <c r="E980" s="11"/>
      <c r="F980" s="12"/>
      <c r="G980" s="13"/>
      <c r="H980" s="8"/>
      <c r="I980" s="14"/>
      <c r="J980" s="15"/>
      <c r="K980" s="16"/>
      <c r="L980" s="8"/>
      <c r="M980" s="15"/>
      <c r="N980" s="8"/>
      <c r="O980" s="8"/>
      <c r="P980" s="17"/>
      <c r="Q980" s="18"/>
      <c r="R980" s="8"/>
      <c r="S980" s="8"/>
    </row>
    <row r="981" customFormat="1" customHeight="1" spans="1:19">
      <c r="A981" s="8"/>
      <c r="B981" s="9"/>
      <c r="C981" s="10"/>
      <c r="D981" s="10"/>
      <c r="E981" s="11"/>
      <c r="F981" s="12"/>
      <c r="G981" s="13"/>
      <c r="H981" s="8"/>
      <c r="I981" s="14"/>
      <c r="J981" s="15"/>
      <c r="K981" s="16"/>
      <c r="L981" s="8"/>
      <c r="M981" s="15"/>
      <c r="N981" s="8"/>
      <c r="O981" s="8"/>
      <c r="P981" s="17"/>
      <c r="Q981" s="18"/>
      <c r="R981" s="8"/>
      <c r="S981" s="8"/>
    </row>
    <row r="982" customFormat="1" customHeight="1" spans="1:19">
      <c r="A982" s="8"/>
      <c r="B982" s="9"/>
      <c r="C982" s="10"/>
      <c r="D982" s="10"/>
      <c r="E982" s="11"/>
      <c r="F982" s="12"/>
      <c r="G982" s="13"/>
      <c r="H982" s="8"/>
      <c r="I982" s="14"/>
      <c r="J982" s="15"/>
      <c r="K982" s="16"/>
      <c r="L982" s="8"/>
      <c r="M982" s="15"/>
      <c r="N982" s="8"/>
      <c r="O982" s="8"/>
      <c r="P982" s="17"/>
      <c r="Q982" s="18"/>
      <c r="R982" s="8"/>
      <c r="S982" s="8"/>
    </row>
    <row r="983" customFormat="1" customHeight="1" spans="1:19">
      <c r="A983" s="8"/>
      <c r="B983" s="9"/>
      <c r="C983" s="10"/>
      <c r="D983" s="10"/>
      <c r="E983" s="11"/>
      <c r="F983" s="12"/>
      <c r="G983" s="13"/>
      <c r="H983" s="8"/>
      <c r="I983" s="14"/>
      <c r="J983" s="15"/>
      <c r="K983" s="16"/>
      <c r="L983" s="8"/>
      <c r="M983" s="15"/>
      <c r="N983" s="8"/>
      <c r="O983" s="8"/>
      <c r="P983" s="17"/>
      <c r="Q983" s="18"/>
      <c r="R983" s="8"/>
      <c r="S983" s="8"/>
    </row>
    <row r="984" customFormat="1" customHeight="1" spans="1:19">
      <c r="A984" s="8"/>
      <c r="B984" s="9"/>
      <c r="C984" s="10"/>
      <c r="D984" s="10"/>
      <c r="E984" s="11"/>
      <c r="F984" s="12"/>
      <c r="G984" s="13"/>
      <c r="H984" s="8"/>
      <c r="I984" s="14"/>
      <c r="J984" s="15"/>
      <c r="K984" s="16"/>
      <c r="L984" s="8"/>
      <c r="M984" s="15"/>
      <c r="N984" s="8"/>
      <c r="O984" s="8"/>
      <c r="P984" s="17"/>
      <c r="Q984" s="18"/>
      <c r="R984" s="8"/>
      <c r="S984" s="8"/>
    </row>
    <row r="985" customFormat="1" customHeight="1" spans="1:19">
      <c r="A985" s="8"/>
      <c r="B985" s="9"/>
      <c r="C985" s="10"/>
      <c r="D985" s="10"/>
      <c r="E985" s="11"/>
      <c r="F985" s="12"/>
      <c r="G985" s="13"/>
      <c r="H985" s="8"/>
      <c r="I985" s="14"/>
      <c r="J985" s="15"/>
      <c r="K985" s="16"/>
      <c r="L985" s="8"/>
      <c r="M985" s="15"/>
      <c r="N985" s="8"/>
      <c r="O985" s="8"/>
      <c r="P985" s="17"/>
      <c r="Q985" s="18"/>
      <c r="R985" s="8"/>
      <c r="S985" s="8"/>
    </row>
    <row r="986" customFormat="1" customHeight="1" spans="1:19">
      <c r="A986" s="8"/>
      <c r="B986" s="9"/>
      <c r="C986" s="10"/>
      <c r="D986" s="10"/>
      <c r="E986" s="11"/>
      <c r="F986" s="12"/>
      <c r="G986" s="13"/>
      <c r="H986" s="8"/>
      <c r="I986" s="14"/>
      <c r="J986" s="15"/>
      <c r="K986" s="16"/>
      <c r="L986" s="8"/>
      <c r="M986" s="15"/>
      <c r="N986" s="8"/>
      <c r="O986" s="8"/>
      <c r="P986" s="17"/>
      <c r="Q986" s="18"/>
      <c r="R986" s="8"/>
      <c r="S986" s="8"/>
    </row>
    <row r="987" customFormat="1" customHeight="1" spans="1:19">
      <c r="A987" s="8"/>
      <c r="B987" s="9"/>
      <c r="C987" s="10"/>
      <c r="D987" s="10"/>
      <c r="E987" s="11"/>
      <c r="F987" s="12"/>
      <c r="G987" s="13"/>
      <c r="H987" s="8"/>
      <c r="I987" s="14"/>
      <c r="J987" s="15"/>
      <c r="K987" s="16"/>
      <c r="L987" s="8"/>
      <c r="M987" s="15"/>
      <c r="N987" s="8"/>
      <c r="O987" s="8"/>
      <c r="P987" s="17"/>
      <c r="Q987" s="18"/>
      <c r="R987" s="8"/>
      <c r="S987" s="8"/>
    </row>
    <row r="988" customFormat="1" customHeight="1" spans="1:19">
      <c r="A988" s="8"/>
      <c r="B988" s="9"/>
      <c r="C988" s="10"/>
      <c r="D988" s="10"/>
      <c r="E988" s="11"/>
      <c r="F988" s="12"/>
      <c r="G988" s="13"/>
      <c r="H988" s="8"/>
      <c r="I988" s="14"/>
      <c r="J988" s="15"/>
      <c r="K988" s="16"/>
      <c r="L988" s="8"/>
      <c r="M988" s="15"/>
      <c r="N988" s="8"/>
      <c r="O988" s="8"/>
      <c r="P988" s="17"/>
      <c r="Q988" s="18"/>
      <c r="R988" s="8"/>
      <c r="S988" s="8"/>
    </row>
    <row r="989" customFormat="1" customHeight="1" spans="1:19">
      <c r="A989" s="8"/>
      <c r="B989" s="9"/>
      <c r="C989" s="10"/>
      <c r="D989" s="10"/>
      <c r="E989" s="11"/>
      <c r="F989" s="12"/>
      <c r="G989" s="13"/>
      <c r="H989" s="8"/>
      <c r="I989" s="14"/>
      <c r="J989" s="15"/>
      <c r="K989" s="16"/>
      <c r="L989" s="8"/>
      <c r="M989" s="15"/>
      <c r="N989" s="8"/>
      <c r="O989" s="8"/>
      <c r="P989" s="17"/>
      <c r="Q989" s="18"/>
      <c r="R989" s="8"/>
      <c r="S989" s="8"/>
    </row>
    <row r="990" customFormat="1" customHeight="1" spans="1:19">
      <c r="A990" s="8"/>
      <c r="B990" s="9"/>
      <c r="C990" s="10"/>
      <c r="D990" s="10"/>
      <c r="E990" s="11"/>
      <c r="F990" s="12"/>
      <c r="G990" s="13"/>
      <c r="H990" s="8"/>
      <c r="I990" s="14"/>
      <c r="J990" s="15"/>
      <c r="K990" s="16"/>
      <c r="L990" s="8"/>
      <c r="M990" s="15"/>
      <c r="N990" s="8"/>
      <c r="O990" s="8"/>
      <c r="P990" s="17"/>
      <c r="Q990" s="18"/>
      <c r="R990" s="8"/>
      <c r="S990" s="8"/>
    </row>
    <row r="991" customFormat="1" customHeight="1" spans="1:19">
      <c r="A991" s="8"/>
      <c r="B991" s="9"/>
      <c r="C991" s="10"/>
      <c r="D991" s="10"/>
      <c r="E991" s="11"/>
      <c r="F991" s="12"/>
      <c r="G991" s="13"/>
      <c r="H991" s="8"/>
      <c r="I991" s="14"/>
      <c r="J991" s="15"/>
      <c r="K991" s="16"/>
      <c r="L991" s="8"/>
      <c r="M991" s="15"/>
      <c r="N991" s="8"/>
      <c r="O991" s="8"/>
      <c r="P991" s="17"/>
      <c r="Q991" s="18"/>
      <c r="R991" s="8"/>
      <c r="S991" s="8"/>
    </row>
    <row r="992" customFormat="1" customHeight="1" spans="1:19">
      <c r="A992" s="8"/>
      <c r="B992" s="9"/>
      <c r="C992" s="10"/>
      <c r="D992" s="10"/>
      <c r="E992" s="11"/>
      <c r="F992" s="12"/>
      <c r="G992" s="13"/>
      <c r="H992" s="8"/>
      <c r="I992" s="14"/>
      <c r="J992" s="15"/>
      <c r="K992" s="16"/>
      <c r="L992" s="8"/>
      <c r="M992" s="15"/>
      <c r="N992" s="8"/>
      <c r="O992" s="8"/>
      <c r="P992" s="17"/>
      <c r="Q992" s="18"/>
      <c r="R992" s="8"/>
      <c r="S992" s="8"/>
    </row>
    <row r="993" customFormat="1" customHeight="1" spans="1:19">
      <c r="A993" s="8"/>
      <c r="B993" s="9"/>
      <c r="C993" s="10"/>
      <c r="D993" s="10"/>
      <c r="E993" s="11"/>
      <c r="F993" s="12"/>
      <c r="G993" s="13"/>
      <c r="H993" s="8"/>
      <c r="I993" s="14"/>
      <c r="J993" s="15"/>
      <c r="K993" s="16"/>
      <c r="L993" s="8"/>
      <c r="M993" s="15"/>
      <c r="N993" s="8"/>
      <c r="O993" s="8"/>
      <c r="P993" s="17"/>
      <c r="Q993" s="18"/>
      <c r="R993" s="8"/>
      <c r="S993" s="8"/>
    </row>
    <row r="994" customFormat="1" customHeight="1" spans="1:19">
      <c r="A994" s="8"/>
      <c r="B994" s="9"/>
      <c r="C994" s="10"/>
      <c r="D994" s="10"/>
      <c r="E994" s="11"/>
      <c r="F994" s="12"/>
      <c r="G994" s="13"/>
      <c r="H994" s="8"/>
      <c r="I994" s="14"/>
      <c r="J994" s="15"/>
      <c r="K994" s="16"/>
      <c r="L994" s="8"/>
      <c r="M994" s="15"/>
      <c r="N994" s="8"/>
      <c r="O994" s="8"/>
      <c r="P994" s="17"/>
      <c r="Q994" s="18"/>
      <c r="R994" s="8"/>
      <c r="S994" s="8"/>
    </row>
    <row r="995" customFormat="1" customHeight="1" spans="1:19">
      <c r="A995" s="8"/>
      <c r="B995" s="9"/>
      <c r="C995" s="10"/>
      <c r="D995" s="10"/>
      <c r="E995" s="11"/>
      <c r="F995" s="12"/>
      <c r="G995" s="13"/>
      <c r="H995" s="8"/>
      <c r="I995" s="14"/>
      <c r="J995" s="15"/>
      <c r="K995" s="16"/>
      <c r="L995" s="8"/>
      <c r="M995" s="15"/>
      <c r="N995" s="8"/>
      <c r="O995" s="8"/>
      <c r="P995" s="17"/>
      <c r="Q995" s="18"/>
      <c r="R995" s="8"/>
      <c r="S995" s="8"/>
    </row>
    <row r="996" customFormat="1" customHeight="1" spans="1:19">
      <c r="A996" s="8"/>
      <c r="B996" s="9"/>
      <c r="C996" s="10"/>
      <c r="D996" s="10"/>
      <c r="E996" s="11"/>
      <c r="F996" s="12"/>
      <c r="G996" s="13"/>
      <c r="H996" s="8"/>
      <c r="I996" s="14"/>
      <c r="J996" s="15"/>
      <c r="K996" s="16"/>
      <c r="L996" s="8"/>
      <c r="M996" s="15"/>
      <c r="N996" s="8"/>
      <c r="O996" s="8"/>
      <c r="P996" s="17"/>
      <c r="Q996" s="18"/>
      <c r="R996" s="8"/>
      <c r="S996" s="8"/>
    </row>
    <row r="997" customFormat="1" customHeight="1" spans="1:19">
      <c r="A997" s="8"/>
      <c r="B997" s="9"/>
      <c r="C997" s="10"/>
      <c r="D997" s="10"/>
      <c r="E997" s="11"/>
      <c r="F997" s="12"/>
      <c r="G997" s="13"/>
      <c r="H997" s="8"/>
      <c r="I997" s="14"/>
      <c r="J997" s="15"/>
      <c r="K997" s="16"/>
      <c r="L997" s="8"/>
      <c r="M997" s="15"/>
      <c r="N997" s="8"/>
      <c r="O997" s="8"/>
      <c r="P997" s="17"/>
      <c r="Q997" s="18"/>
      <c r="R997" s="8"/>
      <c r="S997" s="8"/>
    </row>
    <row r="998" customFormat="1" customHeight="1" spans="1:19">
      <c r="A998" s="8"/>
      <c r="B998" s="9"/>
      <c r="C998" s="10"/>
      <c r="D998" s="10"/>
      <c r="E998" s="11"/>
      <c r="F998" s="12"/>
      <c r="G998" s="13"/>
      <c r="H998" s="8"/>
      <c r="I998" s="14"/>
      <c r="J998" s="15"/>
      <c r="K998" s="16"/>
      <c r="L998" s="8"/>
      <c r="M998" s="15"/>
      <c r="N998" s="8"/>
      <c r="O998" s="8"/>
      <c r="P998" s="17"/>
      <c r="Q998" s="18"/>
      <c r="R998" s="8"/>
      <c r="S998" s="8"/>
    </row>
    <row r="999" customFormat="1" customHeight="1" spans="1:19">
      <c r="A999" s="8"/>
      <c r="B999" s="9"/>
      <c r="C999" s="10"/>
      <c r="D999" s="10"/>
      <c r="E999" s="11"/>
      <c r="F999" s="12"/>
      <c r="G999" s="13"/>
      <c r="H999" s="8"/>
      <c r="I999" s="14"/>
      <c r="J999" s="15"/>
      <c r="K999" s="16"/>
      <c r="L999" s="8"/>
      <c r="M999" s="15"/>
      <c r="N999" s="8"/>
      <c r="O999" s="8"/>
      <c r="P999" s="17"/>
      <c r="Q999" s="18"/>
      <c r="R999" s="8"/>
      <c r="S999" s="8"/>
    </row>
    <row r="1000" customFormat="1" customHeight="1" spans="1:19">
      <c r="A1000" s="8"/>
      <c r="B1000" s="9"/>
      <c r="C1000" s="10"/>
      <c r="D1000" s="10"/>
      <c r="E1000" s="11"/>
      <c r="F1000" s="12"/>
      <c r="G1000" s="13"/>
      <c r="H1000" s="8"/>
      <c r="I1000" s="14"/>
      <c r="J1000" s="15"/>
      <c r="K1000" s="16"/>
      <c r="L1000" s="8"/>
      <c r="M1000" s="15"/>
      <c r="N1000" s="8"/>
      <c r="O1000" s="8"/>
      <c r="P1000" s="17"/>
      <c r="Q1000" s="18"/>
      <c r="R1000" s="8"/>
      <c r="S1000" s="8"/>
    </row>
    <row r="1001" customFormat="1" customHeight="1" spans="1:19">
      <c r="A1001" s="8"/>
      <c r="B1001" s="9"/>
      <c r="C1001" s="10"/>
      <c r="D1001" s="10"/>
      <c r="E1001" s="11"/>
      <c r="F1001" s="12"/>
      <c r="G1001" s="13"/>
      <c r="H1001" s="8"/>
      <c r="I1001" s="14"/>
      <c r="J1001" s="15"/>
      <c r="K1001" s="16"/>
      <c r="L1001" s="8"/>
      <c r="M1001" s="15"/>
      <c r="N1001" s="8"/>
      <c r="O1001" s="8"/>
      <c r="P1001" s="17"/>
      <c r="Q1001" s="18"/>
      <c r="R1001" s="8"/>
      <c r="S1001" s="8"/>
    </row>
    <row r="1002" customFormat="1" customHeight="1" spans="1:19">
      <c r="A1002" s="8"/>
      <c r="B1002" s="9"/>
      <c r="C1002" s="10"/>
      <c r="D1002" s="10"/>
      <c r="E1002" s="11"/>
      <c r="F1002" s="12"/>
      <c r="G1002" s="13"/>
      <c r="H1002" s="8"/>
      <c r="I1002" s="14"/>
      <c r="J1002" s="15"/>
      <c r="K1002" s="16"/>
      <c r="L1002" s="8"/>
      <c r="M1002" s="15"/>
      <c r="N1002" s="8"/>
      <c r="O1002" s="8"/>
      <c r="P1002" s="17"/>
      <c r="Q1002" s="18"/>
      <c r="R1002" s="8"/>
      <c r="S1002" s="8"/>
    </row>
    <row r="1003" customFormat="1" customHeight="1" spans="1:19">
      <c r="A1003" s="8"/>
      <c r="B1003" s="9"/>
      <c r="C1003" s="10"/>
      <c r="D1003" s="10"/>
      <c r="E1003" s="11"/>
      <c r="F1003" s="12"/>
      <c r="G1003" s="13"/>
      <c r="H1003" s="8"/>
      <c r="I1003" s="14"/>
      <c r="J1003" s="15"/>
      <c r="K1003" s="16"/>
      <c r="L1003" s="8"/>
      <c r="M1003" s="15"/>
      <c r="N1003" s="8"/>
      <c r="O1003" s="8"/>
      <c r="P1003" s="17"/>
      <c r="Q1003" s="18"/>
      <c r="R1003" s="8"/>
      <c r="S1003" s="8"/>
    </row>
    <row r="1004" customFormat="1" customHeight="1" spans="1:19">
      <c r="A1004" s="8"/>
      <c r="B1004" s="9"/>
      <c r="C1004" s="10"/>
      <c r="D1004" s="10"/>
      <c r="E1004" s="11"/>
      <c r="F1004" s="12"/>
      <c r="G1004" s="13"/>
      <c r="H1004" s="8"/>
      <c r="I1004" s="14"/>
      <c r="J1004" s="15"/>
      <c r="K1004" s="16"/>
      <c r="L1004" s="8"/>
      <c r="M1004" s="15"/>
      <c r="N1004" s="8"/>
      <c r="O1004" s="8"/>
      <c r="P1004" s="17"/>
      <c r="Q1004" s="18"/>
      <c r="R1004" s="8"/>
      <c r="S1004" s="8"/>
    </row>
    <row r="1005" customFormat="1" customHeight="1" spans="1:19">
      <c r="A1005" s="8"/>
      <c r="B1005" s="9"/>
      <c r="C1005" s="10"/>
      <c r="D1005" s="10"/>
      <c r="E1005" s="11"/>
      <c r="F1005" s="12"/>
      <c r="G1005" s="13"/>
      <c r="H1005" s="8"/>
      <c r="I1005" s="14"/>
      <c r="J1005" s="15"/>
      <c r="K1005" s="16"/>
      <c r="L1005" s="8"/>
      <c r="M1005" s="15"/>
      <c r="N1005" s="8"/>
      <c r="O1005" s="8"/>
      <c r="P1005" s="17"/>
      <c r="Q1005" s="18"/>
      <c r="R1005" s="8"/>
      <c r="S1005" s="8"/>
    </row>
    <row r="1006" customFormat="1" customHeight="1" spans="1:19">
      <c r="A1006" s="8"/>
      <c r="B1006" s="9"/>
      <c r="C1006" s="10"/>
      <c r="D1006" s="10"/>
      <c r="E1006" s="11"/>
      <c r="F1006" s="12"/>
      <c r="G1006" s="13"/>
      <c r="H1006" s="8"/>
      <c r="I1006" s="14"/>
      <c r="J1006" s="15"/>
      <c r="K1006" s="16"/>
      <c r="L1006" s="8"/>
      <c r="M1006" s="15"/>
      <c r="N1006" s="8"/>
      <c r="O1006" s="8"/>
      <c r="P1006" s="17"/>
      <c r="Q1006" s="18"/>
      <c r="R1006" s="8"/>
      <c r="S1006" s="8"/>
    </row>
    <row r="1007" customFormat="1" customHeight="1" spans="1:19">
      <c r="A1007" s="8"/>
      <c r="B1007" s="9"/>
      <c r="C1007" s="10"/>
      <c r="D1007" s="10"/>
      <c r="E1007" s="11"/>
      <c r="F1007" s="12"/>
      <c r="G1007" s="13"/>
      <c r="H1007" s="8"/>
      <c r="I1007" s="14"/>
      <c r="J1007" s="15"/>
      <c r="K1007" s="16"/>
      <c r="L1007" s="8"/>
      <c r="M1007" s="15"/>
      <c r="N1007" s="8"/>
      <c r="O1007" s="8"/>
      <c r="P1007" s="17"/>
      <c r="Q1007" s="18"/>
      <c r="R1007" s="8"/>
      <c r="S1007" s="8"/>
    </row>
    <row r="1008" customFormat="1" customHeight="1" spans="1:19">
      <c r="A1008" s="8"/>
      <c r="B1008" s="9"/>
      <c r="C1008" s="10"/>
      <c r="D1008" s="10"/>
      <c r="E1008" s="11"/>
      <c r="F1008" s="12"/>
      <c r="G1008" s="13"/>
      <c r="H1008" s="8"/>
      <c r="I1008" s="14"/>
      <c r="J1008" s="15"/>
      <c r="K1008" s="16"/>
      <c r="L1008" s="8"/>
      <c r="M1008" s="15"/>
      <c r="N1008" s="8"/>
      <c r="O1008" s="8"/>
      <c r="P1008" s="17"/>
      <c r="Q1008" s="18"/>
      <c r="R1008" s="8"/>
      <c r="S1008" s="8"/>
    </row>
    <row r="1009" customFormat="1" customHeight="1" spans="1:19">
      <c r="A1009" s="8"/>
      <c r="B1009" s="9"/>
      <c r="C1009" s="10"/>
      <c r="D1009" s="10"/>
      <c r="E1009" s="11"/>
      <c r="F1009" s="12"/>
      <c r="G1009" s="13"/>
      <c r="H1009" s="8"/>
      <c r="I1009" s="14"/>
      <c r="J1009" s="15"/>
      <c r="K1009" s="16"/>
      <c r="L1009" s="8"/>
      <c r="M1009" s="15"/>
      <c r="N1009" s="8"/>
      <c r="O1009" s="8"/>
      <c r="P1009" s="17"/>
      <c r="Q1009" s="18"/>
      <c r="R1009" s="8"/>
      <c r="S1009" s="8"/>
    </row>
    <row r="1010" customFormat="1" customHeight="1" spans="1:19">
      <c r="A1010" s="8"/>
      <c r="B1010" s="9"/>
      <c r="C1010" s="10"/>
      <c r="D1010" s="10"/>
      <c r="E1010" s="11"/>
      <c r="F1010" s="12"/>
      <c r="G1010" s="13"/>
      <c r="H1010" s="8"/>
      <c r="I1010" s="14"/>
      <c r="J1010" s="15"/>
      <c r="K1010" s="16"/>
      <c r="L1010" s="8"/>
      <c r="M1010" s="15"/>
      <c r="N1010" s="8"/>
      <c r="O1010" s="8"/>
      <c r="P1010" s="17"/>
      <c r="Q1010" s="18"/>
      <c r="R1010" s="8"/>
      <c r="S1010" s="8"/>
    </row>
    <row r="1011" customFormat="1" customHeight="1" spans="1:19">
      <c r="A1011" s="8"/>
      <c r="B1011" s="9"/>
      <c r="C1011" s="10"/>
      <c r="D1011" s="10"/>
      <c r="E1011" s="11"/>
      <c r="F1011" s="12"/>
      <c r="G1011" s="13"/>
      <c r="H1011" s="8"/>
      <c r="I1011" s="14"/>
      <c r="J1011" s="15"/>
      <c r="K1011" s="16"/>
      <c r="L1011" s="8"/>
      <c r="M1011" s="15"/>
      <c r="N1011" s="8"/>
      <c r="O1011" s="8"/>
      <c r="P1011" s="17"/>
      <c r="Q1011" s="18"/>
      <c r="R1011" s="8"/>
      <c r="S1011" s="8"/>
    </row>
    <row r="1012" customFormat="1" customHeight="1" spans="1:19">
      <c r="A1012" s="8"/>
      <c r="B1012" s="9"/>
      <c r="C1012" s="10"/>
      <c r="D1012" s="10"/>
      <c r="E1012" s="11"/>
      <c r="F1012" s="12"/>
      <c r="G1012" s="13"/>
      <c r="H1012" s="8"/>
      <c r="I1012" s="14"/>
      <c r="J1012" s="15"/>
      <c r="K1012" s="16"/>
      <c r="L1012" s="8"/>
      <c r="M1012" s="15"/>
      <c r="N1012" s="8"/>
      <c r="O1012" s="8"/>
      <c r="P1012" s="17"/>
      <c r="Q1012" s="18"/>
      <c r="R1012" s="8"/>
      <c r="S1012" s="8"/>
    </row>
    <row r="1013" customFormat="1" customHeight="1" spans="1:19">
      <c r="A1013" s="8"/>
      <c r="B1013" s="9"/>
      <c r="C1013" s="10"/>
      <c r="D1013" s="10"/>
      <c r="E1013" s="11"/>
      <c r="F1013" s="12"/>
      <c r="G1013" s="13"/>
      <c r="H1013" s="8"/>
      <c r="I1013" s="14"/>
      <c r="J1013" s="15"/>
      <c r="K1013" s="16"/>
      <c r="L1013" s="8"/>
      <c r="M1013" s="15"/>
      <c r="N1013" s="8"/>
      <c r="O1013" s="8"/>
      <c r="P1013" s="17"/>
      <c r="Q1013" s="18"/>
      <c r="R1013" s="8"/>
      <c r="S1013" s="8"/>
    </row>
    <row r="1014" customFormat="1" customHeight="1" spans="1:19">
      <c r="A1014" s="8"/>
      <c r="B1014" s="9"/>
      <c r="C1014" s="10"/>
      <c r="D1014" s="10"/>
      <c r="E1014" s="11"/>
      <c r="F1014" s="12"/>
      <c r="G1014" s="13"/>
      <c r="H1014" s="8"/>
      <c r="I1014" s="14"/>
      <c r="J1014" s="15"/>
      <c r="K1014" s="16"/>
      <c r="L1014" s="8"/>
      <c r="M1014" s="15"/>
      <c r="N1014" s="8"/>
      <c r="O1014" s="8"/>
      <c r="P1014" s="17"/>
      <c r="Q1014" s="18"/>
      <c r="R1014" s="8"/>
      <c r="S1014" s="8"/>
    </row>
    <row r="1015" customFormat="1" customHeight="1" spans="1:19">
      <c r="A1015" s="8"/>
      <c r="B1015" s="9"/>
      <c r="C1015" s="10"/>
      <c r="D1015" s="10"/>
      <c r="E1015" s="11"/>
      <c r="F1015" s="12"/>
      <c r="G1015" s="13"/>
      <c r="H1015" s="8"/>
      <c r="I1015" s="14"/>
      <c r="J1015" s="15"/>
      <c r="K1015" s="16"/>
      <c r="L1015" s="8"/>
      <c r="M1015" s="15"/>
      <c r="N1015" s="8"/>
      <c r="O1015" s="8"/>
      <c r="P1015" s="17"/>
      <c r="Q1015" s="18"/>
      <c r="R1015" s="8"/>
      <c r="S1015" s="8"/>
    </row>
    <row r="1016" customFormat="1" customHeight="1" spans="1:19">
      <c r="A1016" s="8"/>
      <c r="B1016" s="9"/>
      <c r="C1016" s="10"/>
      <c r="D1016" s="10"/>
      <c r="E1016" s="11"/>
      <c r="F1016" s="12"/>
      <c r="G1016" s="13"/>
      <c r="H1016" s="8"/>
      <c r="I1016" s="14"/>
      <c r="J1016" s="15"/>
      <c r="K1016" s="16"/>
      <c r="L1016" s="8"/>
      <c r="M1016" s="15"/>
      <c r="N1016" s="8"/>
      <c r="O1016" s="8"/>
      <c r="P1016" s="17"/>
      <c r="Q1016" s="18"/>
      <c r="R1016" s="8"/>
      <c r="S1016" s="8"/>
    </row>
    <row r="1017" customFormat="1" customHeight="1" spans="1:19">
      <c r="A1017" s="8"/>
      <c r="B1017" s="9"/>
      <c r="C1017" s="10"/>
      <c r="D1017" s="10"/>
      <c r="E1017" s="11"/>
      <c r="F1017" s="12"/>
      <c r="G1017" s="13"/>
      <c r="H1017" s="8"/>
      <c r="I1017" s="14"/>
      <c r="J1017" s="15"/>
      <c r="K1017" s="16"/>
      <c r="L1017" s="8"/>
      <c r="M1017" s="15"/>
      <c r="N1017" s="8"/>
      <c r="O1017" s="8"/>
      <c r="P1017" s="17"/>
      <c r="Q1017" s="18"/>
      <c r="R1017" s="8"/>
      <c r="S1017" s="8"/>
    </row>
    <row r="1018" customFormat="1" customHeight="1" spans="1:19">
      <c r="A1018" s="8"/>
      <c r="B1018" s="9"/>
      <c r="C1018" s="10"/>
      <c r="D1018" s="10"/>
      <c r="E1018" s="11"/>
      <c r="F1018" s="12"/>
      <c r="G1018" s="13"/>
      <c r="H1018" s="8"/>
      <c r="I1018" s="14"/>
      <c r="J1018" s="15"/>
      <c r="K1018" s="16"/>
      <c r="L1018" s="8"/>
      <c r="M1018" s="15"/>
      <c r="N1018" s="8"/>
      <c r="O1018" s="8"/>
      <c r="P1018" s="17"/>
      <c r="Q1018" s="18"/>
      <c r="R1018" s="8"/>
      <c r="S1018" s="8"/>
    </row>
    <row r="1019" customFormat="1" customHeight="1" spans="1:19">
      <c r="A1019" s="8"/>
      <c r="B1019" s="9"/>
      <c r="C1019" s="10"/>
      <c r="D1019" s="10"/>
      <c r="E1019" s="11"/>
      <c r="F1019" s="12"/>
      <c r="G1019" s="13"/>
      <c r="H1019" s="8"/>
      <c r="I1019" s="14"/>
      <c r="J1019" s="15"/>
      <c r="K1019" s="16"/>
      <c r="L1019" s="8"/>
      <c r="M1019" s="15"/>
      <c r="N1019" s="8"/>
      <c r="O1019" s="8"/>
      <c r="P1019" s="17"/>
      <c r="Q1019" s="18"/>
      <c r="R1019" s="8"/>
      <c r="S1019" s="8"/>
    </row>
    <row r="1020" customFormat="1" customHeight="1" spans="1:19">
      <c r="A1020" s="8"/>
      <c r="B1020" s="9"/>
      <c r="C1020" s="10"/>
      <c r="D1020" s="10"/>
      <c r="E1020" s="11"/>
      <c r="F1020" s="12"/>
      <c r="G1020" s="13"/>
      <c r="H1020" s="8"/>
      <c r="I1020" s="14"/>
      <c r="J1020" s="15"/>
      <c r="K1020" s="16"/>
      <c r="L1020" s="8"/>
      <c r="M1020" s="15"/>
      <c r="N1020" s="8"/>
      <c r="O1020" s="8"/>
      <c r="P1020" s="17"/>
      <c r="Q1020" s="18"/>
      <c r="R1020" s="8"/>
      <c r="S1020" s="8"/>
    </row>
    <row r="1021" customFormat="1" customHeight="1" spans="1:19">
      <c r="A1021" s="8"/>
      <c r="B1021" s="9"/>
      <c r="C1021" s="10"/>
      <c r="D1021" s="10"/>
      <c r="E1021" s="11"/>
      <c r="F1021" s="12"/>
      <c r="G1021" s="13"/>
      <c r="H1021" s="8"/>
      <c r="I1021" s="14"/>
      <c r="J1021" s="15"/>
      <c r="K1021" s="16"/>
      <c r="L1021" s="8"/>
      <c r="M1021" s="15"/>
      <c r="N1021" s="8"/>
      <c r="O1021" s="8"/>
      <c r="P1021" s="17"/>
      <c r="Q1021" s="18"/>
      <c r="R1021" s="8"/>
      <c r="S1021" s="8"/>
    </row>
    <row r="1022" customFormat="1" customHeight="1" spans="1:19">
      <c r="A1022" s="8"/>
      <c r="B1022" s="9"/>
      <c r="C1022" s="10"/>
      <c r="D1022" s="10"/>
      <c r="E1022" s="11"/>
      <c r="F1022" s="12"/>
      <c r="G1022" s="13"/>
      <c r="H1022" s="8"/>
      <c r="I1022" s="14"/>
      <c r="J1022" s="15"/>
      <c r="K1022" s="16"/>
      <c r="L1022" s="8"/>
      <c r="M1022" s="15"/>
      <c r="N1022" s="8"/>
      <c r="O1022" s="8"/>
      <c r="P1022" s="17"/>
      <c r="Q1022" s="18"/>
      <c r="R1022" s="8"/>
      <c r="S1022" s="8"/>
    </row>
    <row r="1023" customFormat="1" customHeight="1" spans="1:19">
      <c r="A1023" s="8"/>
      <c r="B1023" s="9"/>
      <c r="C1023" s="10"/>
      <c r="D1023" s="10"/>
      <c r="E1023" s="11"/>
      <c r="F1023" s="12"/>
      <c r="G1023" s="13"/>
      <c r="H1023" s="8"/>
      <c r="I1023" s="14"/>
      <c r="J1023" s="15"/>
      <c r="K1023" s="16"/>
      <c r="L1023" s="8"/>
      <c r="M1023" s="15"/>
      <c r="N1023" s="8"/>
      <c r="O1023" s="8"/>
      <c r="P1023" s="17"/>
      <c r="Q1023" s="18"/>
      <c r="R1023" s="8"/>
      <c r="S1023" s="8"/>
    </row>
    <row r="1024" customFormat="1" customHeight="1" spans="1:19">
      <c r="A1024" s="8"/>
      <c r="B1024" s="9"/>
      <c r="C1024" s="10"/>
      <c r="D1024" s="10"/>
      <c r="E1024" s="11"/>
      <c r="F1024" s="12"/>
      <c r="G1024" s="13"/>
      <c r="H1024" s="8"/>
      <c r="I1024" s="14"/>
      <c r="J1024" s="15"/>
      <c r="K1024" s="16"/>
      <c r="L1024" s="8"/>
      <c r="M1024" s="15"/>
      <c r="N1024" s="8"/>
      <c r="O1024" s="8"/>
      <c r="P1024" s="17"/>
      <c r="Q1024" s="18"/>
      <c r="R1024" s="8"/>
      <c r="S1024" s="8"/>
    </row>
    <row r="1025" customFormat="1" customHeight="1" spans="1:19">
      <c r="A1025" s="8"/>
      <c r="B1025" s="9"/>
      <c r="C1025" s="10"/>
      <c r="D1025" s="10"/>
      <c r="E1025" s="11"/>
      <c r="F1025" s="12"/>
      <c r="G1025" s="13"/>
      <c r="H1025" s="8"/>
      <c r="I1025" s="14"/>
      <c r="J1025" s="15"/>
      <c r="K1025" s="16"/>
      <c r="L1025" s="8"/>
      <c r="M1025" s="15"/>
      <c r="N1025" s="8"/>
      <c r="O1025" s="8"/>
      <c r="P1025" s="17"/>
      <c r="Q1025" s="18"/>
      <c r="R1025" s="8"/>
      <c r="S1025" s="8"/>
    </row>
    <row r="1026" customFormat="1" customHeight="1" spans="1:19">
      <c r="A1026" s="8"/>
      <c r="B1026" s="9"/>
      <c r="C1026" s="10"/>
      <c r="D1026" s="10"/>
      <c r="E1026" s="11"/>
      <c r="F1026" s="12"/>
      <c r="G1026" s="13"/>
      <c r="H1026" s="8"/>
      <c r="I1026" s="14"/>
      <c r="J1026" s="15"/>
      <c r="K1026" s="16"/>
      <c r="L1026" s="8"/>
      <c r="M1026" s="15"/>
      <c r="N1026" s="8"/>
      <c r="O1026" s="8"/>
      <c r="P1026" s="17"/>
      <c r="Q1026" s="18"/>
      <c r="R1026" s="8"/>
      <c r="S1026" s="8"/>
    </row>
    <row r="1027" customFormat="1" customHeight="1" spans="1:19">
      <c r="A1027" s="8"/>
      <c r="B1027" s="9"/>
      <c r="C1027" s="10"/>
      <c r="D1027" s="10"/>
      <c r="E1027" s="11"/>
      <c r="F1027" s="12"/>
      <c r="G1027" s="13"/>
      <c r="H1027" s="8"/>
      <c r="I1027" s="14"/>
      <c r="J1027" s="15"/>
      <c r="K1027" s="16"/>
      <c r="L1027" s="8"/>
      <c r="M1027" s="15"/>
      <c r="N1027" s="8"/>
      <c r="O1027" s="8"/>
      <c r="P1027" s="17"/>
      <c r="Q1027" s="18"/>
      <c r="R1027" s="8"/>
      <c r="S1027" s="8"/>
    </row>
    <row r="1028" customFormat="1" customHeight="1" spans="1:19">
      <c r="A1028" s="8"/>
      <c r="B1028" s="9"/>
      <c r="C1028" s="10"/>
      <c r="D1028" s="10"/>
      <c r="E1028" s="11"/>
      <c r="F1028" s="12"/>
      <c r="G1028" s="13"/>
      <c r="H1028" s="8"/>
      <c r="I1028" s="14"/>
      <c r="J1028" s="15"/>
      <c r="K1028" s="16"/>
      <c r="L1028" s="8"/>
      <c r="M1028" s="15"/>
      <c r="N1028" s="8"/>
      <c r="O1028" s="8"/>
      <c r="P1028" s="17"/>
      <c r="Q1028" s="18"/>
      <c r="R1028" s="8"/>
      <c r="S1028" s="8"/>
    </row>
    <row r="1029" customFormat="1" customHeight="1" spans="1:19">
      <c r="A1029" s="8"/>
      <c r="B1029" s="9"/>
      <c r="C1029" s="10"/>
      <c r="D1029" s="10"/>
      <c r="E1029" s="11"/>
      <c r="F1029" s="12"/>
      <c r="G1029" s="13"/>
      <c r="H1029" s="8"/>
      <c r="I1029" s="14"/>
      <c r="J1029" s="15"/>
      <c r="K1029" s="16"/>
      <c r="L1029" s="8"/>
      <c r="M1029" s="15"/>
      <c r="N1029" s="8"/>
      <c r="O1029" s="8"/>
      <c r="P1029" s="17"/>
      <c r="Q1029" s="18"/>
      <c r="R1029" s="8"/>
      <c r="S1029" s="8"/>
    </row>
    <row r="1030" customFormat="1" customHeight="1" spans="1:19">
      <c r="A1030" s="8"/>
      <c r="B1030" s="9"/>
      <c r="C1030" s="10"/>
      <c r="D1030" s="10"/>
      <c r="E1030" s="11"/>
      <c r="F1030" s="12"/>
      <c r="G1030" s="13"/>
      <c r="H1030" s="8"/>
      <c r="I1030" s="14"/>
      <c r="J1030" s="15"/>
      <c r="K1030" s="16"/>
      <c r="L1030" s="8"/>
      <c r="M1030" s="15"/>
      <c r="N1030" s="8"/>
      <c r="O1030" s="8"/>
      <c r="P1030" s="17"/>
      <c r="Q1030" s="18"/>
      <c r="R1030" s="8"/>
      <c r="S1030" s="8"/>
    </row>
    <row r="1031" customFormat="1" customHeight="1" spans="1:19">
      <c r="A1031" s="8"/>
      <c r="B1031" s="9"/>
      <c r="C1031" s="10"/>
      <c r="D1031" s="10"/>
      <c r="E1031" s="11"/>
      <c r="F1031" s="12"/>
      <c r="G1031" s="13"/>
      <c r="H1031" s="8"/>
      <c r="I1031" s="14"/>
      <c r="J1031" s="15"/>
      <c r="K1031" s="16"/>
      <c r="L1031" s="8"/>
      <c r="M1031" s="15"/>
      <c r="N1031" s="8"/>
      <c r="O1031" s="8"/>
      <c r="P1031" s="17"/>
      <c r="Q1031" s="18"/>
      <c r="R1031" s="8"/>
      <c r="S1031" s="8"/>
    </row>
    <row r="1032" customFormat="1" customHeight="1" spans="1:19">
      <c r="A1032" s="8"/>
      <c r="B1032" s="9"/>
      <c r="C1032" s="10"/>
      <c r="D1032" s="10"/>
      <c r="E1032" s="11"/>
      <c r="F1032" s="12"/>
      <c r="G1032" s="13"/>
      <c r="H1032" s="8"/>
      <c r="I1032" s="14"/>
      <c r="J1032" s="15"/>
      <c r="K1032" s="16"/>
      <c r="L1032" s="8"/>
      <c r="M1032" s="15"/>
      <c r="N1032" s="8"/>
      <c r="O1032" s="8"/>
      <c r="P1032" s="17"/>
      <c r="Q1032" s="18"/>
      <c r="R1032" s="8"/>
      <c r="S1032" s="8"/>
    </row>
    <row r="1033" customFormat="1" customHeight="1" spans="1:19">
      <c r="A1033" s="8"/>
      <c r="B1033" s="9"/>
      <c r="C1033" s="10"/>
      <c r="D1033" s="10"/>
      <c r="E1033" s="11"/>
      <c r="F1033" s="12"/>
      <c r="G1033" s="13"/>
      <c r="H1033" s="8"/>
      <c r="I1033" s="14"/>
      <c r="J1033" s="15"/>
      <c r="K1033" s="16"/>
      <c r="L1033" s="8"/>
      <c r="M1033" s="15"/>
      <c r="N1033" s="8"/>
      <c r="O1033" s="8"/>
      <c r="P1033" s="17"/>
      <c r="Q1033" s="18"/>
      <c r="R1033" s="8"/>
      <c r="S1033" s="8"/>
    </row>
    <row r="1034" customFormat="1" customHeight="1" spans="1:19">
      <c r="A1034" s="8"/>
      <c r="B1034" s="9"/>
      <c r="C1034" s="10"/>
      <c r="D1034" s="10"/>
      <c r="E1034" s="11"/>
      <c r="F1034" s="12"/>
      <c r="G1034" s="13"/>
      <c r="H1034" s="8"/>
      <c r="I1034" s="14"/>
      <c r="J1034" s="15"/>
      <c r="K1034" s="16"/>
      <c r="L1034" s="8"/>
      <c r="M1034" s="15"/>
      <c r="N1034" s="8"/>
      <c r="O1034" s="8"/>
      <c r="P1034" s="17"/>
      <c r="Q1034" s="18"/>
      <c r="R1034" s="8"/>
      <c r="S1034" s="8"/>
    </row>
    <row r="1035" customFormat="1" customHeight="1" spans="1:19">
      <c r="A1035" s="8"/>
      <c r="B1035" s="9"/>
      <c r="C1035" s="10"/>
      <c r="D1035" s="10"/>
      <c r="E1035" s="11"/>
      <c r="F1035" s="12"/>
      <c r="G1035" s="13"/>
      <c r="H1035" s="8"/>
      <c r="I1035" s="14"/>
      <c r="J1035" s="15"/>
      <c r="K1035" s="16"/>
      <c r="L1035" s="8"/>
      <c r="M1035" s="15"/>
      <c r="N1035" s="8"/>
      <c r="O1035" s="8"/>
      <c r="P1035" s="17"/>
      <c r="Q1035" s="18"/>
      <c r="R1035" s="8"/>
      <c r="S1035" s="8"/>
    </row>
    <row r="1036" customFormat="1" customHeight="1" spans="1:19">
      <c r="A1036" s="8"/>
      <c r="B1036" s="9"/>
      <c r="C1036" s="10"/>
      <c r="D1036" s="10"/>
      <c r="E1036" s="11"/>
      <c r="F1036" s="12"/>
      <c r="G1036" s="13"/>
      <c r="H1036" s="8"/>
      <c r="I1036" s="14"/>
      <c r="J1036" s="15"/>
      <c r="K1036" s="16"/>
      <c r="L1036" s="8"/>
      <c r="M1036" s="15"/>
      <c r="N1036" s="8"/>
      <c r="O1036" s="8"/>
      <c r="P1036" s="17"/>
      <c r="Q1036" s="18"/>
      <c r="R1036" s="8"/>
      <c r="S1036" s="8"/>
    </row>
    <row r="1037" customFormat="1" customHeight="1" spans="1:19">
      <c r="A1037" s="8"/>
      <c r="B1037" s="9"/>
      <c r="C1037" s="10"/>
      <c r="D1037" s="10"/>
      <c r="E1037" s="11"/>
      <c r="F1037" s="12"/>
      <c r="G1037" s="13"/>
      <c r="H1037" s="8"/>
      <c r="I1037" s="14"/>
      <c r="J1037" s="15"/>
      <c r="K1037" s="16"/>
      <c r="L1037" s="8"/>
      <c r="M1037" s="15"/>
      <c r="N1037" s="8"/>
      <c r="O1037" s="8"/>
      <c r="P1037" s="17"/>
      <c r="Q1037" s="18"/>
      <c r="R1037" s="8"/>
      <c r="S1037" s="8"/>
    </row>
    <row r="1038" customFormat="1" customHeight="1" spans="1:19">
      <c r="A1038" s="8"/>
      <c r="B1038" s="9"/>
      <c r="C1038" s="10"/>
      <c r="D1038" s="10"/>
      <c r="E1038" s="11"/>
      <c r="F1038" s="12"/>
      <c r="G1038" s="13"/>
      <c r="H1038" s="8"/>
      <c r="I1038" s="14"/>
      <c r="J1038" s="15"/>
      <c r="K1038" s="16"/>
      <c r="L1038" s="8"/>
      <c r="M1038" s="15"/>
      <c r="N1038" s="8"/>
      <c r="O1038" s="8"/>
      <c r="P1038" s="17"/>
      <c r="Q1038" s="18"/>
      <c r="R1038" s="8"/>
      <c r="S1038" s="8"/>
    </row>
    <row r="1039" customFormat="1" customHeight="1" spans="1:19">
      <c r="A1039" s="8"/>
      <c r="B1039" s="9"/>
      <c r="C1039" s="10"/>
      <c r="D1039" s="10"/>
      <c r="E1039" s="11"/>
      <c r="F1039" s="12"/>
      <c r="G1039" s="13"/>
      <c r="H1039" s="8"/>
      <c r="I1039" s="14"/>
      <c r="J1039" s="15"/>
      <c r="K1039" s="16"/>
      <c r="L1039" s="8"/>
      <c r="M1039" s="15"/>
      <c r="N1039" s="8"/>
      <c r="O1039" s="8"/>
      <c r="P1039" s="17"/>
      <c r="Q1039" s="18"/>
      <c r="R1039" s="8"/>
      <c r="S1039" s="8"/>
    </row>
    <row r="1040" customFormat="1" customHeight="1" spans="1:19">
      <c r="A1040" s="8"/>
      <c r="B1040" s="9"/>
      <c r="C1040" s="10"/>
      <c r="D1040" s="10"/>
      <c r="E1040" s="11"/>
      <c r="F1040" s="12"/>
      <c r="G1040" s="13"/>
      <c r="H1040" s="8"/>
      <c r="I1040" s="14"/>
      <c r="J1040" s="15"/>
      <c r="K1040" s="16"/>
      <c r="L1040" s="8"/>
      <c r="M1040" s="15"/>
      <c r="N1040" s="8"/>
      <c r="O1040" s="8"/>
      <c r="P1040" s="17"/>
      <c r="Q1040" s="18"/>
      <c r="R1040" s="8"/>
      <c r="S1040" s="8"/>
    </row>
    <row r="1041" customFormat="1" customHeight="1" spans="1:19">
      <c r="A1041" s="8"/>
      <c r="B1041" s="9"/>
      <c r="C1041" s="10"/>
      <c r="D1041" s="10"/>
      <c r="E1041" s="11"/>
      <c r="F1041" s="12"/>
      <c r="G1041" s="13"/>
      <c r="H1041" s="8"/>
      <c r="I1041" s="14"/>
      <c r="J1041" s="15"/>
      <c r="K1041" s="16"/>
      <c r="L1041" s="8"/>
      <c r="M1041" s="15"/>
      <c r="N1041" s="8"/>
      <c r="O1041" s="8"/>
      <c r="P1041" s="17"/>
      <c r="Q1041" s="18"/>
      <c r="R1041" s="8"/>
      <c r="S1041" s="8"/>
    </row>
    <row r="1042" customFormat="1" customHeight="1" spans="1:19">
      <c r="A1042" s="8"/>
      <c r="B1042" s="9"/>
      <c r="C1042" s="10"/>
      <c r="D1042" s="10"/>
      <c r="E1042" s="11"/>
      <c r="F1042" s="12"/>
      <c r="G1042" s="13"/>
      <c r="H1042" s="8"/>
      <c r="I1042" s="14"/>
      <c r="J1042" s="15"/>
      <c r="K1042" s="16"/>
      <c r="L1042" s="8"/>
      <c r="M1042" s="15"/>
      <c r="N1042" s="8"/>
      <c r="O1042" s="8"/>
      <c r="P1042" s="17"/>
      <c r="Q1042" s="18"/>
      <c r="R1042" s="8"/>
      <c r="S1042" s="8"/>
    </row>
    <row r="1043" customFormat="1" customHeight="1" spans="1:19">
      <c r="A1043" s="8"/>
      <c r="B1043" s="9"/>
      <c r="C1043" s="10"/>
      <c r="D1043" s="10"/>
      <c r="E1043" s="11"/>
      <c r="F1043" s="12"/>
      <c r="G1043" s="13"/>
      <c r="H1043" s="8"/>
      <c r="I1043" s="14"/>
      <c r="J1043" s="15"/>
      <c r="K1043" s="16"/>
      <c r="L1043" s="8"/>
      <c r="M1043" s="15"/>
      <c r="N1043" s="8"/>
      <c r="O1043" s="8"/>
      <c r="P1043" s="17"/>
      <c r="Q1043" s="18"/>
      <c r="R1043" s="8"/>
      <c r="S1043" s="8"/>
    </row>
    <row r="1044" customFormat="1" customHeight="1" spans="1:19">
      <c r="A1044" s="8"/>
      <c r="B1044" s="9"/>
      <c r="C1044" s="10"/>
      <c r="D1044" s="10"/>
      <c r="E1044" s="11"/>
      <c r="F1044" s="12"/>
      <c r="G1044" s="13"/>
      <c r="H1044" s="8"/>
      <c r="I1044" s="14"/>
      <c r="J1044" s="15"/>
      <c r="K1044" s="16"/>
      <c r="L1044" s="8"/>
      <c r="M1044" s="15"/>
      <c r="N1044" s="8"/>
      <c r="O1044" s="8"/>
      <c r="P1044" s="17"/>
      <c r="Q1044" s="18"/>
      <c r="R1044" s="8"/>
      <c r="S1044" s="8"/>
    </row>
    <row r="1045" customFormat="1" customHeight="1" spans="1:19">
      <c r="A1045" s="8"/>
      <c r="B1045" s="9"/>
      <c r="C1045" s="10"/>
      <c r="D1045" s="10"/>
      <c r="E1045" s="11"/>
      <c r="F1045" s="12"/>
      <c r="G1045" s="13"/>
      <c r="H1045" s="8"/>
      <c r="I1045" s="14"/>
      <c r="J1045" s="15"/>
      <c r="K1045" s="16"/>
      <c r="L1045" s="8"/>
      <c r="M1045" s="15"/>
      <c r="N1045" s="8"/>
      <c r="O1045" s="8"/>
      <c r="P1045" s="17"/>
      <c r="Q1045" s="18"/>
      <c r="R1045" s="8"/>
      <c r="S1045" s="8"/>
    </row>
    <row r="1046" customFormat="1" customHeight="1" spans="1:19">
      <c r="A1046" s="8"/>
      <c r="B1046" s="9"/>
      <c r="C1046" s="10"/>
      <c r="D1046" s="10"/>
      <c r="E1046" s="11"/>
      <c r="F1046" s="12"/>
      <c r="G1046" s="13"/>
      <c r="H1046" s="8"/>
      <c r="I1046" s="14"/>
      <c r="J1046" s="15"/>
      <c r="K1046" s="16"/>
      <c r="L1046" s="8"/>
      <c r="M1046" s="15"/>
      <c r="N1046" s="8"/>
      <c r="O1046" s="8"/>
      <c r="P1046" s="17"/>
      <c r="Q1046" s="18"/>
      <c r="R1046" s="8"/>
      <c r="S1046" s="8"/>
    </row>
    <row r="1047" customFormat="1" customHeight="1" spans="1:19">
      <c r="A1047" s="8"/>
      <c r="B1047" s="9"/>
      <c r="C1047" s="10"/>
      <c r="D1047" s="10"/>
      <c r="E1047" s="11"/>
      <c r="F1047" s="12"/>
      <c r="G1047" s="13"/>
      <c r="H1047" s="8"/>
      <c r="I1047" s="14"/>
      <c r="J1047" s="15"/>
      <c r="K1047" s="16"/>
      <c r="L1047" s="8"/>
      <c r="M1047" s="15"/>
      <c r="N1047" s="8"/>
      <c r="O1047" s="8"/>
      <c r="P1047" s="17"/>
      <c r="Q1047" s="18"/>
      <c r="R1047" s="8"/>
      <c r="S1047" s="8"/>
    </row>
    <row r="1048" customFormat="1" customHeight="1" spans="1:19">
      <c r="A1048" s="8"/>
      <c r="B1048" s="9"/>
      <c r="C1048" s="10"/>
      <c r="D1048" s="10"/>
      <c r="E1048" s="11"/>
      <c r="F1048" s="12"/>
      <c r="G1048" s="13"/>
      <c r="H1048" s="8"/>
      <c r="I1048" s="14"/>
      <c r="J1048" s="15"/>
      <c r="K1048" s="16"/>
      <c r="L1048" s="8"/>
      <c r="M1048" s="15"/>
      <c r="N1048" s="8"/>
      <c r="O1048" s="8"/>
      <c r="P1048" s="17"/>
      <c r="Q1048" s="18"/>
      <c r="R1048" s="8"/>
      <c r="S1048" s="8"/>
    </row>
    <row r="1049" customFormat="1" customHeight="1" spans="1:19">
      <c r="A1049" s="8"/>
      <c r="B1049" s="9"/>
      <c r="C1049" s="10"/>
      <c r="D1049" s="10"/>
      <c r="E1049" s="11"/>
      <c r="F1049" s="12"/>
      <c r="G1049" s="13"/>
      <c r="H1049" s="8"/>
      <c r="I1049" s="14"/>
      <c r="J1049" s="15"/>
      <c r="K1049" s="16"/>
      <c r="L1049" s="8"/>
      <c r="M1049" s="15"/>
      <c r="N1049" s="8"/>
      <c r="O1049" s="8"/>
      <c r="P1049" s="17"/>
      <c r="Q1049" s="18"/>
      <c r="R1049" s="8"/>
      <c r="S1049" s="8"/>
    </row>
    <row r="1050" customFormat="1" customHeight="1" spans="1:19">
      <c r="A1050" s="8"/>
      <c r="B1050" s="9"/>
      <c r="C1050" s="10"/>
      <c r="D1050" s="10"/>
      <c r="E1050" s="11"/>
      <c r="F1050" s="12"/>
      <c r="G1050" s="13"/>
      <c r="H1050" s="8"/>
      <c r="I1050" s="14"/>
      <c r="J1050" s="15"/>
      <c r="K1050" s="16"/>
      <c r="L1050" s="8"/>
      <c r="M1050" s="15"/>
      <c r="N1050" s="8"/>
      <c r="O1050" s="8"/>
      <c r="P1050" s="17"/>
      <c r="Q1050" s="18"/>
      <c r="R1050" s="8"/>
      <c r="S1050" s="8"/>
    </row>
    <row r="1051" customFormat="1" customHeight="1" spans="1:19">
      <c r="A1051" s="8"/>
      <c r="B1051" s="9"/>
      <c r="C1051" s="10"/>
      <c r="D1051" s="10"/>
      <c r="E1051" s="11"/>
      <c r="F1051" s="12"/>
      <c r="G1051" s="13"/>
      <c r="H1051" s="8"/>
      <c r="I1051" s="14"/>
      <c r="J1051" s="15"/>
      <c r="K1051" s="16"/>
      <c r="L1051" s="8"/>
      <c r="M1051" s="15"/>
      <c r="N1051" s="8"/>
      <c r="O1051" s="8"/>
      <c r="P1051" s="17"/>
      <c r="Q1051" s="18"/>
      <c r="R1051" s="8"/>
      <c r="S1051" s="8"/>
    </row>
    <row r="1052" customFormat="1" customHeight="1" spans="1:19">
      <c r="A1052" s="8"/>
      <c r="B1052" s="9"/>
      <c r="C1052" s="10"/>
      <c r="D1052" s="10"/>
      <c r="E1052" s="11"/>
      <c r="F1052" s="12"/>
      <c r="G1052" s="13"/>
      <c r="H1052" s="8"/>
      <c r="I1052" s="14"/>
      <c r="J1052" s="15"/>
      <c r="K1052" s="16"/>
      <c r="L1052" s="8"/>
      <c r="M1052" s="15"/>
      <c r="N1052" s="8"/>
      <c r="O1052" s="8"/>
      <c r="P1052" s="17"/>
      <c r="Q1052" s="18"/>
      <c r="R1052" s="8"/>
      <c r="S1052" s="8"/>
    </row>
    <row r="1053" customFormat="1" customHeight="1" spans="1:19">
      <c r="A1053" s="8"/>
      <c r="B1053" s="9"/>
      <c r="C1053" s="10"/>
      <c r="D1053" s="10"/>
      <c r="E1053" s="11"/>
      <c r="F1053" s="12"/>
      <c r="G1053" s="13"/>
      <c r="H1053" s="8"/>
      <c r="I1053" s="14"/>
      <c r="J1053" s="15"/>
      <c r="K1053" s="16"/>
      <c r="L1053" s="8"/>
      <c r="M1053" s="15"/>
      <c r="N1053" s="8"/>
      <c r="O1053" s="8"/>
      <c r="P1053" s="17"/>
      <c r="Q1053" s="18"/>
      <c r="R1053" s="8"/>
      <c r="S1053" s="8"/>
    </row>
    <row r="1054" customFormat="1" customHeight="1" spans="1:19">
      <c r="A1054" s="8"/>
      <c r="B1054" s="9"/>
      <c r="C1054" s="10"/>
      <c r="D1054" s="10"/>
      <c r="E1054" s="11"/>
      <c r="F1054" s="12"/>
      <c r="G1054" s="13"/>
      <c r="H1054" s="8"/>
      <c r="I1054" s="14"/>
      <c r="J1054" s="15"/>
      <c r="K1054" s="16"/>
      <c r="L1054" s="8"/>
      <c r="M1054" s="15"/>
      <c r="N1054" s="8"/>
      <c r="O1054" s="8"/>
      <c r="P1054" s="17"/>
      <c r="Q1054" s="18"/>
      <c r="R1054" s="8"/>
      <c r="S1054" s="8"/>
    </row>
    <row r="1055" customFormat="1" customHeight="1" spans="1:19">
      <c r="A1055" s="8"/>
      <c r="B1055" s="9"/>
      <c r="C1055" s="10"/>
      <c r="D1055" s="10"/>
      <c r="E1055" s="11"/>
      <c r="F1055" s="12"/>
      <c r="G1055" s="13"/>
      <c r="H1055" s="8"/>
      <c r="I1055" s="14"/>
      <c r="J1055" s="15"/>
      <c r="K1055" s="16"/>
      <c r="L1055" s="8"/>
      <c r="M1055" s="15"/>
      <c r="N1055" s="8"/>
      <c r="O1055" s="8"/>
      <c r="P1055" s="17"/>
      <c r="Q1055" s="18"/>
      <c r="R1055" s="8"/>
      <c r="S1055" s="8"/>
    </row>
    <row r="1056" customFormat="1" customHeight="1" spans="1:19">
      <c r="A1056" s="8"/>
      <c r="B1056" s="9"/>
      <c r="C1056" s="10"/>
      <c r="D1056" s="10"/>
      <c r="E1056" s="11"/>
      <c r="F1056" s="12"/>
      <c r="G1056" s="13"/>
      <c r="H1056" s="8"/>
      <c r="I1056" s="14"/>
      <c r="J1056" s="15"/>
      <c r="K1056" s="16"/>
      <c r="L1056" s="8"/>
      <c r="M1056" s="15"/>
      <c r="N1056" s="8"/>
      <c r="O1056" s="8"/>
      <c r="P1056" s="17"/>
      <c r="Q1056" s="18"/>
      <c r="R1056" s="8"/>
      <c r="S1056" s="8"/>
    </row>
    <row r="1057" customFormat="1" customHeight="1" spans="1:19">
      <c r="A1057" s="8"/>
      <c r="B1057" s="9"/>
      <c r="C1057" s="10"/>
      <c r="D1057" s="10"/>
      <c r="E1057" s="11"/>
      <c r="F1057" s="12"/>
      <c r="G1057" s="13"/>
      <c r="H1057" s="8"/>
      <c r="I1057" s="14"/>
      <c r="J1057" s="15"/>
      <c r="K1057" s="16"/>
      <c r="L1057" s="8"/>
      <c r="M1057" s="15"/>
      <c r="N1057" s="8"/>
      <c r="O1057" s="8"/>
      <c r="P1057" s="17"/>
      <c r="Q1057" s="18"/>
      <c r="R1057" s="8"/>
      <c r="S1057" s="8"/>
    </row>
    <row r="1058" customFormat="1" customHeight="1" spans="1:19">
      <c r="A1058" s="8"/>
      <c r="B1058" s="9"/>
      <c r="C1058" s="10"/>
      <c r="D1058" s="10"/>
      <c r="E1058" s="11"/>
      <c r="F1058" s="12"/>
      <c r="G1058" s="13"/>
      <c r="H1058" s="8"/>
      <c r="I1058" s="14"/>
      <c r="J1058" s="15"/>
      <c r="K1058" s="16"/>
      <c r="L1058" s="8"/>
      <c r="M1058" s="15"/>
      <c r="N1058" s="8"/>
      <c r="O1058" s="8"/>
      <c r="P1058" s="17"/>
      <c r="Q1058" s="18"/>
      <c r="R1058" s="8"/>
      <c r="S1058" s="8"/>
    </row>
    <row r="1059" customFormat="1" customHeight="1" spans="1:19">
      <c r="A1059" s="8"/>
      <c r="B1059" s="9"/>
      <c r="C1059" s="10"/>
      <c r="D1059" s="10"/>
      <c r="E1059" s="11"/>
      <c r="F1059" s="12"/>
      <c r="G1059" s="13"/>
      <c r="H1059" s="8"/>
      <c r="I1059" s="14"/>
      <c r="J1059" s="15"/>
      <c r="K1059" s="16"/>
      <c r="L1059" s="8"/>
      <c r="M1059" s="15"/>
      <c r="N1059" s="8"/>
      <c r="O1059" s="8"/>
      <c r="P1059" s="17"/>
      <c r="Q1059" s="18"/>
      <c r="R1059" s="8"/>
      <c r="S1059" s="8"/>
    </row>
    <row r="1060" customFormat="1" customHeight="1" spans="1:19">
      <c r="A1060" s="8"/>
      <c r="B1060" s="9"/>
      <c r="C1060" s="10"/>
      <c r="D1060" s="10"/>
      <c r="E1060" s="11"/>
      <c r="F1060" s="12"/>
      <c r="G1060" s="13"/>
      <c r="H1060" s="8"/>
      <c r="I1060" s="14"/>
      <c r="J1060" s="15"/>
      <c r="K1060" s="16"/>
      <c r="L1060" s="8"/>
      <c r="M1060" s="15"/>
      <c r="N1060" s="8"/>
      <c r="O1060" s="8"/>
      <c r="P1060" s="17"/>
      <c r="Q1060" s="18"/>
      <c r="R1060" s="8"/>
      <c r="S1060" s="8"/>
    </row>
    <row r="1061" customFormat="1" customHeight="1" spans="1:19">
      <c r="A1061" s="8"/>
      <c r="B1061" s="9"/>
      <c r="C1061" s="10"/>
      <c r="D1061" s="10"/>
      <c r="E1061" s="11"/>
      <c r="F1061" s="12"/>
      <c r="G1061" s="13"/>
      <c r="H1061" s="8"/>
      <c r="I1061" s="14"/>
      <c r="J1061" s="15"/>
      <c r="K1061" s="16"/>
      <c r="L1061" s="8"/>
      <c r="M1061" s="15"/>
      <c r="N1061" s="8"/>
      <c r="O1061" s="8"/>
      <c r="P1061" s="17"/>
      <c r="Q1061" s="18"/>
      <c r="R1061" s="8"/>
      <c r="S1061" s="8"/>
    </row>
    <row r="1062" customFormat="1" customHeight="1" spans="1:19">
      <c r="A1062" s="8"/>
      <c r="B1062" s="9"/>
      <c r="C1062" s="10"/>
      <c r="D1062" s="10"/>
      <c r="E1062" s="11"/>
      <c r="F1062" s="12"/>
      <c r="G1062" s="13"/>
      <c r="H1062" s="8"/>
      <c r="I1062" s="14"/>
      <c r="J1062" s="15"/>
      <c r="K1062" s="16"/>
      <c r="L1062" s="8"/>
      <c r="M1062" s="15"/>
      <c r="N1062" s="8"/>
      <c r="O1062" s="8"/>
      <c r="P1062" s="17"/>
      <c r="Q1062" s="18"/>
      <c r="R1062" s="8"/>
      <c r="S1062" s="8"/>
    </row>
    <row r="1063" customFormat="1" customHeight="1" spans="1:19">
      <c r="A1063" s="8"/>
      <c r="B1063" s="9"/>
      <c r="C1063" s="10"/>
      <c r="D1063" s="10"/>
      <c r="E1063" s="11"/>
      <c r="F1063" s="12"/>
      <c r="G1063" s="13"/>
      <c r="H1063" s="8"/>
      <c r="I1063" s="14"/>
      <c r="J1063" s="15"/>
      <c r="K1063" s="16"/>
      <c r="L1063" s="8"/>
      <c r="M1063" s="15"/>
      <c r="N1063" s="8"/>
      <c r="O1063" s="8"/>
      <c r="P1063" s="17"/>
      <c r="Q1063" s="18"/>
      <c r="R1063" s="8"/>
      <c r="S1063" s="8"/>
    </row>
    <row r="1064" customFormat="1" customHeight="1" spans="1:19">
      <c r="A1064" s="8"/>
      <c r="B1064" s="9"/>
      <c r="C1064" s="10"/>
      <c r="D1064" s="10"/>
      <c r="E1064" s="11"/>
      <c r="F1064" s="12"/>
      <c r="G1064" s="13"/>
      <c r="H1064" s="8"/>
      <c r="I1064" s="14"/>
      <c r="J1064" s="15"/>
      <c r="K1064" s="16"/>
      <c r="L1064" s="8"/>
      <c r="M1064" s="15"/>
      <c r="N1064" s="8"/>
      <c r="O1064" s="8"/>
      <c r="P1064" s="17"/>
      <c r="Q1064" s="18"/>
      <c r="R1064" s="8"/>
      <c r="S1064" s="8"/>
    </row>
    <row r="1065" customFormat="1" customHeight="1" spans="1:19">
      <c r="A1065" s="8"/>
      <c r="B1065" s="9"/>
      <c r="C1065" s="10"/>
      <c r="D1065" s="10"/>
      <c r="E1065" s="11"/>
      <c r="F1065" s="12"/>
      <c r="G1065" s="13"/>
      <c r="H1065" s="8"/>
      <c r="I1065" s="14"/>
      <c r="J1065" s="15"/>
      <c r="K1065" s="16"/>
      <c r="L1065" s="8"/>
      <c r="M1065" s="15"/>
      <c r="N1065" s="8"/>
      <c r="O1065" s="8"/>
      <c r="P1065" s="17"/>
      <c r="Q1065" s="18"/>
      <c r="R1065" s="8"/>
      <c r="S1065" s="8"/>
    </row>
    <row r="1066" customFormat="1" customHeight="1" spans="1:19">
      <c r="A1066" s="8"/>
      <c r="B1066" s="9"/>
      <c r="C1066" s="10"/>
      <c r="D1066" s="10"/>
      <c r="E1066" s="11"/>
      <c r="F1066" s="12"/>
      <c r="G1066" s="13"/>
      <c r="H1066" s="8"/>
      <c r="I1066" s="14"/>
      <c r="J1066" s="15"/>
      <c r="K1066" s="16"/>
      <c r="L1066" s="8"/>
      <c r="M1066" s="15"/>
      <c r="N1066" s="8"/>
      <c r="O1066" s="8"/>
      <c r="P1066" s="17"/>
      <c r="Q1066" s="18"/>
      <c r="R1066" s="8"/>
      <c r="S1066" s="8"/>
    </row>
    <row r="1067" customFormat="1" customHeight="1" spans="1:19">
      <c r="A1067" s="8"/>
      <c r="B1067" s="9"/>
      <c r="C1067" s="10"/>
      <c r="D1067" s="10"/>
      <c r="E1067" s="11"/>
      <c r="F1067" s="12"/>
      <c r="G1067" s="13"/>
      <c r="H1067" s="8"/>
      <c r="I1067" s="14"/>
      <c r="J1067" s="15"/>
      <c r="K1067" s="16"/>
      <c r="L1067" s="8"/>
      <c r="M1067" s="15"/>
      <c r="N1067" s="8"/>
      <c r="O1067" s="8"/>
      <c r="P1067" s="17"/>
      <c r="Q1067" s="18"/>
      <c r="R1067" s="8"/>
      <c r="S1067" s="8"/>
    </row>
    <row r="1068" customFormat="1" customHeight="1" spans="1:19">
      <c r="A1068" s="8"/>
      <c r="B1068" s="9"/>
      <c r="C1068" s="10"/>
      <c r="D1068" s="10"/>
      <c r="E1068" s="11"/>
      <c r="F1068" s="12"/>
      <c r="G1068" s="13"/>
      <c r="H1068" s="8"/>
      <c r="I1068" s="14"/>
      <c r="J1068" s="15"/>
      <c r="K1068" s="16"/>
      <c r="L1068" s="8"/>
      <c r="M1068" s="15"/>
      <c r="N1068" s="8"/>
      <c r="O1068" s="8"/>
      <c r="P1068" s="17"/>
      <c r="Q1068" s="18"/>
      <c r="R1068" s="8"/>
      <c r="S1068" s="8"/>
    </row>
    <row r="1069" customFormat="1" customHeight="1" spans="1:19">
      <c r="A1069" s="8"/>
      <c r="B1069" s="9"/>
      <c r="C1069" s="10"/>
      <c r="D1069" s="10"/>
      <c r="E1069" s="11"/>
      <c r="F1069" s="12"/>
      <c r="G1069" s="13"/>
      <c r="H1069" s="8"/>
      <c r="I1069" s="14"/>
      <c r="J1069" s="15"/>
      <c r="K1069" s="16"/>
      <c r="L1069" s="8"/>
      <c r="M1069" s="15"/>
      <c r="N1069" s="8"/>
      <c r="O1069" s="8"/>
      <c r="P1069" s="17"/>
      <c r="Q1069" s="18"/>
      <c r="R1069" s="8"/>
      <c r="S1069" s="8"/>
    </row>
    <row r="1070" customFormat="1" customHeight="1" spans="1:19">
      <c r="A1070" s="8"/>
      <c r="B1070" s="9"/>
      <c r="C1070" s="10"/>
      <c r="D1070" s="10"/>
      <c r="E1070" s="11"/>
      <c r="F1070" s="12"/>
      <c r="G1070" s="13"/>
      <c r="H1070" s="8"/>
      <c r="I1070" s="14"/>
      <c r="J1070" s="15"/>
      <c r="K1070" s="16"/>
      <c r="L1070" s="8"/>
      <c r="M1070" s="15"/>
      <c r="N1070" s="8"/>
      <c r="O1070" s="8"/>
      <c r="P1070" s="17"/>
      <c r="Q1070" s="18"/>
      <c r="R1070" s="8"/>
      <c r="S1070" s="8"/>
    </row>
    <row r="1071" customFormat="1" customHeight="1" spans="1:19">
      <c r="A1071" s="8"/>
      <c r="B1071" s="9"/>
      <c r="C1071" s="10"/>
      <c r="D1071" s="10"/>
      <c r="E1071" s="11"/>
      <c r="F1071" s="12"/>
      <c r="G1071" s="13"/>
      <c r="H1071" s="8"/>
      <c r="I1071" s="14"/>
      <c r="J1071" s="15"/>
      <c r="K1071" s="16"/>
      <c r="L1071" s="8"/>
      <c r="M1071" s="15"/>
      <c r="N1071" s="8"/>
      <c r="O1071" s="8"/>
      <c r="P1071" s="17"/>
      <c r="Q1071" s="18"/>
      <c r="R1071" s="8"/>
      <c r="S1071" s="8"/>
    </row>
    <row r="1072" customFormat="1" customHeight="1" spans="1:19">
      <c r="A1072" s="8"/>
      <c r="B1072" s="9"/>
      <c r="C1072" s="10"/>
      <c r="D1072" s="10"/>
      <c r="E1072" s="11"/>
      <c r="F1072" s="12"/>
      <c r="G1072" s="13"/>
      <c r="H1072" s="8"/>
      <c r="I1072" s="14"/>
      <c r="J1072" s="15"/>
      <c r="K1072" s="16"/>
      <c r="L1072" s="8"/>
      <c r="M1072" s="15"/>
      <c r="N1072" s="8"/>
      <c r="O1072" s="8"/>
      <c r="P1072" s="17"/>
      <c r="Q1072" s="18"/>
      <c r="R1072" s="8"/>
      <c r="S1072" s="8"/>
    </row>
    <row r="1073" customFormat="1" customHeight="1" spans="1:19">
      <c r="A1073" s="8"/>
      <c r="B1073" s="9"/>
      <c r="C1073" s="10"/>
      <c r="D1073" s="10"/>
      <c r="E1073" s="11"/>
      <c r="F1073" s="12"/>
      <c r="G1073" s="13"/>
      <c r="H1073" s="8"/>
      <c r="I1073" s="14"/>
      <c r="J1073" s="15"/>
      <c r="K1073" s="16"/>
      <c r="L1073" s="8"/>
      <c r="M1073" s="15"/>
      <c r="N1073" s="8"/>
      <c r="O1073" s="8"/>
      <c r="P1073" s="17"/>
      <c r="Q1073" s="18"/>
      <c r="R1073" s="8"/>
      <c r="S1073" s="8"/>
    </row>
    <row r="1074" customFormat="1" customHeight="1" spans="1:19">
      <c r="A1074" s="8"/>
      <c r="B1074" s="9"/>
      <c r="C1074" s="10"/>
      <c r="D1074" s="10"/>
      <c r="E1074" s="11"/>
      <c r="F1074" s="12"/>
      <c r="G1074" s="13"/>
      <c r="H1074" s="8"/>
      <c r="I1074" s="14"/>
      <c r="J1074" s="15"/>
      <c r="K1074" s="16"/>
      <c r="L1074" s="8"/>
      <c r="M1074" s="15"/>
      <c r="N1074" s="8"/>
      <c r="O1074" s="8"/>
      <c r="P1074" s="17"/>
      <c r="Q1074" s="18"/>
      <c r="R1074" s="8"/>
      <c r="S1074" s="8"/>
    </row>
    <row r="1075" customFormat="1" customHeight="1" spans="1:19">
      <c r="A1075" s="8"/>
      <c r="B1075" s="9"/>
      <c r="C1075" s="10"/>
      <c r="D1075" s="10"/>
      <c r="E1075" s="11"/>
      <c r="F1075" s="12"/>
      <c r="G1075" s="13"/>
      <c r="H1075" s="8"/>
      <c r="I1075" s="14"/>
      <c r="J1075" s="15"/>
      <c r="K1075" s="16"/>
      <c r="L1075" s="8"/>
      <c r="M1075" s="15"/>
      <c r="N1075" s="8"/>
      <c r="O1075" s="8"/>
      <c r="P1075" s="17"/>
      <c r="Q1075" s="18"/>
      <c r="R1075" s="8"/>
      <c r="S1075" s="8"/>
    </row>
    <row r="1076" customFormat="1" customHeight="1" spans="1:19">
      <c r="A1076" s="8"/>
      <c r="B1076" s="9"/>
      <c r="C1076" s="10"/>
      <c r="D1076" s="10"/>
      <c r="E1076" s="11"/>
      <c r="F1076" s="12"/>
      <c r="G1076" s="13"/>
      <c r="H1076" s="8"/>
      <c r="I1076" s="14"/>
      <c r="J1076" s="15"/>
      <c r="K1076" s="16"/>
      <c r="L1076" s="8"/>
      <c r="M1076" s="15"/>
      <c r="N1076" s="8"/>
      <c r="O1076" s="8"/>
      <c r="P1076" s="17"/>
      <c r="Q1076" s="18"/>
      <c r="R1076" s="8"/>
      <c r="S1076" s="8"/>
    </row>
    <row r="1077" customFormat="1" customHeight="1" spans="1:19">
      <c r="A1077" s="8"/>
      <c r="B1077" s="9"/>
      <c r="C1077" s="10"/>
      <c r="D1077" s="10"/>
      <c r="E1077" s="11"/>
      <c r="F1077" s="12"/>
      <c r="G1077" s="13"/>
      <c r="H1077" s="8"/>
      <c r="I1077" s="14"/>
      <c r="J1077" s="15"/>
      <c r="K1077" s="16"/>
      <c r="L1077" s="8"/>
      <c r="M1077" s="15"/>
      <c r="N1077" s="8"/>
      <c r="O1077" s="8"/>
      <c r="P1077" s="17"/>
      <c r="Q1077" s="18"/>
      <c r="R1077" s="8"/>
      <c r="S1077" s="8"/>
    </row>
    <row r="1078" customFormat="1" customHeight="1" spans="1:19">
      <c r="A1078" s="8"/>
      <c r="B1078" s="9"/>
      <c r="C1078" s="10"/>
      <c r="D1078" s="10"/>
      <c r="E1078" s="11"/>
      <c r="F1078" s="12"/>
      <c r="G1078" s="13"/>
      <c r="H1078" s="8"/>
      <c r="I1078" s="14"/>
      <c r="J1078" s="15"/>
      <c r="K1078" s="16"/>
      <c r="L1078" s="8"/>
      <c r="M1078" s="15"/>
      <c r="N1078" s="8"/>
      <c r="O1078" s="8"/>
      <c r="P1078" s="17"/>
      <c r="Q1078" s="18"/>
      <c r="R1078" s="8"/>
      <c r="S1078" s="8"/>
    </row>
    <row r="1079" customFormat="1" customHeight="1" spans="1:19">
      <c r="A1079" s="8"/>
      <c r="B1079" s="9"/>
      <c r="C1079" s="10"/>
      <c r="D1079" s="10"/>
      <c r="E1079" s="11"/>
      <c r="F1079" s="12"/>
      <c r="G1079" s="13"/>
      <c r="H1079" s="8"/>
      <c r="I1079" s="14"/>
      <c r="J1079" s="15"/>
      <c r="K1079" s="16"/>
      <c r="L1079" s="8"/>
      <c r="M1079" s="15"/>
      <c r="N1079" s="8"/>
      <c r="O1079" s="8"/>
      <c r="P1079" s="17"/>
      <c r="Q1079" s="18"/>
      <c r="R1079" s="8"/>
      <c r="S1079" s="8"/>
    </row>
    <row r="1080" customFormat="1" customHeight="1" spans="1:19">
      <c r="A1080" s="8"/>
      <c r="B1080" s="9"/>
      <c r="C1080" s="10"/>
      <c r="D1080" s="10"/>
      <c r="E1080" s="11"/>
      <c r="F1080" s="12"/>
      <c r="G1080" s="13"/>
      <c r="H1080" s="8"/>
      <c r="I1080" s="14"/>
      <c r="J1080" s="15"/>
      <c r="K1080" s="16"/>
      <c r="L1080" s="8"/>
      <c r="M1080" s="15"/>
      <c r="N1080" s="8"/>
      <c r="O1080" s="8"/>
      <c r="P1080" s="17"/>
      <c r="Q1080" s="18"/>
      <c r="R1080" s="8"/>
      <c r="S1080" s="8"/>
    </row>
    <row r="1081" customFormat="1" customHeight="1" spans="1:19">
      <c r="A1081" s="8"/>
      <c r="B1081" s="9"/>
      <c r="C1081" s="10"/>
      <c r="D1081" s="10"/>
      <c r="E1081" s="11"/>
      <c r="F1081" s="12"/>
      <c r="G1081" s="13"/>
      <c r="H1081" s="8"/>
      <c r="I1081" s="14"/>
      <c r="J1081" s="15"/>
      <c r="K1081" s="16"/>
      <c r="L1081" s="8"/>
      <c r="M1081" s="15"/>
      <c r="N1081" s="8"/>
      <c r="O1081" s="8"/>
      <c r="P1081" s="17"/>
      <c r="Q1081" s="18"/>
      <c r="R1081" s="8"/>
      <c r="S1081" s="8"/>
    </row>
    <row r="1082" customFormat="1" customHeight="1" spans="1:19">
      <c r="A1082" s="8"/>
      <c r="B1082" s="9"/>
      <c r="C1082" s="10"/>
      <c r="D1082" s="10"/>
      <c r="E1082" s="11"/>
      <c r="F1082" s="12"/>
      <c r="G1082" s="13"/>
      <c r="H1082" s="8"/>
      <c r="I1082" s="14"/>
      <c r="J1082" s="15"/>
      <c r="K1082" s="16"/>
      <c r="L1082" s="8"/>
      <c r="M1082" s="15"/>
      <c r="N1082" s="8"/>
      <c r="O1082" s="8"/>
      <c r="P1082" s="17"/>
      <c r="Q1082" s="18"/>
      <c r="R1082" s="8"/>
      <c r="S1082" s="8"/>
    </row>
    <row r="1083" customFormat="1" customHeight="1" spans="1:19">
      <c r="A1083" s="8"/>
      <c r="B1083" s="9"/>
      <c r="C1083" s="10"/>
      <c r="D1083" s="10"/>
      <c r="E1083" s="11"/>
      <c r="F1083" s="12"/>
      <c r="G1083" s="13"/>
      <c r="H1083" s="8"/>
      <c r="I1083" s="14"/>
      <c r="J1083" s="15"/>
      <c r="K1083" s="16"/>
      <c r="L1083" s="8"/>
      <c r="M1083" s="15"/>
      <c r="N1083" s="8"/>
      <c r="O1083" s="8"/>
      <c r="P1083" s="17"/>
      <c r="Q1083" s="18"/>
      <c r="R1083" s="8"/>
      <c r="S1083" s="8"/>
    </row>
    <row r="1084" customFormat="1" customHeight="1" spans="1:19">
      <c r="A1084" s="8"/>
      <c r="B1084" s="9"/>
      <c r="C1084" s="10"/>
      <c r="D1084" s="10"/>
      <c r="E1084" s="11"/>
      <c r="F1084" s="12"/>
      <c r="G1084" s="13"/>
      <c r="H1084" s="8"/>
      <c r="I1084" s="14"/>
      <c r="J1084" s="15"/>
      <c r="K1084" s="16"/>
      <c r="L1084" s="8"/>
      <c r="M1084" s="15"/>
      <c r="N1084" s="8"/>
      <c r="O1084" s="8"/>
      <c r="P1084" s="17"/>
      <c r="Q1084" s="18"/>
      <c r="R1084" s="8"/>
      <c r="S1084" s="8"/>
    </row>
    <row r="1085" customFormat="1" customHeight="1" spans="1:19">
      <c r="A1085" s="8"/>
      <c r="B1085" s="9"/>
      <c r="C1085" s="10"/>
      <c r="D1085" s="10"/>
      <c r="E1085" s="11"/>
      <c r="F1085" s="12"/>
      <c r="G1085" s="13"/>
      <c r="H1085" s="8"/>
      <c r="I1085" s="14"/>
      <c r="J1085" s="15"/>
      <c r="K1085" s="16"/>
      <c r="L1085" s="8"/>
      <c r="M1085" s="15"/>
      <c r="N1085" s="8"/>
      <c r="O1085" s="8"/>
      <c r="P1085" s="17"/>
      <c r="Q1085" s="18"/>
      <c r="R1085" s="8"/>
      <c r="S1085" s="8"/>
    </row>
    <row r="1086" customFormat="1" customHeight="1" spans="1:19">
      <c r="A1086" s="8"/>
      <c r="B1086" s="9"/>
      <c r="C1086" s="10"/>
      <c r="D1086" s="10"/>
      <c r="E1086" s="11"/>
      <c r="F1086" s="12"/>
      <c r="G1086" s="13"/>
      <c r="H1086" s="8"/>
      <c r="I1086" s="14"/>
      <c r="J1086" s="15"/>
      <c r="K1086" s="16"/>
      <c r="L1086" s="8"/>
      <c r="M1086" s="15"/>
      <c r="N1086" s="8"/>
      <c r="O1086" s="8"/>
      <c r="P1086" s="17"/>
      <c r="Q1086" s="18"/>
      <c r="R1086" s="8"/>
      <c r="S1086" s="8"/>
    </row>
    <row r="1087" customFormat="1" customHeight="1" spans="1:19">
      <c r="A1087" s="8"/>
      <c r="B1087" s="9"/>
      <c r="C1087" s="10"/>
      <c r="D1087" s="10"/>
      <c r="E1087" s="11"/>
      <c r="F1087" s="12"/>
      <c r="G1087" s="13"/>
      <c r="H1087" s="8"/>
      <c r="I1087" s="14"/>
      <c r="J1087" s="15"/>
      <c r="K1087" s="16"/>
      <c r="L1087" s="8"/>
      <c r="M1087" s="15"/>
      <c r="N1087" s="8"/>
      <c r="O1087" s="8"/>
      <c r="P1087" s="17"/>
      <c r="Q1087" s="18"/>
      <c r="R1087" s="8"/>
      <c r="S1087" s="8"/>
    </row>
    <row r="1088" customFormat="1" customHeight="1" spans="1:19">
      <c r="A1088" s="8"/>
      <c r="B1088" s="9"/>
      <c r="C1088" s="10"/>
      <c r="D1088" s="10"/>
      <c r="E1088" s="11"/>
      <c r="F1088" s="12"/>
      <c r="G1088" s="13"/>
      <c r="H1088" s="8"/>
      <c r="I1088" s="14"/>
      <c r="J1088" s="15"/>
      <c r="K1088" s="16"/>
      <c r="L1088" s="8"/>
      <c r="M1088" s="15"/>
      <c r="N1088" s="8"/>
      <c r="O1088" s="8"/>
      <c r="P1088" s="17"/>
      <c r="Q1088" s="18"/>
      <c r="R1088" s="8"/>
      <c r="S1088" s="8"/>
    </row>
    <row r="1089" customFormat="1" customHeight="1" spans="1:19">
      <c r="A1089" s="8"/>
      <c r="B1089" s="9"/>
      <c r="C1089" s="10"/>
      <c r="D1089" s="10"/>
      <c r="E1089" s="11"/>
      <c r="F1089" s="12"/>
      <c r="G1089" s="13"/>
      <c r="H1089" s="8"/>
      <c r="I1089" s="14"/>
      <c r="J1089" s="15"/>
      <c r="K1089" s="16"/>
      <c r="L1089" s="8"/>
      <c r="M1089" s="15"/>
      <c r="N1089" s="8"/>
      <c r="O1089" s="8"/>
      <c r="P1089" s="17"/>
      <c r="Q1089" s="18"/>
      <c r="R1089" s="8"/>
      <c r="S1089" s="8"/>
    </row>
    <row r="1090" customFormat="1" customHeight="1" spans="1:19">
      <c r="A1090" s="8"/>
      <c r="B1090" s="9"/>
      <c r="C1090" s="10"/>
      <c r="D1090" s="10"/>
      <c r="E1090" s="11"/>
      <c r="F1090" s="12"/>
      <c r="G1090" s="13"/>
      <c r="H1090" s="8"/>
      <c r="I1090" s="14"/>
      <c r="J1090" s="15"/>
      <c r="K1090" s="16"/>
      <c r="L1090" s="8"/>
      <c r="M1090" s="15"/>
      <c r="N1090" s="8"/>
      <c r="O1090" s="8"/>
      <c r="P1090" s="17"/>
      <c r="Q1090" s="18"/>
      <c r="R1090" s="8"/>
      <c r="S1090" s="8"/>
    </row>
    <row r="1091" customFormat="1" customHeight="1" spans="1:19">
      <c r="A1091" s="8"/>
      <c r="B1091" s="9"/>
      <c r="C1091" s="10"/>
      <c r="D1091" s="10"/>
      <c r="E1091" s="11"/>
      <c r="F1091" s="12"/>
      <c r="G1091" s="13"/>
      <c r="H1091" s="8"/>
      <c r="I1091" s="14"/>
      <c r="J1091" s="15"/>
      <c r="K1091" s="16"/>
      <c r="L1091" s="8"/>
      <c r="M1091" s="15"/>
      <c r="N1091" s="8"/>
      <c r="O1091" s="8"/>
      <c r="P1091" s="17"/>
      <c r="Q1091" s="18"/>
      <c r="R1091" s="8"/>
      <c r="S1091" s="8"/>
    </row>
    <row r="1092" customFormat="1" customHeight="1" spans="1:19">
      <c r="A1092" s="8"/>
      <c r="B1092" s="9"/>
      <c r="C1092" s="10"/>
      <c r="D1092" s="10"/>
      <c r="E1092" s="11"/>
      <c r="F1092" s="12"/>
      <c r="G1092" s="13"/>
      <c r="H1092" s="8"/>
      <c r="I1092" s="14"/>
      <c r="J1092" s="15"/>
      <c r="K1092" s="16"/>
      <c r="L1092" s="8"/>
      <c r="M1092" s="15"/>
      <c r="N1092" s="8"/>
      <c r="O1092" s="8"/>
      <c r="P1092" s="17"/>
      <c r="Q1092" s="18"/>
      <c r="R1092" s="8"/>
      <c r="S1092" s="8"/>
    </row>
    <row r="1093" customFormat="1" customHeight="1" spans="1:19">
      <c r="A1093" s="8"/>
      <c r="B1093" s="9"/>
      <c r="C1093" s="10"/>
      <c r="D1093" s="10"/>
      <c r="E1093" s="11"/>
      <c r="F1093" s="12"/>
      <c r="G1093" s="13"/>
      <c r="H1093" s="8"/>
      <c r="I1093" s="14"/>
      <c r="J1093" s="15"/>
      <c r="K1093" s="16"/>
      <c r="L1093" s="8"/>
      <c r="M1093" s="15"/>
      <c r="N1093" s="8"/>
      <c r="O1093" s="8"/>
      <c r="P1093" s="17"/>
      <c r="Q1093" s="18"/>
      <c r="R1093" s="8"/>
      <c r="S1093" s="8"/>
    </row>
    <row r="1094" customFormat="1" customHeight="1" spans="1:19">
      <c r="A1094" s="8"/>
      <c r="B1094" s="9"/>
      <c r="C1094" s="10"/>
      <c r="D1094" s="10"/>
      <c r="E1094" s="11"/>
      <c r="F1094" s="12"/>
      <c r="G1094" s="13"/>
      <c r="H1094" s="8"/>
      <c r="I1094" s="14"/>
      <c r="J1094" s="15"/>
      <c r="K1094" s="16"/>
      <c r="L1094" s="8"/>
      <c r="M1094" s="15"/>
      <c r="N1094" s="8"/>
      <c r="O1094" s="8"/>
      <c r="P1094" s="17"/>
      <c r="Q1094" s="18"/>
      <c r="R1094" s="8"/>
      <c r="S1094" s="8"/>
    </row>
    <row r="1095" customFormat="1" customHeight="1" spans="1:19">
      <c r="A1095" s="8"/>
      <c r="B1095" s="9"/>
      <c r="C1095" s="10"/>
      <c r="D1095" s="10"/>
      <c r="E1095" s="11"/>
      <c r="F1095" s="12"/>
      <c r="G1095" s="13"/>
      <c r="H1095" s="8"/>
      <c r="I1095" s="14"/>
      <c r="J1095" s="15"/>
      <c r="K1095" s="16"/>
      <c r="L1095" s="8"/>
      <c r="M1095" s="15"/>
      <c r="N1095" s="8"/>
      <c r="O1095" s="8"/>
      <c r="P1095" s="17"/>
      <c r="Q1095" s="18"/>
      <c r="R1095" s="8"/>
      <c r="S1095" s="8"/>
    </row>
    <row r="1096" customFormat="1" customHeight="1" spans="1:19">
      <c r="A1096" s="8"/>
      <c r="B1096" s="9"/>
      <c r="C1096" s="10"/>
      <c r="D1096" s="10"/>
      <c r="E1096" s="11"/>
      <c r="F1096" s="12"/>
      <c r="G1096" s="13"/>
      <c r="H1096" s="8"/>
      <c r="I1096" s="14"/>
      <c r="J1096" s="15"/>
      <c r="K1096" s="16"/>
      <c r="L1096" s="8"/>
      <c r="M1096" s="15"/>
      <c r="N1096" s="8"/>
      <c r="O1096" s="8"/>
      <c r="P1096" s="17"/>
      <c r="Q1096" s="18"/>
      <c r="R1096" s="8"/>
      <c r="S1096" s="8"/>
    </row>
    <row r="1097" customFormat="1" customHeight="1" spans="1:19">
      <c r="A1097" s="8"/>
      <c r="B1097" s="9"/>
      <c r="C1097" s="10"/>
      <c r="D1097" s="10"/>
      <c r="E1097" s="11"/>
      <c r="F1097" s="12"/>
      <c r="G1097" s="13"/>
      <c r="H1097" s="8"/>
      <c r="I1097" s="14"/>
      <c r="J1097" s="15"/>
      <c r="K1097" s="16"/>
      <c r="L1097" s="8"/>
      <c r="M1097" s="15"/>
      <c r="N1097" s="8"/>
      <c r="O1097" s="8"/>
      <c r="P1097" s="17"/>
      <c r="Q1097" s="18"/>
      <c r="R1097" s="8"/>
      <c r="S1097" s="8"/>
    </row>
    <row r="1098" customFormat="1" customHeight="1" spans="1:19">
      <c r="A1098" s="8"/>
      <c r="B1098" s="9"/>
      <c r="C1098" s="10"/>
      <c r="D1098" s="10"/>
      <c r="E1098" s="11"/>
      <c r="F1098" s="12"/>
      <c r="G1098" s="13"/>
      <c r="H1098" s="8"/>
      <c r="I1098" s="14"/>
      <c r="J1098" s="15"/>
      <c r="K1098" s="16"/>
      <c r="L1098" s="8"/>
      <c r="M1098" s="15"/>
      <c r="N1098" s="8"/>
      <c r="O1098" s="8"/>
      <c r="P1098" s="17"/>
      <c r="Q1098" s="18"/>
      <c r="R1098" s="8"/>
      <c r="S1098" s="8"/>
    </row>
    <row r="1099" customFormat="1" customHeight="1" spans="1:19">
      <c r="A1099" s="8"/>
      <c r="B1099" s="9"/>
      <c r="C1099" s="10"/>
      <c r="D1099" s="10"/>
      <c r="E1099" s="11"/>
      <c r="F1099" s="12"/>
      <c r="G1099" s="13"/>
      <c r="H1099" s="8"/>
      <c r="I1099" s="14"/>
      <c r="J1099" s="15"/>
      <c r="K1099" s="16"/>
      <c r="L1099" s="8"/>
      <c r="M1099" s="15"/>
      <c r="N1099" s="8"/>
      <c r="O1099" s="8"/>
      <c r="P1099" s="17"/>
      <c r="Q1099" s="18"/>
      <c r="R1099" s="8"/>
      <c r="S1099" s="8"/>
    </row>
    <row r="1100" customFormat="1" customHeight="1" spans="1:19">
      <c r="A1100" s="8"/>
      <c r="B1100" s="9"/>
      <c r="C1100" s="10"/>
      <c r="D1100" s="10"/>
      <c r="E1100" s="11"/>
      <c r="F1100" s="12"/>
      <c r="G1100" s="13"/>
      <c r="H1100" s="8"/>
      <c r="I1100" s="14"/>
      <c r="J1100" s="15"/>
      <c r="K1100" s="16"/>
      <c r="L1100" s="8"/>
      <c r="M1100" s="15"/>
      <c r="N1100" s="8"/>
      <c r="O1100" s="8"/>
      <c r="P1100" s="17"/>
      <c r="Q1100" s="18"/>
      <c r="R1100" s="8"/>
      <c r="S1100" s="8"/>
    </row>
    <row r="1101" customFormat="1" customHeight="1" spans="1:19">
      <c r="A1101" s="8"/>
      <c r="B1101" s="9"/>
      <c r="C1101" s="10"/>
      <c r="D1101" s="10"/>
      <c r="E1101" s="11"/>
      <c r="F1101" s="12"/>
      <c r="G1101" s="13"/>
      <c r="H1101" s="8"/>
      <c r="I1101" s="14"/>
      <c r="J1101" s="15"/>
      <c r="K1101" s="16"/>
      <c r="L1101" s="8"/>
      <c r="M1101" s="15"/>
      <c r="N1101" s="8"/>
      <c r="O1101" s="8"/>
      <c r="P1101" s="17"/>
      <c r="Q1101" s="18"/>
      <c r="R1101" s="8"/>
      <c r="S1101" s="8"/>
    </row>
    <row r="1102" customFormat="1" customHeight="1" spans="1:19">
      <c r="A1102" s="8"/>
      <c r="B1102" s="9"/>
      <c r="C1102" s="10"/>
      <c r="D1102" s="10"/>
      <c r="E1102" s="11"/>
      <c r="F1102" s="12"/>
      <c r="G1102" s="13"/>
      <c r="H1102" s="8"/>
      <c r="I1102" s="14"/>
      <c r="J1102" s="15"/>
      <c r="K1102" s="16"/>
      <c r="L1102" s="8"/>
      <c r="M1102" s="15"/>
      <c r="N1102" s="8"/>
      <c r="O1102" s="8"/>
      <c r="P1102" s="17"/>
      <c r="Q1102" s="18"/>
      <c r="R1102" s="8"/>
      <c r="S1102" s="8"/>
    </row>
    <row r="1103" customFormat="1" customHeight="1" spans="1:19">
      <c r="A1103" s="8"/>
      <c r="B1103" s="9"/>
      <c r="C1103" s="10"/>
      <c r="D1103" s="10"/>
      <c r="E1103" s="11"/>
      <c r="F1103" s="12"/>
      <c r="G1103" s="13"/>
      <c r="H1103" s="8"/>
      <c r="I1103" s="14"/>
      <c r="J1103" s="15"/>
      <c r="K1103" s="16"/>
      <c r="L1103" s="8"/>
      <c r="M1103" s="15"/>
      <c r="N1103" s="8"/>
      <c r="O1103" s="8"/>
      <c r="P1103" s="17"/>
      <c r="Q1103" s="18"/>
      <c r="R1103" s="8"/>
      <c r="S1103" s="8"/>
    </row>
    <row r="1104" customFormat="1" customHeight="1" spans="1:19">
      <c r="A1104" s="8"/>
      <c r="B1104" s="9"/>
      <c r="C1104" s="10"/>
      <c r="D1104" s="10"/>
      <c r="E1104" s="11"/>
      <c r="F1104" s="12"/>
      <c r="G1104" s="13"/>
      <c r="H1104" s="8"/>
      <c r="I1104" s="14"/>
      <c r="J1104" s="15"/>
      <c r="K1104" s="16"/>
      <c r="L1104" s="8"/>
      <c r="M1104" s="15"/>
      <c r="N1104" s="8"/>
      <c r="O1104" s="8"/>
      <c r="P1104" s="17"/>
      <c r="Q1104" s="18"/>
      <c r="R1104" s="8"/>
      <c r="S1104" s="8"/>
    </row>
    <row r="1105" customFormat="1" customHeight="1" spans="1:19">
      <c r="A1105" s="8"/>
      <c r="B1105" s="9"/>
      <c r="C1105" s="10"/>
      <c r="D1105" s="10"/>
      <c r="E1105" s="11"/>
      <c r="F1105" s="12"/>
      <c r="G1105" s="13"/>
      <c r="H1105" s="8"/>
      <c r="I1105" s="14"/>
      <c r="J1105" s="15"/>
      <c r="K1105" s="16"/>
      <c r="L1105" s="8"/>
      <c r="M1105" s="15"/>
      <c r="N1105" s="8"/>
      <c r="O1105" s="8"/>
      <c r="P1105" s="17"/>
      <c r="Q1105" s="18"/>
      <c r="R1105" s="8"/>
      <c r="S1105" s="8"/>
    </row>
    <row r="1106" customFormat="1" customHeight="1" spans="1:19">
      <c r="A1106" s="8"/>
      <c r="B1106" s="9"/>
      <c r="C1106" s="10"/>
      <c r="D1106" s="10"/>
      <c r="E1106" s="11"/>
      <c r="F1106" s="12"/>
      <c r="G1106" s="13"/>
      <c r="H1106" s="8"/>
      <c r="I1106" s="14"/>
      <c r="J1106" s="15"/>
      <c r="K1106" s="16"/>
      <c r="L1106" s="8"/>
      <c r="M1106" s="15"/>
      <c r="N1106" s="8"/>
      <c r="O1106" s="8"/>
      <c r="P1106" s="17"/>
      <c r="Q1106" s="18"/>
      <c r="R1106" s="8"/>
      <c r="S1106" s="8"/>
    </row>
    <row r="1107" customFormat="1" customHeight="1" spans="1:19">
      <c r="A1107" s="8"/>
      <c r="B1107" s="9"/>
      <c r="C1107" s="10"/>
      <c r="D1107" s="10"/>
      <c r="E1107" s="11"/>
      <c r="F1107" s="12"/>
      <c r="G1107" s="13"/>
      <c r="H1107" s="8"/>
      <c r="I1107" s="14"/>
      <c r="J1107" s="15"/>
      <c r="K1107" s="16"/>
      <c r="L1107" s="8"/>
      <c r="M1107" s="15"/>
      <c r="N1107" s="8"/>
      <c r="O1107" s="8"/>
      <c r="P1107" s="17"/>
      <c r="Q1107" s="18"/>
      <c r="R1107" s="8"/>
      <c r="S1107" s="8"/>
    </row>
    <row r="1108" customFormat="1" customHeight="1" spans="1:19">
      <c r="A1108" s="8"/>
      <c r="B1108" s="9"/>
      <c r="C1108" s="10"/>
      <c r="D1108" s="10"/>
      <c r="E1108" s="11"/>
      <c r="F1108" s="12"/>
      <c r="G1108" s="13"/>
      <c r="H1108" s="8"/>
      <c r="I1108" s="14"/>
      <c r="J1108" s="15"/>
      <c r="K1108" s="16"/>
      <c r="L1108" s="8"/>
      <c r="M1108" s="15"/>
      <c r="N1108" s="8"/>
      <c r="O1108" s="8"/>
      <c r="P1108" s="17"/>
      <c r="Q1108" s="18"/>
      <c r="R1108" s="8"/>
      <c r="S1108" s="8"/>
    </row>
    <row r="1109" customFormat="1" customHeight="1" spans="1:19">
      <c r="A1109" s="8"/>
      <c r="B1109" s="9"/>
      <c r="C1109" s="10"/>
      <c r="D1109" s="10"/>
      <c r="E1109" s="11"/>
      <c r="F1109" s="12"/>
      <c r="G1109" s="13"/>
      <c r="H1109" s="8"/>
      <c r="I1109" s="14"/>
      <c r="J1109" s="15"/>
      <c r="K1109" s="16"/>
      <c r="L1109" s="8"/>
      <c r="M1109" s="15"/>
      <c r="N1109" s="8"/>
      <c r="O1109" s="8"/>
      <c r="P1109" s="17"/>
      <c r="Q1109" s="18"/>
      <c r="R1109" s="8"/>
      <c r="S1109" s="8"/>
    </row>
    <row r="1110" customFormat="1" customHeight="1" spans="1:19">
      <c r="A1110" s="8"/>
      <c r="B1110" s="9"/>
      <c r="C1110" s="10"/>
      <c r="D1110" s="10"/>
      <c r="E1110" s="11"/>
      <c r="F1110" s="12"/>
      <c r="G1110" s="13"/>
      <c r="H1110" s="8"/>
      <c r="I1110" s="14"/>
      <c r="J1110" s="15"/>
      <c r="K1110" s="16"/>
      <c r="L1110" s="8"/>
      <c r="M1110" s="15"/>
      <c r="N1110" s="8"/>
      <c r="O1110" s="8"/>
      <c r="P1110" s="17"/>
      <c r="Q1110" s="18"/>
      <c r="R1110" s="8"/>
      <c r="S1110" s="8"/>
    </row>
    <row r="1111" customFormat="1" customHeight="1" spans="1:19">
      <c r="A1111" s="8"/>
      <c r="B1111" s="9"/>
      <c r="C1111" s="10"/>
      <c r="D1111" s="10"/>
      <c r="E1111" s="11"/>
      <c r="F1111" s="12"/>
      <c r="G1111" s="13"/>
      <c r="H1111" s="8"/>
      <c r="I1111" s="14"/>
      <c r="J1111" s="15"/>
      <c r="K1111" s="16"/>
      <c r="L1111" s="8"/>
      <c r="M1111" s="15"/>
      <c r="N1111" s="8"/>
      <c r="O1111" s="8"/>
      <c r="P1111" s="17"/>
      <c r="Q1111" s="18"/>
      <c r="R1111" s="8"/>
      <c r="S1111" s="8"/>
    </row>
    <row r="1112" customFormat="1" customHeight="1" spans="1:19">
      <c r="A1112" s="8"/>
      <c r="B1112" s="9"/>
      <c r="C1112" s="10"/>
      <c r="D1112" s="10"/>
      <c r="E1112" s="11"/>
      <c r="F1112" s="12"/>
      <c r="G1112" s="13"/>
      <c r="H1112" s="8"/>
      <c r="I1112" s="14"/>
      <c r="J1112" s="15"/>
      <c r="K1112" s="16"/>
      <c r="L1112" s="8"/>
      <c r="M1112" s="15"/>
      <c r="N1112" s="8"/>
      <c r="O1112" s="8"/>
      <c r="P1112" s="17"/>
      <c r="Q1112" s="18"/>
      <c r="R1112" s="8"/>
      <c r="S1112" s="8"/>
    </row>
    <row r="1113" customFormat="1" customHeight="1" spans="1:19">
      <c r="A1113" s="8"/>
      <c r="B1113" s="9"/>
      <c r="C1113" s="10"/>
      <c r="D1113" s="10"/>
      <c r="E1113" s="11"/>
      <c r="F1113" s="12"/>
      <c r="G1113" s="13"/>
      <c r="H1113" s="8"/>
      <c r="I1113" s="14"/>
      <c r="J1113" s="15"/>
      <c r="K1113" s="16"/>
      <c r="L1113" s="8"/>
      <c r="M1113" s="15"/>
      <c r="N1113" s="8"/>
      <c r="O1113" s="8"/>
      <c r="P1113" s="17"/>
      <c r="Q1113" s="18"/>
      <c r="R1113" s="8"/>
      <c r="S1113" s="8"/>
    </row>
    <row r="1114" customFormat="1" customHeight="1" spans="1:19">
      <c r="A1114" s="8"/>
      <c r="B1114" s="9"/>
      <c r="C1114" s="10"/>
      <c r="D1114" s="10"/>
      <c r="E1114" s="11"/>
      <c r="F1114" s="12"/>
      <c r="G1114" s="13"/>
      <c r="H1114" s="8"/>
      <c r="I1114" s="14"/>
      <c r="J1114" s="15"/>
      <c r="K1114" s="16"/>
      <c r="L1114" s="8"/>
      <c r="M1114" s="15"/>
      <c r="N1114" s="8"/>
      <c r="O1114" s="8"/>
      <c r="P1114" s="17"/>
      <c r="Q1114" s="18"/>
      <c r="R1114" s="8"/>
      <c r="S1114" s="8"/>
    </row>
    <row r="1115" customFormat="1" customHeight="1" spans="1:19">
      <c r="A1115" s="8"/>
      <c r="B1115" s="9"/>
      <c r="C1115" s="10"/>
      <c r="D1115" s="10"/>
      <c r="E1115" s="11"/>
      <c r="F1115" s="12"/>
      <c r="G1115" s="13"/>
      <c r="H1115" s="8"/>
      <c r="I1115" s="14"/>
      <c r="J1115" s="15"/>
      <c r="K1115" s="16"/>
      <c r="L1115" s="8"/>
      <c r="M1115" s="15"/>
      <c r="N1115" s="8"/>
      <c r="O1115" s="8"/>
      <c r="P1115" s="17"/>
      <c r="Q1115" s="18"/>
      <c r="R1115" s="8"/>
      <c r="S1115" s="8"/>
    </row>
    <row r="1116" customFormat="1" customHeight="1" spans="1:19">
      <c r="A1116" s="8"/>
      <c r="B1116" s="9"/>
      <c r="C1116" s="10"/>
      <c r="D1116" s="10"/>
      <c r="E1116" s="11"/>
      <c r="F1116" s="12"/>
      <c r="G1116" s="13"/>
      <c r="H1116" s="8"/>
      <c r="I1116" s="14"/>
      <c r="J1116" s="15"/>
      <c r="K1116" s="16"/>
      <c r="L1116" s="8"/>
      <c r="M1116" s="15"/>
      <c r="N1116" s="8"/>
      <c r="O1116" s="8"/>
      <c r="P1116" s="17"/>
      <c r="Q1116" s="18"/>
      <c r="R1116" s="8"/>
      <c r="S1116" s="8"/>
    </row>
    <row r="1117" customFormat="1" customHeight="1" spans="1:19">
      <c r="A1117" s="8"/>
      <c r="B1117" s="9"/>
      <c r="C1117" s="10"/>
      <c r="D1117" s="10"/>
      <c r="E1117" s="11"/>
      <c r="F1117" s="12"/>
      <c r="G1117" s="13"/>
      <c r="H1117" s="8"/>
      <c r="I1117" s="14"/>
      <c r="J1117" s="15"/>
      <c r="K1117" s="16"/>
      <c r="L1117" s="8"/>
      <c r="M1117" s="15"/>
      <c r="N1117" s="8"/>
      <c r="O1117" s="8"/>
      <c r="P1117" s="17"/>
      <c r="Q1117" s="18"/>
      <c r="R1117" s="8"/>
      <c r="S1117" s="8"/>
    </row>
    <row r="1118" customFormat="1" customHeight="1" spans="1:19">
      <c r="A1118" s="8"/>
      <c r="B1118" s="9"/>
      <c r="C1118" s="10"/>
      <c r="D1118" s="10"/>
      <c r="E1118" s="11"/>
      <c r="F1118" s="12"/>
      <c r="G1118" s="13"/>
      <c r="H1118" s="8"/>
      <c r="I1118" s="14"/>
      <c r="J1118" s="15"/>
      <c r="K1118" s="16"/>
      <c r="L1118" s="8"/>
      <c r="M1118" s="15"/>
      <c r="N1118" s="8"/>
      <c r="O1118" s="8"/>
      <c r="P1118" s="17"/>
      <c r="Q1118" s="18"/>
      <c r="R1118" s="8"/>
      <c r="S1118" s="8"/>
    </row>
    <row r="1119" customFormat="1" customHeight="1" spans="1:19">
      <c r="A1119" s="8"/>
      <c r="B1119" s="9"/>
      <c r="C1119" s="10"/>
      <c r="D1119" s="10"/>
      <c r="E1119" s="11"/>
      <c r="F1119" s="12"/>
      <c r="G1119" s="13"/>
      <c r="H1119" s="8"/>
      <c r="I1119" s="14"/>
      <c r="J1119" s="15"/>
      <c r="K1119" s="16"/>
      <c r="L1119" s="8"/>
      <c r="M1119" s="15"/>
      <c r="N1119" s="8"/>
      <c r="O1119" s="8"/>
      <c r="P1119" s="17"/>
      <c r="Q1119" s="18"/>
      <c r="R1119" s="8"/>
      <c r="S1119" s="8"/>
    </row>
    <row r="1120" customFormat="1" customHeight="1" spans="1:19">
      <c r="A1120" s="8"/>
      <c r="B1120" s="9"/>
      <c r="C1120" s="10"/>
      <c r="D1120" s="10"/>
      <c r="E1120" s="11"/>
      <c r="F1120" s="12"/>
      <c r="G1120" s="13"/>
      <c r="H1120" s="8"/>
      <c r="I1120" s="14"/>
      <c r="J1120" s="15"/>
      <c r="K1120" s="16"/>
      <c r="L1120" s="8"/>
      <c r="M1120" s="15"/>
      <c r="N1120" s="8"/>
      <c r="O1120" s="8"/>
      <c r="P1120" s="17"/>
      <c r="Q1120" s="18"/>
      <c r="R1120" s="8"/>
      <c r="S1120" s="8"/>
    </row>
    <row r="1121" customFormat="1" customHeight="1" spans="1:19">
      <c r="A1121" s="8"/>
      <c r="B1121" s="9"/>
      <c r="C1121" s="10"/>
      <c r="D1121" s="10"/>
      <c r="E1121" s="11"/>
      <c r="F1121" s="12"/>
      <c r="G1121" s="13"/>
      <c r="H1121" s="8"/>
      <c r="I1121" s="14"/>
      <c r="J1121" s="15"/>
      <c r="K1121" s="16"/>
      <c r="L1121" s="8"/>
      <c r="M1121" s="15"/>
      <c r="N1121" s="8"/>
      <c r="O1121" s="8"/>
      <c r="P1121" s="17"/>
      <c r="Q1121" s="18"/>
      <c r="R1121" s="8"/>
      <c r="S1121" s="8"/>
    </row>
    <row r="1122" customFormat="1" customHeight="1" spans="1:19">
      <c r="A1122" s="8"/>
      <c r="B1122" s="9"/>
      <c r="C1122" s="10"/>
      <c r="D1122" s="10"/>
      <c r="E1122" s="11"/>
      <c r="F1122" s="12"/>
      <c r="G1122" s="13"/>
      <c r="H1122" s="8"/>
      <c r="I1122" s="14"/>
      <c r="J1122" s="15"/>
      <c r="K1122" s="16"/>
      <c r="L1122" s="8"/>
      <c r="M1122" s="15"/>
      <c r="N1122" s="8"/>
      <c r="O1122" s="8"/>
      <c r="P1122" s="17"/>
      <c r="Q1122" s="18"/>
      <c r="R1122" s="8"/>
      <c r="S1122" s="8"/>
    </row>
    <row r="1123" customFormat="1" customHeight="1" spans="1:19">
      <c r="A1123" s="8"/>
      <c r="B1123" s="9"/>
      <c r="C1123" s="10"/>
      <c r="D1123" s="10"/>
      <c r="E1123" s="11"/>
      <c r="F1123" s="12"/>
      <c r="G1123" s="13"/>
      <c r="H1123" s="8"/>
      <c r="I1123" s="14"/>
      <c r="J1123" s="15"/>
      <c r="K1123" s="16"/>
      <c r="L1123" s="8"/>
      <c r="M1123" s="15"/>
      <c r="N1123" s="8"/>
      <c r="O1123" s="8"/>
      <c r="P1123" s="17"/>
      <c r="Q1123" s="18"/>
      <c r="R1123" s="8"/>
      <c r="S1123" s="8"/>
    </row>
    <row r="1124" customFormat="1" customHeight="1" spans="1:19">
      <c r="A1124" s="8"/>
      <c r="B1124" s="9"/>
      <c r="C1124" s="10"/>
      <c r="D1124" s="10"/>
      <c r="E1124" s="11"/>
      <c r="F1124" s="12"/>
      <c r="G1124" s="13"/>
      <c r="H1124" s="8"/>
      <c r="I1124" s="14"/>
      <c r="J1124" s="15"/>
      <c r="K1124" s="16"/>
      <c r="L1124" s="8"/>
      <c r="M1124" s="15"/>
      <c r="N1124" s="8"/>
      <c r="O1124" s="8"/>
      <c r="P1124" s="17"/>
      <c r="Q1124" s="18"/>
      <c r="R1124" s="8"/>
      <c r="S1124" s="8"/>
    </row>
    <row r="1125" customFormat="1" customHeight="1" spans="1:19">
      <c r="A1125" s="8"/>
      <c r="B1125" s="9"/>
      <c r="C1125" s="10"/>
      <c r="D1125" s="10"/>
      <c r="E1125" s="11"/>
      <c r="F1125" s="12"/>
      <c r="G1125" s="13"/>
      <c r="H1125" s="8"/>
      <c r="I1125" s="14"/>
      <c r="J1125" s="15"/>
      <c r="K1125" s="16"/>
      <c r="L1125" s="8"/>
      <c r="M1125" s="15"/>
      <c r="N1125" s="8"/>
      <c r="O1125" s="8"/>
      <c r="P1125" s="17"/>
      <c r="Q1125" s="18"/>
      <c r="R1125" s="8"/>
      <c r="S1125" s="8"/>
    </row>
    <row r="1126" customFormat="1" customHeight="1" spans="1:19">
      <c r="A1126" s="8"/>
      <c r="B1126" s="9"/>
      <c r="C1126" s="10"/>
      <c r="D1126" s="10"/>
      <c r="E1126" s="11"/>
      <c r="F1126" s="12"/>
      <c r="G1126" s="13"/>
      <c r="H1126" s="8"/>
      <c r="I1126" s="14"/>
      <c r="J1126" s="15"/>
      <c r="K1126" s="16"/>
      <c r="L1126" s="8"/>
      <c r="M1126" s="15"/>
      <c r="N1126" s="8"/>
      <c r="O1126" s="8"/>
      <c r="P1126" s="17"/>
      <c r="Q1126" s="18"/>
      <c r="R1126" s="8"/>
      <c r="S1126" s="8"/>
    </row>
    <row r="1127" customFormat="1" customHeight="1" spans="1:19">
      <c r="A1127" s="8"/>
      <c r="B1127" s="9"/>
      <c r="C1127" s="10"/>
      <c r="D1127" s="10"/>
      <c r="E1127" s="11"/>
      <c r="F1127" s="12"/>
      <c r="G1127" s="13"/>
      <c r="H1127" s="8"/>
      <c r="I1127" s="14"/>
      <c r="J1127" s="15"/>
      <c r="K1127" s="16"/>
      <c r="L1127" s="8"/>
      <c r="M1127" s="15"/>
      <c r="N1127" s="8"/>
      <c r="O1127" s="8"/>
      <c r="P1127" s="17"/>
      <c r="Q1127" s="18"/>
      <c r="R1127" s="8"/>
      <c r="S1127" s="8"/>
    </row>
    <row r="1128" customFormat="1" customHeight="1" spans="1:19">
      <c r="A1128" s="8"/>
      <c r="B1128" s="9"/>
      <c r="C1128" s="10"/>
      <c r="D1128" s="10"/>
      <c r="E1128" s="11"/>
      <c r="F1128" s="12"/>
      <c r="G1128" s="13"/>
      <c r="H1128" s="8"/>
      <c r="I1128" s="14"/>
      <c r="J1128" s="15"/>
      <c r="K1128" s="16"/>
      <c r="L1128" s="8"/>
      <c r="M1128" s="15"/>
      <c r="N1128" s="8"/>
      <c r="O1128" s="8"/>
      <c r="P1128" s="17"/>
      <c r="Q1128" s="18"/>
      <c r="R1128" s="8"/>
      <c r="S1128" s="8"/>
    </row>
    <row r="1129" customFormat="1" customHeight="1" spans="1:19">
      <c r="A1129" s="8"/>
      <c r="B1129" s="9"/>
      <c r="C1129" s="10"/>
      <c r="D1129" s="10"/>
      <c r="E1129" s="11"/>
      <c r="F1129" s="12"/>
      <c r="G1129" s="13"/>
      <c r="H1129" s="8"/>
      <c r="I1129" s="14"/>
      <c r="J1129" s="15"/>
      <c r="K1129" s="16"/>
      <c r="L1129" s="8"/>
      <c r="M1129" s="15"/>
      <c r="N1129" s="8"/>
      <c r="O1129" s="8"/>
      <c r="P1129" s="17"/>
      <c r="Q1129" s="18"/>
      <c r="R1129" s="8"/>
      <c r="S1129" s="8"/>
    </row>
    <row r="1130" customFormat="1" customHeight="1" spans="1:19">
      <c r="A1130" s="8"/>
      <c r="B1130" s="9"/>
      <c r="C1130" s="10"/>
      <c r="D1130" s="10"/>
      <c r="E1130" s="11"/>
      <c r="F1130" s="12"/>
      <c r="G1130" s="13"/>
      <c r="H1130" s="8"/>
      <c r="I1130" s="14"/>
      <c r="J1130" s="15"/>
      <c r="K1130" s="16"/>
      <c r="L1130" s="8"/>
      <c r="M1130" s="15"/>
      <c r="N1130" s="8"/>
      <c r="O1130" s="8"/>
      <c r="P1130" s="17"/>
      <c r="Q1130" s="18"/>
      <c r="R1130" s="8"/>
      <c r="S1130" s="8"/>
    </row>
    <row r="1131" customFormat="1" customHeight="1" spans="1:19">
      <c r="A1131" s="8"/>
      <c r="B1131" s="9"/>
      <c r="C1131" s="10"/>
      <c r="D1131" s="10"/>
      <c r="E1131" s="11"/>
      <c r="F1131" s="12"/>
      <c r="G1131" s="13"/>
      <c r="H1131" s="8"/>
      <c r="I1131" s="14"/>
      <c r="J1131" s="15"/>
      <c r="K1131" s="16"/>
      <c r="L1131" s="8"/>
      <c r="M1131" s="15"/>
      <c r="N1131" s="8"/>
      <c r="O1131" s="8"/>
      <c r="P1131" s="17"/>
      <c r="Q1131" s="18"/>
      <c r="R1131" s="8"/>
      <c r="S1131" s="8"/>
    </row>
    <row r="1132" customFormat="1" customHeight="1" spans="1:19">
      <c r="A1132" s="8"/>
      <c r="B1132" s="9"/>
      <c r="C1132" s="10"/>
      <c r="D1132" s="10"/>
      <c r="E1132" s="11"/>
      <c r="F1132" s="12"/>
      <c r="G1132" s="13"/>
      <c r="H1132" s="8"/>
      <c r="I1132" s="14"/>
      <c r="J1132" s="15"/>
      <c r="K1132" s="16"/>
      <c r="L1132" s="8"/>
      <c r="M1132" s="15"/>
      <c r="N1132" s="8"/>
      <c r="O1132" s="8"/>
      <c r="P1132" s="17"/>
      <c r="Q1132" s="18"/>
      <c r="R1132" s="8"/>
      <c r="S1132" s="8"/>
    </row>
    <row r="1133" customFormat="1" customHeight="1" spans="1:19">
      <c r="A1133" s="8"/>
      <c r="B1133" s="9"/>
      <c r="C1133" s="10"/>
      <c r="D1133" s="10"/>
      <c r="E1133" s="11"/>
      <c r="F1133" s="12"/>
      <c r="G1133" s="13"/>
      <c r="H1133" s="8"/>
      <c r="I1133" s="14"/>
      <c r="J1133" s="15"/>
      <c r="K1133" s="16"/>
      <c r="L1133" s="8"/>
      <c r="M1133" s="15"/>
      <c r="N1133" s="8"/>
      <c r="O1133" s="8"/>
      <c r="P1133" s="17"/>
      <c r="Q1133" s="18"/>
      <c r="R1133" s="8"/>
      <c r="S1133" s="8"/>
    </row>
    <row r="1134" customFormat="1" customHeight="1" spans="1:19">
      <c r="A1134" s="8"/>
      <c r="B1134" s="9"/>
      <c r="C1134" s="10"/>
      <c r="D1134" s="10"/>
      <c r="E1134" s="11"/>
      <c r="F1134" s="12"/>
      <c r="G1134" s="13"/>
      <c r="H1134" s="8"/>
      <c r="I1134" s="14"/>
      <c r="J1134" s="15"/>
      <c r="K1134" s="16"/>
      <c r="L1134" s="8"/>
      <c r="M1134" s="15"/>
      <c r="N1134" s="8"/>
      <c r="O1134" s="8"/>
      <c r="P1134" s="17"/>
      <c r="Q1134" s="18"/>
      <c r="R1134" s="8"/>
      <c r="S1134" s="8"/>
    </row>
    <row r="1135" customFormat="1" customHeight="1" spans="1:19">
      <c r="A1135" s="8"/>
      <c r="B1135" s="9"/>
      <c r="C1135" s="10"/>
      <c r="D1135" s="10"/>
      <c r="E1135" s="11"/>
      <c r="F1135" s="12"/>
      <c r="G1135" s="13"/>
      <c r="H1135" s="8"/>
      <c r="I1135" s="14"/>
      <c r="J1135" s="15"/>
      <c r="K1135" s="16"/>
      <c r="L1135" s="8"/>
      <c r="M1135" s="15"/>
      <c r="N1135" s="8"/>
      <c r="O1135" s="8"/>
      <c r="P1135" s="17"/>
      <c r="Q1135" s="18"/>
      <c r="R1135" s="8"/>
      <c r="S1135" s="8"/>
    </row>
    <row r="1136" customFormat="1" customHeight="1" spans="1:19">
      <c r="A1136" s="8"/>
      <c r="B1136" s="9"/>
      <c r="C1136" s="10"/>
      <c r="D1136" s="10"/>
      <c r="E1136" s="11"/>
      <c r="F1136" s="12"/>
      <c r="G1136" s="13"/>
      <c r="H1136" s="8"/>
      <c r="I1136" s="14"/>
      <c r="J1136" s="15"/>
      <c r="K1136" s="16"/>
      <c r="L1136" s="8"/>
      <c r="M1136" s="15"/>
      <c r="N1136" s="8"/>
      <c r="O1136" s="8"/>
      <c r="P1136" s="17"/>
      <c r="Q1136" s="18"/>
      <c r="R1136" s="8"/>
      <c r="S1136" s="8"/>
    </row>
    <row r="1137" customFormat="1" customHeight="1" spans="1:19">
      <c r="A1137" s="8"/>
      <c r="B1137" s="9"/>
      <c r="C1137" s="10"/>
      <c r="D1137" s="10"/>
      <c r="E1137" s="11"/>
      <c r="F1137" s="12"/>
      <c r="G1137" s="13"/>
      <c r="H1137" s="8"/>
      <c r="I1137" s="14"/>
      <c r="J1137" s="15"/>
      <c r="K1137" s="16"/>
      <c r="L1137" s="8"/>
      <c r="M1137" s="15"/>
      <c r="N1137" s="8"/>
      <c r="O1137" s="8"/>
      <c r="P1137" s="17"/>
      <c r="Q1137" s="18"/>
      <c r="R1137" s="8"/>
      <c r="S1137" s="8"/>
    </row>
    <row r="1138" customFormat="1" customHeight="1" spans="1:19">
      <c r="A1138" s="8"/>
      <c r="B1138" s="9"/>
      <c r="C1138" s="10"/>
      <c r="D1138" s="10"/>
      <c r="E1138" s="11"/>
      <c r="F1138" s="12"/>
      <c r="G1138" s="13"/>
      <c r="H1138" s="8"/>
      <c r="I1138" s="14"/>
      <c r="J1138" s="15"/>
      <c r="K1138" s="16"/>
      <c r="L1138" s="8"/>
      <c r="M1138" s="15"/>
      <c r="N1138" s="8"/>
      <c r="O1138" s="8"/>
      <c r="P1138" s="17"/>
      <c r="Q1138" s="18"/>
      <c r="R1138" s="8"/>
      <c r="S1138" s="8"/>
    </row>
    <row r="1139" customFormat="1" customHeight="1" spans="1:19">
      <c r="A1139" s="8"/>
      <c r="B1139" s="9"/>
      <c r="C1139" s="10"/>
      <c r="D1139" s="10"/>
      <c r="E1139" s="11"/>
      <c r="F1139" s="12"/>
      <c r="G1139" s="13"/>
      <c r="H1139" s="8"/>
      <c r="I1139" s="14"/>
      <c r="J1139" s="15"/>
      <c r="K1139" s="16"/>
      <c r="L1139" s="8"/>
      <c r="M1139" s="15"/>
      <c r="N1139" s="8"/>
      <c r="O1139" s="8"/>
      <c r="P1139" s="17"/>
      <c r="Q1139" s="18"/>
      <c r="R1139" s="8"/>
      <c r="S1139" s="8"/>
    </row>
    <row r="1140" customFormat="1" customHeight="1" spans="1:19">
      <c r="A1140" s="8"/>
      <c r="B1140" s="9"/>
      <c r="C1140" s="10"/>
      <c r="D1140" s="10"/>
      <c r="E1140" s="11"/>
      <c r="F1140" s="12"/>
      <c r="G1140" s="13"/>
      <c r="H1140" s="8"/>
      <c r="I1140" s="14"/>
      <c r="J1140" s="15"/>
      <c r="K1140" s="16"/>
      <c r="L1140" s="8"/>
      <c r="M1140" s="15"/>
      <c r="N1140" s="8"/>
      <c r="O1140" s="8"/>
      <c r="P1140" s="17"/>
      <c r="Q1140" s="18"/>
      <c r="R1140" s="8"/>
      <c r="S1140" s="8"/>
    </row>
    <row r="1141" customFormat="1" customHeight="1" spans="1:19">
      <c r="A1141" s="8"/>
      <c r="B1141" s="9"/>
      <c r="C1141" s="10"/>
      <c r="D1141" s="10"/>
      <c r="E1141" s="11"/>
      <c r="F1141" s="12"/>
      <c r="G1141" s="13"/>
      <c r="H1141" s="8"/>
      <c r="I1141" s="14"/>
      <c r="J1141" s="15"/>
      <c r="K1141" s="16"/>
      <c r="L1141" s="8"/>
      <c r="M1141" s="15"/>
      <c r="N1141" s="8"/>
      <c r="O1141" s="8"/>
      <c r="P1141" s="17"/>
      <c r="Q1141" s="18"/>
      <c r="R1141" s="8"/>
      <c r="S1141" s="8"/>
    </row>
    <row r="1142" customFormat="1" customHeight="1" spans="1:19">
      <c r="A1142" s="8"/>
      <c r="B1142" s="9"/>
      <c r="C1142" s="10"/>
      <c r="D1142" s="10"/>
      <c r="E1142" s="11"/>
      <c r="F1142" s="12"/>
      <c r="G1142" s="13"/>
      <c r="H1142" s="8"/>
      <c r="I1142" s="14"/>
      <c r="J1142" s="15"/>
      <c r="K1142" s="16"/>
      <c r="L1142" s="8"/>
      <c r="M1142" s="15"/>
      <c r="N1142" s="8"/>
      <c r="O1142" s="8"/>
      <c r="P1142" s="17"/>
      <c r="Q1142" s="18"/>
      <c r="R1142" s="8"/>
      <c r="S1142" s="8"/>
    </row>
    <row r="1143" customFormat="1" customHeight="1" spans="1:19">
      <c r="A1143" s="8"/>
      <c r="B1143" s="9"/>
      <c r="C1143" s="10"/>
      <c r="D1143" s="10"/>
      <c r="E1143" s="11"/>
      <c r="F1143" s="12"/>
      <c r="G1143" s="13"/>
      <c r="H1143" s="8"/>
      <c r="I1143" s="14"/>
      <c r="J1143" s="15"/>
      <c r="K1143" s="16"/>
      <c r="L1143" s="8"/>
      <c r="M1143" s="15"/>
      <c r="N1143" s="8"/>
      <c r="O1143" s="8"/>
      <c r="P1143" s="17"/>
      <c r="Q1143" s="18"/>
      <c r="R1143" s="8"/>
      <c r="S1143" s="8"/>
    </row>
    <row r="1144" customFormat="1" customHeight="1" spans="1:19">
      <c r="A1144" s="8"/>
      <c r="B1144" s="9"/>
      <c r="C1144" s="10"/>
      <c r="D1144" s="10"/>
      <c r="E1144" s="11"/>
      <c r="F1144" s="12"/>
      <c r="G1144" s="13"/>
      <c r="H1144" s="8"/>
      <c r="I1144" s="14"/>
      <c r="J1144" s="15"/>
      <c r="K1144" s="16"/>
      <c r="L1144" s="8"/>
      <c r="M1144" s="15"/>
      <c r="N1144" s="8"/>
      <c r="O1144" s="8"/>
      <c r="P1144" s="17"/>
      <c r="Q1144" s="18"/>
      <c r="R1144" s="8"/>
      <c r="S1144" s="8"/>
    </row>
    <row r="1145" customFormat="1" customHeight="1" spans="1:19">
      <c r="A1145" s="8"/>
      <c r="B1145" s="9"/>
      <c r="C1145" s="10"/>
      <c r="D1145" s="10"/>
      <c r="E1145" s="11"/>
      <c r="F1145" s="12"/>
      <c r="G1145" s="13"/>
      <c r="H1145" s="8"/>
      <c r="I1145" s="14"/>
      <c r="J1145" s="15"/>
      <c r="K1145" s="16"/>
      <c r="L1145" s="8"/>
      <c r="M1145" s="15"/>
      <c r="N1145" s="8"/>
      <c r="O1145" s="8"/>
      <c r="P1145" s="17"/>
      <c r="Q1145" s="18"/>
      <c r="R1145" s="8"/>
      <c r="S1145" s="8"/>
    </row>
    <row r="1146" customFormat="1" customHeight="1" spans="1:19">
      <c r="A1146" s="8"/>
      <c r="B1146" s="9"/>
      <c r="C1146" s="10"/>
      <c r="D1146" s="10"/>
      <c r="E1146" s="11"/>
      <c r="F1146" s="12"/>
      <c r="G1146" s="13"/>
      <c r="H1146" s="8"/>
      <c r="I1146" s="14"/>
      <c r="J1146" s="15"/>
      <c r="K1146" s="16"/>
      <c r="L1146" s="8"/>
      <c r="M1146" s="15"/>
      <c r="N1146" s="8"/>
      <c r="O1146" s="8"/>
      <c r="P1146" s="17"/>
      <c r="Q1146" s="18"/>
      <c r="R1146" s="8"/>
      <c r="S1146" s="8"/>
    </row>
    <row r="1147" customFormat="1" customHeight="1" spans="1:19">
      <c r="A1147" s="8"/>
      <c r="B1147" s="9"/>
      <c r="C1147" s="10"/>
      <c r="D1147" s="10"/>
      <c r="E1147" s="11"/>
      <c r="F1147" s="12"/>
      <c r="G1147" s="13"/>
      <c r="H1147" s="8"/>
      <c r="I1147" s="14"/>
      <c r="J1147" s="15"/>
      <c r="K1147" s="16"/>
      <c r="L1147" s="8"/>
      <c r="M1147" s="15"/>
      <c r="N1147" s="8"/>
      <c r="O1147" s="8"/>
      <c r="P1147" s="17"/>
      <c r="Q1147" s="18"/>
      <c r="R1147" s="8"/>
      <c r="S1147" s="8"/>
    </row>
    <row r="1148" customFormat="1" customHeight="1" spans="1:19">
      <c r="A1148" s="8"/>
      <c r="B1148" s="9"/>
      <c r="C1148" s="10"/>
      <c r="D1148" s="10"/>
      <c r="E1148" s="11"/>
      <c r="F1148" s="12"/>
      <c r="G1148" s="13"/>
      <c r="H1148" s="8"/>
      <c r="I1148" s="14"/>
      <c r="J1148" s="15"/>
      <c r="K1148" s="16"/>
      <c r="L1148" s="8"/>
      <c r="M1148" s="15"/>
      <c r="N1148" s="8"/>
      <c r="O1148" s="8"/>
      <c r="P1148" s="17"/>
      <c r="Q1148" s="18"/>
      <c r="R1148" s="8"/>
      <c r="S1148" s="8"/>
    </row>
    <row r="1149" customFormat="1" customHeight="1" spans="1:19">
      <c r="A1149" s="8"/>
      <c r="B1149" s="9"/>
      <c r="C1149" s="10"/>
      <c r="D1149" s="10"/>
      <c r="E1149" s="11"/>
      <c r="F1149" s="12"/>
      <c r="G1149" s="13"/>
      <c r="H1149" s="8"/>
      <c r="I1149" s="14"/>
      <c r="J1149" s="15"/>
      <c r="K1149" s="16"/>
      <c r="L1149" s="8"/>
      <c r="M1149" s="15"/>
      <c r="N1149" s="8"/>
      <c r="O1149" s="8"/>
      <c r="P1149" s="17"/>
      <c r="Q1149" s="18"/>
      <c r="R1149" s="8"/>
      <c r="S1149" s="8"/>
    </row>
    <row r="1150" customFormat="1" customHeight="1" spans="1:19">
      <c r="A1150" s="8"/>
      <c r="B1150" s="9"/>
      <c r="C1150" s="10"/>
      <c r="D1150" s="10"/>
      <c r="E1150" s="11"/>
      <c r="F1150" s="12"/>
      <c r="G1150" s="13"/>
      <c r="H1150" s="8"/>
      <c r="I1150" s="14"/>
      <c r="J1150" s="15"/>
      <c r="K1150" s="16"/>
      <c r="L1150" s="8"/>
      <c r="M1150" s="15"/>
      <c r="N1150" s="8"/>
      <c r="O1150" s="8"/>
      <c r="P1150" s="17"/>
      <c r="Q1150" s="18"/>
      <c r="R1150" s="8"/>
      <c r="S1150" s="8"/>
    </row>
    <row r="1151" customFormat="1" customHeight="1" spans="1:19">
      <c r="A1151" s="8"/>
      <c r="B1151" s="9"/>
      <c r="C1151" s="10"/>
      <c r="D1151" s="10"/>
      <c r="E1151" s="11"/>
      <c r="F1151" s="12"/>
      <c r="G1151" s="13"/>
      <c r="H1151" s="8"/>
      <c r="I1151" s="14"/>
      <c r="J1151" s="15"/>
      <c r="K1151" s="16"/>
      <c r="L1151" s="8"/>
      <c r="M1151" s="15"/>
      <c r="N1151" s="8"/>
      <c r="O1151" s="8"/>
      <c r="P1151" s="17"/>
      <c r="Q1151" s="18"/>
      <c r="R1151" s="8"/>
      <c r="S1151" s="8"/>
    </row>
    <row r="1152" customFormat="1" customHeight="1" spans="1:19">
      <c r="A1152" s="8"/>
      <c r="B1152" s="9"/>
      <c r="C1152" s="10"/>
      <c r="D1152" s="10"/>
      <c r="E1152" s="11"/>
      <c r="F1152" s="12"/>
      <c r="G1152" s="13"/>
      <c r="H1152" s="8"/>
      <c r="I1152" s="14"/>
      <c r="J1152" s="15"/>
      <c r="K1152" s="16"/>
      <c r="L1152" s="8"/>
      <c r="M1152" s="15"/>
      <c r="N1152" s="8"/>
      <c r="O1152" s="8"/>
      <c r="P1152" s="17"/>
      <c r="Q1152" s="18"/>
      <c r="R1152" s="8"/>
      <c r="S1152" s="8"/>
    </row>
    <row r="1153" customFormat="1" customHeight="1" spans="1:19">
      <c r="A1153" s="8"/>
      <c r="B1153" s="9"/>
      <c r="C1153" s="10"/>
      <c r="D1153" s="10"/>
      <c r="E1153" s="11"/>
      <c r="F1153" s="12"/>
      <c r="G1153" s="13"/>
      <c r="H1153" s="8"/>
      <c r="I1153" s="14"/>
      <c r="J1153" s="15"/>
      <c r="K1153" s="16"/>
      <c r="L1153" s="8"/>
      <c r="M1153" s="15"/>
      <c r="N1153" s="8"/>
      <c r="O1153" s="8"/>
      <c r="P1153" s="17"/>
      <c r="Q1153" s="18"/>
      <c r="R1153" s="8"/>
      <c r="S1153" s="8"/>
    </row>
    <row r="1154" customFormat="1" customHeight="1" spans="1:19">
      <c r="A1154" s="8"/>
      <c r="B1154" s="9"/>
      <c r="C1154" s="10"/>
      <c r="D1154" s="10"/>
      <c r="E1154" s="11"/>
      <c r="F1154" s="12"/>
      <c r="G1154" s="13"/>
      <c r="H1154" s="8"/>
      <c r="I1154" s="14"/>
      <c r="J1154" s="15"/>
      <c r="K1154" s="16"/>
      <c r="L1154" s="8"/>
      <c r="M1154" s="15"/>
      <c r="N1154" s="8"/>
      <c r="O1154" s="8"/>
      <c r="P1154" s="17"/>
      <c r="Q1154" s="18"/>
      <c r="R1154" s="8"/>
      <c r="S1154" s="8"/>
    </row>
    <row r="1155" customFormat="1" customHeight="1" spans="1:19">
      <c r="A1155" s="8"/>
      <c r="B1155" s="9"/>
      <c r="C1155" s="10"/>
      <c r="D1155" s="10"/>
      <c r="E1155" s="11"/>
      <c r="F1155" s="12"/>
      <c r="G1155" s="13"/>
      <c r="H1155" s="8"/>
      <c r="I1155" s="14"/>
      <c r="J1155" s="15"/>
      <c r="K1155" s="16"/>
      <c r="L1155" s="8"/>
      <c r="M1155" s="15"/>
      <c r="N1155" s="8"/>
      <c r="O1155" s="8"/>
      <c r="P1155" s="17"/>
      <c r="Q1155" s="18"/>
      <c r="R1155" s="8"/>
      <c r="S1155" s="8"/>
    </row>
    <row r="1156" customFormat="1" customHeight="1" spans="1:19">
      <c r="A1156" s="8"/>
      <c r="B1156" s="9"/>
      <c r="C1156" s="10"/>
      <c r="D1156" s="10"/>
      <c r="E1156" s="11"/>
      <c r="F1156" s="12"/>
      <c r="G1156" s="13"/>
      <c r="H1156" s="8"/>
      <c r="I1156" s="14"/>
      <c r="J1156" s="15"/>
      <c r="K1156" s="16"/>
      <c r="L1156" s="8"/>
      <c r="M1156" s="15"/>
      <c r="N1156" s="8"/>
      <c r="O1156" s="8"/>
      <c r="P1156" s="17"/>
      <c r="Q1156" s="18"/>
      <c r="R1156" s="8"/>
      <c r="S1156" s="8"/>
    </row>
    <row r="1157" customFormat="1" customHeight="1" spans="1:19">
      <c r="A1157" s="8"/>
      <c r="B1157" s="9"/>
      <c r="C1157" s="10"/>
      <c r="D1157" s="10"/>
      <c r="E1157" s="11"/>
      <c r="F1157" s="12"/>
      <c r="G1157" s="13"/>
      <c r="H1157" s="8"/>
      <c r="I1157" s="14"/>
      <c r="J1157" s="15"/>
      <c r="K1157" s="16"/>
      <c r="L1157" s="8"/>
      <c r="M1157" s="15"/>
      <c r="N1157" s="8"/>
      <c r="O1157" s="8"/>
      <c r="P1157" s="17"/>
      <c r="Q1157" s="18"/>
      <c r="R1157" s="8"/>
      <c r="S1157" s="8"/>
    </row>
    <row r="1158" customFormat="1" customHeight="1" spans="1:19">
      <c r="A1158" s="8"/>
      <c r="B1158" s="9"/>
      <c r="C1158" s="10"/>
      <c r="D1158" s="10"/>
      <c r="E1158" s="11"/>
      <c r="F1158" s="12"/>
      <c r="G1158" s="13"/>
      <c r="H1158" s="8"/>
      <c r="I1158" s="14"/>
      <c r="J1158" s="15"/>
      <c r="K1158" s="16"/>
      <c r="L1158" s="8"/>
      <c r="M1158" s="15"/>
      <c r="N1158" s="8"/>
      <c r="O1158" s="8"/>
      <c r="P1158" s="17"/>
      <c r="Q1158" s="18"/>
      <c r="R1158" s="8"/>
      <c r="S1158" s="8"/>
    </row>
    <row r="1159" customFormat="1" customHeight="1" spans="1:19">
      <c r="A1159" s="8"/>
      <c r="B1159" s="9"/>
      <c r="C1159" s="10"/>
      <c r="D1159" s="10"/>
      <c r="E1159" s="11"/>
      <c r="F1159" s="12"/>
      <c r="G1159" s="13"/>
      <c r="H1159" s="8"/>
      <c r="I1159" s="14"/>
      <c r="J1159" s="15"/>
      <c r="K1159" s="16"/>
      <c r="L1159" s="8"/>
      <c r="M1159" s="15"/>
      <c r="N1159" s="8"/>
      <c r="O1159" s="8"/>
      <c r="P1159" s="17"/>
      <c r="Q1159" s="18"/>
      <c r="R1159" s="8"/>
      <c r="S1159" s="8"/>
    </row>
    <row r="1160" customFormat="1" customHeight="1" spans="1:19">
      <c r="A1160" s="8"/>
      <c r="B1160" s="9"/>
      <c r="C1160" s="10"/>
      <c r="D1160" s="10"/>
      <c r="E1160" s="11"/>
      <c r="F1160" s="12"/>
      <c r="G1160" s="13"/>
      <c r="H1160" s="8"/>
      <c r="I1160" s="14"/>
      <c r="J1160" s="15"/>
      <c r="K1160" s="16"/>
      <c r="L1160" s="8"/>
      <c r="M1160" s="15"/>
      <c r="N1160" s="8"/>
      <c r="O1160" s="8"/>
      <c r="P1160" s="17"/>
      <c r="Q1160" s="18"/>
      <c r="R1160" s="8"/>
      <c r="S1160" s="8"/>
    </row>
    <row r="1161" customFormat="1" customHeight="1" spans="1:19">
      <c r="A1161" s="8"/>
      <c r="B1161" s="9"/>
      <c r="C1161" s="10"/>
      <c r="D1161" s="10"/>
      <c r="E1161" s="11"/>
      <c r="F1161" s="12"/>
      <c r="G1161" s="13"/>
      <c r="H1161" s="8"/>
      <c r="I1161" s="14"/>
      <c r="J1161" s="15"/>
      <c r="K1161" s="16"/>
      <c r="L1161" s="8"/>
      <c r="M1161" s="15"/>
      <c r="N1161" s="8"/>
      <c r="O1161" s="8"/>
      <c r="P1161" s="17"/>
      <c r="Q1161" s="18"/>
      <c r="R1161" s="8"/>
      <c r="S1161" s="8"/>
    </row>
    <row r="1162" customFormat="1" customHeight="1" spans="1:19">
      <c r="A1162" s="8"/>
      <c r="B1162" s="9"/>
      <c r="C1162" s="10"/>
      <c r="D1162" s="10"/>
      <c r="E1162" s="11"/>
      <c r="F1162" s="12"/>
      <c r="G1162" s="13"/>
      <c r="H1162" s="8"/>
      <c r="I1162" s="14"/>
      <c r="J1162" s="15"/>
      <c r="K1162" s="16"/>
      <c r="L1162" s="8"/>
      <c r="M1162" s="15"/>
      <c r="N1162" s="8"/>
      <c r="O1162" s="8"/>
      <c r="P1162" s="17"/>
      <c r="Q1162" s="18"/>
      <c r="R1162" s="8"/>
      <c r="S1162" s="8"/>
    </row>
    <row r="1163" customFormat="1" customHeight="1" spans="1:19">
      <c r="A1163" s="8"/>
      <c r="B1163" s="9"/>
      <c r="C1163" s="10"/>
      <c r="D1163" s="10"/>
      <c r="E1163" s="11"/>
      <c r="F1163" s="12"/>
      <c r="G1163" s="13"/>
      <c r="H1163" s="8"/>
      <c r="I1163" s="14"/>
      <c r="J1163" s="15"/>
      <c r="K1163" s="16"/>
      <c r="L1163" s="8"/>
      <c r="M1163" s="15"/>
      <c r="N1163" s="8"/>
      <c r="O1163" s="8"/>
      <c r="P1163" s="17"/>
      <c r="Q1163" s="18"/>
      <c r="R1163" s="8"/>
      <c r="S1163" s="8"/>
    </row>
    <row r="1164" customFormat="1" customHeight="1" spans="1:19">
      <c r="A1164" s="8"/>
      <c r="B1164" s="9"/>
      <c r="C1164" s="10"/>
      <c r="D1164" s="10"/>
      <c r="E1164" s="11"/>
      <c r="F1164" s="12"/>
      <c r="G1164" s="13"/>
      <c r="H1164" s="8"/>
      <c r="I1164" s="14"/>
      <c r="J1164" s="15"/>
      <c r="K1164" s="16"/>
      <c r="L1164" s="8"/>
      <c r="M1164" s="15"/>
      <c r="N1164" s="8"/>
      <c r="O1164" s="8"/>
      <c r="P1164" s="17"/>
      <c r="Q1164" s="18"/>
      <c r="R1164" s="8"/>
      <c r="S1164" s="8"/>
    </row>
    <row r="1165" customFormat="1" customHeight="1" spans="1:19">
      <c r="A1165" s="8"/>
      <c r="B1165" s="9"/>
      <c r="C1165" s="10"/>
      <c r="D1165" s="10"/>
      <c r="E1165" s="11"/>
      <c r="F1165" s="12"/>
      <c r="G1165" s="13"/>
      <c r="H1165" s="8"/>
      <c r="I1165" s="14"/>
      <c r="J1165" s="15"/>
      <c r="K1165" s="16"/>
      <c r="L1165" s="8"/>
      <c r="M1165" s="15"/>
      <c r="N1165" s="8"/>
      <c r="O1165" s="8"/>
      <c r="P1165" s="17"/>
      <c r="Q1165" s="18"/>
      <c r="R1165" s="8"/>
      <c r="S1165" s="8"/>
    </row>
    <row r="1166" customFormat="1" customHeight="1" spans="1:19">
      <c r="A1166" s="8"/>
      <c r="B1166" s="9"/>
      <c r="C1166" s="10"/>
      <c r="D1166" s="10"/>
      <c r="E1166" s="11"/>
      <c r="F1166" s="12"/>
      <c r="G1166" s="13"/>
      <c r="H1166" s="8"/>
      <c r="I1166" s="14"/>
      <c r="J1166" s="15"/>
      <c r="K1166" s="16"/>
      <c r="L1166" s="8"/>
      <c r="M1166" s="15"/>
      <c r="N1166" s="8"/>
      <c r="O1166" s="8"/>
      <c r="P1166" s="17"/>
      <c r="Q1166" s="18"/>
      <c r="R1166" s="8"/>
      <c r="S1166" s="8"/>
    </row>
    <row r="1167" customFormat="1" customHeight="1" spans="1:19">
      <c r="A1167" s="8"/>
      <c r="B1167" s="9"/>
      <c r="C1167" s="10"/>
      <c r="D1167" s="10"/>
      <c r="E1167" s="11"/>
      <c r="F1167" s="12"/>
      <c r="G1167" s="13"/>
      <c r="H1167" s="8"/>
      <c r="I1167" s="14"/>
      <c r="J1167" s="15"/>
      <c r="K1167" s="16"/>
      <c r="L1167" s="8"/>
      <c r="M1167" s="15"/>
      <c r="N1167" s="8"/>
      <c r="O1167" s="8"/>
      <c r="P1167" s="17"/>
      <c r="Q1167" s="18"/>
      <c r="R1167" s="8"/>
      <c r="S1167" s="8"/>
    </row>
    <row r="1168" customFormat="1" customHeight="1" spans="1:19">
      <c r="A1168" s="8"/>
      <c r="B1168" s="9"/>
      <c r="C1168" s="10"/>
      <c r="D1168" s="10"/>
      <c r="E1168" s="11"/>
      <c r="F1168" s="12"/>
      <c r="G1168" s="13"/>
      <c r="H1168" s="8"/>
      <c r="I1168" s="14"/>
      <c r="J1168" s="15"/>
      <c r="K1168" s="16"/>
      <c r="L1168" s="8"/>
      <c r="M1168" s="15"/>
      <c r="N1168" s="8"/>
      <c r="O1168" s="8"/>
      <c r="P1168" s="17"/>
      <c r="Q1168" s="18"/>
      <c r="R1168" s="8"/>
      <c r="S1168" s="8"/>
    </row>
    <row r="1169" customFormat="1" customHeight="1" spans="1:19">
      <c r="A1169" s="8"/>
      <c r="B1169" s="9"/>
      <c r="C1169" s="10"/>
      <c r="D1169" s="10"/>
      <c r="E1169" s="11"/>
      <c r="F1169" s="12"/>
      <c r="G1169" s="13"/>
      <c r="H1169" s="8"/>
      <c r="I1169" s="14"/>
      <c r="J1169" s="15"/>
      <c r="K1169" s="16"/>
      <c r="L1169" s="8"/>
      <c r="M1169" s="15"/>
      <c r="N1169" s="8"/>
      <c r="O1169" s="8"/>
      <c r="P1169" s="17"/>
      <c r="Q1169" s="18"/>
      <c r="R1169" s="8"/>
      <c r="S1169" s="8"/>
    </row>
    <row r="1170" customFormat="1" customHeight="1" spans="1:19">
      <c r="A1170" s="8"/>
      <c r="B1170" s="9"/>
      <c r="C1170" s="10"/>
      <c r="D1170" s="10"/>
      <c r="E1170" s="11"/>
      <c r="F1170" s="12"/>
      <c r="G1170" s="13"/>
      <c r="H1170" s="8"/>
      <c r="I1170" s="14"/>
      <c r="J1170" s="15"/>
      <c r="K1170" s="16"/>
      <c r="L1170" s="8"/>
      <c r="M1170" s="15"/>
      <c r="N1170" s="8"/>
      <c r="O1170" s="8"/>
      <c r="P1170" s="17"/>
      <c r="Q1170" s="18"/>
      <c r="R1170" s="8"/>
      <c r="S1170" s="8"/>
    </row>
    <row r="1171" customFormat="1" customHeight="1" spans="1:19">
      <c r="A1171" s="8"/>
      <c r="B1171" s="9"/>
      <c r="C1171" s="10"/>
      <c r="D1171" s="10"/>
      <c r="E1171" s="11"/>
      <c r="F1171" s="12"/>
      <c r="G1171" s="13"/>
      <c r="H1171" s="8"/>
      <c r="I1171" s="14"/>
      <c r="J1171" s="15"/>
      <c r="K1171" s="16"/>
      <c r="L1171" s="8"/>
      <c r="M1171" s="15"/>
      <c r="N1171" s="8"/>
      <c r="O1171" s="8"/>
      <c r="P1171" s="17"/>
      <c r="Q1171" s="18"/>
      <c r="R1171" s="8"/>
      <c r="S1171" s="8"/>
    </row>
    <row r="1172" customFormat="1" customHeight="1" spans="1:19">
      <c r="A1172" s="8"/>
      <c r="B1172" s="9"/>
      <c r="C1172" s="10"/>
      <c r="D1172" s="10"/>
      <c r="E1172" s="11"/>
      <c r="F1172" s="12"/>
      <c r="G1172" s="13"/>
      <c r="H1172" s="8"/>
      <c r="I1172" s="14"/>
      <c r="J1172" s="15"/>
      <c r="K1172" s="16"/>
      <c r="L1172" s="8"/>
      <c r="M1172" s="15"/>
      <c r="N1172" s="8"/>
      <c r="O1172" s="8"/>
      <c r="P1172" s="17"/>
      <c r="Q1172" s="18"/>
      <c r="R1172" s="8"/>
      <c r="S1172" s="8"/>
    </row>
    <row r="1173" customFormat="1" customHeight="1" spans="1:19">
      <c r="A1173" s="8"/>
      <c r="B1173" s="9"/>
      <c r="C1173" s="10"/>
      <c r="D1173" s="10"/>
      <c r="E1173" s="11"/>
      <c r="F1173" s="12"/>
      <c r="G1173" s="13"/>
      <c r="H1173" s="8"/>
      <c r="I1173" s="14"/>
      <c r="J1173" s="15"/>
      <c r="K1173" s="16"/>
      <c r="L1173" s="8"/>
      <c r="M1173" s="15"/>
      <c r="N1173" s="8"/>
      <c r="O1173" s="8"/>
      <c r="P1173" s="17"/>
      <c r="Q1173" s="18"/>
      <c r="R1173" s="8"/>
      <c r="S1173" s="8"/>
    </row>
    <row r="1174" customFormat="1" customHeight="1" spans="1:19">
      <c r="A1174" s="8"/>
      <c r="B1174" s="9"/>
      <c r="C1174" s="10"/>
      <c r="D1174" s="10"/>
      <c r="E1174" s="11"/>
      <c r="F1174" s="12"/>
      <c r="G1174" s="13"/>
      <c r="H1174" s="8"/>
      <c r="I1174" s="14"/>
      <c r="J1174" s="15"/>
      <c r="K1174" s="16"/>
      <c r="L1174" s="8"/>
      <c r="M1174" s="15"/>
      <c r="N1174" s="8"/>
      <c r="O1174" s="8"/>
      <c r="P1174" s="17"/>
      <c r="Q1174" s="18"/>
      <c r="R1174" s="8"/>
      <c r="S1174" s="8"/>
    </row>
    <row r="1175" customFormat="1" customHeight="1" spans="1:19">
      <c r="A1175" s="8"/>
      <c r="B1175" s="9"/>
      <c r="C1175" s="10"/>
      <c r="D1175" s="10"/>
      <c r="E1175" s="11"/>
      <c r="F1175" s="12"/>
      <c r="G1175" s="13"/>
      <c r="H1175" s="8"/>
      <c r="I1175" s="14"/>
      <c r="J1175" s="15"/>
      <c r="K1175" s="16"/>
      <c r="L1175" s="8"/>
      <c r="M1175" s="15"/>
      <c r="N1175" s="8"/>
      <c r="O1175" s="8"/>
      <c r="P1175" s="17"/>
      <c r="Q1175" s="18"/>
      <c r="R1175" s="8"/>
      <c r="S1175" s="8"/>
    </row>
    <row r="1176" customFormat="1" customHeight="1" spans="1:19">
      <c r="A1176" s="8"/>
      <c r="B1176" s="9"/>
      <c r="C1176" s="10"/>
      <c r="D1176" s="10"/>
      <c r="E1176" s="11"/>
      <c r="F1176" s="12"/>
      <c r="G1176" s="13"/>
      <c r="H1176" s="8"/>
      <c r="I1176" s="14"/>
      <c r="J1176" s="15"/>
      <c r="K1176" s="16"/>
      <c r="L1176" s="8"/>
      <c r="M1176" s="15"/>
      <c r="N1176" s="8"/>
      <c r="O1176" s="8"/>
      <c r="P1176" s="17"/>
      <c r="Q1176" s="18"/>
      <c r="R1176" s="8"/>
      <c r="S1176" s="8"/>
    </row>
    <row r="1177" customFormat="1" customHeight="1" spans="1:19">
      <c r="A1177" s="8"/>
      <c r="B1177" s="9"/>
      <c r="C1177" s="10"/>
      <c r="D1177" s="10"/>
      <c r="E1177" s="11"/>
      <c r="F1177" s="12"/>
      <c r="G1177" s="13"/>
      <c r="H1177" s="8"/>
      <c r="I1177" s="14"/>
      <c r="J1177" s="15"/>
      <c r="K1177" s="16"/>
      <c r="L1177" s="8"/>
      <c r="M1177" s="15"/>
      <c r="N1177" s="8"/>
      <c r="O1177" s="8"/>
      <c r="P1177" s="17"/>
      <c r="Q1177" s="18"/>
      <c r="R1177" s="8"/>
      <c r="S1177" s="8"/>
    </row>
    <row r="1178" customFormat="1" customHeight="1" spans="1:19">
      <c r="A1178" s="8"/>
      <c r="B1178" s="9"/>
      <c r="C1178" s="10"/>
      <c r="D1178" s="10"/>
      <c r="E1178" s="11"/>
      <c r="F1178" s="12"/>
      <c r="G1178" s="13"/>
      <c r="H1178" s="8"/>
      <c r="I1178" s="14"/>
      <c r="J1178" s="15"/>
      <c r="K1178" s="16"/>
      <c r="L1178" s="8"/>
      <c r="M1178" s="15"/>
      <c r="N1178" s="8"/>
      <c r="O1178" s="8"/>
      <c r="P1178" s="17"/>
      <c r="Q1178" s="18"/>
      <c r="R1178" s="8"/>
      <c r="S1178" s="8"/>
    </row>
    <row r="1179" customFormat="1" customHeight="1" spans="1:19">
      <c r="A1179" s="8"/>
      <c r="B1179" s="9"/>
      <c r="C1179" s="10"/>
      <c r="D1179" s="10"/>
      <c r="E1179" s="11"/>
      <c r="F1179" s="12"/>
      <c r="G1179" s="13"/>
      <c r="H1179" s="8"/>
      <c r="I1179" s="14"/>
      <c r="J1179" s="15"/>
      <c r="K1179" s="16"/>
      <c r="L1179" s="8"/>
      <c r="M1179" s="15"/>
      <c r="N1179" s="8"/>
      <c r="O1179" s="8"/>
      <c r="P1179" s="17"/>
      <c r="Q1179" s="18"/>
      <c r="R1179" s="8"/>
      <c r="S1179" s="8"/>
    </row>
    <row r="1180" customFormat="1" customHeight="1" spans="1:19">
      <c r="A1180" s="8"/>
      <c r="B1180" s="9"/>
      <c r="C1180" s="10"/>
      <c r="D1180" s="10"/>
      <c r="E1180" s="11"/>
      <c r="F1180" s="12"/>
      <c r="G1180" s="13"/>
      <c r="H1180" s="8"/>
      <c r="I1180" s="14"/>
      <c r="J1180" s="15"/>
      <c r="K1180" s="16"/>
      <c r="L1180" s="8"/>
      <c r="M1180" s="15"/>
      <c r="N1180" s="8"/>
      <c r="O1180" s="8"/>
      <c r="P1180" s="17"/>
      <c r="Q1180" s="18"/>
      <c r="R1180" s="8"/>
      <c r="S1180" s="8"/>
    </row>
    <row r="1181" customFormat="1" customHeight="1" spans="1:19">
      <c r="A1181" s="8"/>
      <c r="B1181" s="9"/>
      <c r="C1181" s="10"/>
      <c r="D1181" s="10"/>
      <c r="E1181" s="11"/>
      <c r="F1181" s="12"/>
      <c r="G1181" s="13"/>
      <c r="H1181" s="8"/>
      <c r="I1181" s="14"/>
      <c r="J1181" s="15"/>
      <c r="K1181" s="16"/>
      <c r="L1181" s="8"/>
      <c r="M1181" s="15"/>
      <c r="N1181" s="8"/>
      <c r="O1181" s="8"/>
      <c r="P1181" s="17"/>
      <c r="Q1181" s="18"/>
      <c r="R1181" s="8"/>
      <c r="S1181" s="8"/>
    </row>
    <row r="1182" customFormat="1" customHeight="1" spans="1:19">
      <c r="A1182" s="8"/>
      <c r="B1182" s="9"/>
      <c r="C1182" s="10"/>
      <c r="D1182" s="10"/>
      <c r="E1182" s="11"/>
      <c r="F1182" s="12"/>
      <c r="G1182" s="13"/>
      <c r="H1182" s="8"/>
      <c r="I1182" s="14"/>
      <c r="J1182" s="15"/>
      <c r="K1182" s="16"/>
      <c r="L1182" s="8"/>
      <c r="M1182" s="15"/>
      <c r="N1182" s="8"/>
      <c r="O1182" s="8"/>
      <c r="P1182" s="17"/>
      <c r="Q1182" s="18"/>
      <c r="R1182" s="8"/>
      <c r="S1182" s="8"/>
    </row>
    <row r="1183" customFormat="1" customHeight="1" spans="1:19">
      <c r="A1183" s="8"/>
      <c r="B1183" s="9"/>
      <c r="C1183" s="10"/>
      <c r="D1183" s="10"/>
      <c r="E1183" s="11"/>
      <c r="F1183" s="12"/>
      <c r="G1183" s="13"/>
      <c r="H1183" s="8"/>
      <c r="I1183" s="14"/>
      <c r="J1183" s="15"/>
      <c r="K1183" s="16"/>
      <c r="L1183" s="8"/>
      <c r="M1183" s="15"/>
      <c r="N1183" s="8"/>
      <c r="O1183" s="8"/>
      <c r="P1183" s="17"/>
      <c r="Q1183" s="18"/>
      <c r="R1183" s="8"/>
      <c r="S1183" s="8"/>
    </row>
    <row r="1184" customFormat="1" customHeight="1" spans="1:19">
      <c r="A1184" s="8"/>
      <c r="B1184" s="9"/>
      <c r="C1184" s="10"/>
      <c r="D1184" s="10"/>
      <c r="E1184" s="11"/>
      <c r="F1184" s="12"/>
      <c r="G1184" s="13"/>
      <c r="H1184" s="8"/>
      <c r="I1184" s="14"/>
      <c r="J1184" s="15"/>
      <c r="K1184" s="16"/>
      <c r="L1184" s="8"/>
      <c r="M1184" s="15"/>
      <c r="N1184" s="8"/>
      <c r="O1184" s="8"/>
      <c r="P1184" s="17"/>
      <c r="Q1184" s="18"/>
      <c r="R1184" s="8"/>
      <c r="S1184" s="8"/>
    </row>
    <row r="1185" customFormat="1" customHeight="1" spans="1:19">
      <c r="A1185" s="8"/>
      <c r="B1185" s="9"/>
      <c r="C1185" s="10"/>
      <c r="D1185" s="10"/>
      <c r="E1185" s="11"/>
      <c r="F1185" s="12"/>
      <c r="G1185" s="13"/>
      <c r="H1185" s="8"/>
      <c r="I1185" s="14"/>
      <c r="J1185" s="15"/>
      <c r="K1185" s="16"/>
      <c r="L1185" s="8"/>
      <c r="M1185" s="15"/>
      <c r="N1185" s="8"/>
      <c r="O1185" s="8"/>
      <c r="P1185" s="17"/>
      <c r="Q1185" s="18"/>
      <c r="R1185" s="8"/>
      <c r="S1185" s="8"/>
    </row>
    <row r="1186" customFormat="1" customHeight="1" spans="1:19">
      <c r="A1186" s="8"/>
      <c r="B1186" s="9"/>
      <c r="C1186" s="10"/>
      <c r="D1186" s="10"/>
      <c r="E1186" s="11"/>
      <c r="F1186" s="12"/>
      <c r="G1186" s="13"/>
      <c r="H1186" s="8"/>
      <c r="I1186" s="14"/>
      <c r="J1186" s="15"/>
      <c r="K1186" s="16"/>
      <c r="L1186" s="8"/>
      <c r="M1186" s="15"/>
      <c r="N1186" s="8"/>
      <c r="O1186" s="8"/>
      <c r="P1186" s="17"/>
      <c r="Q1186" s="18"/>
      <c r="R1186" s="8"/>
      <c r="S1186" s="8"/>
    </row>
    <row r="1187" customFormat="1" customHeight="1" spans="1:19">
      <c r="A1187" s="8"/>
      <c r="B1187" s="9"/>
      <c r="C1187" s="10"/>
      <c r="D1187" s="10"/>
      <c r="E1187" s="11"/>
      <c r="F1187" s="12"/>
      <c r="G1187" s="13"/>
      <c r="H1187" s="8"/>
      <c r="I1187" s="14"/>
      <c r="J1187" s="15"/>
      <c r="K1187" s="16"/>
      <c r="L1187" s="8"/>
      <c r="M1187" s="15"/>
      <c r="N1187" s="8"/>
      <c r="O1187" s="8"/>
      <c r="P1187" s="17"/>
      <c r="Q1187" s="18"/>
      <c r="R1187" s="8"/>
      <c r="S1187" s="8"/>
    </row>
    <row r="1188" customFormat="1" customHeight="1" spans="1:19">
      <c r="A1188" s="8"/>
      <c r="B1188" s="9"/>
      <c r="C1188" s="10"/>
      <c r="D1188" s="10"/>
      <c r="E1188" s="11"/>
      <c r="F1188" s="12"/>
      <c r="G1188" s="13"/>
      <c r="H1188" s="8"/>
      <c r="I1188" s="14"/>
      <c r="J1188" s="15"/>
      <c r="K1188" s="16"/>
      <c r="L1188" s="8"/>
      <c r="M1188" s="15"/>
      <c r="N1188" s="8"/>
      <c r="O1188" s="8"/>
      <c r="P1188" s="17"/>
      <c r="Q1188" s="18"/>
      <c r="R1188" s="8"/>
      <c r="S1188" s="8"/>
    </row>
    <row r="1189" customFormat="1" customHeight="1" spans="1:19">
      <c r="A1189" s="8"/>
      <c r="B1189" s="9"/>
      <c r="C1189" s="10"/>
      <c r="D1189" s="10"/>
      <c r="E1189" s="11"/>
      <c r="F1189" s="12"/>
      <c r="G1189" s="13"/>
      <c r="H1189" s="8"/>
      <c r="I1189" s="14"/>
      <c r="J1189" s="15"/>
      <c r="K1189" s="16"/>
      <c r="L1189" s="8"/>
      <c r="M1189" s="15"/>
      <c r="N1189" s="8"/>
      <c r="O1189" s="8"/>
      <c r="P1189" s="17"/>
      <c r="Q1189" s="18"/>
      <c r="R1189" s="8"/>
      <c r="S1189" s="8"/>
    </row>
    <row r="1190" customFormat="1" customHeight="1" spans="1:19">
      <c r="A1190" s="8"/>
      <c r="B1190" s="9"/>
      <c r="C1190" s="10"/>
      <c r="D1190" s="10"/>
      <c r="E1190" s="11"/>
      <c r="F1190" s="12"/>
      <c r="G1190" s="13"/>
      <c r="H1190" s="8"/>
      <c r="I1190" s="14"/>
      <c r="J1190" s="15"/>
      <c r="K1190" s="16"/>
      <c r="L1190" s="8"/>
      <c r="M1190" s="15"/>
      <c r="N1190" s="8"/>
      <c r="O1190" s="8"/>
      <c r="P1190" s="17"/>
      <c r="Q1190" s="18"/>
      <c r="R1190" s="8"/>
      <c r="S1190" s="8"/>
    </row>
    <row r="1191" customFormat="1" customHeight="1" spans="1:19">
      <c r="A1191" s="8"/>
      <c r="B1191" s="9"/>
      <c r="C1191" s="10"/>
      <c r="D1191" s="10"/>
      <c r="E1191" s="11"/>
      <c r="F1191" s="12"/>
      <c r="G1191" s="13"/>
      <c r="H1191" s="8"/>
      <c r="I1191" s="14"/>
      <c r="J1191" s="15"/>
      <c r="K1191" s="16"/>
      <c r="L1191" s="8"/>
      <c r="M1191" s="15"/>
      <c r="N1191" s="8"/>
      <c r="O1191" s="8"/>
      <c r="P1191" s="17"/>
      <c r="Q1191" s="18"/>
      <c r="R1191" s="8"/>
      <c r="S1191" s="8"/>
    </row>
    <row r="1192" customFormat="1" customHeight="1" spans="1:19">
      <c r="A1192" s="8"/>
      <c r="B1192" s="9"/>
      <c r="C1192" s="10"/>
      <c r="D1192" s="10"/>
      <c r="E1192" s="11"/>
      <c r="F1192" s="12"/>
      <c r="G1192" s="13"/>
      <c r="H1192" s="8"/>
      <c r="I1192" s="14"/>
      <c r="J1192" s="15"/>
      <c r="K1192" s="16"/>
      <c r="L1192" s="8"/>
      <c r="M1192" s="15"/>
      <c r="N1192" s="8"/>
      <c r="O1192" s="8"/>
      <c r="P1192" s="17"/>
      <c r="Q1192" s="18"/>
      <c r="R1192" s="8"/>
      <c r="S1192" s="8"/>
    </row>
    <row r="1193" customFormat="1" customHeight="1" spans="1:19">
      <c r="A1193" s="8"/>
      <c r="B1193" s="9"/>
      <c r="C1193" s="10"/>
      <c r="D1193" s="10"/>
      <c r="E1193" s="11"/>
      <c r="F1193" s="12"/>
      <c r="G1193" s="13"/>
      <c r="H1193" s="8"/>
      <c r="I1193" s="14"/>
      <c r="J1193" s="15"/>
      <c r="K1193" s="16"/>
      <c r="L1193" s="8"/>
      <c r="M1193" s="15"/>
      <c r="N1193" s="8"/>
      <c r="O1193" s="8"/>
      <c r="P1193" s="17"/>
      <c r="Q1193" s="18"/>
      <c r="R1193" s="8"/>
      <c r="S1193" s="8"/>
    </row>
    <row r="1194" customFormat="1" customHeight="1" spans="1:19">
      <c r="A1194" s="8"/>
      <c r="B1194" s="9"/>
      <c r="C1194" s="10"/>
      <c r="D1194" s="10"/>
      <c r="E1194" s="11"/>
      <c r="F1194" s="12"/>
      <c r="G1194" s="13"/>
      <c r="H1194" s="8"/>
      <c r="I1194" s="14"/>
      <c r="J1194" s="15"/>
      <c r="K1194" s="16"/>
      <c r="L1194" s="8"/>
      <c r="M1194" s="15"/>
      <c r="N1194" s="8"/>
      <c r="O1194" s="8"/>
      <c r="P1194" s="17"/>
      <c r="Q1194" s="18"/>
      <c r="R1194" s="8"/>
      <c r="S1194" s="8"/>
    </row>
    <row r="1195" customFormat="1" customHeight="1" spans="1:19">
      <c r="A1195" s="8"/>
      <c r="B1195" s="9"/>
      <c r="C1195" s="10"/>
      <c r="D1195" s="10"/>
      <c r="E1195" s="11"/>
      <c r="F1195" s="12"/>
      <c r="G1195" s="13"/>
      <c r="H1195" s="8"/>
      <c r="I1195" s="14"/>
      <c r="J1195" s="15"/>
      <c r="K1195" s="16"/>
      <c r="L1195" s="8"/>
      <c r="M1195" s="15"/>
      <c r="N1195" s="8"/>
      <c r="O1195" s="8"/>
      <c r="P1195" s="17"/>
      <c r="Q1195" s="18"/>
      <c r="R1195" s="8"/>
      <c r="S1195" s="8"/>
    </row>
    <row r="1196" customFormat="1" customHeight="1" spans="1:19">
      <c r="A1196" s="8"/>
      <c r="B1196" s="9"/>
      <c r="C1196" s="10"/>
      <c r="D1196" s="10"/>
      <c r="E1196" s="11"/>
      <c r="F1196" s="12"/>
      <c r="G1196" s="13"/>
      <c r="H1196" s="8"/>
      <c r="I1196" s="14"/>
      <c r="J1196" s="15"/>
      <c r="K1196" s="16"/>
      <c r="L1196" s="8"/>
      <c r="M1196" s="15"/>
      <c r="N1196" s="8"/>
      <c r="O1196" s="8"/>
      <c r="P1196" s="17"/>
      <c r="Q1196" s="18"/>
      <c r="R1196" s="8"/>
      <c r="S1196" s="8"/>
    </row>
    <row r="1197" customFormat="1" customHeight="1" spans="1:19">
      <c r="A1197" s="8"/>
      <c r="B1197" s="9"/>
      <c r="C1197" s="10"/>
      <c r="D1197" s="10"/>
      <c r="E1197" s="11"/>
      <c r="F1197" s="12"/>
      <c r="G1197" s="13"/>
      <c r="H1197" s="8"/>
      <c r="I1197" s="14"/>
      <c r="J1197" s="15"/>
      <c r="K1197" s="16"/>
      <c r="L1197" s="8"/>
      <c r="M1197" s="15"/>
      <c r="N1197" s="8"/>
      <c r="O1197" s="8"/>
      <c r="P1197" s="17"/>
      <c r="Q1197" s="18"/>
      <c r="R1197" s="8"/>
      <c r="S1197" s="8"/>
    </row>
    <row r="1198" customFormat="1" customHeight="1" spans="1:19">
      <c r="A1198" s="8"/>
      <c r="B1198" s="9"/>
      <c r="C1198" s="10"/>
      <c r="D1198" s="10"/>
      <c r="E1198" s="11"/>
      <c r="F1198" s="12"/>
      <c r="G1198" s="13"/>
      <c r="H1198" s="8"/>
      <c r="I1198" s="14"/>
      <c r="J1198" s="15"/>
      <c r="K1198" s="16"/>
      <c r="L1198" s="8"/>
      <c r="M1198" s="15"/>
      <c r="N1198" s="8"/>
      <c r="O1198" s="8"/>
      <c r="P1198" s="17"/>
      <c r="Q1198" s="18"/>
      <c r="R1198" s="8"/>
      <c r="S1198" s="8"/>
    </row>
    <row r="1199" customFormat="1" customHeight="1" spans="1:19">
      <c r="A1199" s="8"/>
      <c r="B1199" s="9"/>
      <c r="C1199" s="10"/>
      <c r="D1199" s="10"/>
      <c r="E1199" s="11"/>
      <c r="F1199" s="12"/>
      <c r="G1199" s="13"/>
      <c r="H1199" s="8"/>
      <c r="I1199" s="14"/>
      <c r="J1199" s="15"/>
      <c r="K1199" s="16"/>
      <c r="L1199" s="8"/>
      <c r="M1199" s="15"/>
      <c r="N1199" s="8"/>
      <c r="O1199" s="8"/>
      <c r="P1199" s="17"/>
      <c r="Q1199" s="18"/>
      <c r="R1199" s="8"/>
      <c r="S1199" s="8"/>
    </row>
    <row r="1200" customFormat="1" customHeight="1" spans="1:19">
      <c r="A1200" s="8"/>
      <c r="B1200" s="9"/>
      <c r="C1200" s="10"/>
      <c r="D1200" s="10"/>
      <c r="E1200" s="11"/>
      <c r="F1200" s="12"/>
      <c r="G1200" s="13"/>
      <c r="H1200" s="8"/>
      <c r="I1200" s="14"/>
      <c r="J1200" s="15"/>
      <c r="K1200" s="16"/>
      <c r="L1200" s="8"/>
      <c r="M1200" s="15"/>
      <c r="N1200" s="8"/>
      <c r="O1200" s="8"/>
      <c r="P1200" s="17"/>
      <c r="Q1200" s="18"/>
      <c r="R1200" s="8"/>
      <c r="S1200" s="8"/>
    </row>
    <row r="1201" customFormat="1" customHeight="1" spans="1:19">
      <c r="A1201" s="8"/>
      <c r="B1201" s="9"/>
      <c r="C1201" s="10"/>
      <c r="D1201" s="10"/>
      <c r="E1201" s="11"/>
      <c r="F1201" s="12"/>
      <c r="G1201" s="13"/>
      <c r="H1201" s="8"/>
      <c r="I1201" s="14"/>
      <c r="J1201" s="15"/>
      <c r="K1201" s="16"/>
      <c r="L1201" s="8"/>
      <c r="M1201" s="15"/>
      <c r="N1201" s="8"/>
      <c r="O1201" s="8"/>
      <c r="P1201" s="17"/>
      <c r="Q1201" s="18"/>
      <c r="R1201" s="8"/>
      <c r="S1201" s="8"/>
    </row>
    <row r="1202" customFormat="1" customHeight="1" spans="1:19">
      <c r="A1202" s="8"/>
      <c r="B1202" s="9"/>
      <c r="C1202" s="10"/>
      <c r="D1202" s="10"/>
      <c r="E1202" s="11"/>
      <c r="F1202" s="12"/>
      <c r="G1202" s="13"/>
      <c r="H1202" s="8"/>
      <c r="I1202" s="14"/>
      <c r="J1202" s="15"/>
      <c r="K1202" s="16"/>
      <c r="L1202" s="8"/>
      <c r="M1202" s="15"/>
      <c r="N1202" s="8"/>
      <c r="O1202" s="8"/>
      <c r="P1202" s="17"/>
      <c r="Q1202" s="18"/>
      <c r="R1202" s="8"/>
      <c r="S1202" s="8"/>
    </row>
    <row r="1203" customFormat="1" customHeight="1" spans="1:19">
      <c r="A1203" s="8"/>
      <c r="B1203" s="9"/>
      <c r="C1203" s="10"/>
      <c r="D1203" s="10"/>
      <c r="E1203" s="11"/>
      <c r="F1203" s="12"/>
      <c r="G1203" s="13"/>
      <c r="H1203" s="8"/>
      <c r="I1203" s="14"/>
      <c r="J1203" s="15"/>
      <c r="K1203" s="16"/>
      <c r="L1203" s="8"/>
      <c r="M1203" s="15"/>
      <c r="N1203" s="8"/>
      <c r="O1203" s="8"/>
      <c r="P1203" s="17"/>
      <c r="Q1203" s="18"/>
      <c r="R1203" s="8"/>
      <c r="S1203" s="8"/>
    </row>
    <row r="1204" customFormat="1" customHeight="1" spans="1:19">
      <c r="A1204" s="8"/>
      <c r="B1204" s="9"/>
      <c r="C1204" s="10"/>
      <c r="D1204" s="10"/>
      <c r="E1204" s="11"/>
      <c r="F1204" s="12"/>
      <c r="G1204" s="13"/>
      <c r="H1204" s="8"/>
      <c r="I1204" s="14"/>
      <c r="J1204" s="15"/>
      <c r="K1204" s="16"/>
      <c r="L1204" s="8"/>
      <c r="M1204" s="15"/>
      <c r="N1204" s="8"/>
      <c r="O1204" s="8"/>
      <c r="P1204" s="17"/>
      <c r="Q1204" s="18"/>
      <c r="R1204" s="8"/>
      <c r="S1204" s="8"/>
    </row>
    <row r="1205" customFormat="1" customHeight="1" spans="1:19">
      <c r="A1205" s="8"/>
      <c r="B1205" s="9"/>
      <c r="C1205" s="10"/>
      <c r="D1205" s="10"/>
      <c r="E1205" s="11"/>
      <c r="F1205" s="12"/>
      <c r="G1205" s="13"/>
      <c r="H1205" s="8"/>
      <c r="I1205" s="14"/>
      <c r="J1205" s="15"/>
      <c r="K1205" s="16"/>
      <c r="L1205" s="8"/>
      <c r="M1205" s="15"/>
      <c r="N1205" s="8"/>
      <c r="O1205" s="8"/>
      <c r="P1205" s="17"/>
      <c r="Q1205" s="18"/>
      <c r="R1205" s="8"/>
      <c r="S1205" s="8"/>
    </row>
    <row r="1206" customFormat="1" customHeight="1" spans="1:19">
      <c r="A1206" s="8"/>
      <c r="B1206" s="9"/>
      <c r="C1206" s="10"/>
      <c r="D1206" s="10"/>
      <c r="E1206" s="11"/>
      <c r="F1206" s="12"/>
      <c r="G1206" s="13"/>
      <c r="H1206" s="8"/>
      <c r="I1206" s="14"/>
      <c r="J1206" s="15"/>
      <c r="K1206" s="16"/>
      <c r="L1206" s="8"/>
      <c r="M1206" s="15"/>
      <c r="N1206" s="8"/>
      <c r="O1206" s="8"/>
      <c r="P1206" s="17"/>
      <c r="Q1206" s="18"/>
      <c r="R1206" s="8"/>
      <c r="S1206" s="8"/>
    </row>
    <row r="1207" customFormat="1" customHeight="1" spans="1:19">
      <c r="A1207" s="8"/>
      <c r="B1207" s="9"/>
      <c r="C1207" s="10"/>
      <c r="D1207" s="10"/>
      <c r="E1207" s="11"/>
      <c r="F1207" s="12"/>
      <c r="G1207" s="13"/>
      <c r="H1207" s="8"/>
      <c r="I1207" s="14"/>
      <c r="J1207" s="15"/>
      <c r="K1207" s="16"/>
      <c r="L1207" s="8"/>
      <c r="M1207" s="15"/>
      <c r="N1207" s="8"/>
      <c r="O1207" s="8"/>
      <c r="P1207" s="17"/>
      <c r="Q1207" s="18"/>
      <c r="R1207" s="8"/>
      <c r="S1207" s="8"/>
    </row>
    <row r="1208" customFormat="1" customHeight="1" spans="1:19">
      <c r="A1208" s="8"/>
      <c r="B1208" s="9"/>
      <c r="C1208" s="10"/>
      <c r="D1208" s="10"/>
      <c r="E1208" s="11"/>
      <c r="F1208" s="12"/>
      <c r="G1208" s="13"/>
      <c r="H1208" s="8"/>
      <c r="I1208" s="14"/>
      <c r="J1208" s="15"/>
      <c r="K1208" s="16"/>
      <c r="L1208" s="8"/>
      <c r="M1208" s="15"/>
      <c r="N1208" s="8"/>
      <c r="O1208" s="8"/>
      <c r="P1208" s="17"/>
      <c r="Q1208" s="18"/>
      <c r="R1208" s="8"/>
      <c r="S1208" s="8"/>
    </row>
    <row r="1209" customFormat="1" customHeight="1" spans="1:19">
      <c r="A1209" s="8"/>
      <c r="B1209" s="9"/>
      <c r="C1209" s="10"/>
      <c r="D1209" s="10"/>
      <c r="E1209" s="11"/>
      <c r="F1209" s="12"/>
      <c r="G1209" s="13"/>
      <c r="H1209" s="8"/>
      <c r="I1209" s="14"/>
      <c r="J1209" s="15"/>
      <c r="K1209" s="16"/>
      <c r="L1209" s="8"/>
      <c r="M1209" s="15"/>
      <c r="N1209" s="8"/>
      <c r="O1209" s="8"/>
      <c r="P1209" s="17"/>
      <c r="Q1209" s="18"/>
      <c r="R1209" s="8"/>
      <c r="S1209" s="8"/>
    </row>
    <row r="1210" customFormat="1" customHeight="1" spans="1:19">
      <c r="A1210" s="8"/>
      <c r="B1210" s="9"/>
      <c r="C1210" s="10"/>
      <c r="D1210" s="10"/>
      <c r="E1210" s="11"/>
      <c r="F1210" s="12"/>
      <c r="G1210" s="13"/>
      <c r="H1210" s="8"/>
      <c r="I1210" s="14"/>
      <c r="J1210" s="15"/>
      <c r="K1210" s="16"/>
      <c r="L1210" s="8"/>
      <c r="M1210" s="15"/>
      <c r="N1210" s="8"/>
      <c r="O1210" s="8"/>
      <c r="P1210" s="17"/>
      <c r="Q1210" s="18"/>
      <c r="R1210" s="8"/>
      <c r="S1210" s="8"/>
    </row>
    <row r="1211" customFormat="1" customHeight="1" spans="1:19">
      <c r="A1211" s="8"/>
      <c r="B1211" s="9"/>
      <c r="C1211" s="10"/>
      <c r="D1211" s="10"/>
      <c r="E1211" s="11"/>
      <c r="F1211" s="12"/>
      <c r="G1211" s="13"/>
      <c r="H1211" s="8"/>
      <c r="I1211" s="14"/>
      <c r="J1211" s="15"/>
      <c r="K1211" s="16"/>
      <c r="L1211" s="8"/>
      <c r="M1211" s="15"/>
      <c r="N1211" s="8"/>
      <c r="O1211" s="8"/>
      <c r="P1211" s="17"/>
      <c r="Q1211" s="18"/>
      <c r="R1211" s="8"/>
      <c r="S1211" s="8"/>
    </row>
    <row r="1212" customFormat="1" customHeight="1" spans="1:19">
      <c r="A1212" s="8"/>
      <c r="B1212" s="9"/>
      <c r="C1212" s="10"/>
      <c r="D1212" s="10"/>
      <c r="E1212" s="11"/>
      <c r="F1212" s="12"/>
      <c r="G1212" s="13"/>
      <c r="H1212" s="8"/>
      <c r="I1212" s="14"/>
      <c r="J1212" s="15"/>
      <c r="K1212" s="16"/>
      <c r="L1212" s="8"/>
      <c r="M1212" s="15"/>
      <c r="N1212" s="8"/>
      <c r="O1212" s="8"/>
      <c r="P1212" s="17"/>
      <c r="Q1212" s="18"/>
      <c r="R1212" s="8"/>
      <c r="S1212" s="8"/>
    </row>
    <row r="1213" customFormat="1" customHeight="1" spans="1:19">
      <c r="A1213" s="8"/>
      <c r="B1213" s="9"/>
      <c r="C1213" s="10"/>
      <c r="D1213" s="10"/>
      <c r="E1213" s="11"/>
      <c r="F1213" s="12"/>
      <c r="G1213" s="13"/>
      <c r="H1213" s="8"/>
      <c r="I1213" s="14"/>
      <c r="J1213" s="15"/>
      <c r="K1213" s="16"/>
      <c r="L1213" s="8"/>
      <c r="M1213" s="15"/>
      <c r="N1213" s="8"/>
      <c r="O1213" s="8"/>
      <c r="P1213" s="17"/>
      <c r="Q1213" s="18"/>
      <c r="R1213" s="8"/>
      <c r="S1213" s="8"/>
    </row>
    <row r="1214" customFormat="1" customHeight="1" spans="1:19">
      <c r="A1214" s="8"/>
      <c r="B1214" s="9"/>
      <c r="C1214" s="10"/>
      <c r="D1214" s="10"/>
      <c r="E1214" s="11"/>
      <c r="F1214" s="12"/>
      <c r="G1214" s="13"/>
      <c r="H1214" s="8"/>
      <c r="I1214" s="14"/>
      <c r="J1214" s="15"/>
      <c r="K1214" s="16"/>
      <c r="L1214" s="8"/>
      <c r="M1214" s="15"/>
      <c r="N1214" s="8"/>
      <c r="O1214" s="8"/>
      <c r="P1214" s="17"/>
      <c r="Q1214" s="18"/>
      <c r="R1214" s="8"/>
      <c r="S1214" s="8"/>
    </row>
    <row r="1215" customFormat="1" customHeight="1" spans="1:19">
      <c r="A1215" s="8"/>
      <c r="B1215" s="9"/>
      <c r="C1215" s="10"/>
      <c r="D1215" s="10"/>
      <c r="E1215" s="11"/>
      <c r="F1215" s="12"/>
      <c r="G1215" s="13"/>
      <c r="H1215" s="8"/>
      <c r="I1215" s="14"/>
      <c r="J1215" s="15"/>
      <c r="K1215" s="16"/>
      <c r="L1215" s="8"/>
      <c r="M1215" s="15"/>
      <c r="N1215" s="8"/>
      <c r="O1215" s="8"/>
      <c r="P1215" s="17"/>
      <c r="Q1215" s="18"/>
      <c r="R1215" s="8"/>
      <c r="S1215" s="8"/>
    </row>
    <row r="1216" customFormat="1" customHeight="1" spans="1:19">
      <c r="A1216" s="8"/>
      <c r="B1216" s="9"/>
      <c r="C1216" s="10"/>
      <c r="D1216" s="10"/>
      <c r="E1216" s="11"/>
      <c r="F1216" s="12"/>
      <c r="G1216" s="13"/>
      <c r="H1216" s="8"/>
      <c r="I1216" s="14"/>
      <c r="J1216" s="15"/>
      <c r="K1216" s="16"/>
      <c r="L1216" s="8"/>
      <c r="M1216" s="15"/>
      <c r="N1216" s="8"/>
      <c r="O1216" s="8"/>
      <c r="P1216" s="17"/>
      <c r="Q1216" s="18"/>
      <c r="R1216" s="8"/>
      <c r="S1216" s="8"/>
    </row>
    <row r="1217" customFormat="1" customHeight="1" spans="1:19">
      <c r="A1217" s="8"/>
      <c r="B1217" s="9"/>
      <c r="C1217" s="10"/>
      <c r="D1217" s="10"/>
      <c r="E1217" s="11"/>
      <c r="F1217" s="12"/>
      <c r="G1217" s="13"/>
      <c r="H1217" s="8"/>
      <c r="I1217" s="14"/>
      <c r="J1217" s="15"/>
      <c r="K1217" s="16"/>
      <c r="L1217" s="8"/>
      <c r="M1217" s="15"/>
      <c r="N1217" s="8"/>
      <c r="O1217" s="8"/>
      <c r="P1217" s="17"/>
      <c r="Q1217" s="18"/>
      <c r="R1217" s="8"/>
      <c r="S1217" s="8"/>
    </row>
    <row r="1218" customFormat="1" customHeight="1" spans="1:19">
      <c r="A1218" s="8"/>
      <c r="B1218" s="9"/>
      <c r="C1218" s="10"/>
      <c r="D1218" s="10"/>
      <c r="E1218" s="11"/>
      <c r="F1218" s="12"/>
      <c r="G1218" s="13"/>
      <c r="H1218" s="8"/>
      <c r="I1218" s="14"/>
      <c r="J1218" s="15"/>
      <c r="K1218" s="16"/>
      <c r="L1218" s="8"/>
      <c r="M1218" s="15"/>
      <c r="N1218" s="8"/>
      <c r="O1218" s="8"/>
      <c r="P1218" s="17"/>
      <c r="Q1218" s="18"/>
      <c r="R1218" s="8"/>
      <c r="S1218" s="8"/>
    </row>
    <row r="1219" customFormat="1" customHeight="1" spans="1:19">
      <c r="A1219" s="8"/>
      <c r="B1219" s="9"/>
      <c r="C1219" s="10"/>
      <c r="D1219" s="10"/>
      <c r="E1219" s="11"/>
      <c r="F1219" s="12"/>
      <c r="G1219" s="13"/>
      <c r="H1219" s="8"/>
      <c r="I1219" s="14"/>
      <c r="J1219" s="15"/>
      <c r="K1219" s="16"/>
      <c r="L1219" s="8"/>
      <c r="M1219" s="15"/>
      <c r="N1219" s="8"/>
      <c r="O1219" s="8"/>
      <c r="P1219" s="17"/>
      <c r="Q1219" s="18"/>
      <c r="R1219" s="8"/>
      <c r="S1219" s="8"/>
    </row>
    <row r="1220" customFormat="1" customHeight="1" spans="1:19">
      <c r="A1220" s="8"/>
      <c r="B1220" s="9"/>
      <c r="C1220" s="10"/>
      <c r="D1220" s="10"/>
      <c r="E1220" s="11"/>
      <c r="F1220" s="12"/>
      <c r="G1220" s="13"/>
      <c r="H1220" s="8"/>
      <c r="I1220" s="14"/>
      <c r="J1220" s="15"/>
      <c r="K1220" s="16"/>
      <c r="L1220" s="8"/>
      <c r="M1220" s="15"/>
      <c r="N1220" s="8"/>
      <c r="O1220" s="8"/>
      <c r="P1220" s="17"/>
      <c r="Q1220" s="18"/>
      <c r="R1220" s="8"/>
      <c r="S1220" s="8"/>
    </row>
    <row r="1221" customFormat="1" customHeight="1" spans="1:19">
      <c r="A1221" s="8"/>
      <c r="B1221" s="9"/>
      <c r="C1221" s="10"/>
      <c r="D1221" s="10"/>
      <c r="E1221" s="11"/>
      <c r="F1221" s="12"/>
      <c r="G1221" s="13"/>
      <c r="H1221" s="8"/>
      <c r="I1221" s="14"/>
      <c r="J1221" s="15"/>
      <c r="K1221" s="16"/>
      <c r="L1221" s="8"/>
      <c r="M1221" s="15"/>
      <c r="N1221" s="8"/>
      <c r="O1221" s="8"/>
      <c r="P1221" s="17"/>
      <c r="Q1221" s="18"/>
      <c r="R1221" s="8"/>
      <c r="S1221" s="8"/>
    </row>
    <row r="1222" customFormat="1" customHeight="1" spans="1:19">
      <c r="A1222" s="8"/>
      <c r="B1222" s="9"/>
      <c r="C1222" s="10"/>
      <c r="D1222" s="10"/>
      <c r="E1222" s="11"/>
      <c r="F1222" s="12"/>
      <c r="G1222" s="13"/>
      <c r="H1222" s="8"/>
      <c r="I1222" s="14"/>
      <c r="J1222" s="15"/>
      <c r="K1222" s="16"/>
      <c r="L1222" s="8"/>
      <c r="M1222" s="15"/>
      <c r="N1222" s="8"/>
      <c r="O1222" s="8"/>
      <c r="P1222" s="17"/>
      <c r="Q1222" s="18"/>
      <c r="R1222" s="8"/>
      <c r="S1222" s="8"/>
    </row>
    <row r="1223" customFormat="1" customHeight="1" spans="1:19">
      <c r="A1223" s="8"/>
      <c r="B1223" s="9"/>
      <c r="C1223" s="10"/>
      <c r="D1223" s="10"/>
      <c r="E1223" s="11"/>
      <c r="F1223" s="12"/>
      <c r="G1223" s="13"/>
      <c r="H1223" s="8"/>
      <c r="I1223" s="14"/>
      <c r="J1223" s="15"/>
      <c r="K1223" s="16"/>
      <c r="L1223" s="8"/>
      <c r="M1223" s="15"/>
      <c r="N1223" s="8"/>
      <c r="O1223" s="8"/>
      <c r="P1223" s="17"/>
      <c r="Q1223" s="18"/>
      <c r="R1223" s="8"/>
      <c r="S1223" s="8"/>
    </row>
    <row r="1224" customFormat="1" customHeight="1" spans="1:19">
      <c r="A1224" s="8"/>
      <c r="B1224" s="9"/>
      <c r="C1224" s="10"/>
      <c r="D1224" s="10"/>
      <c r="E1224" s="11"/>
      <c r="F1224" s="12"/>
      <c r="G1224" s="13"/>
      <c r="H1224" s="8"/>
      <c r="I1224" s="14"/>
      <c r="J1224" s="15"/>
      <c r="K1224" s="16"/>
      <c r="L1224" s="8"/>
      <c r="M1224" s="15"/>
      <c r="N1224" s="8"/>
      <c r="O1224" s="8"/>
      <c r="P1224" s="17"/>
      <c r="Q1224" s="18"/>
      <c r="R1224" s="8"/>
      <c r="S1224" s="8"/>
    </row>
    <row r="1225" customFormat="1" customHeight="1" spans="1:19">
      <c r="A1225" s="8"/>
      <c r="B1225" s="9"/>
      <c r="C1225" s="10"/>
      <c r="D1225" s="10"/>
      <c r="E1225" s="11"/>
      <c r="F1225" s="12"/>
      <c r="G1225" s="13"/>
      <c r="H1225" s="8"/>
      <c r="I1225" s="14"/>
      <c r="J1225" s="15"/>
      <c r="K1225" s="16"/>
      <c r="L1225" s="8"/>
      <c r="M1225" s="15"/>
      <c r="N1225" s="8"/>
      <c r="O1225" s="8"/>
      <c r="P1225" s="17"/>
      <c r="Q1225" s="18"/>
      <c r="R1225" s="8"/>
      <c r="S1225" s="8"/>
    </row>
    <row r="1226" customFormat="1" customHeight="1" spans="1:19">
      <c r="A1226" s="8"/>
      <c r="B1226" s="9"/>
      <c r="C1226" s="10"/>
      <c r="D1226" s="10"/>
      <c r="E1226" s="11"/>
      <c r="F1226" s="12"/>
      <c r="G1226" s="13"/>
      <c r="H1226" s="8"/>
      <c r="I1226" s="14"/>
      <c r="J1226" s="15"/>
      <c r="K1226" s="16"/>
      <c r="L1226" s="8"/>
      <c r="M1226" s="15"/>
      <c r="N1226" s="8"/>
      <c r="O1226" s="8"/>
      <c r="P1226" s="17"/>
      <c r="Q1226" s="18"/>
      <c r="R1226" s="8"/>
      <c r="S1226" s="8"/>
    </row>
    <row r="1227" customFormat="1" customHeight="1" spans="1:19">
      <c r="A1227" s="8"/>
      <c r="B1227" s="9"/>
      <c r="C1227" s="10"/>
      <c r="D1227" s="10"/>
      <c r="E1227" s="11"/>
      <c r="F1227" s="12"/>
      <c r="G1227" s="13"/>
      <c r="H1227" s="8"/>
      <c r="I1227" s="14"/>
      <c r="J1227" s="15"/>
      <c r="K1227" s="16"/>
      <c r="L1227" s="8"/>
      <c r="M1227" s="15"/>
      <c r="N1227" s="8"/>
      <c r="O1227" s="8"/>
      <c r="P1227" s="17"/>
      <c r="Q1227" s="18"/>
      <c r="R1227" s="8"/>
      <c r="S1227" s="8"/>
    </row>
    <row r="1228" customFormat="1" customHeight="1" spans="1:19">
      <c r="A1228" s="8"/>
      <c r="B1228" s="9"/>
      <c r="C1228" s="10"/>
      <c r="D1228" s="10"/>
      <c r="E1228" s="11"/>
      <c r="F1228" s="12"/>
      <c r="G1228" s="13"/>
      <c r="H1228" s="8"/>
      <c r="I1228" s="14"/>
      <c r="J1228" s="15"/>
      <c r="K1228" s="16"/>
      <c r="L1228" s="8"/>
      <c r="M1228" s="15"/>
      <c r="N1228" s="8"/>
      <c r="O1228" s="8"/>
      <c r="P1228" s="17"/>
      <c r="Q1228" s="18"/>
      <c r="R1228" s="8"/>
      <c r="S1228" s="8"/>
    </row>
    <row r="1229" customFormat="1" customHeight="1" spans="1:19">
      <c r="A1229" s="8"/>
      <c r="B1229" s="9"/>
      <c r="C1229" s="10"/>
      <c r="D1229" s="10"/>
      <c r="E1229" s="11"/>
      <c r="F1229" s="12"/>
      <c r="G1229" s="13"/>
      <c r="H1229" s="8"/>
      <c r="I1229" s="14"/>
      <c r="J1229" s="15"/>
      <c r="K1229" s="16"/>
      <c r="L1229" s="8"/>
      <c r="M1229" s="15"/>
      <c r="N1229" s="8"/>
      <c r="O1229" s="8"/>
      <c r="P1229" s="17"/>
      <c r="Q1229" s="18"/>
      <c r="R1229" s="8"/>
      <c r="S1229" s="8"/>
    </row>
    <row r="1230" customFormat="1" customHeight="1" spans="1:19">
      <c r="A1230" s="8"/>
      <c r="B1230" s="9"/>
      <c r="C1230" s="10"/>
      <c r="D1230" s="10"/>
      <c r="E1230" s="11"/>
      <c r="F1230" s="12"/>
      <c r="G1230" s="13"/>
      <c r="H1230" s="8"/>
      <c r="I1230" s="14"/>
      <c r="J1230" s="15"/>
      <c r="K1230" s="16"/>
      <c r="L1230" s="8"/>
      <c r="M1230" s="15"/>
      <c r="N1230" s="8"/>
      <c r="O1230" s="8"/>
      <c r="P1230" s="17"/>
      <c r="Q1230" s="18"/>
      <c r="R1230" s="8"/>
      <c r="S1230" s="8"/>
    </row>
    <row r="1231" customFormat="1" customHeight="1" spans="1:19">
      <c r="A1231" s="8"/>
      <c r="B1231" s="9"/>
      <c r="C1231" s="10"/>
      <c r="D1231" s="10"/>
      <c r="E1231" s="11"/>
      <c r="F1231" s="12"/>
      <c r="G1231" s="13"/>
      <c r="H1231" s="8"/>
      <c r="I1231" s="14"/>
      <c r="J1231" s="15"/>
      <c r="K1231" s="16"/>
      <c r="L1231" s="8"/>
      <c r="M1231" s="15"/>
      <c r="N1231" s="8"/>
      <c r="O1231" s="8"/>
      <c r="P1231" s="17"/>
      <c r="Q1231" s="18"/>
      <c r="R1231" s="8"/>
      <c r="S1231" s="8"/>
    </row>
    <row r="1232" customFormat="1" customHeight="1" spans="1:19">
      <c r="A1232" s="8"/>
      <c r="B1232" s="9"/>
      <c r="C1232" s="10"/>
      <c r="D1232" s="10"/>
      <c r="E1232" s="11"/>
      <c r="F1232" s="12"/>
      <c r="G1232" s="13"/>
      <c r="H1232" s="8"/>
      <c r="I1232" s="14"/>
      <c r="J1232" s="15"/>
      <c r="K1232" s="16"/>
      <c r="L1232" s="8"/>
      <c r="M1232" s="15"/>
      <c r="N1232" s="8"/>
      <c r="O1232" s="8"/>
      <c r="P1232" s="17"/>
      <c r="Q1232" s="18"/>
      <c r="R1232" s="8"/>
      <c r="S1232" s="8"/>
    </row>
    <row r="1233" customFormat="1" customHeight="1" spans="1:19">
      <c r="A1233" s="8"/>
      <c r="B1233" s="9"/>
      <c r="C1233" s="10"/>
      <c r="D1233" s="10"/>
      <c r="E1233" s="11"/>
      <c r="F1233" s="12"/>
      <c r="G1233" s="13"/>
      <c r="H1233" s="8"/>
      <c r="I1233" s="14"/>
      <c r="J1233" s="15"/>
      <c r="K1233" s="16"/>
      <c r="L1233" s="8"/>
      <c r="M1233" s="15"/>
      <c r="N1233" s="8"/>
      <c r="O1233" s="8"/>
      <c r="P1233" s="17"/>
      <c r="Q1233" s="18"/>
      <c r="R1233" s="8"/>
      <c r="S1233" s="8"/>
    </row>
    <row r="1234" customFormat="1" customHeight="1" spans="1:19">
      <c r="A1234" s="8"/>
      <c r="B1234" s="9"/>
      <c r="C1234" s="10"/>
      <c r="D1234" s="10"/>
      <c r="E1234" s="11"/>
      <c r="F1234" s="12"/>
      <c r="G1234" s="13"/>
      <c r="H1234" s="8"/>
      <c r="I1234" s="14"/>
      <c r="J1234" s="15"/>
      <c r="K1234" s="16"/>
      <c r="L1234" s="8"/>
      <c r="M1234" s="15"/>
      <c r="N1234" s="8"/>
      <c r="O1234" s="8"/>
      <c r="P1234" s="17"/>
      <c r="Q1234" s="18"/>
      <c r="R1234" s="8"/>
      <c r="S1234" s="8"/>
    </row>
    <row r="1235" customFormat="1" customHeight="1" spans="1:19">
      <c r="A1235" s="8"/>
      <c r="B1235" s="9"/>
      <c r="C1235" s="10"/>
      <c r="D1235" s="10"/>
      <c r="E1235" s="11"/>
      <c r="F1235" s="12"/>
      <c r="G1235" s="13"/>
      <c r="H1235" s="8"/>
      <c r="I1235" s="14"/>
      <c r="J1235" s="15"/>
      <c r="K1235" s="16"/>
      <c r="L1235" s="8"/>
      <c r="M1235" s="15"/>
      <c r="N1235" s="8"/>
      <c r="O1235" s="8"/>
      <c r="P1235" s="17"/>
      <c r="Q1235" s="18"/>
      <c r="R1235" s="8"/>
      <c r="S1235" s="8"/>
    </row>
    <row r="1236" customFormat="1" customHeight="1" spans="1:19">
      <c r="A1236" s="8"/>
      <c r="B1236" s="9"/>
      <c r="C1236" s="10"/>
      <c r="D1236" s="10"/>
      <c r="E1236" s="11"/>
      <c r="F1236" s="12"/>
      <c r="G1236" s="13"/>
      <c r="H1236" s="8"/>
      <c r="I1236" s="14"/>
      <c r="J1236" s="15"/>
      <c r="K1236" s="16"/>
      <c r="L1236" s="8"/>
      <c r="M1236" s="15"/>
      <c r="N1236" s="8"/>
      <c r="O1236" s="8"/>
      <c r="P1236" s="17"/>
      <c r="Q1236" s="18"/>
      <c r="R1236" s="8"/>
      <c r="S1236" s="8"/>
    </row>
    <row r="1237" customFormat="1" customHeight="1" spans="1:19">
      <c r="A1237" s="8"/>
      <c r="B1237" s="9"/>
      <c r="C1237" s="10"/>
      <c r="D1237" s="10"/>
      <c r="E1237" s="11"/>
      <c r="F1237" s="12"/>
      <c r="G1237" s="13"/>
      <c r="H1237" s="8"/>
      <c r="I1237" s="14"/>
      <c r="J1237" s="15"/>
      <c r="K1237" s="16"/>
      <c r="L1237" s="8"/>
      <c r="M1237" s="15"/>
      <c r="N1237" s="8"/>
      <c r="O1237" s="8"/>
      <c r="P1237" s="17"/>
      <c r="Q1237" s="18"/>
      <c r="R1237" s="8"/>
      <c r="S1237" s="8"/>
    </row>
    <row r="1238" customFormat="1" customHeight="1" spans="1:19">
      <c r="A1238" s="8"/>
      <c r="B1238" s="9"/>
      <c r="C1238" s="10"/>
      <c r="D1238" s="10"/>
      <c r="E1238" s="11"/>
      <c r="F1238" s="12"/>
      <c r="G1238" s="13"/>
      <c r="H1238" s="8"/>
      <c r="I1238" s="14"/>
      <c r="J1238" s="15"/>
      <c r="K1238" s="16"/>
      <c r="L1238" s="8"/>
      <c r="M1238" s="15"/>
      <c r="N1238" s="8"/>
      <c r="O1238" s="8"/>
      <c r="P1238" s="17"/>
      <c r="Q1238" s="18"/>
      <c r="R1238" s="8"/>
      <c r="S1238" s="8"/>
    </row>
    <row r="1239" customFormat="1" customHeight="1" spans="1:19">
      <c r="A1239" s="8"/>
      <c r="B1239" s="9"/>
      <c r="C1239" s="10"/>
      <c r="D1239" s="10"/>
      <c r="E1239" s="11"/>
      <c r="F1239" s="12"/>
      <c r="G1239" s="13"/>
      <c r="H1239" s="8"/>
      <c r="I1239" s="14"/>
      <c r="J1239" s="15"/>
      <c r="K1239" s="16"/>
      <c r="L1239" s="8"/>
      <c r="M1239" s="15"/>
      <c r="N1239" s="8"/>
      <c r="O1239" s="8"/>
      <c r="P1239" s="17"/>
      <c r="Q1239" s="18"/>
      <c r="R1239" s="8"/>
      <c r="S1239" s="8"/>
    </row>
    <row r="1240" customFormat="1" customHeight="1" spans="1:19">
      <c r="A1240" s="8"/>
      <c r="B1240" s="9"/>
      <c r="C1240" s="10"/>
      <c r="D1240" s="10"/>
      <c r="E1240" s="11"/>
      <c r="F1240" s="12"/>
      <c r="G1240" s="13"/>
      <c r="H1240" s="8"/>
      <c r="I1240" s="14"/>
      <c r="J1240" s="15"/>
      <c r="K1240" s="16"/>
      <c r="L1240" s="8"/>
      <c r="M1240" s="15"/>
      <c r="N1240" s="8"/>
      <c r="O1240" s="8"/>
      <c r="P1240" s="17"/>
      <c r="Q1240" s="18"/>
      <c r="R1240" s="8"/>
      <c r="S1240" s="8"/>
    </row>
    <row r="1241" customFormat="1" customHeight="1" spans="1:19">
      <c r="A1241" s="8"/>
      <c r="B1241" s="9"/>
      <c r="C1241" s="10"/>
      <c r="D1241" s="10"/>
      <c r="E1241" s="11"/>
      <c r="F1241" s="12"/>
      <c r="G1241" s="13"/>
      <c r="H1241" s="8"/>
      <c r="I1241" s="14"/>
      <c r="J1241" s="15"/>
      <c r="K1241" s="16"/>
      <c r="L1241" s="8"/>
      <c r="M1241" s="15"/>
      <c r="N1241" s="8"/>
      <c r="O1241" s="8"/>
      <c r="P1241" s="17"/>
      <c r="Q1241" s="18"/>
      <c r="R1241" s="8"/>
      <c r="S1241" s="8"/>
    </row>
    <row r="1242" customFormat="1" customHeight="1" spans="1:19">
      <c r="A1242" s="8"/>
      <c r="B1242" s="9"/>
      <c r="C1242" s="10"/>
      <c r="D1242" s="10"/>
      <c r="E1242" s="11"/>
      <c r="F1242" s="12"/>
      <c r="G1242" s="13"/>
      <c r="H1242" s="8"/>
      <c r="I1242" s="14"/>
      <c r="J1242" s="15"/>
      <c r="K1242" s="16"/>
      <c r="L1242" s="8"/>
      <c r="M1242" s="15"/>
      <c r="N1242" s="8"/>
      <c r="O1242" s="8"/>
      <c r="P1242" s="17"/>
      <c r="Q1242" s="18"/>
      <c r="R1242" s="8"/>
      <c r="S1242" s="8"/>
    </row>
    <row r="1243" customFormat="1" customHeight="1" spans="1:19">
      <c r="A1243" s="8"/>
      <c r="B1243" s="9"/>
      <c r="C1243" s="10"/>
      <c r="D1243" s="10"/>
      <c r="E1243" s="11"/>
      <c r="F1243" s="12"/>
      <c r="G1243" s="13"/>
      <c r="H1243" s="8"/>
      <c r="I1243" s="14"/>
      <c r="J1243" s="15"/>
      <c r="K1243" s="16"/>
      <c r="L1243" s="8"/>
      <c r="M1243" s="15"/>
      <c r="N1243" s="8"/>
      <c r="O1243" s="8"/>
      <c r="P1243" s="17"/>
      <c r="Q1243" s="18"/>
      <c r="R1243" s="8"/>
      <c r="S1243" s="8"/>
    </row>
    <row r="1244" customFormat="1" customHeight="1" spans="1:19">
      <c r="A1244" s="8"/>
      <c r="B1244" s="9"/>
      <c r="C1244" s="10"/>
      <c r="D1244" s="10"/>
      <c r="E1244" s="11"/>
      <c r="F1244" s="12"/>
      <c r="G1244" s="13"/>
      <c r="H1244" s="8"/>
      <c r="I1244" s="14"/>
      <c r="J1244" s="15"/>
      <c r="K1244" s="16"/>
      <c r="L1244" s="8"/>
      <c r="M1244" s="15"/>
      <c r="N1244" s="8"/>
      <c r="O1244" s="8"/>
      <c r="P1244" s="17"/>
      <c r="Q1244" s="18"/>
      <c r="R1244" s="8"/>
      <c r="S1244" s="8"/>
    </row>
    <row r="1245" customFormat="1" customHeight="1" spans="1:19">
      <c r="A1245" s="8"/>
      <c r="B1245" s="9"/>
      <c r="C1245" s="10"/>
      <c r="D1245" s="10"/>
      <c r="E1245" s="11"/>
      <c r="F1245" s="12"/>
      <c r="G1245" s="13"/>
      <c r="H1245" s="8"/>
      <c r="I1245" s="14"/>
      <c r="J1245" s="15"/>
      <c r="K1245" s="16"/>
      <c r="L1245" s="8"/>
      <c r="M1245" s="15"/>
      <c r="N1245" s="8"/>
      <c r="O1245" s="8"/>
      <c r="P1245" s="17"/>
      <c r="Q1245" s="18"/>
      <c r="R1245" s="8"/>
      <c r="S1245" s="8"/>
    </row>
    <row r="1246" customFormat="1" customHeight="1" spans="1:19">
      <c r="A1246" s="8"/>
      <c r="B1246" s="9"/>
      <c r="C1246" s="10"/>
      <c r="D1246" s="10"/>
      <c r="E1246" s="11"/>
      <c r="F1246" s="12"/>
      <c r="G1246" s="13"/>
      <c r="H1246" s="8"/>
      <c r="I1246" s="14"/>
      <c r="J1246" s="15"/>
      <c r="K1246" s="16"/>
      <c r="L1246" s="8"/>
      <c r="M1246" s="15"/>
      <c r="N1246" s="8"/>
      <c r="O1246" s="8"/>
      <c r="P1246" s="17"/>
      <c r="Q1246" s="18"/>
      <c r="R1246" s="8"/>
      <c r="S1246" s="8"/>
    </row>
    <row r="1247" customFormat="1" customHeight="1" spans="1:19">
      <c r="A1247" s="8"/>
      <c r="B1247" s="9"/>
      <c r="C1247" s="10"/>
      <c r="D1247" s="10"/>
      <c r="E1247" s="11"/>
      <c r="F1247" s="12"/>
      <c r="G1247" s="13"/>
      <c r="H1247" s="8"/>
      <c r="I1247" s="14"/>
      <c r="J1247" s="15"/>
      <c r="K1247" s="16"/>
      <c r="L1247" s="8"/>
      <c r="M1247" s="15"/>
      <c r="N1247" s="8"/>
      <c r="O1247" s="8"/>
      <c r="P1247" s="17"/>
      <c r="Q1247" s="18"/>
      <c r="R1247" s="8"/>
      <c r="S1247" s="8"/>
    </row>
    <row r="1248" customFormat="1" customHeight="1" spans="1:19">
      <c r="A1248" s="8"/>
      <c r="B1248" s="9"/>
      <c r="C1248" s="10"/>
      <c r="D1248" s="10"/>
      <c r="E1248" s="11"/>
      <c r="F1248" s="12"/>
      <c r="G1248" s="13"/>
      <c r="H1248" s="8"/>
      <c r="I1248" s="14"/>
      <c r="J1248" s="15"/>
      <c r="K1248" s="16"/>
      <c r="L1248" s="8"/>
      <c r="M1248" s="15"/>
      <c r="N1248" s="8"/>
      <c r="O1248" s="8"/>
      <c r="P1248" s="17"/>
      <c r="Q1248" s="18"/>
      <c r="R1248" s="8"/>
      <c r="S1248" s="8"/>
    </row>
    <row r="1249" customFormat="1" customHeight="1" spans="1:19">
      <c r="A1249" s="8"/>
      <c r="B1249" s="9"/>
      <c r="C1249" s="10"/>
      <c r="D1249" s="10"/>
      <c r="E1249" s="11"/>
      <c r="F1249" s="12"/>
      <c r="G1249" s="13"/>
      <c r="H1249" s="8"/>
      <c r="I1249" s="14"/>
      <c r="J1249" s="15"/>
      <c r="K1249" s="16"/>
      <c r="L1249" s="8"/>
      <c r="M1249" s="15"/>
      <c r="N1249" s="8"/>
      <c r="O1249" s="8"/>
      <c r="P1249" s="17"/>
      <c r="Q1249" s="18"/>
      <c r="R1249" s="8"/>
      <c r="S1249" s="8"/>
    </row>
    <row r="1250" customFormat="1" customHeight="1" spans="1:19">
      <c r="A1250" s="8"/>
      <c r="B1250" s="9"/>
      <c r="C1250" s="10"/>
      <c r="D1250" s="10"/>
      <c r="E1250" s="11"/>
      <c r="F1250" s="12"/>
      <c r="G1250" s="13"/>
      <c r="H1250" s="8"/>
      <c r="I1250" s="14"/>
      <c r="J1250" s="15"/>
      <c r="K1250" s="16"/>
      <c r="L1250" s="8"/>
      <c r="M1250" s="15"/>
      <c r="N1250" s="8"/>
      <c r="O1250" s="8"/>
      <c r="P1250" s="17"/>
      <c r="Q1250" s="18"/>
      <c r="R1250" s="8"/>
      <c r="S1250" s="8"/>
    </row>
    <row r="1251" customFormat="1" customHeight="1" spans="1:19">
      <c r="A1251" s="8"/>
      <c r="B1251" s="9"/>
      <c r="C1251" s="10"/>
      <c r="D1251" s="10"/>
      <c r="E1251" s="11"/>
      <c r="F1251" s="12"/>
      <c r="G1251" s="13"/>
      <c r="H1251" s="8"/>
      <c r="I1251" s="14"/>
      <c r="J1251" s="15"/>
      <c r="K1251" s="16"/>
      <c r="L1251" s="8"/>
      <c r="M1251" s="15"/>
      <c r="N1251" s="8"/>
      <c r="O1251" s="8"/>
      <c r="P1251" s="17"/>
      <c r="Q1251" s="18"/>
      <c r="R1251" s="8"/>
      <c r="S1251" s="8"/>
    </row>
    <row r="1252" customFormat="1" customHeight="1" spans="1:19">
      <c r="A1252" s="8"/>
      <c r="B1252" s="9"/>
      <c r="C1252" s="10"/>
      <c r="D1252" s="10"/>
      <c r="E1252" s="11"/>
      <c r="F1252" s="12"/>
      <c r="G1252" s="13"/>
      <c r="H1252" s="8"/>
      <c r="I1252" s="14"/>
      <c r="J1252" s="15"/>
      <c r="K1252" s="16"/>
      <c r="L1252" s="8"/>
      <c r="M1252" s="15"/>
      <c r="N1252" s="8"/>
      <c r="O1252" s="8"/>
      <c r="P1252" s="17"/>
      <c r="Q1252" s="18"/>
      <c r="R1252" s="8"/>
      <c r="S1252" s="8"/>
    </row>
    <row r="1253" customFormat="1" customHeight="1" spans="1:19">
      <c r="A1253" s="8"/>
      <c r="B1253" s="9"/>
      <c r="C1253" s="10"/>
      <c r="D1253" s="10"/>
      <c r="E1253" s="11"/>
      <c r="F1253" s="12"/>
      <c r="G1253" s="13"/>
      <c r="H1253" s="8"/>
      <c r="I1253" s="14"/>
      <c r="J1253" s="15"/>
      <c r="K1253" s="16"/>
      <c r="L1253" s="8"/>
      <c r="M1253" s="15"/>
      <c r="N1253" s="8"/>
      <c r="O1253" s="8"/>
      <c r="P1253" s="17"/>
      <c r="Q1253" s="18"/>
      <c r="R1253" s="8"/>
      <c r="S1253" s="8"/>
    </row>
    <row r="1254" customFormat="1" customHeight="1" spans="1:19">
      <c r="A1254" s="8"/>
      <c r="B1254" s="9"/>
      <c r="C1254" s="10"/>
      <c r="D1254" s="10"/>
      <c r="E1254" s="11"/>
      <c r="F1254" s="12"/>
      <c r="G1254" s="13"/>
      <c r="H1254" s="8"/>
      <c r="I1254" s="14"/>
      <c r="J1254" s="15"/>
      <c r="K1254" s="16"/>
      <c r="L1254" s="8"/>
      <c r="M1254" s="15"/>
      <c r="N1254" s="8"/>
      <c r="O1254" s="8"/>
      <c r="P1254" s="17"/>
      <c r="Q1254" s="18"/>
      <c r="R1254" s="8"/>
      <c r="S1254" s="8"/>
    </row>
    <row r="1255" customFormat="1" customHeight="1" spans="1:19">
      <c r="A1255" s="8"/>
      <c r="B1255" s="9"/>
      <c r="C1255" s="10"/>
      <c r="D1255" s="10"/>
      <c r="E1255" s="11"/>
      <c r="F1255" s="12"/>
      <c r="G1255" s="13"/>
      <c r="H1255" s="8"/>
      <c r="I1255" s="14"/>
      <c r="J1255" s="15"/>
      <c r="K1255" s="16"/>
      <c r="L1255" s="8"/>
      <c r="M1255" s="15"/>
      <c r="N1255" s="8"/>
      <c r="O1255" s="8"/>
      <c r="P1255" s="17"/>
      <c r="Q1255" s="18"/>
      <c r="R1255" s="8"/>
      <c r="S1255" s="8"/>
    </row>
    <row r="1256" customFormat="1" customHeight="1" spans="1:19">
      <c r="A1256" s="8"/>
      <c r="B1256" s="9"/>
      <c r="C1256" s="10"/>
      <c r="D1256" s="10"/>
      <c r="E1256" s="11"/>
      <c r="F1256" s="12"/>
      <c r="G1256" s="13"/>
      <c r="H1256" s="8"/>
      <c r="I1256" s="14"/>
      <c r="J1256" s="15"/>
      <c r="K1256" s="16"/>
      <c r="L1256" s="8"/>
      <c r="M1256" s="15"/>
      <c r="N1256" s="8"/>
      <c r="O1256" s="8"/>
      <c r="P1256" s="17"/>
      <c r="Q1256" s="18"/>
      <c r="R1256" s="8"/>
      <c r="S1256" s="8"/>
    </row>
    <row r="1257" customFormat="1" customHeight="1" spans="1:19">
      <c r="A1257" s="8"/>
      <c r="B1257" s="9"/>
      <c r="C1257" s="10"/>
      <c r="D1257" s="10"/>
      <c r="E1257" s="11"/>
      <c r="F1257" s="12"/>
      <c r="G1257" s="13"/>
      <c r="H1257" s="8"/>
      <c r="I1257" s="14"/>
      <c r="J1257" s="15"/>
      <c r="K1257" s="16"/>
      <c r="L1257" s="8"/>
      <c r="M1257" s="15"/>
      <c r="N1257" s="8"/>
      <c r="O1257" s="8"/>
      <c r="P1257" s="17"/>
      <c r="Q1257" s="18"/>
      <c r="R1257" s="8"/>
      <c r="S1257" s="8"/>
    </row>
    <row r="1258" customFormat="1" customHeight="1" spans="1:19">
      <c r="A1258" s="8"/>
      <c r="B1258" s="9"/>
      <c r="C1258" s="10"/>
      <c r="D1258" s="10"/>
      <c r="E1258" s="11"/>
      <c r="F1258" s="12"/>
      <c r="G1258" s="13"/>
      <c r="H1258" s="8"/>
      <c r="I1258" s="14"/>
      <c r="J1258" s="15"/>
      <c r="K1258" s="16"/>
      <c r="L1258" s="8"/>
      <c r="M1258" s="15"/>
      <c r="N1258" s="8"/>
      <c r="O1258" s="8"/>
      <c r="P1258" s="17"/>
      <c r="Q1258" s="18"/>
      <c r="R1258" s="8"/>
      <c r="S1258" s="8"/>
    </row>
    <row r="1259" customFormat="1" customHeight="1" spans="1:19">
      <c r="A1259" s="8"/>
      <c r="B1259" s="9"/>
      <c r="C1259" s="10"/>
      <c r="D1259" s="10"/>
      <c r="E1259" s="11"/>
      <c r="F1259" s="12"/>
      <c r="G1259" s="13"/>
      <c r="H1259" s="8"/>
      <c r="I1259" s="14"/>
      <c r="J1259" s="15"/>
      <c r="K1259" s="16"/>
      <c r="L1259" s="8"/>
      <c r="M1259" s="15"/>
      <c r="N1259" s="8"/>
      <c r="O1259" s="8"/>
      <c r="P1259" s="17"/>
      <c r="Q1259" s="18"/>
      <c r="R1259" s="8"/>
      <c r="S1259" s="8"/>
    </row>
    <row r="1260" customFormat="1" customHeight="1" spans="1:19">
      <c r="A1260" s="8"/>
      <c r="B1260" s="9"/>
      <c r="C1260" s="10"/>
      <c r="D1260" s="10"/>
      <c r="E1260" s="11"/>
      <c r="F1260" s="12"/>
      <c r="G1260" s="13"/>
      <c r="H1260" s="8"/>
      <c r="I1260" s="14"/>
      <c r="J1260" s="15"/>
      <c r="K1260" s="16"/>
      <c r="L1260" s="8"/>
      <c r="M1260" s="15"/>
      <c r="N1260" s="8"/>
      <c r="O1260" s="8"/>
      <c r="P1260" s="17"/>
      <c r="Q1260" s="18"/>
      <c r="R1260" s="8"/>
      <c r="S1260" s="8"/>
    </row>
    <row r="1261" customFormat="1" customHeight="1" spans="1:19">
      <c r="A1261" s="8"/>
      <c r="B1261" s="9"/>
      <c r="C1261" s="10"/>
      <c r="D1261" s="10"/>
      <c r="E1261" s="11"/>
      <c r="F1261" s="12"/>
      <c r="G1261" s="13"/>
      <c r="H1261" s="8"/>
      <c r="I1261" s="14"/>
      <c r="J1261" s="15"/>
      <c r="K1261" s="16"/>
      <c r="L1261" s="8"/>
      <c r="M1261" s="15"/>
      <c r="N1261" s="8"/>
      <c r="O1261" s="8"/>
      <c r="P1261" s="17"/>
      <c r="Q1261" s="18"/>
      <c r="R1261" s="8"/>
      <c r="S1261" s="8"/>
    </row>
    <row r="1262" customFormat="1" customHeight="1" spans="1:19">
      <c r="A1262" s="8"/>
      <c r="B1262" s="9"/>
      <c r="C1262" s="10"/>
      <c r="D1262" s="10"/>
      <c r="E1262" s="11"/>
      <c r="F1262" s="12"/>
      <c r="G1262" s="13"/>
      <c r="H1262" s="8"/>
      <c r="I1262" s="14"/>
      <c r="J1262" s="15"/>
      <c r="K1262" s="16"/>
      <c r="L1262" s="8"/>
      <c r="M1262" s="15"/>
      <c r="N1262" s="8"/>
      <c r="O1262" s="8"/>
      <c r="P1262" s="17"/>
      <c r="Q1262" s="18"/>
      <c r="R1262" s="8"/>
      <c r="S1262" s="8"/>
    </row>
    <row r="1263" customFormat="1" customHeight="1" spans="1:19">
      <c r="A1263" s="8"/>
      <c r="B1263" s="9"/>
      <c r="C1263" s="10"/>
      <c r="D1263" s="10"/>
      <c r="E1263" s="11"/>
      <c r="F1263" s="12"/>
      <c r="G1263" s="13"/>
      <c r="H1263" s="8"/>
      <c r="I1263" s="14"/>
      <c r="J1263" s="15"/>
      <c r="K1263" s="16"/>
      <c r="L1263" s="8"/>
      <c r="M1263" s="15"/>
      <c r="N1263" s="8"/>
      <c r="O1263" s="8"/>
      <c r="P1263" s="17"/>
      <c r="Q1263" s="18"/>
      <c r="R1263" s="8"/>
      <c r="S1263" s="8"/>
    </row>
    <row r="1264" customFormat="1" customHeight="1" spans="1:19">
      <c r="A1264" s="8"/>
      <c r="B1264" s="9"/>
      <c r="C1264" s="10"/>
      <c r="D1264" s="10"/>
      <c r="E1264" s="11"/>
      <c r="F1264" s="12"/>
      <c r="G1264" s="13"/>
      <c r="H1264" s="8"/>
      <c r="I1264" s="14"/>
      <c r="J1264" s="15"/>
      <c r="K1264" s="16"/>
      <c r="L1264" s="8"/>
      <c r="M1264" s="15"/>
      <c r="N1264" s="8"/>
      <c r="O1264" s="8"/>
      <c r="P1264" s="17"/>
      <c r="Q1264" s="18"/>
      <c r="R1264" s="8"/>
      <c r="S1264" s="8"/>
    </row>
    <row r="1265" customFormat="1" customHeight="1" spans="1:19">
      <c r="A1265" s="8"/>
      <c r="B1265" s="9"/>
      <c r="C1265" s="10"/>
      <c r="D1265" s="10"/>
      <c r="E1265" s="11"/>
      <c r="F1265" s="12"/>
      <c r="G1265" s="13"/>
      <c r="H1265" s="8"/>
      <c r="I1265" s="14"/>
      <c r="J1265" s="15"/>
      <c r="K1265" s="16"/>
      <c r="L1265" s="8"/>
      <c r="M1265" s="15"/>
      <c r="N1265" s="8"/>
      <c r="O1265" s="8"/>
      <c r="P1265" s="17"/>
      <c r="Q1265" s="18"/>
      <c r="R1265" s="8"/>
      <c r="S1265" s="8"/>
    </row>
    <row r="1266" customFormat="1" customHeight="1" spans="1:19">
      <c r="A1266" s="8"/>
      <c r="B1266" s="9"/>
      <c r="C1266" s="10"/>
      <c r="D1266" s="10"/>
      <c r="E1266" s="11"/>
      <c r="F1266" s="12"/>
      <c r="G1266" s="13"/>
      <c r="H1266" s="8"/>
      <c r="I1266" s="14"/>
      <c r="J1266" s="15"/>
      <c r="K1266" s="16"/>
      <c r="L1266" s="8"/>
      <c r="M1266" s="15"/>
      <c r="N1266" s="8"/>
      <c r="O1266" s="8"/>
      <c r="P1266" s="17"/>
      <c r="Q1266" s="18"/>
      <c r="R1266" s="8"/>
      <c r="S1266" s="8"/>
    </row>
    <row r="1267" customFormat="1" customHeight="1" spans="1:19">
      <c r="A1267" s="8"/>
      <c r="B1267" s="9"/>
      <c r="C1267" s="10"/>
      <c r="D1267" s="10"/>
      <c r="E1267" s="11"/>
      <c r="F1267" s="12"/>
      <c r="G1267" s="13"/>
      <c r="H1267" s="8"/>
      <c r="I1267" s="14"/>
      <c r="J1267" s="15"/>
      <c r="K1267" s="16"/>
      <c r="L1267" s="8"/>
      <c r="M1267" s="15"/>
      <c r="N1267" s="8"/>
      <c r="O1267" s="8"/>
      <c r="P1267" s="17"/>
      <c r="Q1267" s="18"/>
      <c r="R1267" s="8"/>
      <c r="S1267" s="8"/>
    </row>
    <row r="1268" customFormat="1" customHeight="1" spans="1:19">
      <c r="A1268" s="8"/>
      <c r="B1268" s="9"/>
      <c r="C1268" s="10"/>
      <c r="D1268" s="10"/>
      <c r="E1268" s="11"/>
      <c r="F1268" s="12"/>
      <c r="G1268" s="13"/>
      <c r="H1268" s="8"/>
      <c r="I1268" s="14"/>
      <c r="J1268" s="15"/>
      <c r="K1268" s="16"/>
      <c r="L1268" s="8"/>
      <c r="M1268" s="15"/>
      <c r="N1268" s="8"/>
      <c r="O1268" s="8"/>
      <c r="P1268" s="17"/>
      <c r="Q1268" s="18"/>
      <c r="R1268" s="8"/>
      <c r="S1268" s="8"/>
    </row>
    <row r="1269" customFormat="1" customHeight="1" spans="1:19">
      <c r="A1269" s="8"/>
      <c r="B1269" s="9"/>
      <c r="C1269" s="10"/>
      <c r="D1269" s="10"/>
      <c r="E1269" s="11"/>
      <c r="F1269" s="12"/>
      <c r="G1269" s="13"/>
      <c r="H1269" s="8"/>
      <c r="I1269" s="14"/>
      <c r="J1269" s="15"/>
      <c r="K1269" s="16"/>
      <c r="L1269" s="8"/>
      <c r="M1269" s="15"/>
      <c r="N1269" s="8"/>
      <c r="O1269" s="8"/>
      <c r="P1269" s="17"/>
      <c r="Q1269" s="18"/>
      <c r="R1269" s="8"/>
      <c r="S1269" s="8"/>
    </row>
    <row r="1270" customFormat="1" customHeight="1" spans="1:19">
      <c r="A1270" s="8"/>
      <c r="B1270" s="9"/>
      <c r="C1270" s="10"/>
      <c r="D1270" s="10"/>
      <c r="E1270" s="11"/>
      <c r="F1270" s="12"/>
      <c r="G1270" s="13"/>
      <c r="H1270" s="8"/>
      <c r="I1270" s="14"/>
      <c r="J1270" s="15"/>
      <c r="K1270" s="16"/>
      <c r="L1270" s="8"/>
      <c r="M1270" s="15"/>
      <c r="N1270" s="8"/>
      <c r="O1270" s="8"/>
      <c r="P1270" s="17"/>
      <c r="Q1270" s="18"/>
      <c r="R1270" s="8"/>
      <c r="S1270" s="8"/>
    </row>
    <row r="1271" customFormat="1" customHeight="1" spans="1:19">
      <c r="A1271" s="8"/>
      <c r="B1271" s="9"/>
      <c r="C1271" s="10"/>
      <c r="D1271" s="10"/>
      <c r="E1271" s="11"/>
      <c r="F1271" s="12"/>
      <c r="G1271" s="13"/>
      <c r="H1271" s="8"/>
      <c r="I1271" s="14"/>
      <c r="J1271" s="15"/>
      <c r="K1271" s="16"/>
      <c r="L1271" s="8"/>
      <c r="M1271" s="15"/>
      <c r="N1271" s="8"/>
      <c r="O1271" s="8"/>
      <c r="P1271" s="17"/>
      <c r="Q1271" s="18"/>
      <c r="R1271" s="8"/>
      <c r="S1271" s="8"/>
    </row>
    <row r="1272" customFormat="1" customHeight="1" spans="1:19">
      <c r="A1272" s="8"/>
      <c r="B1272" s="9"/>
      <c r="C1272" s="10"/>
      <c r="D1272" s="10"/>
      <c r="E1272" s="11"/>
      <c r="F1272" s="12"/>
      <c r="G1272" s="13"/>
      <c r="H1272" s="8"/>
      <c r="I1272" s="14"/>
      <c r="J1272" s="15"/>
      <c r="K1272" s="16"/>
      <c r="L1272" s="8"/>
      <c r="M1272" s="15"/>
      <c r="N1272" s="8"/>
      <c r="O1272" s="8"/>
      <c r="P1272" s="17"/>
      <c r="Q1272" s="18"/>
      <c r="R1272" s="8"/>
      <c r="S1272" s="8"/>
    </row>
    <row r="1273" customFormat="1" customHeight="1" spans="1:19">
      <c r="A1273" s="8"/>
      <c r="B1273" s="9"/>
      <c r="C1273" s="10"/>
      <c r="D1273" s="10"/>
      <c r="E1273" s="11"/>
      <c r="F1273" s="12"/>
      <c r="G1273" s="13"/>
      <c r="H1273" s="8"/>
      <c r="I1273" s="14"/>
      <c r="J1273" s="15"/>
      <c r="K1273" s="16"/>
      <c r="L1273" s="8"/>
      <c r="M1273" s="15"/>
      <c r="N1273" s="8"/>
      <c r="O1273" s="8"/>
      <c r="P1273" s="17"/>
      <c r="Q1273" s="18"/>
      <c r="R1273" s="8"/>
      <c r="S1273" s="8"/>
    </row>
    <row r="1274" customFormat="1" customHeight="1" spans="1:19">
      <c r="A1274" s="8"/>
      <c r="B1274" s="9"/>
      <c r="C1274" s="10"/>
      <c r="D1274" s="10"/>
      <c r="E1274" s="11"/>
      <c r="F1274" s="12"/>
      <c r="G1274" s="13"/>
      <c r="H1274" s="8"/>
      <c r="I1274" s="14"/>
      <c r="J1274" s="15"/>
      <c r="K1274" s="16"/>
      <c r="L1274" s="8"/>
      <c r="M1274" s="15"/>
      <c r="N1274" s="8"/>
      <c r="O1274" s="8"/>
      <c r="P1274" s="17"/>
      <c r="Q1274" s="18"/>
      <c r="R1274" s="8"/>
      <c r="S1274" s="8"/>
    </row>
    <row r="1275" customFormat="1" customHeight="1" spans="1:19">
      <c r="A1275" s="8"/>
      <c r="B1275" s="9"/>
      <c r="C1275" s="10"/>
      <c r="D1275" s="10"/>
      <c r="E1275" s="11"/>
      <c r="F1275" s="12"/>
      <c r="G1275" s="13"/>
      <c r="H1275" s="8"/>
      <c r="I1275" s="14"/>
      <c r="J1275" s="15"/>
      <c r="K1275" s="16"/>
      <c r="L1275" s="8"/>
      <c r="M1275" s="15"/>
      <c r="N1275" s="8"/>
      <c r="O1275" s="8"/>
      <c r="P1275" s="17"/>
      <c r="Q1275" s="18"/>
      <c r="R1275" s="8"/>
      <c r="S1275" s="8"/>
    </row>
    <row r="1276" customFormat="1" customHeight="1" spans="1:19">
      <c r="A1276" s="8"/>
      <c r="B1276" s="9"/>
      <c r="C1276" s="10"/>
      <c r="D1276" s="10"/>
      <c r="E1276" s="11"/>
      <c r="F1276" s="12"/>
      <c r="G1276" s="13"/>
      <c r="H1276" s="8"/>
      <c r="I1276" s="14"/>
      <c r="J1276" s="15"/>
      <c r="K1276" s="16"/>
      <c r="L1276" s="8"/>
      <c r="M1276" s="15"/>
      <c r="N1276" s="8"/>
      <c r="O1276" s="8"/>
      <c r="P1276" s="17"/>
      <c r="Q1276" s="18"/>
      <c r="R1276" s="8"/>
      <c r="S1276" s="8"/>
    </row>
    <row r="1277" customFormat="1" customHeight="1" spans="1:19">
      <c r="A1277" s="8"/>
      <c r="B1277" s="9"/>
      <c r="C1277" s="10"/>
      <c r="D1277" s="10"/>
      <c r="E1277" s="11"/>
      <c r="F1277" s="12"/>
      <c r="G1277" s="13"/>
      <c r="H1277" s="8"/>
      <c r="I1277" s="14"/>
      <c r="J1277" s="15"/>
      <c r="K1277" s="16"/>
      <c r="L1277" s="8"/>
      <c r="M1277" s="15"/>
      <c r="N1277" s="8"/>
      <c r="O1277" s="8"/>
      <c r="P1277" s="17"/>
      <c r="Q1277" s="18"/>
      <c r="R1277" s="8"/>
      <c r="S1277" s="8"/>
    </row>
    <row r="1278" customFormat="1" customHeight="1" spans="1:19">
      <c r="A1278" s="8"/>
      <c r="B1278" s="9"/>
      <c r="C1278" s="10"/>
      <c r="D1278" s="10"/>
      <c r="E1278" s="11"/>
      <c r="F1278" s="12"/>
      <c r="G1278" s="13"/>
      <c r="H1278" s="8"/>
      <c r="I1278" s="14"/>
      <c r="J1278" s="15"/>
      <c r="K1278" s="16"/>
      <c r="L1278" s="8"/>
      <c r="M1278" s="15"/>
      <c r="N1278" s="8"/>
      <c r="O1278" s="8"/>
      <c r="P1278" s="17"/>
      <c r="Q1278" s="18"/>
      <c r="R1278" s="8"/>
      <c r="S1278" s="8"/>
    </row>
    <row r="1279" customFormat="1" customHeight="1" spans="1:19">
      <c r="A1279" s="8"/>
      <c r="B1279" s="9"/>
      <c r="C1279" s="10"/>
      <c r="D1279" s="10"/>
      <c r="E1279" s="11"/>
      <c r="F1279" s="12"/>
      <c r="G1279" s="13"/>
      <c r="H1279" s="8"/>
      <c r="I1279" s="14"/>
      <c r="J1279" s="15"/>
      <c r="K1279" s="16"/>
      <c r="L1279" s="8"/>
      <c r="M1279" s="15"/>
      <c r="N1279" s="8"/>
      <c r="O1279" s="8"/>
      <c r="P1279" s="17"/>
      <c r="Q1279" s="18"/>
      <c r="R1279" s="8"/>
      <c r="S1279" s="8"/>
    </row>
    <row r="1280" customFormat="1" customHeight="1" spans="1:19">
      <c r="A1280" s="8"/>
      <c r="B1280" s="9"/>
      <c r="C1280" s="10"/>
      <c r="D1280" s="10"/>
      <c r="E1280" s="11"/>
      <c r="F1280" s="12"/>
      <c r="G1280" s="13"/>
      <c r="H1280" s="8"/>
      <c r="I1280" s="14"/>
      <c r="J1280" s="15"/>
      <c r="K1280" s="16"/>
      <c r="L1280" s="8"/>
      <c r="M1280" s="15"/>
      <c r="N1280" s="8"/>
      <c r="O1280" s="8"/>
      <c r="P1280" s="17"/>
      <c r="Q1280" s="18"/>
      <c r="R1280" s="8"/>
      <c r="S1280" s="8"/>
    </row>
    <row r="1281" customFormat="1" customHeight="1" spans="1:19">
      <c r="A1281" s="8"/>
      <c r="B1281" s="9"/>
      <c r="C1281" s="10"/>
      <c r="D1281" s="10"/>
      <c r="E1281" s="11"/>
      <c r="F1281" s="12"/>
      <c r="G1281" s="13"/>
      <c r="H1281" s="8"/>
      <c r="I1281" s="14"/>
      <c r="J1281" s="15"/>
      <c r="K1281" s="16"/>
      <c r="L1281" s="8"/>
      <c r="M1281" s="15"/>
      <c r="N1281" s="8"/>
      <c r="O1281" s="8"/>
      <c r="P1281" s="17"/>
      <c r="Q1281" s="18"/>
      <c r="R1281" s="8"/>
      <c r="S1281" s="8"/>
    </row>
    <row r="1282" customFormat="1" customHeight="1" spans="1:19">
      <c r="A1282" s="8"/>
      <c r="B1282" s="9"/>
      <c r="C1282" s="10"/>
      <c r="D1282" s="10"/>
      <c r="E1282" s="11"/>
      <c r="F1282" s="12"/>
      <c r="G1282" s="13"/>
      <c r="H1282" s="8"/>
      <c r="I1282" s="14"/>
      <c r="J1282" s="15"/>
      <c r="K1282" s="16"/>
      <c r="L1282" s="8"/>
      <c r="M1282" s="15"/>
      <c r="N1282" s="8"/>
      <c r="O1282" s="8"/>
      <c r="P1282" s="17"/>
      <c r="Q1282" s="18"/>
      <c r="R1282" s="8"/>
      <c r="S1282" s="8"/>
    </row>
    <row r="1283" customFormat="1" customHeight="1" spans="1:19">
      <c r="A1283" s="8"/>
      <c r="B1283" s="9"/>
      <c r="C1283" s="10"/>
      <c r="D1283" s="10"/>
      <c r="E1283" s="11"/>
      <c r="F1283" s="12"/>
      <c r="G1283" s="13"/>
      <c r="H1283" s="8"/>
      <c r="I1283" s="14"/>
      <c r="J1283" s="15"/>
      <c r="K1283" s="16"/>
      <c r="L1283" s="8"/>
      <c r="M1283" s="15"/>
      <c r="N1283" s="8"/>
      <c r="O1283" s="8"/>
      <c r="P1283" s="17"/>
      <c r="Q1283" s="18"/>
      <c r="R1283" s="8"/>
      <c r="S1283" s="8"/>
    </row>
    <row r="1284" customFormat="1" customHeight="1" spans="1:19">
      <c r="A1284" s="8"/>
      <c r="B1284" s="9"/>
      <c r="C1284" s="10"/>
      <c r="D1284" s="10"/>
      <c r="E1284" s="11"/>
      <c r="F1284" s="12"/>
      <c r="G1284" s="13"/>
      <c r="H1284" s="8"/>
      <c r="I1284" s="14"/>
      <c r="J1284" s="15"/>
      <c r="K1284" s="16"/>
      <c r="L1284" s="8"/>
      <c r="M1284" s="15"/>
      <c r="N1284" s="8"/>
      <c r="O1284" s="8"/>
      <c r="P1284" s="17"/>
      <c r="Q1284" s="18"/>
      <c r="R1284" s="8"/>
      <c r="S1284" s="8"/>
    </row>
    <row r="1285" customFormat="1" customHeight="1" spans="1:19">
      <c r="A1285" s="8"/>
      <c r="B1285" s="9"/>
      <c r="C1285" s="10"/>
      <c r="D1285" s="10"/>
      <c r="E1285" s="11"/>
      <c r="F1285" s="12"/>
      <c r="G1285" s="13"/>
      <c r="H1285" s="8"/>
      <c r="I1285" s="14"/>
      <c r="J1285" s="15"/>
      <c r="K1285" s="16"/>
      <c r="L1285" s="8"/>
      <c r="M1285" s="15"/>
      <c r="N1285" s="8"/>
      <c r="O1285" s="8"/>
      <c r="P1285" s="17"/>
      <c r="Q1285" s="18"/>
      <c r="R1285" s="8"/>
      <c r="S1285" s="8"/>
    </row>
    <row r="1286" customFormat="1" customHeight="1" spans="1:19">
      <c r="A1286" s="8"/>
      <c r="B1286" s="9"/>
      <c r="C1286" s="10"/>
      <c r="D1286" s="10"/>
      <c r="E1286" s="11"/>
      <c r="F1286" s="12"/>
      <c r="G1286" s="13"/>
      <c r="H1286" s="8"/>
      <c r="I1286" s="14"/>
      <c r="J1286" s="15"/>
      <c r="K1286" s="16"/>
      <c r="L1286" s="8"/>
      <c r="M1286" s="15"/>
      <c r="N1286" s="8"/>
      <c r="O1286" s="8"/>
      <c r="P1286" s="17"/>
      <c r="Q1286" s="18"/>
      <c r="R1286" s="8"/>
      <c r="S1286" s="8"/>
    </row>
    <row r="1287" customFormat="1" customHeight="1" spans="1:19">
      <c r="A1287" s="8"/>
      <c r="B1287" s="9"/>
      <c r="C1287" s="10"/>
      <c r="D1287" s="10"/>
      <c r="E1287" s="11"/>
      <c r="F1287" s="12"/>
      <c r="G1287" s="13"/>
      <c r="H1287" s="8"/>
      <c r="I1287" s="14"/>
      <c r="J1287" s="15"/>
      <c r="K1287" s="16"/>
      <c r="L1287" s="8"/>
      <c r="M1287" s="15"/>
      <c r="N1287" s="8"/>
      <c r="O1287" s="8"/>
      <c r="P1287" s="17"/>
      <c r="Q1287" s="18"/>
      <c r="R1287" s="8"/>
      <c r="S1287" s="8"/>
    </row>
    <row r="1288" customFormat="1" customHeight="1" spans="1:19">
      <c r="A1288" s="8"/>
      <c r="B1288" s="9"/>
      <c r="C1288" s="10"/>
      <c r="D1288" s="10"/>
      <c r="E1288" s="11"/>
      <c r="F1288" s="12"/>
      <c r="G1288" s="13"/>
      <c r="H1288" s="8"/>
      <c r="I1288" s="14"/>
      <c r="J1288" s="15"/>
      <c r="K1288" s="16"/>
      <c r="L1288" s="8"/>
      <c r="M1288" s="15"/>
      <c r="N1288" s="8"/>
      <c r="O1288" s="8"/>
      <c r="P1288" s="17"/>
      <c r="Q1288" s="18"/>
      <c r="R1288" s="8"/>
      <c r="S1288" s="8"/>
    </row>
    <row r="1289" customFormat="1" customHeight="1" spans="1:19">
      <c r="A1289" s="8"/>
      <c r="B1289" s="9"/>
      <c r="C1289" s="10"/>
      <c r="D1289" s="10"/>
      <c r="E1289" s="11"/>
      <c r="F1289" s="12"/>
      <c r="G1289" s="13"/>
      <c r="H1289" s="8"/>
      <c r="I1289" s="14"/>
      <c r="J1289" s="15"/>
      <c r="K1289" s="16"/>
      <c r="L1289" s="8"/>
      <c r="M1289" s="15"/>
      <c r="N1289" s="8"/>
      <c r="O1289" s="8"/>
      <c r="P1289" s="17"/>
      <c r="Q1289" s="18"/>
      <c r="R1289" s="8"/>
      <c r="S1289" s="8"/>
    </row>
    <row r="1290" customFormat="1" customHeight="1" spans="1:19">
      <c r="A1290" s="8"/>
      <c r="B1290" s="9"/>
      <c r="C1290" s="10"/>
      <c r="D1290" s="10"/>
      <c r="E1290" s="11"/>
      <c r="F1290" s="12"/>
      <c r="G1290" s="13"/>
      <c r="H1290" s="8"/>
      <c r="I1290" s="14"/>
      <c r="J1290" s="15"/>
      <c r="K1290" s="16"/>
      <c r="L1290" s="8"/>
      <c r="M1290" s="15"/>
      <c r="N1290" s="8"/>
      <c r="O1290" s="8"/>
      <c r="P1290" s="17"/>
      <c r="Q1290" s="18"/>
      <c r="R1290" s="8"/>
      <c r="S1290" s="8"/>
    </row>
    <row r="1291" customFormat="1" customHeight="1" spans="1:19">
      <c r="A1291" s="8"/>
      <c r="B1291" s="9"/>
      <c r="C1291" s="10"/>
      <c r="D1291" s="10"/>
      <c r="E1291" s="11"/>
      <c r="F1291" s="12"/>
      <c r="G1291" s="13"/>
      <c r="H1291" s="8"/>
      <c r="I1291" s="14"/>
      <c r="J1291" s="15"/>
      <c r="K1291" s="16"/>
      <c r="L1291" s="8"/>
      <c r="M1291" s="15"/>
      <c r="N1291" s="8"/>
      <c r="O1291" s="8"/>
      <c r="P1291" s="17"/>
      <c r="Q1291" s="18"/>
      <c r="R1291" s="8"/>
      <c r="S1291" s="8"/>
    </row>
    <row r="1292" customFormat="1" customHeight="1" spans="1:19">
      <c r="A1292" s="8"/>
      <c r="B1292" s="9"/>
      <c r="C1292" s="10"/>
      <c r="D1292" s="10"/>
      <c r="E1292" s="11"/>
      <c r="F1292" s="12"/>
      <c r="G1292" s="13"/>
      <c r="H1292" s="8"/>
      <c r="I1292" s="14"/>
      <c r="J1292" s="15"/>
      <c r="K1292" s="16"/>
      <c r="L1292" s="8"/>
      <c r="M1292" s="15"/>
      <c r="N1292" s="8"/>
      <c r="O1292" s="8"/>
      <c r="P1292" s="17"/>
      <c r="Q1292" s="18"/>
      <c r="R1292" s="8"/>
      <c r="S1292" s="8"/>
    </row>
    <row r="1293" customFormat="1" customHeight="1" spans="1:19">
      <c r="A1293" s="8"/>
      <c r="B1293" s="9"/>
      <c r="C1293" s="10"/>
      <c r="D1293" s="10"/>
      <c r="E1293" s="11"/>
      <c r="F1293" s="12"/>
      <c r="G1293" s="13"/>
      <c r="H1293" s="8"/>
      <c r="I1293" s="14"/>
      <c r="J1293" s="15"/>
      <c r="K1293" s="16"/>
      <c r="L1293" s="8"/>
      <c r="M1293" s="15"/>
      <c r="N1293" s="8"/>
      <c r="O1293" s="8"/>
      <c r="P1293" s="17"/>
      <c r="Q1293" s="18"/>
      <c r="R1293" s="8"/>
      <c r="S1293" s="8"/>
    </row>
    <row r="1294" customFormat="1" customHeight="1" spans="1:19">
      <c r="A1294" s="8"/>
      <c r="B1294" s="9"/>
      <c r="C1294" s="10"/>
      <c r="D1294" s="10"/>
      <c r="E1294" s="11"/>
      <c r="F1294" s="12"/>
      <c r="G1294" s="13"/>
      <c r="H1294" s="8"/>
      <c r="I1294" s="14"/>
      <c r="J1294" s="15"/>
      <c r="K1294" s="16"/>
      <c r="L1294" s="8"/>
      <c r="M1294" s="15"/>
      <c r="N1294" s="8"/>
      <c r="O1294" s="8"/>
      <c r="P1294" s="17"/>
      <c r="Q1294" s="18"/>
      <c r="R1294" s="8"/>
      <c r="S1294" s="8"/>
    </row>
    <row r="1295" customFormat="1" customHeight="1" spans="1:19">
      <c r="A1295" s="8"/>
      <c r="B1295" s="9"/>
      <c r="C1295" s="10"/>
      <c r="D1295" s="10"/>
      <c r="E1295" s="11"/>
      <c r="F1295" s="12"/>
      <c r="G1295" s="13"/>
      <c r="H1295" s="8"/>
      <c r="I1295" s="14"/>
      <c r="J1295" s="15"/>
      <c r="K1295" s="16"/>
      <c r="L1295" s="8"/>
      <c r="M1295" s="15"/>
      <c r="N1295" s="8"/>
      <c r="O1295" s="8"/>
      <c r="P1295" s="17"/>
      <c r="Q1295" s="18"/>
      <c r="R1295" s="8"/>
      <c r="S1295" s="8"/>
    </row>
    <row r="1296" customFormat="1" customHeight="1" spans="1:19">
      <c r="A1296" s="8"/>
      <c r="B1296" s="9"/>
      <c r="C1296" s="10"/>
      <c r="D1296" s="10"/>
      <c r="E1296" s="11"/>
      <c r="F1296" s="12"/>
      <c r="G1296" s="13"/>
      <c r="H1296" s="8"/>
      <c r="I1296" s="14"/>
      <c r="J1296" s="15"/>
      <c r="K1296" s="16"/>
      <c r="L1296" s="8"/>
      <c r="M1296" s="15"/>
      <c r="N1296" s="8"/>
      <c r="O1296" s="8"/>
      <c r="P1296" s="17"/>
      <c r="Q1296" s="18"/>
      <c r="R1296" s="8"/>
      <c r="S1296" s="8"/>
    </row>
    <row r="1297" customFormat="1" customHeight="1" spans="1:19">
      <c r="A1297" s="8"/>
      <c r="B1297" s="9"/>
      <c r="C1297" s="10"/>
      <c r="D1297" s="10"/>
      <c r="E1297" s="11"/>
      <c r="F1297" s="12"/>
      <c r="G1297" s="13"/>
      <c r="H1297" s="8"/>
      <c r="I1297" s="14"/>
      <c r="J1297" s="15"/>
      <c r="K1297" s="16"/>
      <c r="L1297" s="8"/>
      <c r="M1297" s="15"/>
      <c r="N1297" s="8"/>
      <c r="O1297" s="8"/>
      <c r="P1297" s="17"/>
      <c r="Q1297" s="18"/>
      <c r="R1297" s="8"/>
      <c r="S1297" s="8"/>
    </row>
    <row r="1298" customFormat="1" customHeight="1" spans="1:19">
      <c r="A1298" s="8"/>
      <c r="B1298" s="9"/>
      <c r="C1298" s="10"/>
      <c r="D1298" s="10"/>
      <c r="E1298" s="11"/>
      <c r="F1298" s="12"/>
      <c r="G1298" s="13"/>
      <c r="H1298" s="8"/>
      <c r="I1298" s="14"/>
      <c r="J1298" s="15"/>
      <c r="K1298" s="16"/>
      <c r="L1298" s="8"/>
      <c r="M1298" s="15"/>
      <c r="N1298" s="8"/>
      <c r="O1298" s="8"/>
      <c r="P1298" s="17"/>
      <c r="Q1298" s="18"/>
      <c r="R1298" s="8"/>
      <c r="S1298" s="8"/>
    </row>
    <row r="1299" customFormat="1" customHeight="1" spans="1:19">
      <c r="A1299" s="8"/>
      <c r="B1299" s="9"/>
      <c r="C1299" s="10"/>
      <c r="D1299" s="10"/>
      <c r="E1299" s="11"/>
      <c r="F1299" s="12"/>
      <c r="G1299" s="13"/>
      <c r="H1299" s="8"/>
      <c r="I1299" s="14"/>
      <c r="J1299" s="15"/>
      <c r="K1299" s="16"/>
      <c r="L1299" s="8"/>
      <c r="M1299" s="15"/>
      <c r="N1299" s="8"/>
      <c r="O1299" s="8"/>
      <c r="P1299" s="17"/>
      <c r="Q1299" s="18"/>
      <c r="R1299" s="8"/>
      <c r="S1299" s="8"/>
    </row>
    <row r="1300" customFormat="1" customHeight="1" spans="1:19">
      <c r="A1300" s="8"/>
      <c r="B1300" s="9"/>
      <c r="C1300" s="10"/>
      <c r="D1300" s="10"/>
      <c r="E1300" s="11"/>
      <c r="F1300" s="12"/>
      <c r="G1300" s="13"/>
      <c r="H1300" s="8"/>
      <c r="I1300" s="14"/>
      <c r="J1300" s="15"/>
      <c r="K1300" s="16"/>
      <c r="L1300" s="8"/>
      <c r="M1300" s="15"/>
      <c r="N1300" s="8"/>
      <c r="O1300" s="8"/>
      <c r="P1300" s="17"/>
      <c r="Q1300" s="18"/>
      <c r="R1300" s="8"/>
      <c r="S1300" s="8"/>
    </row>
    <row r="1301" customFormat="1" customHeight="1" spans="1:19">
      <c r="A1301" s="8"/>
      <c r="B1301" s="9"/>
      <c r="C1301" s="10"/>
      <c r="D1301" s="10"/>
      <c r="E1301" s="11"/>
      <c r="F1301" s="12"/>
      <c r="G1301" s="13"/>
      <c r="H1301" s="8"/>
      <c r="I1301" s="14"/>
      <c r="J1301" s="15"/>
      <c r="K1301" s="16"/>
      <c r="L1301" s="8"/>
      <c r="M1301" s="15"/>
      <c r="N1301" s="8"/>
      <c r="O1301" s="8"/>
      <c r="P1301" s="17"/>
      <c r="Q1301" s="18"/>
      <c r="R1301" s="8"/>
      <c r="S1301" s="8"/>
    </row>
    <row r="1302" customFormat="1" customHeight="1" spans="1:19">
      <c r="A1302" s="8"/>
      <c r="B1302" s="9"/>
      <c r="C1302" s="10"/>
      <c r="D1302" s="10"/>
      <c r="E1302" s="11"/>
      <c r="F1302" s="12"/>
      <c r="G1302" s="13"/>
      <c r="H1302" s="8"/>
      <c r="I1302" s="14"/>
      <c r="J1302" s="15"/>
      <c r="K1302" s="16"/>
      <c r="L1302" s="8"/>
      <c r="M1302" s="15"/>
      <c r="N1302" s="8"/>
      <c r="O1302" s="8"/>
      <c r="P1302" s="17"/>
      <c r="Q1302" s="18"/>
      <c r="R1302" s="8"/>
      <c r="S1302" s="8"/>
    </row>
    <row r="1303" customFormat="1" customHeight="1" spans="1:19">
      <c r="A1303" s="8"/>
      <c r="B1303" s="9"/>
      <c r="C1303" s="10"/>
      <c r="D1303" s="10"/>
      <c r="E1303" s="11"/>
      <c r="F1303" s="12"/>
      <c r="G1303" s="13"/>
      <c r="H1303" s="8"/>
      <c r="I1303" s="14"/>
      <c r="J1303" s="15"/>
      <c r="K1303" s="16"/>
      <c r="L1303" s="8"/>
      <c r="M1303" s="15"/>
      <c r="N1303" s="8"/>
      <c r="O1303" s="8"/>
      <c r="P1303" s="17"/>
      <c r="Q1303" s="18"/>
      <c r="R1303" s="8"/>
      <c r="S1303" s="8"/>
    </row>
    <row r="1304" customFormat="1" customHeight="1" spans="1:19">
      <c r="A1304" s="8"/>
      <c r="B1304" s="9"/>
      <c r="C1304" s="10"/>
      <c r="D1304" s="10"/>
      <c r="E1304" s="11"/>
      <c r="F1304" s="12"/>
      <c r="G1304" s="13"/>
      <c r="H1304" s="8"/>
      <c r="I1304" s="14"/>
      <c r="J1304" s="15"/>
      <c r="K1304" s="16"/>
      <c r="L1304" s="8"/>
      <c r="M1304" s="15"/>
      <c r="N1304" s="8"/>
      <c r="O1304" s="8"/>
      <c r="P1304" s="17"/>
      <c r="Q1304" s="18"/>
      <c r="R1304" s="8"/>
      <c r="S1304" s="8"/>
    </row>
    <row r="1305" customFormat="1" customHeight="1" spans="1:19">
      <c r="A1305" s="8"/>
      <c r="B1305" s="9"/>
      <c r="C1305" s="10"/>
      <c r="D1305" s="10"/>
      <c r="E1305" s="11"/>
      <c r="F1305" s="12"/>
      <c r="G1305" s="13"/>
      <c r="H1305" s="8"/>
      <c r="I1305" s="14"/>
      <c r="J1305" s="15"/>
      <c r="K1305" s="16"/>
      <c r="L1305" s="8"/>
      <c r="M1305" s="15"/>
      <c r="N1305" s="8"/>
      <c r="O1305" s="8"/>
      <c r="P1305" s="17"/>
      <c r="Q1305" s="18"/>
      <c r="R1305" s="8"/>
      <c r="S1305" s="8"/>
    </row>
    <row r="1306" customFormat="1" customHeight="1" spans="1:19">
      <c r="A1306" s="8"/>
      <c r="B1306" s="9"/>
      <c r="C1306" s="10"/>
      <c r="D1306" s="10"/>
      <c r="E1306" s="11"/>
      <c r="F1306" s="12"/>
      <c r="G1306" s="13"/>
      <c r="H1306" s="8"/>
      <c r="I1306" s="14"/>
      <c r="J1306" s="15"/>
      <c r="K1306" s="16"/>
      <c r="L1306" s="8"/>
      <c r="M1306" s="15"/>
      <c r="N1306" s="8"/>
      <c r="O1306" s="8"/>
      <c r="P1306" s="17"/>
      <c r="Q1306" s="18"/>
      <c r="R1306" s="8"/>
      <c r="S1306" s="8"/>
    </row>
    <row r="1307" customFormat="1" customHeight="1" spans="1:19">
      <c r="A1307" s="8"/>
      <c r="B1307" s="9"/>
      <c r="C1307" s="10"/>
      <c r="D1307" s="10"/>
      <c r="E1307" s="11"/>
      <c r="F1307" s="12"/>
      <c r="G1307" s="13"/>
      <c r="H1307" s="8"/>
      <c r="I1307" s="14"/>
      <c r="J1307" s="15"/>
      <c r="K1307" s="16"/>
      <c r="L1307" s="8"/>
      <c r="M1307" s="15"/>
      <c r="N1307" s="8"/>
      <c r="O1307" s="8"/>
      <c r="P1307" s="17"/>
      <c r="Q1307" s="18"/>
      <c r="R1307" s="8"/>
      <c r="S1307" s="8"/>
    </row>
    <row r="1308" customFormat="1" customHeight="1" spans="1:19">
      <c r="A1308" s="8"/>
      <c r="B1308" s="9"/>
      <c r="C1308" s="10"/>
      <c r="D1308" s="10"/>
      <c r="E1308" s="11"/>
      <c r="F1308" s="12"/>
      <c r="G1308" s="13"/>
      <c r="H1308" s="8"/>
      <c r="I1308" s="14"/>
      <c r="J1308" s="15"/>
      <c r="K1308" s="16"/>
      <c r="L1308" s="8"/>
      <c r="M1308" s="15"/>
      <c r="N1308" s="8"/>
      <c r="O1308" s="8"/>
      <c r="P1308" s="17"/>
      <c r="Q1308" s="18"/>
      <c r="R1308" s="8"/>
      <c r="S1308" s="8"/>
    </row>
    <row r="1309" customFormat="1" customHeight="1" spans="1:19">
      <c r="A1309" s="8"/>
      <c r="B1309" s="9"/>
      <c r="C1309" s="10"/>
      <c r="D1309" s="10"/>
      <c r="E1309" s="11"/>
      <c r="F1309" s="12"/>
      <c r="G1309" s="13"/>
      <c r="H1309" s="8"/>
      <c r="I1309" s="14"/>
      <c r="J1309" s="15"/>
      <c r="K1309" s="16"/>
      <c r="L1309" s="8"/>
      <c r="M1309" s="15"/>
      <c r="N1309" s="8"/>
      <c r="O1309" s="8"/>
      <c r="P1309" s="17"/>
      <c r="Q1309" s="18"/>
      <c r="R1309" s="8"/>
      <c r="S1309" s="8"/>
    </row>
    <row r="1310" customFormat="1" customHeight="1" spans="1:19">
      <c r="A1310" s="8"/>
      <c r="B1310" s="9"/>
      <c r="C1310" s="10"/>
      <c r="D1310" s="10"/>
      <c r="E1310" s="11"/>
      <c r="F1310" s="12"/>
      <c r="G1310" s="13"/>
      <c r="H1310" s="8"/>
      <c r="I1310" s="14"/>
      <c r="J1310" s="15"/>
      <c r="K1310" s="16"/>
      <c r="L1310" s="8"/>
      <c r="M1310" s="15"/>
      <c r="N1310" s="8"/>
      <c r="O1310" s="8"/>
      <c r="P1310" s="17"/>
      <c r="Q1310" s="18"/>
      <c r="R1310" s="8"/>
      <c r="S1310" s="8"/>
    </row>
    <row r="1311" customFormat="1" customHeight="1" spans="1:19">
      <c r="A1311" s="8"/>
      <c r="B1311" s="9"/>
      <c r="C1311" s="10"/>
      <c r="D1311" s="10"/>
      <c r="E1311" s="11"/>
      <c r="F1311" s="12"/>
      <c r="G1311" s="13"/>
      <c r="H1311" s="8"/>
      <c r="I1311" s="14"/>
      <c r="J1311" s="15"/>
      <c r="K1311" s="16"/>
      <c r="L1311" s="8"/>
      <c r="M1311" s="15"/>
      <c r="N1311" s="8"/>
      <c r="O1311" s="8"/>
      <c r="P1311" s="17"/>
      <c r="Q1311" s="18"/>
      <c r="R1311" s="8"/>
      <c r="S1311" s="8"/>
    </row>
    <row r="1312" customFormat="1" customHeight="1" spans="1:19">
      <c r="A1312" s="8"/>
      <c r="B1312" s="9"/>
      <c r="C1312" s="10"/>
      <c r="D1312" s="10"/>
      <c r="E1312" s="11"/>
      <c r="F1312" s="12"/>
      <c r="G1312" s="13"/>
      <c r="H1312" s="8"/>
      <c r="I1312" s="14"/>
      <c r="J1312" s="15"/>
      <c r="K1312" s="16"/>
      <c r="L1312" s="8"/>
      <c r="M1312" s="15"/>
      <c r="N1312" s="8"/>
      <c r="O1312" s="8"/>
      <c r="P1312" s="17"/>
      <c r="Q1312" s="18"/>
      <c r="R1312" s="8"/>
      <c r="S1312" s="8"/>
    </row>
    <row r="1313" customFormat="1" customHeight="1" spans="1:19">
      <c r="A1313" s="8"/>
      <c r="B1313" s="9"/>
      <c r="C1313" s="10"/>
      <c r="D1313" s="10"/>
      <c r="E1313" s="11"/>
      <c r="F1313" s="12"/>
      <c r="G1313" s="13"/>
      <c r="H1313" s="8"/>
      <c r="I1313" s="14"/>
      <c r="J1313" s="15"/>
      <c r="K1313" s="16"/>
      <c r="L1313" s="8"/>
      <c r="M1313" s="15"/>
      <c r="N1313" s="8"/>
      <c r="O1313" s="8"/>
      <c r="P1313" s="17"/>
      <c r="Q1313" s="18"/>
      <c r="R1313" s="8"/>
      <c r="S1313" s="8"/>
    </row>
    <row r="1314" customFormat="1" customHeight="1" spans="1:19">
      <c r="A1314" s="8"/>
      <c r="B1314" s="9"/>
      <c r="C1314" s="10"/>
      <c r="D1314" s="10"/>
      <c r="E1314" s="11"/>
      <c r="F1314" s="12"/>
      <c r="G1314" s="13"/>
      <c r="H1314" s="8"/>
      <c r="I1314" s="14"/>
      <c r="J1314" s="15"/>
      <c r="K1314" s="16"/>
      <c r="L1314" s="8"/>
      <c r="M1314" s="15"/>
      <c r="N1314" s="8"/>
      <c r="O1314" s="8"/>
      <c r="P1314" s="17"/>
      <c r="Q1314" s="18"/>
      <c r="R1314" s="8"/>
      <c r="S1314" s="8"/>
    </row>
    <row r="1315" customFormat="1" customHeight="1" spans="1:19">
      <c r="A1315" s="8"/>
      <c r="B1315" s="9"/>
      <c r="C1315" s="10"/>
      <c r="D1315" s="10"/>
      <c r="E1315" s="11"/>
      <c r="F1315" s="12"/>
      <c r="G1315" s="13"/>
      <c r="H1315" s="8"/>
      <c r="I1315" s="14"/>
      <c r="J1315" s="15"/>
      <c r="K1315" s="16"/>
      <c r="L1315" s="8"/>
      <c r="M1315" s="15"/>
      <c r="N1315" s="8"/>
      <c r="O1315" s="8"/>
      <c r="P1315" s="17"/>
      <c r="Q1315" s="18"/>
      <c r="R1315" s="8"/>
      <c r="S1315" s="8"/>
    </row>
    <row r="1316" customFormat="1" customHeight="1" spans="1:19">
      <c r="A1316" s="8"/>
      <c r="B1316" s="9"/>
      <c r="C1316" s="10"/>
      <c r="D1316" s="10"/>
      <c r="E1316" s="11"/>
      <c r="F1316" s="12"/>
      <c r="G1316" s="13"/>
      <c r="H1316" s="8"/>
      <c r="I1316" s="14"/>
      <c r="J1316" s="15"/>
      <c r="K1316" s="16"/>
      <c r="L1316" s="8"/>
      <c r="M1316" s="15"/>
      <c r="N1316" s="8"/>
      <c r="O1316" s="8"/>
      <c r="P1316" s="17"/>
      <c r="Q1316" s="18"/>
      <c r="R1316" s="8"/>
      <c r="S1316" s="8"/>
    </row>
    <row r="1317" customFormat="1" customHeight="1" spans="1:19">
      <c r="A1317" s="8"/>
      <c r="B1317" s="9"/>
      <c r="C1317" s="10"/>
      <c r="D1317" s="10"/>
      <c r="E1317" s="11"/>
      <c r="F1317" s="12"/>
      <c r="G1317" s="13"/>
      <c r="H1317" s="8"/>
      <c r="I1317" s="14"/>
      <c r="J1317" s="15"/>
      <c r="K1317" s="16"/>
      <c r="L1317" s="8"/>
      <c r="M1317" s="15"/>
      <c r="N1317" s="8"/>
      <c r="O1317" s="8"/>
      <c r="P1317" s="17"/>
      <c r="Q1317" s="18"/>
      <c r="R1317" s="8"/>
      <c r="S1317" s="8"/>
    </row>
    <row r="1318" customFormat="1" customHeight="1" spans="1:19">
      <c r="A1318" s="8"/>
      <c r="B1318" s="9"/>
      <c r="C1318" s="10"/>
      <c r="D1318" s="10"/>
      <c r="E1318" s="11"/>
      <c r="F1318" s="12"/>
      <c r="G1318" s="13"/>
      <c r="H1318" s="8"/>
      <c r="I1318" s="14"/>
      <c r="J1318" s="15"/>
      <c r="K1318" s="16"/>
      <c r="L1318" s="8"/>
      <c r="M1318" s="15"/>
      <c r="N1318" s="8"/>
      <c r="O1318" s="8"/>
      <c r="P1318" s="17"/>
      <c r="Q1318" s="18"/>
      <c r="R1318" s="8"/>
      <c r="S1318" s="8"/>
    </row>
    <row r="1319" customFormat="1" customHeight="1" spans="1:19">
      <c r="A1319" s="8"/>
      <c r="B1319" s="9"/>
      <c r="C1319" s="10"/>
      <c r="D1319" s="10"/>
      <c r="E1319" s="11"/>
      <c r="F1319" s="12"/>
      <c r="G1319" s="13"/>
      <c r="H1319" s="8"/>
      <c r="I1319" s="14"/>
      <c r="J1319" s="15"/>
      <c r="K1319" s="16"/>
      <c r="L1319" s="8"/>
      <c r="M1319" s="15"/>
      <c r="N1319" s="8"/>
      <c r="O1319" s="8"/>
      <c r="P1319" s="17"/>
      <c r="Q1319" s="18"/>
      <c r="R1319" s="8"/>
      <c r="S1319" s="8"/>
    </row>
    <row r="1320" customFormat="1" customHeight="1" spans="1:19">
      <c r="A1320" s="8"/>
      <c r="B1320" s="9"/>
      <c r="C1320" s="10"/>
      <c r="D1320" s="10"/>
      <c r="E1320" s="11"/>
      <c r="F1320" s="12"/>
      <c r="G1320" s="13"/>
      <c r="H1320" s="8"/>
      <c r="I1320" s="14"/>
      <c r="J1320" s="15"/>
      <c r="K1320" s="16"/>
      <c r="L1320" s="8"/>
      <c r="M1320" s="15"/>
      <c r="N1320" s="8"/>
      <c r="O1320" s="8"/>
      <c r="P1320" s="17"/>
      <c r="Q1320" s="18"/>
      <c r="R1320" s="8"/>
      <c r="S1320" s="8"/>
    </row>
    <row r="1321" customFormat="1" customHeight="1" spans="1:19">
      <c r="A1321" s="8"/>
      <c r="B1321" s="9"/>
      <c r="C1321" s="10"/>
      <c r="D1321" s="10"/>
      <c r="E1321" s="11"/>
      <c r="F1321" s="12"/>
      <c r="G1321" s="13"/>
      <c r="H1321" s="8"/>
      <c r="I1321" s="14"/>
      <c r="J1321" s="15"/>
      <c r="K1321" s="16"/>
      <c r="L1321" s="8"/>
      <c r="M1321" s="15"/>
      <c r="N1321" s="8"/>
      <c r="O1321" s="8"/>
      <c r="P1321" s="17"/>
      <c r="Q1321" s="18"/>
      <c r="R1321" s="8"/>
      <c r="S1321" s="8"/>
    </row>
    <row r="1322" customFormat="1" customHeight="1" spans="1:19">
      <c r="A1322" s="8"/>
      <c r="B1322" s="9"/>
      <c r="C1322" s="10"/>
      <c r="D1322" s="10"/>
      <c r="E1322" s="11"/>
      <c r="F1322" s="12"/>
      <c r="G1322" s="13"/>
      <c r="H1322" s="8"/>
      <c r="I1322" s="14"/>
      <c r="J1322" s="15"/>
      <c r="K1322" s="16"/>
      <c r="L1322" s="8"/>
      <c r="M1322" s="15"/>
      <c r="N1322" s="8"/>
      <c r="O1322" s="8"/>
      <c r="P1322" s="17"/>
      <c r="Q1322" s="18"/>
      <c r="R1322" s="8"/>
      <c r="S1322" s="8"/>
    </row>
    <row r="1323" customFormat="1" customHeight="1" spans="1:19">
      <c r="A1323" s="8"/>
      <c r="B1323" s="9"/>
      <c r="C1323" s="10"/>
      <c r="D1323" s="10"/>
      <c r="E1323" s="11"/>
      <c r="F1323" s="12"/>
      <c r="G1323" s="13"/>
      <c r="H1323" s="8"/>
      <c r="I1323" s="14"/>
      <c r="J1323" s="15"/>
      <c r="K1323" s="16"/>
      <c r="L1323" s="8"/>
      <c r="M1323" s="15"/>
      <c r="N1323" s="8"/>
      <c r="O1323" s="8"/>
      <c r="P1323" s="17"/>
      <c r="Q1323" s="18"/>
      <c r="R1323" s="8"/>
      <c r="S1323" s="8"/>
    </row>
    <row r="1324" customFormat="1" customHeight="1" spans="1:19">
      <c r="A1324" s="8"/>
      <c r="B1324" s="9"/>
      <c r="C1324" s="10"/>
      <c r="D1324" s="10"/>
      <c r="E1324" s="11"/>
      <c r="F1324" s="12"/>
      <c r="G1324" s="13"/>
      <c r="H1324" s="8"/>
      <c r="I1324" s="14"/>
      <c r="J1324" s="15"/>
      <c r="K1324" s="16"/>
      <c r="L1324" s="8"/>
      <c r="M1324" s="15"/>
      <c r="N1324" s="8"/>
      <c r="O1324" s="8"/>
      <c r="P1324" s="17"/>
      <c r="Q1324" s="18"/>
      <c r="R1324" s="8"/>
      <c r="S1324" s="8"/>
    </row>
    <row r="1325" customFormat="1" customHeight="1" spans="1:19">
      <c r="A1325" s="8"/>
      <c r="B1325" s="9"/>
      <c r="C1325" s="10"/>
      <c r="D1325" s="10"/>
      <c r="E1325" s="11"/>
      <c r="F1325" s="12"/>
      <c r="G1325" s="13"/>
      <c r="H1325" s="8"/>
      <c r="I1325" s="14"/>
      <c r="J1325" s="15"/>
      <c r="K1325" s="16"/>
      <c r="L1325" s="8"/>
      <c r="M1325" s="15"/>
      <c r="N1325" s="8"/>
      <c r="O1325" s="8"/>
      <c r="P1325" s="17"/>
      <c r="Q1325" s="18"/>
      <c r="R1325" s="8"/>
      <c r="S1325" s="8"/>
    </row>
    <row r="1326" customFormat="1" customHeight="1" spans="1:19">
      <c r="A1326" s="8"/>
      <c r="B1326" s="9"/>
      <c r="C1326" s="10"/>
      <c r="D1326" s="10"/>
      <c r="E1326" s="11"/>
      <c r="F1326" s="12"/>
      <c r="G1326" s="13"/>
      <c r="H1326" s="8"/>
      <c r="I1326" s="14"/>
      <c r="J1326" s="15"/>
      <c r="K1326" s="16"/>
      <c r="L1326" s="8"/>
      <c r="M1326" s="15"/>
      <c r="N1326" s="8"/>
      <c r="O1326" s="8"/>
      <c r="P1326" s="17"/>
      <c r="Q1326" s="18"/>
      <c r="R1326" s="8"/>
      <c r="S1326" s="8"/>
    </row>
    <row r="1327" customFormat="1" customHeight="1" spans="1:19">
      <c r="A1327" s="8"/>
      <c r="B1327" s="9"/>
      <c r="C1327" s="10"/>
      <c r="D1327" s="10"/>
      <c r="E1327" s="11"/>
      <c r="F1327" s="12"/>
      <c r="G1327" s="13"/>
      <c r="H1327" s="8"/>
      <c r="I1327" s="14"/>
      <c r="J1327" s="15"/>
      <c r="K1327" s="16"/>
      <c r="L1327" s="8"/>
      <c r="M1327" s="15"/>
      <c r="N1327" s="8"/>
      <c r="O1327" s="8"/>
      <c r="P1327" s="17"/>
      <c r="Q1327" s="18"/>
      <c r="R1327" s="8"/>
      <c r="S1327" s="8"/>
    </row>
    <row r="1328" customFormat="1" customHeight="1" spans="1:19">
      <c r="A1328" s="8"/>
      <c r="B1328" s="9"/>
      <c r="C1328" s="10"/>
      <c r="D1328" s="10"/>
      <c r="E1328" s="11"/>
      <c r="F1328" s="12"/>
      <c r="G1328" s="13"/>
      <c r="H1328" s="8"/>
      <c r="I1328" s="14"/>
      <c r="J1328" s="15"/>
      <c r="K1328" s="16"/>
      <c r="L1328" s="8"/>
      <c r="M1328" s="15"/>
      <c r="N1328" s="8"/>
      <c r="O1328" s="8"/>
      <c r="P1328" s="17"/>
      <c r="Q1328" s="18"/>
      <c r="R1328" s="8"/>
      <c r="S1328" s="8"/>
    </row>
    <row r="1329" customFormat="1" customHeight="1" spans="1:19">
      <c r="A1329" s="8"/>
      <c r="B1329" s="9"/>
      <c r="C1329" s="10"/>
      <c r="D1329" s="10"/>
      <c r="E1329" s="11"/>
      <c r="F1329" s="12"/>
      <c r="G1329" s="13"/>
      <c r="H1329" s="8"/>
      <c r="I1329" s="14"/>
      <c r="J1329" s="15"/>
      <c r="K1329" s="16"/>
      <c r="L1329" s="8"/>
      <c r="M1329" s="15"/>
      <c r="N1329" s="8"/>
      <c r="O1329" s="8"/>
      <c r="P1329" s="17"/>
      <c r="Q1329" s="18"/>
      <c r="R1329" s="8"/>
      <c r="S1329" s="8"/>
    </row>
    <row r="1330" customFormat="1" customHeight="1" spans="1:19">
      <c r="A1330" s="8"/>
      <c r="B1330" s="9"/>
      <c r="C1330" s="10"/>
      <c r="D1330" s="10"/>
      <c r="E1330" s="11"/>
      <c r="F1330" s="12"/>
      <c r="G1330" s="13"/>
      <c r="H1330" s="8"/>
      <c r="I1330" s="14"/>
      <c r="J1330" s="15"/>
      <c r="K1330" s="16"/>
      <c r="L1330" s="8"/>
      <c r="M1330" s="15"/>
      <c r="N1330" s="8"/>
      <c r="O1330" s="8"/>
      <c r="P1330" s="17"/>
      <c r="Q1330" s="18"/>
      <c r="R1330" s="8"/>
      <c r="S1330" s="8"/>
    </row>
    <row r="1331" customFormat="1" customHeight="1" spans="1:19">
      <c r="A1331" s="8"/>
      <c r="B1331" s="9"/>
      <c r="C1331" s="10"/>
      <c r="D1331" s="10"/>
      <c r="E1331" s="11"/>
      <c r="F1331" s="12"/>
      <c r="G1331" s="13"/>
      <c r="H1331" s="8"/>
      <c r="I1331" s="14"/>
      <c r="J1331" s="15"/>
      <c r="K1331" s="16"/>
      <c r="L1331" s="8"/>
      <c r="M1331" s="15"/>
      <c r="N1331" s="8"/>
      <c r="O1331" s="8"/>
      <c r="P1331" s="17"/>
      <c r="Q1331" s="18"/>
      <c r="R1331" s="8"/>
      <c r="S1331" s="8"/>
    </row>
    <row r="1332" customFormat="1" customHeight="1" spans="1:19">
      <c r="A1332" s="8"/>
      <c r="B1332" s="9"/>
      <c r="C1332" s="10"/>
      <c r="D1332" s="10"/>
      <c r="E1332" s="11"/>
      <c r="F1332" s="12"/>
      <c r="G1332" s="13"/>
      <c r="H1332" s="8"/>
      <c r="I1332" s="14"/>
      <c r="J1332" s="15"/>
      <c r="K1332" s="16"/>
      <c r="L1332" s="8"/>
      <c r="M1332" s="15"/>
      <c r="N1332" s="8"/>
      <c r="O1332" s="8"/>
      <c r="P1332" s="17"/>
      <c r="Q1332" s="18"/>
      <c r="R1332" s="8"/>
      <c r="S1332" s="8"/>
    </row>
    <row r="1333" customFormat="1" customHeight="1" spans="1:19">
      <c r="A1333" s="8"/>
      <c r="B1333" s="9"/>
      <c r="C1333" s="10"/>
      <c r="D1333" s="10"/>
      <c r="E1333" s="11"/>
      <c r="F1333" s="12"/>
      <c r="G1333" s="13"/>
      <c r="H1333" s="8"/>
      <c r="I1333" s="14"/>
      <c r="J1333" s="15"/>
      <c r="K1333" s="16"/>
      <c r="L1333" s="8"/>
      <c r="M1333" s="15"/>
      <c r="N1333" s="8"/>
      <c r="O1333" s="8"/>
      <c r="P1333" s="17"/>
      <c r="Q1333" s="18"/>
      <c r="R1333" s="8"/>
      <c r="S1333" s="8"/>
    </row>
    <row r="1334" customFormat="1" customHeight="1" spans="1:19">
      <c r="A1334" s="8"/>
      <c r="B1334" s="9"/>
      <c r="C1334" s="10"/>
      <c r="D1334" s="10"/>
      <c r="E1334" s="11"/>
      <c r="F1334" s="12"/>
      <c r="G1334" s="13"/>
      <c r="H1334" s="8"/>
      <c r="I1334" s="14"/>
      <c r="J1334" s="15"/>
      <c r="K1334" s="16"/>
      <c r="L1334" s="8"/>
      <c r="M1334" s="15"/>
      <c r="N1334" s="8"/>
      <c r="O1334" s="8"/>
      <c r="P1334" s="17"/>
      <c r="Q1334" s="18"/>
      <c r="R1334" s="8"/>
      <c r="S1334" s="8"/>
    </row>
    <row r="1335" customFormat="1" customHeight="1" spans="1:19">
      <c r="A1335" s="8"/>
      <c r="B1335" s="9"/>
      <c r="C1335" s="10"/>
      <c r="D1335" s="10"/>
      <c r="E1335" s="11"/>
      <c r="F1335" s="12"/>
      <c r="G1335" s="13"/>
      <c r="H1335" s="8"/>
      <c r="I1335" s="14"/>
      <c r="J1335" s="15"/>
      <c r="K1335" s="16"/>
      <c r="L1335" s="8"/>
      <c r="M1335" s="15"/>
      <c r="N1335" s="8"/>
      <c r="O1335" s="8"/>
      <c r="P1335" s="17"/>
      <c r="Q1335" s="18"/>
      <c r="R1335" s="8"/>
      <c r="S1335" s="8"/>
    </row>
    <row r="1336" customFormat="1" customHeight="1" spans="1:19">
      <c r="A1336" s="8"/>
      <c r="B1336" s="9"/>
      <c r="C1336" s="10"/>
      <c r="D1336" s="10"/>
      <c r="E1336" s="11"/>
      <c r="F1336" s="12"/>
      <c r="G1336" s="13"/>
      <c r="H1336" s="8"/>
      <c r="I1336" s="14"/>
      <c r="J1336" s="15"/>
      <c r="K1336" s="16"/>
      <c r="L1336" s="8"/>
      <c r="M1336" s="15"/>
      <c r="N1336" s="8"/>
      <c r="O1336" s="8"/>
      <c r="P1336" s="17"/>
      <c r="Q1336" s="18"/>
      <c r="R1336" s="8"/>
      <c r="S1336" s="8"/>
    </row>
    <row r="1337" customFormat="1" customHeight="1" spans="1:19">
      <c r="A1337" s="8"/>
      <c r="B1337" s="9"/>
      <c r="C1337" s="10"/>
      <c r="D1337" s="10"/>
      <c r="E1337" s="11"/>
      <c r="F1337" s="12"/>
      <c r="G1337" s="13"/>
      <c r="H1337" s="8"/>
      <c r="I1337" s="14"/>
      <c r="J1337" s="15"/>
      <c r="K1337" s="16"/>
      <c r="L1337" s="8"/>
      <c r="M1337" s="15"/>
      <c r="N1337" s="8"/>
      <c r="O1337" s="8"/>
      <c r="P1337" s="17"/>
      <c r="Q1337" s="18"/>
      <c r="R1337" s="8"/>
      <c r="S1337" s="8"/>
    </row>
    <row r="1338" customFormat="1" customHeight="1" spans="1:19">
      <c r="A1338" s="8"/>
      <c r="B1338" s="9"/>
      <c r="C1338" s="10"/>
      <c r="D1338" s="10"/>
      <c r="E1338" s="11"/>
      <c r="F1338" s="12"/>
      <c r="G1338" s="13"/>
      <c r="H1338" s="8"/>
      <c r="I1338" s="14"/>
      <c r="J1338" s="15"/>
      <c r="K1338" s="16"/>
      <c r="L1338" s="8"/>
      <c r="M1338" s="15"/>
      <c r="N1338" s="8"/>
      <c r="O1338" s="8"/>
      <c r="P1338" s="17"/>
      <c r="Q1338" s="18"/>
      <c r="R1338" s="8"/>
      <c r="S1338" s="8"/>
    </row>
    <row r="1339" customFormat="1" customHeight="1" spans="1:19">
      <c r="A1339" s="8"/>
      <c r="B1339" s="9"/>
      <c r="C1339" s="10"/>
      <c r="D1339" s="10"/>
      <c r="E1339" s="11"/>
      <c r="F1339" s="12"/>
      <c r="G1339" s="13"/>
      <c r="H1339" s="8"/>
      <c r="I1339" s="14"/>
      <c r="J1339" s="15"/>
      <c r="K1339" s="16"/>
      <c r="L1339" s="8"/>
      <c r="M1339" s="15"/>
      <c r="N1339" s="8"/>
      <c r="O1339" s="8"/>
      <c r="P1339" s="17"/>
      <c r="Q1339" s="18"/>
      <c r="R1339" s="8"/>
      <c r="S1339" s="8"/>
    </row>
    <row r="1340" customFormat="1" customHeight="1" spans="1:19">
      <c r="A1340" s="8"/>
      <c r="B1340" s="9"/>
      <c r="C1340" s="10"/>
      <c r="D1340" s="10"/>
      <c r="E1340" s="11"/>
      <c r="F1340" s="12"/>
      <c r="G1340" s="13"/>
      <c r="H1340" s="8"/>
      <c r="I1340" s="14"/>
      <c r="J1340" s="15"/>
      <c r="K1340" s="16"/>
      <c r="L1340" s="8"/>
      <c r="M1340" s="15"/>
      <c r="N1340" s="8"/>
      <c r="O1340" s="8"/>
      <c r="P1340" s="17"/>
      <c r="Q1340" s="18"/>
      <c r="R1340" s="8"/>
      <c r="S1340" s="8"/>
    </row>
    <row r="1341" customFormat="1" customHeight="1" spans="1:19">
      <c r="A1341" s="8"/>
      <c r="B1341" s="9"/>
      <c r="C1341" s="10"/>
      <c r="D1341" s="10"/>
      <c r="E1341" s="11"/>
      <c r="F1341" s="12"/>
      <c r="G1341" s="13"/>
      <c r="H1341" s="8"/>
      <c r="I1341" s="14"/>
      <c r="J1341" s="15"/>
      <c r="K1341" s="16"/>
      <c r="L1341" s="8"/>
      <c r="M1341" s="15"/>
      <c r="N1341" s="8"/>
      <c r="O1341" s="8"/>
      <c r="P1341" s="17"/>
      <c r="Q1341" s="18"/>
      <c r="R1341" s="8"/>
      <c r="S1341" s="8"/>
    </row>
    <row r="1342" customFormat="1" customHeight="1" spans="1:19">
      <c r="A1342" s="8"/>
      <c r="B1342" s="9"/>
      <c r="C1342" s="10"/>
      <c r="D1342" s="10"/>
      <c r="E1342" s="11"/>
      <c r="F1342" s="12"/>
      <c r="G1342" s="13"/>
      <c r="H1342" s="8"/>
      <c r="I1342" s="14"/>
      <c r="J1342" s="15"/>
      <c r="K1342" s="16"/>
      <c r="L1342" s="8"/>
      <c r="M1342" s="15"/>
      <c r="N1342" s="8"/>
      <c r="O1342" s="8"/>
      <c r="P1342" s="17"/>
      <c r="Q1342" s="18"/>
      <c r="R1342" s="8"/>
      <c r="S1342" s="8"/>
    </row>
    <row r="1343" customFormat="1" customHeight="1" spans="1:19">
      <c r="A1343" s="8"/>
      <c r="B1343" s="9"/>
      <c r="C1343" s="10"/>
      <c r="D1343" s="10"/>
      <c r="E1343" s="11"/>
      <c r="F1343" s="12"/>
      <c r="G1343" s="13"/>
      <c r="H1343" s="8"/>
      <c r="I1343" s="14"/>
      <c r="J1343" s="15"/>
      <c r="K1343" s="16"/>
      <c r="L1343" s="8"/>
      <c r="M1343" s="15"/>
      <c r="N1343" s="8"/>
      <c r="O1343" s="8"/>
      <c r="P1343" s="17"/>
      <c r="Q1343" s="18"/>
      <c r="R1343" s="8"/>
      <c r="S1343" s="8"/>
    </row>
    <row r="1344" customFormat="1" customHeight="1"/>
    <row r="1345" customFormat="1" customHeight="1"/>
    <row r="1346" customFormat="1" customHeight="1"/>
    <row r="1347" customFormat="1" customHeight="1"/>
    <row r="1348" customFormat="1" customHeight="1"/>
    <row r="1349" customFormat="1" customHeight="1"/>
    <row r="1350" customFormat="1" customHeight="1"/>
    <row r="1351" customFormat="1" customHeight="1"/>
    <row r="1352" customFormat="1" customHeight="1"/>
    <row r="1353" customFormat="1" customHeight="1"/>
    <row r="1354" customFormat="1" customHeight="1"/>
    <row r="1355" customFormat="1" customHeight="1"/>
    <row r="1356" customFormat="1" customHeight="1"/>
    <row r="1357" customFormat="1" customHeight="1"/>
    <row r="1358" customFormat="1" customHeight="1"/>
    <row r="1359" customFormat="1" customHeight="1"/>
    <row r="1360" customFormat="1" customHeight="1"/>
    <row r="1361" customFormat="1" customHeight="1"/>
    <row r="1362" customFormat="1" customHeight="1"/>
    <row r="1363" customFormat="1" customHeight="1"/>
    <row r="1364" customFormat="1" customHeight="1"/>
    <row r="1365" customFormat="1" customHeight="1"/>
    <row r="1366" customFormat="1" customHeight="1"/>
    <row r="1367" customFormat="1" customHeight="1"/>
    <row r="1368" customFormat="1" customHeight="1"/>
    <row r="1369" customFormat="1" customHeight="1"/>
    <row r="1370" customFormat="1" customHeight="1"/>
    <row r="1371" customFormat="1" customHeight="1"/>
    <row r="1372" customFormat="1" customHeight="1"/>
    <row r="1373" customFormat="1" customHeight="1"/>
    <row r="1374" customFormat="1" customHeight="1"/>
    <row r="1375" customFormat="1" customHeight="1"/>
    <row r="1376" customFormat="1" customHeight="1"/>
    <row r="1377" customFormat="1" customHeight="1"/>
    <row r="1378" customFormat="1" customHeight="1"/>
    <row r="1379" customFormat="1" customHeight="1"/>
    <row r="1380" customFormat="1" customHeight="1"/>
    <row r="1381" customFormat="1" customHeight="1"/>
    <row r="1382" customFormat="1" customHeight="1"/>
    <row r="1383" customFormat="1" customHeight="1"/>
    <row r="1384" customFormat="1" customHeight="1"/>
    <row r="1385" customFormat="1" customHeight="1"/>
    <row r="1386" customFormat="1" customHeight="1"/>
    <row r="1387" customFormat="1" customHeight="1"/>
    <row r="1388" customFormat="1" customHeight="1"/>
    <row r="1389" customFormat="1" customHeight="1"/>
    <row r="1390" customFormat="1" customHeight="1"/>
    <row r="1391" customFormat="1" customHeight="1"/>
    <row r="1392" customFormat="1" customHeight="1"/>
    <row r="1393" customFormat="1" customHeight="1"/>
    <row r="1394" customFormat="1" customHeight="1"/>
    <row r="1395" customFormat="1" customHeight="1"/>
    <row r="1396" customFormat="1" customHeight="1"/>
    <row r="1397" customFormat="1" customHeight="1"/>
    <row r="1398" customFormat="1" customHeight="1"/>
    <row r="1399" customFormat="1" customHeight="1"/>
    <row r="1400" customFormat="1" customHeight="1"/>
    <row r="1401" customFormat="1" customHeight="1"/>
    <row r="1402" customFormat="1" customHeight="1"/>
    <row r="1403" customFormat="1" customHeight="1"/>
    <row r="1404" customFormat="1" customHeight="1"/>
    <row r="1405" customFormat="1" customHeight="1"/>
    <row r="1406" customFormat="1" customHeight="1"/>
    <row r="1407" customFormat="1" customHeight="1"/>
    <row r="1408" customFormat="1" customHeight="1"/>
    <row r="1409" customFormat="1" customHeight="1"/>
    <row r="1410" customFormat="1" customHeight="1"/>
    <row r="1411" customFormat="1" customHeight="1"/>
    <row r="1412" customFormat="1" customHeight="1"/>
    <row r="1413" customFormat="1" customHeight="1"/>
    <row r="1414" customFormat="1" customHeight="1"/>
    <row r="1415" customFormat="1" customHeight="1"/>
    <row r="1416" customFormat="1" customHeight="1"/>
    <row r="1417" customFormat="1" customHeight="1"/>
    <row r="1418" customFormat="1" customHeight="1"/>
    <row r="1419" customFormat="1" customHeight="1"/>
    <row r="1420" customFormat="1" customHeight="1"/>
    <row r="1421" customFormat="1" customHeight="1"/>
    <row r="1422" customFormat="1" customHeight="1"/>
    <row r="1423" customFormat="1" customHeight="1"/>
    <row r="1424" customFormat="1" customHeight="1"/>
    <row r="1425" customFormat="1" customHeight="1"/>
    <row r="1426" customFormat="1" customHeight="1"/>
    <row r="1427" customFormat="1" customHeight="1"/>
    <row r="1428" customFormat="1" customHeight="1"/>
    <row r="1429" customFormat="1" customHeight="1"/>
    <row r="1430" customFormat="1" customHeight="1"/>
    <row r="1431" customFormat="1" customHeight="1"/>
    <row r="1432" customFormat="1" customHeight="1"/>
    <row r="1433" customFormat="1" customHeight="1"/>
    <row r="1434" customFormat="1" customHeight="1"/>
    <row r="1435" customFormat="1" customHeight="1"/>
    <row r="1436" customFormat="1" customHeight="1"/>
    <row r="1437" customFormat="1" customHeight="1"/>
    <row r="1438" customFormat="1" customHeight="1"/>
    <row r="1439" customFormat="1" customHeight="1"/>
    <row r="1440" customFormat="1" customHeight="1"/>
    <row r="1441" customFormat="1" customHeight="1"/>
    <row r="1442" customFormat="1" customHeight="1"/>
    <row r="1443" customFormat="1" customHeight="1"/>
    <row r="1444" customFormat="1" customHeight="1"/>
    <row r="1445" customFormat="1" customHeight="1"/>
    <row r="1446" customFormat="1" customHeight="1"/>
    <row r="1447" customFormat="1" customHeight="1"/>
    <row r="1448" customFormat="1" customHeight="1"/>
    <row r="1449" customFormat="1" customHeight="1"/>
    <row r="1450" customFormat="1" customHeight="1"/>
    <row r="1451" customFormat="1" customHeight="1"/>
    <row r="1452" customFormat="1" customHeight="1"/>
    <row r="1453" customFormat="1" customHeight="1"/>
    <row r="1454" customFormat="1" customHeight="1"/>
    <row r="1455" customFormat="1" customHeight="1"/>
    <row r="1456" customFormat="1" customHeight="1"/>
    <row r="1457" customFormat="1" customHeight="1"/>
    <row r="1458" customFormat="1" customHeight="1"/>
    <row r="1459" customFormat="1" customHeight="1"/>
    <row r="1460" customFormat="1" customHeight="1"/>
    <row r="1461" customFormat="1" customHeight="1"/>
    <row r="1462" customFormat="1" customHeight="1"/>
    <row r="1463" customFormat="1" customHeight="1"/>
    <row r="1464" customFormat="1" customHeight="1"/>
    <row r="1465" customFormat="1" customHeight="1"/>
    <row r="1466" customFormat="1" customHeight="1"/>
    <row r="1467" customFormat="1" customHeight="1"/>
    <row r="1468" customFormat="1" customHeight="1"/>
    <row r="1469" customFormat="1" customHeight="1"/>
    <row r="1470" customFormat="1" customHeight="1"/>
    <row r="1471" customFormat="1" customHeight="1"/>
    <row r="1472" customFormat="1" customHeight="1"/>
    <row r="1473" customFormat="1" customHeight="1"/>
    <row r="1474" customFormat="1" customHeight="1"/>
    <row r="1475" customFormat="1" customHeight="1"/>
    <row r="1476" customFormat="1" customHeight="1"/>
    <row r="1477" customFormat="1" customHeight="1"/>
    <row r="1478" customFormat="1" customHeight="1"/>
    <row r="1479" customFormat="1" customHeight="1"/>
    <row r="1480" customFormat="1" customHeight="1"/>
    <row r="1481" customFormat="1" customHeight="1"/>
    <row r="1482" customFormat="1" customHeight="1"/>
    <row r="1483" customFormat="1" customHeight="1"/>
    <row r="1484" customFormat="1" customHeight="1"/>
    <row r="1485" customFormat="1" customHeight="1"/>
    <row r="1486" customFormat="1" customHeight="1"/>
    <row r="1487" customFormat="1" customHeight="1"/>
    <row r="1488" customFormat="1" customHeight="1"/>
    <row r="1489" customFormat="1" customHeight="1"/>
    <row r="1490" customFormat="1" customHeight="1"/>
    <row r="1491" customFormat="1" customHeight="1"/>
    <row r="1492" customFormat="1" customHeight="1"/>
    <row r="1493" customFormat="1" customHeight="1"/>
    <row r="1494" customFormat="1" customHeight="1"/>
    <row r="1495" customFormat="1" customHeight="1"/>
    <row r="1496" customFormat="1" customHeight="1"/>
    <row r="1497" customFormat="1" customHeight="1"/>
    <row r="1498" customFormat="1" customHeight="1"/>
    <row r="1499" customFormat="1" customHeight="1"/>
    <row r="1500" customFormat="1" customHeight="1"/>
    <row r="1501" customFormat="1" customHeight="1"/>
    <row r="1502" customFormat="1" customHeight="1"/>
    <row r="1503" customFormat="1" customHeight="1"/>
    <row r="1504" customFormat="1" customHeight="1"/>
    <row r="1505" customFormat="1" customHeight="1"/>
    <row r="1506" customFormat="1" customHeight="1"/>
    <row r="1507" customFormat="1" customHeight="1"/>
    <row r="1508" customFormat="1" customHeight="1"/>
    <row r="1509" customFormat="1" customHeight="1"/>
    <row r="1510" customFormat="1" customHeight="1"/>
    <row r="1511" customFormat="1" customHeight="1"/>
    <row r="1512" customFormat="1" customHeight="1"/>
    <row r="1513" customFormat="1" customHeight="1"/>
    <row r="1514" customFormat="1" customHeight="1"/>
    <row r="1515" customFormat="1" customHeight="1"/>
    <row r="1516" customFormat="1" customHeight="1"/>
    <row r="1517" customFormat="1" customHeight="1"/>
    <row r="1518" customFormat="1" customHeight="1"/>
    <row r="1519" customFormat="1" customHeight="1"/>
    <row r="1520" customFormat="1" customHeight="1"/>
    <row r="1521" customFormat="1" customHeight="1"/>
    <row r="1522" customFormat="1" customHeight="1"/>
    <row r="1523" customFormat="1" customHeight="1"/>
    <row r="1524" customFormat="1" customHeight="1"/>
    <row r="1525" customFormat="1" customHeight="1"/>
    <row r="1526" customFormat="1" customHeight="1"/>
    <row r="1527" customFormat="1" customHeight="1"/>
    <row r="1528" customFormat="1" customHeight="1"/>
    <row r="1529" customFormat="1" customHeight="1"/>
    <row r="1530" customFormat="1" customHeight="1"/>
    <row r="1531" customFormat="1" customHeight="1"/>
    <row r="1532" customFormat="1" customHeight="1"/>
    <row r="1533" customFormat="1" customHeight="1"/>
    <row r="1534" customFormat="1" customHeight="1"/>
    <row r="1535" customFormat="1" customHeight="1"/>
    <row r="1536" customFormat="1" customHeight="1"/>
    <row r="1537" customFormat="1" customHeight="1"/>
    <row r="1538" customFormat="1" customHeight="1"/>
    <row r="1539" customFormat="1" customHeight="1"/>
    <row r="1540" customFormat="1" customHeight="1"/>
    <row r="1541" customFormat="1" customHeight="1"/>
    <row r="1542" customFormat="1" customHeight="1"/>
    <row r="1543" customFormat="1" customHeight="1"/>
    <row r="1544" customFormat="1" customHeight="1"/>
    <row r="1545" customFormat="1" customHeight="1"/>
    <row r="1546" customFormat="1" customHeight="1"/>
    <row r="1547" customFormat="1" customHeight="1"/>
    <row r="1548" customFormat="1" customHeight="1"/>
    <row r="1549" customFormat="1" customHeight="1"/>
    <row r="1550" customFormat="1" customHeight="1"/>
    <row r="1551" customFormat="1" customHeight="1"/>
    <row r="1552" customFormat="1" customHeight="1"/>
    <row r="1553" customFormat="1" customHeight="1"/>
    <row r="1554" customFormat="1" customHeight="1"/>
    <row r="1555" customFormat="1" customHeight="1"/>
    <row r="1556" customFormat="1" customHeight="1"/>
    <row r="1557" customFormat="1" customHeight="1"/>
    <row r="1558" customFormat="1" customHeight="1"/>
    <row r="1559" customFormat="1" customHeight="1"/>
    <row r="1560" customFormat="1" customHeight="1"/>
    <row r="1561" customFormat="1" customHeight="1"/>
    <row r="1562" customFormat="1" customHeight="1"/>
    <row r="1563" customFormat="1" customHeight="1"/>
    <row r="1564" customFormat="1" customHeight="1"/>
    <row r="1565" customFormat="1" customHeight="1"/>
    <row r="1566" customFormat="1" customHeight="1"/>
    <row r="1567" customFormat="1" customHeight="1"/>
    <row r="1568" customFormat="1" customHeight="1"/>
    <row r="1569" customFormat="1" customHeight="1"/>
    <row r="1570" customFormat="1" customHeight="1"/>
    <row r="1571" customFormat="1" customHeight="1"/>
    <row r="1572" customFormat="1" customHeight="1"/>
    <row r="1573" customFormat="1" customHeight="1"/>
    <row r="1574" customFormat="1" customHeight="1"/>
    <row r="1575" customFormat="1" customHeight="1"/>
    <row r="1576" customFormat="1" customHeight="1"/>
    <row r="1577" customFormat="1" customHeight="1"/>
    <row r="1578" customFormat="1" customHeight="1"/>
    <row r="1579" customFormat="1" customHeight="1"/>
    <row r="1580" customFormat="1" customHeight="1"/>
    <row r="1581" customFormat="1" customHeight="1"/>
    <row r="1582" customFormat="1" customHeight="1"/>
    <row r="1583" customFormat="1" customHeight="1"/>
    <row r="1584" customFormat="1" customHeight="1"/>
    <row r="1585" customFormat="1" customHeight="1"/>
    <row r="1586" customFormat="1" customHeight="1"/>
    <row r="1587" customFormat="1" customHeight="1"/>
    <row r="1588" customFormat="1" customHeight="1"/>
    <row r="1589" customFormat="1" customHeight="1"/>
    <row r="1590" customFormat="1" customHeight="1"/>
    <row r="1591" customFormat="1" customHeight="1"/>
    <row r="1592" customFormat="1" customHeight="1"/>
    <row r="1593" customFormat="1" customHeight="1"/>
    <row r="1594" customFormat="1" customHeight="1"/>
    <row r="1595" customFormat="1" customHeight="1"/>
    <row r="1596" customFormat="1" customHeight="1"/>
    <row r="1597" customFormat="1" customHeight="1"/>
    <row r="1598" customFormat="1" customHeight="1"/>
    <row r="1599" customFormat="1" customHeight="1"/>
    <row r="1600" customFormat="1" customHeight="1"/>
    <row r="1601" customFormat="1" customHeight="1"/>
    <row r="1602" customFormat="1" customHeight="1"/>
    <row r="1603" customFormat="1" customHeight="1"/>
    <row r="1604" customFormat="1" customHeight="1"/>
    <row r="1605" customFormat="1" customHeight="1"/>
    <row r="1606" customFormat="1" customHeight="1"/>
    <row r="1607" customFormat="1" customHeight="1"/>
    <row r="1608" customFormat="1" customHeight="1"/>
    <row r="1609" customFormat="1" customHeight="1"/>
    <row r="1610" customFormat="1" customHeight="1"/>
    <row r="1611" customFormat="1" customHeight="1"/>
    <row r="1612" customFormat="1" customHeight="1"/>
    <row r="1613" customFormat="1" customHeight="1"/>
    <row r="1614" customFormat="1" customHeight="1"/>
    <row r="1615" customFormat="1" customHeight="1"/>
    <row r="1616" customFormat="1" customHeight="1"/>
    <row r="1617" customFormat="1" customHeight="1"/>
    <row r="1618" customFormat="1" customHeight="1"/>
    <row r="1619" customFormat="1" customHeight="1"/>
    <row r="1620" customFormat="1" customHeight="1"/>
    <row r="1621" customFormat="1" customHeight="1"/>
    <row r="1622" customFormat="1" customHeight="1"/>
    <row r="1623" customFormat="1" customHeight="1"/>
    <row r="1624" customFormat="1" customHeight="1"/>
    <row r="1625" customFormat="1" customHeight="1"/>
    <row r="1626" customFormat="1" customHeight="1"/>
    <row r="1627" customFormat="1" customHeight="1"/>
    <row r="1628" customFormat="1" customHeight="1"/>
    <row r="1629" customFormat="1" customHeight="1"/>
    <row r="1630" customFormat="1" customHeight="1"/>
    <row r="1631" customFormat="1" customHeight="1"/>
    <row r="1632" customFormat="1" customHeight="1"/>
    <row r="1633" customFormat="1" customHeight="1"/>
    <row r="1634" customFormat="1" customHeight="1"/>
    <row r="1635" customFormat="1" customHeight="1"/>
    <row r="1636" customFormat="1" customHeight="1"/>
    <row r="1637" customFormat="1" customHeight="1"/>
    <row r="1638" customFormat="1" customHeight="1"/>
    <row r="1639" customFormat="1" customHeight="1"/>
    <row r="1640" customFormat="1" customHeight="1"/>
    <row r="1641" customFormat="1" customHeight="1"/>
    <row r="1642" customFormat="1" customHeight="1"/>
    <row r="1643" customFormat="1" customHeight="1"/>
    <row r="1644" customFormat="1" customHeight="1"/>
    <row r="1645" customFormat="1" customHeight="1"/>
    <row r="1646" customFormat="1" customHeight="1"/>
    <row r="1647" customFormat="1" customHeight="1"/>
    <row r="1648" customFormat="1" customHeight="1"/>
    <row r="1649" customFormat="1" customHeight="1"/>
    <row r="1650" customFormat="1" customHeight="1"/>
    <row r="1651" customFormat="1" customHeight="1"/>
    <row r="1652" customFormat="1" customHeight="1"/>
    <row r="1653" customFormat="1" customHeight="1"/>
    <row r="1654" customFormat="1" customHeight="1"/>
    <row r="1655" customFormat="1" customHeight="1"/>
    <row r="1656" customFormat="1" customHeight="1"/>
    <row r="1657" customFormat="1" customHeight="1"/>
    <row r="1658" customFormat="1" customHeight="1"/>
    <row r="1659" customFormat="1" customHeight="1"/>
    <row r="1660" customFormat="1" customHeight="1"/>
    <row r="1661" customFormat="1" customHeight="1"/>
    <row r="1662" customFormat="1" customHeight="1"/>
    <row r="1663" customFormat="1" customHeight="1"/>
    <row r="1664" customFormat="1" customHeight="1"/>
    <row r="1665" customFormat="1" customHeight="1"/>
    <row r="1666" customFormat="1" customHeight="1"/>
    <row r="1667" customFormat="1" customHeight="1"/>
    <row r="1668" customFormat="1" customHeight="1"/>
    <row r="1669" customFormat="1" customHeight="1"/>
    <row r="1670" customFormat="1" customHeight="1"/>
    <row r="1671" customFormat="1" customHeight="1"/>
    <row r="1672" customFormat="1" customHeight="1"/>
    <row r="1673" customFormat="1" customHeight="1"/>
    <row r="1674" customFormat="1" customHeight="1"/>
    <row r="1675" customFormat="1" customHeight="1"/>
    <row r="1676" customFormat="1" customHeight="1"/>
    <row r="1677" customFormat="1" customHeight="1"/>
    <row r="1678" customFormat="1" customHeight="1"/>
    <row r="1679" customFormat="1" customHeight="1"/>
    <row r="1680" customFormat="1" customHeight="1"/>
    <row r="1681" customFormat="1" customHeight="1"/>
    <row r="1682" customFormat="1" customHeight="1"/>
    <row r="1683" customFormat="1" customHeight="1"/>
    <row r="1684" customFormat="1" customHeight="1"/>
    <row r="1685" customFormat="1" customHeight="1"/>
    <row r="1686" customFormat="1" customHeight="1"/>
    <row r="1687" customFormat="1" customHeight="1"/>
    <row r="1688" customFormat="1" customHeight="1"/>
    <row r="1689" customFormat="1" customHeight="1"/>
    <row r="1690" customFormat="1" customHeight="1"/>
    <row r="1691" customFormat="1" customHeight="1"/>
    <row r="1692" customFormat="1" customHeight="1"/>
    <row r="1693" customFormat="1" customHeight="1"/>
    <row r="1694" customFormat="1" customHeight="1"/>
    <row r="1695" customFormat="1" customHeight="1"/>
    <row r="1696" customFormat="1" customHeight="1"/>
    <row r="1697" customFormat="1" customHeight="1"/>
    <row r="1698" customFormat="1" customHeight="1"/>
    <row r="1699" customFormat="1" customHeight="1"/>
    <row r="1700" customFormat="1" customHeight="1"/>
    <row r="1701" customFormat="1" customHeight="1"/>
    <row r="1702" customFormat="1" customHeight="1"/>
    <row r="1703" customFormat="1" customHeight="1"/>
    <row r="1704" customFormat="1" customHeight="1"/>
    <row r="1705" customFormat="1" customHeight="1"/>
    <row r="1706" customFormat="1" customHeight="1"/>
    <row r="1707" customFormat="1" customHeight="1"/>
    <row r="1708" customFormat="1" customHeight="1"/>
    <row r="1709" customFormat="1" customHeight="1"/>
    <row r="1710" customFormat="1" customHeight="1"/>
    <row r="1711" customFormat="1" customHeight="1"/>
    <row r="1712" customFormat="1" customHeight="1"/>
    <row r="1713" customFormat="1" customHeight="1"/>
    <row r="1714" customFormat="1" customHeight="1"/>
    <row r="1715" customFormat="1" customHeight="1"/>
    <row r="1716" customFormat="1" customHeight="1"/>
    <row r="1717" customFormat="1" customHeight="1"/>
    <row r="1718" customFormat="1" customHeight="1"/>
    <row r="1719" customFormat="1" customHeight="1"/>
    <row r="1720" customFormat="1" customHeight="1"/>
    <row r="1721" customFormat="1" customHeight="1"/>
    <row r="1722" customFormat="1" customHeight="1"/>
    <row r="1723" customFormat="1" customHeight="1"/>
    <row r="1724" customFormat="1" customHeight="1"/>
    <row r="1725" customFormat="1" customHeight="1"/>
    <row r="1726" customFormat="1" customHeight="1"/>
    <row r="1727" customFormat="1" customHeight="1"/>
    <row r="1728" customFormat="1" customHeight="1"/>
    <row r="1729" customFormat="1" customHeight="1"/>
    <row r="1730" customFormat="1" customHeight="1"/>
    <row r="1731" customFormat="1" customHeight="1"/>
    <row r="1732" customFormat="1" customHeight="1"/>
    <row r="1733" customFormat="1" customHeight="1"/>
    <row r="1734" customFormat="1" customHeight="1"/>
    <row r="1735" customFormat="1" customHeight="1"/>
    <row r="1736" customFormat="1" customHeight="1"/>
    <row r="1737" customFormat="1" customHeight="1"/>
    <row r="1738" customFormat="1" customHeight="1"/>
    <row r="1739" customFormat="1" customHeight="1"/>
    <row r="1740" customFormat="1" customHeight="1"/>
    <row r="1741" customFormat="1" customHeight="1"/>
    <row r="1742" customFormat="1" customHeight="1"/>
    <row r="1743" customFormat="1" customHeight="1"/>
    <row r="1744" customFormat="1" customHeight="1"/>
    <row r="1745" customFormat="1" customHeight="1"/>
    <row r="1746" customFormat="1" customHeight="1"/>
    <row r="1747" customFormat="1" customHeight="1"/>
    <row r="1748" customFormat="1" customHeight="1"/>
    <row r="1749" customFormat="1" customHeight="1"/>
    <row r="1750" customFormat="1" customHeight="1"/>
    <row r="1751" customFormat="1" customHeight="1"/>
    <row r="1752" customFormat="1" customHeight="1"/>
    <row r="1753" customFormat="1" customHeight="1"/>
    <row r="1754" customFormat="1" customHeight="1"/>
    <row r="1755" customFormat="1" customHeight="1"/>
    <row r="1756" customFormat="1" customHeight="1"/>
    <row r="1757" customFormat="1" customHeight="1"/>
    <row r="1758" customFormat="1" customHeight="1"/>
    <row r="1759" customFormat="1" customHeight="1"/>
    <row r="1760" customFormat="1" customHeight="1"/>
    <row r="1761" customFormat="1" customHeight="1"/>
    <row r="1762" customFormat="1" customHeight="1"/>
    <row r="1763" customFormat="1" customHeight="1"/>
    <row r="1764" customFormat="1" customHeight="1"/>
    <row r="1765" customFormat="1" customHeight="1"/>
    <row r="1766" customFormat="1" customHeight="1"/>
    <row r="1767" customFormat="1" customHeight="1"/>
    <row r="1768" customFormat="1" customHeight="1"/>
    <row r="1769" customFormat="1" customHeight="1"/>
    <row r="1770" customFormat="1" customHeight="1"/>
    <row r="1771" customFormat="1" customHeight="1"/>
    <row r="1772" customFormat="1" customHeight="1"/>
    <row r="1773" customFormat="1" customHeight="1"/>
    <row r="1774" customFormat="1" customHeight="1"/>
    <row r="1775" customFormat="1" customHeight="1"/>
    <row r="1776" customFormat="1" customHeight="1"/>
    <row r="1777" customFormat="1" customHeight="1"/>
    <row r="1778" customFormat="1" customHeight="1"/>
    <row r="1779" customFormat="1" customHeight="1"/>
    <row r="1780" customFormat="1" customHeight="1"/>
    <row r="1781" customFormat="1" customHeight="1"/>
    <row r="1782" customFormat="1" customHeight="1"/>
    <row r="1783" customFormat="1" customHeight="1"/>
    <row r="1784" customFormat="1" customHeight="1"/>
    <row r="1785" customFormat="1" customHeight="1"/>
    <row r="1786" customFormat="1" customHeight="1"/>
    <row r="1787" customFormat="1" customHeight="1"/>
    <row r="1788" customFormat="1" customHeight="1"/>
    <row r="1789" customFormat="1" customHeight="1"/>
    <row r="1790" customFormat="1" customHeight="1"/>
    <row r="1791" customFormat="1" customHeight="1"/>
    <row r="1792" customFormat="1" customHeight="1"/>
    <row r="1793" customFormat="1" customHeight="1"/>
    <row r="1794" customFormat="1" customHeight="1"/>
    <row r="1795" customFormat="1" customHeight="1"/>
    <row r="1796" customFormat="1" customHeight="1"/>
    <row r="1797" customFormat="1" customHeight="1"/>
    <row r="1798" customFormat="1" customHeight="1"/>
    <row r="1799" customFormat="1" customHeight="1"/>
    <row r="1800" customFormat="1" customHeight="1"/>
    <row r="1801" customFormat="1" customHeight="1"/>
    <row r="1802" customFormat="1" customHeight="1"/>
    <row r="1803" customFormat="1" customHeight="1"/>
    <row r="1804" customFormat="1" customHeight="1"/>
    <row r="1805" customFormat="1" customHeight="1"/>
    <row r="1806" customFormat="1" customHeight="1"/>
    <row r="1807" customFormat="1" customHeight="1"/>
    <row r="1808" customFormat="1" customHeight="1"/>
    <row r="1809" customFormat="1" customHeight="1"/>
    <row r="1810" customFormat="1" customHeight="1"/>
    <row r="1811" customFormat="1" customHeight="1"/>
    <row r="1812" customFormat="1" customHeight="1"/>
    <row r="1813" customFormat="1" customHeight="1"/>
    <row r="1814" customFormat="1" customHeight="1"/>
    <row r="1815" customFormat="1" customHeight="1"/>
    <row r="1816" customFormat="1" customHeight="1"/>
    <row r="1817" customFormat="1" customHeight="1"/>
    <row r="1818" customFormat="1" customHeight="1"/>
    <row r="1819" customFormat="1" customHeight="1"/>
    <row r="1820" customFormat="1" customHeight="1"/>
    <row r="1821" customFormat="1" customHeight="1"/>
    <row r="1822" customFormat="1" customHeight="1"/>
    <row r="1823" customFormat="1" customHeight="1"/>
    <row r="1824" customFormat="1" customHeight="1"/>
    <row r="1825" customFormat="1" customHeight="1"/>
    <row r="1826" customFormat="1" customHeight="1"/>
    <row r="1827" customFormat="1" customHeight="1"/>
    <row r="1828" customFormat="1" customHeight="1"/>
    <row r="1829" customFormat="1" customHeight="1"/>
    <row r="1830" customFormat="1" customHeight="1"/>
    <row r="1831" customFormat="1" customHeight="1"/>
    <row r="1832" customFormat="1" customHeight="1"/>
    <row r="1833" customFormat="1" customHeight="1"/>
    <row r="1834" customFormat="1" customHeight="1"/>
    <row r="1835" customFormat="1" customHeight="1"/>
    <row r="1836" customFormat="1" customHeight="1"/>
    <row r="1837" customFormat="1" customHeight="1"/>
    <row r="1838" customFormat="1" customHeight="1"/>
    <row r="1839" customFormat="1" customHeight="1"/>
    <row r="1840" customFormat="1" customHeight="1"/>
    <row r="1841" customFormat="1" customHeight="1"/>
    <row r="1842" customFormat="1" customHeight="1"/>
    <row r="1843" customFormat="1" customHeight="1"/>
    <row r="1844" customFormat="1" customHeight="1"/>
    <row r="1845" customFormat="1" customHeight="1"/>
    <row r="1846" customFormat="1" customHeight="1"/>
    <row r="1847" customFormat="1" customHeight="1"/>
    <row r="1848" customFormat="1" customHeight="1"/>
    <row r="1849" customFormat="1" customHeight="1"/>
    <row r="1850" customFormat="1" customHeight="1"/>
    <row r="1851" customFormat="1" customHeight="1"/>
    <row r="1852" customFormat="1" customHeight="1"/>
    <row r="1853" customFormat="1" customHeight="1"/>
    <row r="1854" customFormat="1" customHeight="1"/>
    <row r="1855" customFormat="1" customHeight="1"/>
    <row r="1856" customFormat="1" customHeight="1"/>
    <row r="1857" customFormat="1" customHeight="1"/>
    <row r="1858" customFormat="1" customHeight="1"/>
    <row r="1859" customFormat="1" customHeight="1"/>
    <row r="1860" customFormat="1" customHeight="1"/>
    <row r="1861" customFormat="1" customHeight="1"/>
    <row r="1862" customFormat="1" customHeight="1"/>
    <row r="1863" customFormat="1" customHeight="1"/>
    <row r="1864" customFormat="1" customHeight="1"/>
    <row r="1865" customFormat="1" customHeight="1"/>
    <row r="1866" customFormat="1" customHeight="1"/>
    <row r="1867" customFormat="1" customHeight="1"/>
    <row r="1868" customFormat="1" customHeight="1"/>
    <row r="1869" customFormat="1" customHeight="1"/>
    <row r="1870" customFormat="1" customHeight="1"/>
    <row r="1871" customFormat="1" customHeight="1"/>
    <row r="1872" customFormat="1" customHeight="1"/>
    <row r="1873" customFormat="1" customHeight="1"/>
    <row r="1874" customFormat="1" customHeight="1"/>
    <row r="1875" customFormat="1" customHeight="1"/>
    <row r="1876" customFormat="1" customHeight="1"/>
    <row r="1877" customFormat="1" customHeight="1"/>
    <row r="1878" customFormat="1" customHeight="1"/>
    <row r="1879" customFormat="1" customHeight="1"/>
    <row r="1880" customFormat="1" customHeight="1"/>
    <row r="1881" customFormat="1" customHeight="1"/>
    <row r="1882" customFormat="1" customHeight="1"/>
    <row r="1883" customFormat="1" customHeight="1"/>
    <row r="1884" customFormat="1" customHeight="1"/>
    <row r="1885" customFormat="1" customHeight="1"/>
    <row r="1886" customFormat="1" customHeight="1"/>
    <row r="1887" customFormat="1" customHeight="1"/>
    <row r="1888" customFormat="1" customHeight="1"/>
    <row r="1889" customFormat="1" customHeight="1"/>
    <row r="1890" customFormat="1" customHeight="1"/>
    <row r="1891" customFormat="1" customHeight="1"/>
    <row r="1892" customFormat="1" customHeight="1"/>
    <row r="1893" customFormat="1" customHeight="1"/>
    <row r="1894" customFormat="1" customHeight="1"/>
    <row r="1895" customFormat="1" customHeight="1"/>
    <row r="1896" customFormat="1" customHeight="1"/>
    <row r="1897" customFormat="1" customHeight="1"/>
    <row r="1898" customFormat="1" customHeight="1"/>
    <row r="1899" customFormat="1" customHeight="1"/>
    <row r="1900" customFormat="1" customHeight="1"/>
    <row r="1901" customFormat="1" customHeight="1"/>
    <row r="1902" customFormat="1" customHeight="1"/>
    <row r="1903" customFormat="1" customHeight="1"/>
    <row r="1904" customFormat="1" customHeight="1"/>
    <row r="1905" customFormat="1" customHeight="1"/>
    <row r="1906" customFormat="1" customHeight="1"/>
    <row r="1907" customFormat="1" customHeight="1"/>
    <row r="1908" customFormat="1" customHeight="1"/>
    <row r="1909" customFormat="1" customHeight="1"/>
    <row r="1910" customFormat="1" customHeight="1"/>
    <row r="1911" customFormat="1" customHeight="1"/>
    <row r="1912" customFormat="1" customHeight="1"/>
    <row r="1913" customFormat="1" customHeight="1"/>
    <row r="1914" customFormat="1" customHeight="1"/>
    <row r="1915" customFormat="1" customHeight="1"/>
    <row r="1916" customFormat="1" customHeight="1"/>
    <row r="1917" customFormat="1" customHeight="1"/>
    <row r="1918" customFormat="1" customHeight="1"/>
    <row r="1919" customFormat="1" customHeight="1"/>
    <row r="1920" customFormat="1" customHeight="1"/>
    <row r="1921" customFormat="1" customHeight="1"/>
    <row r="1922" customFormat="1" customHeight="1"/>
    <row r="1923" customFormat="1" customHeight="1"/>
    <row r="1924" customFormat="1" customHeight="1"/>
    <row r="1925" customFormat="1" customHeight="1"/>
    <row r="1926" customFormat="1" customHeight="1"/>
    <row r="1927" customFormat="1" customHeight="1"/>
    <row r="1928" customFormat="1" customHeight="1"/>
    <row r="1929" customFormat="1" customHeight="1"/>
    <row r="1930" customFormat="1" customHeight="1"/>
    <row r="1931" customFormat="1" customHeight="1"/>
    <row r="1932" customFormat="1" customHeight="1"/>
    <row r="1933" customFormat="1" customHeight="1"/>
    <row r="1934" customFormat="1" customHeight="1"/>
    <row r="1935" customFormat="1" customHeight="1"/>
    <row r="1936" customFormat="1" customHeight="1"/>
    <row r="1937" customFormat="1" customHeight="1"/>
    <row r="1938" customFormat="1" customHeight="1"/>
    <row r="1939" customFormat="1" customHeight="1"/>
    <row r="1940" customFormat="1" customHeight="1"/>
    <row r="1941" customFormat="1" customHeight="1"/>
    <row r="1942" customFormat="1" customHeight="1"/>
    <row r="1943" customFormat="1" customHeight="1"/>
    <row r="1944" customFormat="1" customHeight="1"/>
    <row r="1945" customFormat="1" customHeight="1"/>
    <row r="1946" customFormat="1" customHeight="1"/>
    <row r="1947" customFormat="1" customHeight="1"/>
    <row r="1948" customFormat="1" customHeight="1"/>
    <row r="1949" customFormat="1" customHeight="1"/>
    <row r="1950" customFormat="1" customHeight="1"/>
    <row r="1951" customFormat="1" customHeight="1"/>
    <row r="1952" customFormat="1" customHeight="1"/>
    <row r="1953" customFormat="1" customHeight="1"/>
    <row r="1954" customFormat="1" customHeight="1"/>
    <row r="1955" customFormat="1" customHeight="1"/>
    <row r="1956" customFormat="1" customHeight="1"/>
    <row r="1957" customFormat="1" customHeight="1"/>
    <row r="1958" customFormat="1" customHeight="1"/>
    <row r="1959" customFormat="1" customHeight="1"/>
    <row r="1960" customFormat="1" customHeight="1"/>
    <row r="1961" customFormat="1" customHeight="1"/>
    <row r="1962" customFormat="1" customHeight="1"/>
    <row r="1963" customFormat="1" customHeight="1"/>
    <row r="1964" customFormat="1" customHeight="1"/>
    <row r="1965" customFormat="1" customHeight="1"/>
    <row r="1966" customFormat="1" customHeight="1"/>
    <row r="1967" customFormat="1" customHeight="1"/>
    <row r="1968" customFormat="1" customHeight="1"/>
    <row r="1969" customFormat="1" customHeight="1"/>
    <row r="1970" customFormat="1" customHeight="1"/>
    <row r="1971" customFormat="1" customHeight="1"/>
    <row r="1972" customFormat="1" customHeight="1"/>
    <row r="1973" customFormat="1" customHeight="1"/>
    <row r="1974" customFormat="1" customHeight="1"/>
    <row r="1975" customFormat="1" customHeight="1"/>
    <row r="1976" customFormat="1" customHeight="1"/>
    <row r="1977" customFormat="1" customHeight="1"/>
    <row r="1978" customFormat="1" customHeight="1"/>
    <row r="1979" customFormat="1" customHeight="1"/>
    <row r="1980" customFormat="1" customHeight="1"/>
    <row r="1981" customFormat="1" customHeight="1"/>
    <row r="1982" customFormat="1" customHeight="1"/>
    <row r="1983" customFormat="1" customHeight="1"/>
    <row r="1984" customFormat="1" customHeight="1"/>
    <row r="1985" customFormat="1" customHeight="1"/>
    <row r="1986" customFormat="1" customHeight="1"/>
    <row r="1987" customFormat="1" customHeight="1"/>
    <row r="1988" customFormat="1" customHeight="1"/>
    <row r="1989" customFormat="1" customHeight="1"/>
    <row r="1990" customFormat="1" customHeight="1"/>
    <row r="1991" customFormat="1" customHeight="1"/>
    <row r="1992" customFormat="1" customHeight="1"/>
    <row r="1993" customFormat="1" customHeight="1"/>
    <row r="1994" customFormat="1" customHeight="1"/>
    <row r="1995" customFormat="1" customHeight="1"/>
    <row r="1996" customFormat="1" customHeight="1"/>
    <row r="1997" customFormat="1" customHeight="1"/>
    <row r="1998" customFormat="1" customHeight="1"/>
    <row r="1999" customFormat="1" customHeight="1"/>
    <row r="2000" customFormat="1" customHeight="1"/>
    <row r="2001" customFormat="1" customHeight="1"/>
    <row r="2002" customFormat="1" customHeight="1"/>
    <row r="2003" customFormat="1" customHeight="1"/>
    <row r="2004" customFormat="1" customHeight="1"/>
    <row r="2005" customFormat="1" customHeight="1"/>
    <row r="2006" customFormat="1" customHeight="1"/>
    <row r="2007" customFormat="1" customHeight="1"/>
    <row r="2008" customFormat="1" customHeight="1"/>
    <row r="2009" customFormat="1" customHeight="1"/>
    <row r="2010" customFormat="1" customHeight="1"/>
    <row r="2011" customFormat="1" customHeight="1"/>
    <row r="2012" customFormat="1" customHeight="1"/>
    <row r="2013" customFormat="1" customHeight="1"/>
    <row r="2014" customFormat="1" customHeight="1"/>
    <row r="2015" customFormat="1" customHeight="1"/>
    <row r="2016" customFormat="1" customHeight="1"/>
    <row r="2017" customFormat="1" customHeight="1"/>
    <row r="2018" customFormat="1" customHeight="1"/>
    <row r="2019" customFormat="1" customHeight="1"/>
    <row r="2020" customFormat="1" customHeight="1"/>
    <row r="2021" customFormat="1" customHeight="1"/>
    <row r="2022" customFormat="1" customHeight="1"/>
    <row r="2023" customFormat="1" customHeight="1"/>
    <row r="2024" customFormat="1" customHeight="1"/>
    <row r="2025" customFormat="1" customHeight="1"/>
    <row r="2026" customFormat="1" customHeight="1"/>
    <row r="2027" customFormat="1" customHeight="1"/>
    <row r="2028" customFormat="1" customHeight="1"/>
    <row r="2029" customFormat="1" customHeight="1"/>
    <row r="2030" customFormat="1" customHeight="1"/>
    <row r="2031" customFormat="1" customHeight="1"/>
    <row r="2032" customFormat="1" customHeight="1"/>
    <row r="2033" customFormat="1" customHeight="1"/>
    <row r="2034" customFormat="1" customHeight="1"/>
    <row r="2035" customFormat="1" customHeight="1"/>
    <row r="2036" customFormat="1" customHeight="1"/>
    <row r="2037" customFormat="1" customHeight="1"/>
    <row r="2038" customFormat="1" customHeight="1"/>
    <row r="2039" customFormat="1" customHeight="1"/>
    <row r="2040" customFormat="1" customHeight="1"/>
    <row r="2041" customFormat="1" customHeight="1"/>
    <row r="2042" customFormat="1" customHeight="1"/>
    <row r="2043" customFormat="1" customHeight="1"/>
    <row r="2044" customFormat="1" customHeight="1"/>
    <row r="2045" customFormat="1" customHeight="1"/>
    <row r="2046" customFormat="1" customHeight="1"/>
    <row r="2047" customFormat="1" customHeight="1"/>
    <row r="2048" customFormat="1" customHeight="1"/>
    <row r="2049" customFormat="1" customHeight="1"/>
    <row r="2050" customFormat="1" customHeight="1"/>
    <row r="2051" customFormat="1" customHeight="1"/>
    <row r="2052" customFormat="1" customHeight="1"/>
    <row r="2053" customFormat="1" customHeight="1"/>
    <row r="2054" customFormat="1" customHeight="1"/>
    <row r="2055" customFormat="1" customHeight="1"/>
    <row r="2056" customFormat="1" customHeight="1"/>
    <row r="2057" customFormat="1" customHeight="1"/>
    <row r="2058" customFormat="1" customHeight="1"/>
    <row r="2059" customFormat="1" customHeight="1"/>
    <row r="2060" customFormat="1" customHeight="1"/>
    <row r="2061" customFormat="1" customHeight="1"/>
    <row r="2062" customFormat="1" customHeight="1"/>
    <row r="2063" customFormat="1" customHeight="1"/>
    <row r="2064" customFormat="1" customHeight="1"/>
    <row r="2065" customFormat="1" customHeight="1"/>
    <row r="2066" customFormat="1" customHeight="1"/>
    <row r="2067" customFormat="1" customHeight="1"/>
    <row r="2068" customFormat="1" customHeight="1"/>
    <row r="2069" customFormat="1" customHeight="1"/>
    <row r="2070" customFormat="1" customHeight="1"/>
    <row r="2071" customFormat="1" customHeight="1"/>
    <row r="2072" customFormat="1" customHeight="1"/>
    <row r="2073" customFormat="1" customHeight="1"/>
    <row r="2074" customFormat="1" customHeight="1"/>
    <row r="2075" customFormat="1" customHeight="1"/>
    <row r="2076" customFormat="1" customHeight="1"/>
    <row r="2077" customFormat="1" customHeight="1"/>
    <row r="2078" customFormat="1" customHeight="1"/>
    <row r="2079" customFormat="1" customHeight="1"/>
    <row r="2080" customFormat="1" customHeight="1"/>
    <row r="2081" customFormat="1" customHeight="1"/>
    <row r="2082" customFormat="1" customHeight="1"/>
    <row r="2083" customFormat="1" customHeight="1"/>
    <row r="2084" customFormat="1" customHeight="1"/>
    <row r="2085" customFormat="1" customHeight="1"/>
    <row r="2086" customFormat="1" customHeight="1"/>
    <row r="2087" customFormat="1" customHeight="1"/>
    <row r="2088" customFormat="1" customHeight="1"/>
    <row r="2089" customFormat="1" customHeight="1"/>
    <row r="2090" customFormat="1" customHeight="1"/>
    <row r="2091" customFormat="1" customHeight="1"/>
    <row r="2092" customFormat="1" customHeight="1"/>
    <row r="2093" customFormat="1" customHeight="1"/>
    <row r="2094" customFormat="1" customHeight="1"/>
    <row r="2095" customFormat="1" customHeight="1"/>
    <row r="2096" customFormat="1" customHeight="1"/>
    <row r="2097" customFormat="1" customHeight="1"/>
    <row r="2098" customFormat="1" customHeight="1"/>
    <row r="2099" customFormat="1" customHeight="1"/>
    <row r="2100" customFormat="1" customHeight="1"/>
    <row r="2101" customFormat="1" customHeight="1"/>
    <row r="2102" customFormat="1" customHeight="1"/>
    <row r="2103" customFormat="1" customHeight="1"/>
    <row r="2104" customFormat="1" customHeight="1"/>
    <row r="2105" customFormat="1" customHeight="1"/>
    <row r="2106" customFormat="1" customHeight="1"/>
    <row r="2107" customFormat="1" customHeight="1"/>
    <row r="2108" customFormat="1" customHeight="1"/>
    <row r="2109" customFormat="1" customHeight="1"/>
    <row r="2110" customFormat="1" customHeight="1"/>
    <row r="2111" customFormat="1" customHeight="1"/>
    <row r="2112" customFormat="1" customHeight="1"/>
    <row r="2113" customFormat="1" customHeight="1"/>
    <row r="2114" customFormat="1" customHeight="1"/>
    <row r="2115" customFormat="1" customHeight="1"/>
    <row r="2116" customFormat="1" customHeight="1"/>
    <row r="2117" customFormat="1" customHeight="1"/>
    <row r="2118" customFormat="1" customHeight="1"/>
    <row r="2119" customFormat="1" customHeight="1"/>
    <row r="2120" customFormat="1" customHeight="1"/>
    <row r="2121" customFormat="1" customHeight="1"/>
    <row r="2122" customFormat="1" customHeight="1"/>
    <row r="2123" customFormat="1" customHeight="1"/>
    <row r="2124" customFormat="1" customHeight="1"/>
    <row r="2125" customFormat="1" customHeight="1"/>
    <row r="2126" customFormat="1" customHeight="1"/>
    <row r="2127" customFormat="1" customHeight="1"/>
    <row r="2128" customFormat="1" customHeight="1"/>
    <row r="2129" customFormat="1" customHeight="1"/>
    <row r="2130" customFormat="1" customHeight="1"/>
    <row r="2131" customFormat="1" customHeight="1"/>
    <row r="2132" customFormat="1" customHeight="1"/>
    <row r="2133" customFormat="1" customHeight="1"/>
    <row r="2134" customFormat="1" customHeight="1"/>
    <row r="2135" customFormat="1" customHeight="1"/>
    <row r="2136" customFormat="1" customHeight="1"/>
    <row r="2137" customFormat="1" customHeight="1"/>
    <row r="2138" customFormat="1" customHeight="1"/>
    <row r="2139" customFormat="1" customHeight="1"/>
    <row r="2140" customFormat="1" customHeight="1"/>
    <row r="2141" customFormat="1" customHeight="1"/>
    <row r="2142" customFormat="1" customHeight="1"/>
    <row r="2143" customFormat="1" customHeight="1"/>
    <row r="2144" customFormat="1" customHeight="1"/>
    <row r="2145" customFormat="1" customHeight="1"/>
    <row r="2146" customFormat="1" customHeight="1"/>
    <row r="2147" customFormat="1" customHeight="1"/>
    <row r="2148" customFormat="1" customHeight="1"/>
    <row r="2149" customFormat="1" customHeight="1"/>
    <row r="2150" customFormat="1" customHeight="1"/>
    <row r="2151" customFormat="1" customHeight="1"/>
    <row r="2152" customFormat="1" customHeight="1"/>
    <row r="2153" customFormat="1" customHeight="1"/>
    <row r="2154" customFormat="1" customHeight="1"/>
    <row r="2155" customFormat="1" customHeight="1"/>
    <row r="2156" customFormat="1" customHeight="1"/>
    <row r="2157" customFormat="1" customHeight="1"/>
    <row r="2158" customFormat="1" customHeight="1"/>
    <row r="2159" customFormat="1" customHeight="1"/>
    <row r="2160" customFormat="1" customHeight="1"/>
    <row r="2161" customFormat="1" customHeight="1"/>
    <row r="2162" customFormat="1" customHeight="1"/>
    <row r="2163" customFormat="1" customHeight="1"/>
    <row r="2164" customFormat="1" customHeight="1"/>
    <row r="2165" customFormat="1" customHeight="1"/>
    <row r="2166" customFormat="1" customHeight="1"/>
    <row r="2167" customFormat="1" customHeight="1"/>
    <row r="2168" customFormat="1" customHeight="1"/>
    <row r="2169" customFormat="1" customHeight="1"/>
    <row r="2170" customFormat="1" customHeight="1"/>
    <row r="2171" customFormat="1" customHeight="1"/>
    <row r="2172" customFormat="1" customHeight="1"/>
    <row r="2173" customFormat="1" customHeight="1"/>
    <row r="2174" customFormat="1" customHeight="1"/>
    <row r="2175" customFormat="1" customHeight="1"/>
    <row r="2176" customFormat="1" customHeight="1"/>
    <row r="2177" customFormat="1" customHeight="1"/>
    <row r="2178" customFormat="1" customHeight="1"/>
    <row r="2179" customFormat="1" customHeight="1"/>
    <row r="2180" customFormat="1" customHeight="1"/>
    <row r="2181" customFormat="1" customHeight="1"/>
    <row r="2182" customFormat="1" customHeight="1"/>
    <row r="2183" customFormat="1" customHeight="1"/>
    <row r="2184" customFormat="1" customHeight="1"/>
    <row r="2185" customFormat="1" customHeight="1"/>
    <row r="2186" customFormat="1" customHeight="1"/>
    <row r="2187" customFormat="1" customHeight="1"/>
    <row r="2188" customFormat="1" customHeight="1"/>
    <row r="2189" customFormat="1" customHeight="1"/>
    <row r="2190" customFormat="1" customHeight="1"/>
    <row r="2191" customFormat="1" customHeight="1"/>
    <row r="2192" customFormat="1" customHeight="1"/>
    <row r="2193" customFormat="1" customHeight="1"/>
    <row r="2194" customFormat="1" customHeight="1"/>
    <row r="2195" customFormat="1" customHeight="1"/>
    <row r="2196" customFormat="1" customHeight="1"/>
    <row r="2197" customFormat="1" customHeight="1"/>
    <row r="2198" customFormat="1" customHeight="1"/>
    <row r="2199" customFormat="1" customHeight="1"/>
    <row r="2200" customFormat="1" customHeight="1"/>
    <row r="2201" customFormat="1" customHeight="1"/>
    <row r="2202" customFormat="1" customHeight="1"/>
    <row r="2203" customFormat="1" customHeight="1"/>
    <row r="2204" customFormat="1" customHeight="1"/>
    <row r="2205" customFormat="1" customHeight="1"/>
    <row r="2206" customFormat="1" customHeight="1"/>
    <row r="2207" customFormat="1" customHeight="1"/>
    <row r="2208" customFormat="1" customHeight="1"/>
    <row r="2209" customFormat="1" customHeight="1"/>
    <row r="2210" customFormat="1" customHeight="1"/>
    <row r="2211" customFormat="1" customHeight="1"/>
    <row r="2212" customFormat="1" customHeight="1"/>
    <row r="2213" customFormat="1" customHeight="1"/>
    <row r="2214" customFormat="1" customHeight="1"/>
    <row r="2215" customFormat="1" customHeight="1"/>
    <row r="2216" customFormat="1" customHeight="1"/>
    <row r="2217" customFormat="1" customHeight="1"/>
    <row r="2218" customFormat="1" customHeight="1"/>
    <row r="2219" customFormat="1" customHeight="1"/>
    <row r="2220" customFormat="1" customHeight="1"/>
    <row r="2221" customFormat="1" customHeight="1"/>
    <row r="2222" customFormat="1" customHeight="1"/>
    <row r="2223" customFormat="1" customHeight="1"/>
    <row r="2224" customFormat="1" customHeight="1"/>
    <row r="2225" customFormat="1" customHeight="1"/>
    <row r="2226" customFormat="1" customHeight="1"/>
    <row r="2227" customFormat="1" customHeight="1"/>
    <row r="2228" customFormat="1" customHeight="1"/>
    <row r="2229" customFormat="1" customHeight="1"/>
    <row r="2230" customFormat="1" customHeight="1"/>
    <row r="2231" customFormat="1" customHeight="1"/>
    <row r="2232" customFormat="1" customHeight="1"/>
    <row r="2233" customFormat="1" customHeight="1"/>
    <row r="2234" customFormat="1" customHeight="1"/>
    <row r="2235" customFormat="1" customHeight="1"/>
    <row r="2236" customFormat="1" customHeight="1"/>
    <row r="2237" customFormat="1" customHeight="1"/>
    <row r="2238" customFormat="1" customHeight="1"/>
    <row r="2239" customFormat="1" customHeight="1"/>
    <row r="2240" customFormat="1" customHeight="1"/>
    <row r="2241" customFormat="1" customHeight="1"/>
    <row r="2242" customFormat="1" customHeight="1"/>
    <row r="2243" customFormat="1" customHeight="1"/>
    <row r="2244" customFormat="1" customHeight="1"/>
    <row r="2245" customFormat="1" customHeight="1"/>
    <row r="2246" customFormat="1" customHeight="1"/>
    <row r="2247" customFormat="1" customHeight="1"/>
    <row r="2248" customFormat="1" customHeight="1"/>
    <row r="2249" customFormat="1" customHeight="1"/>
    <row r="2250" customFormat="1" customHeight="1"/>
    <row r="2251" customFormat="1" customHeight="1"/>
    <row r="2252" customFormat="1" customHeight="1"/>
    <row r="2253" customFormat="1" customHeight="1"/>
    <row r="2254" customFormat="1" customHeight="1"/>
    <row r="2255" customFormat="1" customHeight="1"/>
    <row r="2256" customFormat="1" customHeight="1"/>
    <row r="2257" customFormat="1" customHeight="1"/>
    <row r="2258" customFormat="1" customHeight="1"/>
    <row r="2259" customFormat="1" customHeight="1"/>
    <row r="2260" customFormat="1" customHeight="1"/>
    <row r="2261" customFormat="1" customHeight="1"/>
    <row r="2262" customFormat="1" customHeight="1"/>
    <row r="2263" customFormat="1" customHeight="1"/>
    <row r="2264" customFormat="1" customHeight="1"/>
    <row r="2265" customFormat="1" customHeight="1"/>
    <row r="2266" customFormat="1" customHeight="1"/>
    <row r="2267" customFormat="1" customHeight="1"/>
    <row r="2268" customFormat="1" customHeight="1"/>
    <row r="2269" customFormat="1" customHeight="1"/>
    <row r="2270" customFormat="1" customHeight="1"/>
    <row r="2271" customFormat="1" customHeight="1"/>
    <row r="2272" customFormat="1" customHeight="1"/>
    <row r="2273" customFormat="1" customHeight="1"/>
    <row r="2274" customFormat="1" customHeight="1"/>
    <row r="2275" customFormat="1" customHeight="1"/>
    <row r="2276" customFormat="1" customHeight="1"/>
    <row r="2277" customFormat="1" customHeight="1"/>
    <row r="2278" customFormat="1" customHeight="1"/>
    <row r="2279" customFormat="1" customHeight="1"/>
    <row r="2280" customFormat="1" customHeight="1"/>
    <row r="2281" customFormat="1" customHeight="1"/>
    <row r="2282" customFormat="1" customHeight="1"/>
    <row r="2283" customFormat="1" customHeight="1"/>
    <row r="2284" customFormat="1" customHeight="1"/>
    <row r="2285" customFormat="1" customHeight="1"/>
    <row r="2286" customFormat="1" customHeight="1"/>
    <row r="2287" customFormat="1" customHeight="1"/>
    <row r="2288" customFormat="1" customHeight="1"/>
    <row r="2289" customFormat="1" customHeight="1"/>
    <row r="2290" customFormat="1" customHeight="1"/>
    <row r="2291" customFormat="1" customHeight="1"/>
    <row r="2292" customFormat="1" customHeight="1"/>
    <row r="2293" customFormat="1" customHeight="1"/>
    <row r="2294" customFormat="1" customHeight="1"/>
    <row r="2295" customFormat="1" customHeight="1"/>
    <row r="2296" customFormat="1" customHeight="1"/>
    <row r="2297" customFormat="1" customHeight="1"/>
    <row r="2298" customFormat="1" customHeight="1"/>
    <row r="2299" customFormat="1" customHeight="1"/>
    <row r="2300" customFormat="1" customHeight="1"/>
    <row r="2301" customFormat="1" customHeight="1"/>
    <row r="2302" customFormat="1" customHeight="1"/>
    <row r="2303" customFormat="1" customHeight="1"/>
    <row r="2304" customFormat="1" customHeight="1"/>
    <row r="2305" customFormat="1" customHeight="1"/>
    <row r="2306" customFormat="1" customHeight="1"/>
    <row r="2307" customFormat="1" customHeight="1"/>
    <row r="2308" customFormat="1" customHeight="1"/>
    <row r="2309" customFormat="1" customHeight="1"/>
    <row r="2310" customFormat="1" customHeight="1"/>
    <row r="2311" customFormat="1" customHeight="1"/>
    <row r="2312" customFormat="1" customHeight="1"/>
    <row r="2313" customFormat="1" customHeight="1"/>
    <row r="2314" customFormat="1" customHeight="1"/>
    <row r="2315" customFormat="1" customHeight="1"/>
    <row r="2316" customFormat="1" customHeight="1"/>
    <row r="2317" customFormat="1" customHeight="1"/>
    <row r="2318" customFormat="1" customHeight="1"/>
    <row r="2319" customFormat="1" customHeight="1"/>
    <row r="2320" customFormat="1" customHeight="1"/>
    <row r="2321" customFormat="1" customHeight="1"/>
    <row r="2322" customFormat="1" customHeight="1"/>
    <row r="2323" customFormat="1" customHeight="1"/>
    <row r="2324" customFormat="1" customHeight="1"/>
    <row r="2325" customFormat="1" customHeight="1"/>
    <row r="2326" customFormat="1" customHeight="1"/>
    <row r="2327" customFormat="1" customHeight="1"/>
    <row r="2328" customFormat="1" customHeight="1"/>
    <row r="2329" customFormat="1" customHeight="1"/>
    <row r="2330" customFormat="1" customHeight="1"/>
    <row r="2331" customFormat="1" customHeight="1"/>
    <row r="2332" customFormat="1" customHeight="1"/>
    <row r="2333" customFormat="1" customHeight="1"/>
    <row r="2334" customFormat="1" customHeight="1"/>
    <row r="2335" customFormat="1" customHeight="1"/>
    <row r="2336" customFormat="1" customHeight="1"/>
    <row r="2337" customFormat="1" customHeight="1"/>
    <row r="2338" customFormat="1" customHeight="1"/>
    <row r="2339" customFormat="1" customHeight="1"/>
    <row r="2340" customFormat="1" customHeight="1"/>
    <row r="2341" customFormat="1" customHeight="1"/>
    <row r="2342" customFormat="1" customHeight="1"/>
    <row r="2343" customFormat="1" customHeight="1"/>
    <row r="2344" customFormat="1" customHeight="1"/>
    <row r="2345" customFormat="1" customHeight="1"/>
    <row r="2346" customFormat="1" customHeight="1"/>
    <row r="2347" customFormat="1" customHeight="1"/>
    <row r="2348" customFormat="1" customHeight="1"/>
    <row r="2349" customFormat="1" customHeight="1"/>
    <row r="2350" customFormat="1" customHeight="1"/>
    <row r="2351" customFormat="1" customHeight="1"/>
    <row r="2352" customFormat="1" customHeight="1"/>
    <row r="2353" customFormat="1" customHeight="1"/>
    <row r="2354" customFormat="1" customHeight="1"/>
    <row r="2355" customFormat="1" customHeight="1"/>
    <row r="2356" customFormat="1" customHeight="1"/>
    <row r="2357" customFormat="1" customHeight="1"/>
    <row r="2358" customFormat="1" customHeight="1"/>
    <row r="2359" customFormat="1" customHeight="1"/>
    <row r="2360" customFormat="1" customHeight="1"/>
    <row r="2361" customFormat="1" customHeight="1"/>
    <row r="2362" customFormat="1" customHeight="1"/>
    <row r="2363" customFormat="1" customHeight="1"/>
    <row r="2364" customFormat="1" customHeight="1"/>
    <row r="2365" customFormat="1" customHeight="1"/>
    <row r="2366" customFormat="1" customHeight="1"/>
    <row r="2367" customFormat="1" customHeight="1"/>
    <row r="2368" customFormat="1" customHeight="1"/>
    <row r="2369" customFormat="1" customHeight="1"/>
    <row r="2370" customFormat="1" customHeight="1"/>
    <row r="2371" customFormat="1" customHeight="1"/>
    <row r="2372" customFormat="1" customHeight="1"/>
    <row r="2373" customFormat="1" customHeight="1"/>
    <row r="2374" customFormat="1" customHeight="1"/>
    <row r="2375" customFormat="1" customHeight="1"/>
    <row r="2376" customFormat="1" customHeight="1"/>
    <row r="2377" customFormat="1" customHeight="1"/>
    <row r="2378" customFormat="1" customHeight="1"/>
    <row r="2379" customFormat="1" customHeight="1"/>
    <row r="2380" customFormat="1" customHeight="1"/>
    <row r="2381" customFormat="1" customHeight="1"/>
    <row r="2382" customFormat="1" customHeight="1"/>
    <row r="2383" customFormat="1" customHeight="1"/>
    <row r="2384" customFormat="1" customHeight="1"/>
    <row r="2385" customFormat="1" customHeight="1"/>
    <row r="2386" customFormat="1" customHeight="1"/>
    <row r="2387" customFormat="1" customHeight="1"/>
    <row r="2388" customFormat="1" customHeight="1"/>
    <row r="2389" customFormat="1" customHeight="1"/>
    <row r="2390" customFormat="1" customHeight="1"/>
    <row r="2391" customFormat="1" customHeight="1"/>
    <row r="2392" customFormat="1" customHeight="1"/>
    <row r="2393" customFormat="1" customHeight="1"/>
    <row r="2394" customFormat="1" customHeight="1"/>
    <row r="2395" customFormat="1" customHeight="1"/>
    <row r="2396" customFormat="1" customHeight="1"/>
    <row r="2397" customFormat="1" customHeight="1"/>
    <row r="2398" customFormat="1" customHeight="1"/>
    <row r="2399" customFormat="1" customHeight="1"/>
    <row r="2400" customFormat="1" customHeight="1"/>
    <row r="2401" customFormat="1" customHeight="1"/>
    <row r="2402" customFormat="1" customHeight="1"/>
    <row r="2403" customFormat="1" customHeight="1"/>
    <row r="2404" customFormat="1" customHeight="1"/>
    <row r="2405" customFormat="1" customHeight="1"/>
    <row r="2406" customFormat="1" customHeight="1"/>
    <row r="2407" customFormat="1" customHeight="1"/>
    <row r="2408" customFormat="1" customHeight="1"/>
    <row r="2409" customFormat="1" customHeight="1"/>
    <row r="2410" customFormat="1" customHeight="1"/>
    <row r="2411" customFormat="1" customHeight="1"/>
    <row r="2412" customFormat="1" customHeight="1"/>
    <row r="2413" customFormat="1" customHeight="1"/>
    <row r="2414" customFormat="1" customHeight="1"/>
    <row r="2415" customFormat="1" customHeight="1"/>
    <row r="2416" customFormat="1" customHeight="1"/>
    <row r="2417" customFormat="1" customHeight="1"/>
    <row r="2418" customFormat="1" customHeight="1"/>
    <row r="2419" customFormat="1" customHeight="1"/>
    <row r="2420" customFormat="1" customHeight="1"/>
    <row r="2421" customFormat="1" customHeight="1"/>
    <row r="2422" customFormat="1" customHeight="1"/>
    <row r="2423" customFormat="1" customHeight="1"/>
    <row r="2424" customFormat="1" customHeight="1"/>
    <row r="2425" customFormat="1" customHeight="1"/>
    <row r="2426" customFormat="1" customHeight="1"/>
    <row r="2427" customFormat="1" customHeight="1"/>
    <row r="2428" customFormat="1" customHeight="1"/>
    <row r="2429" customFormat="1" customHeight="1"/>
    <row r="2430" customFormat="1" customHeight="1"/>
    <row r="2431" customFormat="1" customHeight="1"/>
    <row r="2432" customFormat="1" customHeight="1"/>
    <row r="2433" customFormat="1" customHeight="1"/>
    <row r="2434" customFormat="1" customHeight="1"/>
    <row r="2435" customFormat="1" customHeight="1"/>
    <row r="2436" customFormat="1" customHeight="1"/>
    <row r="2437" customFormat="1" customHeight="1"/>
    <row r="2438" customFormat="1" customHeight="1"/>
    <row r="2439" customFormat="1" customHeight="1"/>
    <row r="2440" customFormat="1" customHeight="1"/>
    <row r="2441" customFormat="1" customHeight="1"/>
    <row r="2442" customFormat="1" customHeight="1"/>
    <row r="2443" customFormat="1" customHeight="1"/>
    <row r="2444" customFormat="1" customHeight="1"/>
    <row r="2445" customFormat="1" customHeight="1"/>
    <row r="2446" customFormat="1" customHeight="1"/>
    <row r="2447" customFormat="1" customHeight="1"/>
    <row r="2448" customFormat="1" customHeight="1"/>
    <row r="2449" customFormat="1" customHeight="1"/>
    <row r="2450" customFormat="1" customHeight="1"/>
    <row r="2451" customFormat="1" customHeight="1"/>
    <row r="2452" customFormat="1" customHeight="1"/>
    <row r="2453" customFormat="1" customHeight="1"/>
    <row r="2454" customFormat="1" customHeight="1"/>
    <row r="2455" customFormat="1" customHeight="1"/>
    <row r="2456" customFormat="1" customHeight="1"/>
    <row r="2457" customFormat="1" customHeight="1"/>
    <row r="2458" customFormat="1" customHeight="1"/>
    <row r="2459" customFormat="1" customHeight="1"/>
    <row r="2460" customFormat="1" customHeight="1"/>
    <row r="2461" customFormat="1" customHeight="1"/>
    <row r="2462" customFormat="1" customHeight="1"/>
    <row r="2463" customFormat="1" customHeight="1"/>
    <row r="2464" customFormat="1" customHeight="1"/>
    <row r="2465" customFormat="1" customHeight="1"/>
    <row r="2466" customFormat="1" customHeight="1"/>
    <row r="2467" customFormat="1" customHeight="1"/>
    <row r="2468" customFormat="1" customHeight="1"/>
    <row r="2469" customFormat="1" customHeight="1"/>
    <row r="2470" customFormat="1" customHeight="1"/>
    <row r="2471" customFormat="1" customHeight="1"/>
    <row r="2472" customFormat="1" customHeight="1"/>
    <row r="2473" customFormat="1" customHeight="1"/>
    <row r="2474" customFormat="1" customHeight="1"/>
    <row r="2475" customFormat="1" customHeight="1"/>
    <row r="2476" customFormat="1" customHeight="1"/>
    <row r="2477" customFormat="1" customHeight="1"/>
    <row r="2478" customFormat="1" customHeight="1"/>
    <row r="2479" customFormat="1" customHeight="1"/>
    <row r="2480" customFormat="1" customHeight="1"/>
    <row r="2481" customFormat="1" customHeight="1"/>
    <row r="2482" customFormat="1" customHeight="1"/>
    <row r="2483" customFormat="1" customHeight="1"/>
    <row r="2484" customFormat="1" customHeight="1"/>
    <row r="2485" customFormat="1" customHeight="1"/>
    <row r="2486" customFormat="1" customHeight="1"/>
    <row r="2487" customFormat="1" customHeight="1"/>
    <row r="2488" customFormat="1" customHeight="1"/>
    <row r="2489" customFormat="1" customHeight="1"/>
    <row r="2490" customFormat="1" customHeight="1"/>
    <row r="2491" customFormat="1" customHeight="1"/>
    <row r="2492" customFormat="1" customHeight="1"/>
    <row r="2493" customFormat="1" customHeight="1"/>
    <row r="2494" customFormat="1" customHeight="1"/>
    <row r="2495" customFormat="1" customHeight="1"/>
    <row r="2496" customFormat="1" customHeight="1"/>
    <row r="2497" customFormat="1" customHeight="1"/>
    <row r="2498" customFormat="1" customHeight="1"/>
    <row r="2499" customFormat="1" customHeight="1"/>
    <row r="2500" customFormat="1" customHeight="1"/>
    <row r="2501" customFormat="1" customHeight="1"/>
    <row r="2502" customFormat="1" customHeight="1"/>
    <row r="2503" customFormat="1" customHeight="1"/>
    <row r="2504" customFormat="1" customHeight="1"/>
    <row r="2505" customFormat="1" customHeight="1"/>
    <row r="2506" customFormat="1" customHeight="1"/>
    <row r="2507" customFormat="1" customHeight="1"/>
    <row r="2508" customFormat="1" customHeight="1"/>
    <row r="2509" customFormat="1" customHeight="1"/>
    <row r="2510" customFormat="1" customHeight="1"/>
    <row r="2511" customFormat="1" customHeight="1"/>
    <row r="2512" customFormat="1" customHeight="1"/>
    <row r="2513" customFormat="1" customHeight="1"/>
    <row r="2514" customFormat="1" customHeight="1"/>
    <row r="2515" customFormat="1" customHeight="1"/>
    <row r="2516" customFormat="1" customHeight="1"/>
    <row r="2517" customFormat="1" customHeight="1"/>
    <row r="2518" customFormat="1" customHeight="1"/>
    <row r="2519" customFormat="1" customHeight="1"/>
    <row r="2520" customFormat="1" customHeight="1"/>
    <row r="2521" customFormat="1" customHeight="1"/>
    <row r="2522" customFormat="1" customHeight="1"/>
    <row r="2523" customFormat="1" customHeight="1"/>
    <row r="2524" customFormat="1" customHeight="1"/>
    <row r="2525" customFormat="1" customHeight="1"/>
    <row r="2526" customFormat="1" customHeight="1"/>
    <row r="2527" customFormat="1" customHeight="1"/>
    <row r="2528" customFormat="1" customHeight="1"/>
    <row r="2529" customFormat="1" customHeight="1"/>
    <row r="2530" customFormat="1" customHeight="1"/>
    <row r="2531" customFormat="1" customHeight="1"/>
    <row r="2532" customFormat="1" customHeight="1"/>
    <row r="2533" customFormat="1" customHeight="1"/>
    <row r="2534" customFormat="1" customHeight="1"/>
    <row r="2535" customFormat="1" customHeight="1"/>
    <row r="2536" customFormat="1" customHeight="1"/>
    <row r="2537" customFormat="1" customHeight="1"/>
    <row r="2538" customFormat="1" customHeight="1"/>
    <row r="2539" customFormat="1" customHeight="1"/>
    <row r="2540" customFormat="1" customHeight="1"/>
    <row r="2541" customFormat="1" customHeight="1"/>
    <row r="2542" customFormat="1" customHeight="1"/>
    <row r="2543" customFormat="1" customHeight="1"/>
    <row r="2544" customFormat="1" customHeight="1"/>
    <row r="2545" customFormat="1" customHeight="1"/>
    <row r="2546" customFormat="1" customHeight="1"/>
    <row r="2547" customFormat="1" customHeight="1"/>
    <row r="2548" customFormat="1" customHeight="1"/>
    <row r="2549" customFormat="1" customHeight="1"/>
    <row r="2550" customFormat="1" customHeight="1"/>
    <row r="2551" customFormat="1" customHeight="1"/>
    <row r="2552" customFormat="1" customHeight="1"/>
    <row r="2553" customFormat="1" customHeight="1"/>
    <row r="2554" customFormat="1" customHeight="1"/>
    <row r="2555" customFormat="1" customHeight="1"/>
    <row r="2556" customFormat="1" customHeight="1"/>
    <row r="2557" customFormat="1" customHeight="1"/>
    <row r="2558" customFormat="1" customHeight="1"/>
    <row r="2559" customFormat="1" customHeight="1"/>
    <row r="2560" customFormat="1" customHeight="1"/>
    <row r="2561" customFormat="1" customHeight="1"/>
    <row r="2562" customFormat="1" customHeight="1"/>
    <row r="2563" customFormat="1" customHeight="1"/>
    <row r="2564" customFormat="1" customHeight="1"/>
    <row r="2565" customFormat="1" customHeight="1"/>
    <row r="2566" customFormat="1" customHeight="1"/>
    <row r="2567" customFormat="1" customHeight="1"/>
    <row r="2568" customFormat="1" customHeight="1"/>
    <row r="2569" customFormat="1" customHeight="1"/>
    <row r="2570" customFormat="1" customHeight="1"/>
    <row r="2571" customFormat="1" customHeight="1"/>
    <row r="2572" customFormat="1" customHeight="1"/>
    <row r="2573" customFormat="1" customHeight="1"/>
    <row r="2574" customFormat="1" customHeight="1"/>
    <row r="2575" customFormat="1" customHeight="1"/>
    <row r="2576" customFormat="1" customHeight="1"/>
    <row r="2577" customFormat="1" customHeight="1"/>
    <row r="2578" customFormat="1" customHeight="1"/>
    <row r="2579" customFormat="1" customHeight="1"/>
    <row r="2580" customFormat="1" customHeight="1"/>
    <row r="2581" customFormat="1" customHeight="1"/>
    <row r="2582" customFormat="1" customHeight="1"/>
    <row r="2583" customFormat="1" customHeight="1"/>
    <row r="2584" customFormat="1" customHeight="1"/>
    <row r="2585" customFormat="1" customHeight="1"/>
    <row r="2586" customFormat="1" customHeight="1"/>
    <row r="2587" customFormat="1" customHeight="1"/>
    <row r="2588" customFormat="1" customHeight="1"/>
    <row r="2589" customFormat="1" customHeight="1"/>
    <row r="2590" customFormat="1" customHeight="1"/>
    <row r="2591" customFormat="1" customHeight="1"/>
    <row r="2592" customFormat="1" customHeight="1"/>
    <row r="2593" customFormat="1" customHeight="1"/>
    <row r="2594" customFormat="1" customHeight="1"/>
    <row r="2595" customFormat="1" customHeight="1"/>
    <row r="2596" customFormat="1" customHeight="1"/>
    <row r="2597" customFormat="1" customHeight="1"/>
    <row r="2598" customFormat="1" customHeight="1"/>
    <row r="2599" customFormat="1" customHeight="1"/>
    <row r="2600" customFormat="1" customHeight="1"/>
    <row r="2601" customFormat="1" customHeight="1"/>
    <row r="2602" customFormat="1" customHeight="1"/>
    <row r="2603" customFormat="1" customHeight="1"/>
    <row r="2604" customFormat="1" customHeight="1"/>
    <row r="2605" customFormat="1" customHeight="1"/>
    <row r="2606" customFormat="1" customHeight="1"/>
    <row r="2607" customFormat="1" customHeight="1"/>
    <row r="2608" customFormat="1" customHeight="1"/>
    <row r="2609" customFormat="1" customHeight="1"/>
    <row r="2610" customFormat="1" customHeight="1"/>
    <row r="2611" customFormat="1" customHeight="1"/>
    <row r="2612" customFormat="1" customHeight="1"/>
    <row r="2613" customFormat="1" customHeight="1"/>
    <row r="2614" customFormat="1" customHeight="1"/>
    <row r="2615" customFormat="1" customHeight="1"/>
    <row r="2616" customFormat="1" customHeight="1"/>
    <row r="2617" customFormat="1" customHeight="1"/>
    <row r="2618" customFormat="1" customHeight="1"/>
    <row r="2619" customFormat="1" customHeight="1"/>
    <row r="2620" customFormat="1" customHeight="1"/>
    <row r="2621" customFormat="1" customHeight="1"/>
    <row r="2622" customFormat="1" customHeight="1"/>
    <row r="2623" customFormat="1" customHeight="1"/>
    <row r="2624" customFormat="1" customHeight="1"/>
    <row r="2625" customFormat="1" customHeight="1"/>
    <row r="2626" customFormat="1" customHeight="1"/>
    <row r="2627" customFormat="1" customHeight="1"/>
    <row r="2628" customFormat="1" customHeight="1"/>
    <row r="2629" customFormat="1" customHeight="1"/>
    <row r="2630" customFormat="1" customHeight="1"/>
    <row r="2631" customFormat="1" customHeight="1"/>
    <row r="2632" customFormat="1" customHeight="1"/>
    <row r="2633" customFormat="1" customHeight="1"/>
    <row r="2634" customFormat="1" customHeight="1"/>
    <row r="2635" customFormat="1" customHeight="1"/>
    <row r="2636" customFormat="1" customHeight="1"/>
    <row r="2637" customFormat="1" customHeight="1"/>
    <row r="2638" customFormat="1" customHeight="1"/>
    <row r="2639" customFormat="1" customHeight="1"/>
    <row r="2640" customFormat="1" customHeight="1"/>
    <row r="2641" customFormat="1" customHeight="1"/>
    <row r="2642" customFormat="1" customHeight="1"/>
    <row r="2643" customFormat="1" customHeight="1"/>
    <row r="2644" customFormat="1" customHeight="1"/>
    <row r="2645" customFormat="1" customHeight="1"/>
    <row r="2646" customFormat="1" customHeight="1"/>
    <row r="2647" customFormat="1" customHeight="1"/>
    <row r="2648" customFormat="1" customHeight="1"/>
    <row r="2649" customFormat="1" customHeight="1"/>
    <row r="2650" customFormat="1" customHeight="1"/>
    <row r="2651" customFormat="1" customHeight="1"/>
    <row r="2652" customFormat="1" customHeight="1"/>
    <row r="2653" customFormat="1" customHeight="1"/>
    <row r="2654" customFormat="1" customHeight="1"/>
    <row r="2655" customFormat="1" customHeight="1"/>
    <row r="2656" customFormat="1" customHeight="1"/>
    <row r="2657" customFormat="1" customHeight="1"/>
    <row r="2658" customFormat="1" customHeight="1"/>
    <row r="2659" customFormat="1" customHeight="1"/>
    <row r="2660" customFormat="1" customHeight="1"/>
    <row r="2661" customFormat="1" customHeight="1"/>
    <row r="2662" customFormat="1" customHeight="1"/>
    <row r="2663" customFormat="1" customHeight="1"/>
    <row r="2664" customFormat="1" customHeight="1"/>
    <row r="2665" customFormat="1" customHeight="1"/>
    <row r="2666" customFormat="1" customHeight="1"/>
    <row r="2667" customFormat="1" customHeight="1"/>
    <row r="2668" customFormat="1" customHeight="1"/>
    <row r="2669" customFormat="1" customHeight="1"/>
    <row r="2670" customFormat="1" customHeight="1"/>
    <row r="2671" customFormat="1" customHeight="1"/>
    <row r="2672" customFormat="1" customHeight="1"/>
    <row r="2673" customFormat="1" customHeight="1"/>
    <row r="2674" customFormat="1" customHeight="1"/>
    <row r="2675" customFormat="1" customHeight="1"/>
    <row r="2676" customFormat="1" customHeight="1"/>
    <row r="2677" customFormat="1" customHeight="1"/>
    <row r="2678" customFormat="1" customHeight="1"/>
    <row r="2679" customFormat="1" customHeight="1"/>
    <row r="2680" customFormat="1" customHeight="1"/>
    <row r="2681" customFormat="1" customHeight="1"/>
    <row r="2682" customFormat="1" customHeight="1"/>
    <row r="2683" customFormat="1" customHeight="1"/>
    <row r="2684" customFormat="1" customHeight="1"/>
    <row r="2685" customFormat="1" customHeight="1"/>
    <row r="2686" customFormat="1" customHeight="1"/>
    <row r="2687" customFormat="1" customHeight="1"/>
    <row r="2688" customFormat="1" customHeight="1"/>
    <row r="2689" customFormat="1" customHeight="1"/>
    <row r="2690" customFormat="1" customHeight="1"/>
    <row r="2691" customFormat="1" customHeight="1"/>
    <row r="2692" customFormat="1" customHeight="1"/>
    <row r="2693" customFormat="1" customHeight="1"/>
    <row r="2694" customFormat="1" customHeight="1"/>
    <row r="2695" customFormat="1" customHeight="1"/>
    <row r="2696" customFormat="1" customHeight="1"/>
    <row r="2697" customFormat="1" customHeight="1"/>
    <row r="2698" customFormat="1" customHeight="1"/>
    <row r="2699" customFormat="1" customHeight="1"/>
    <row r="2700" customFormat="1" customHeight="1"/>
    <row r="2701" customFormat="1" customHeight="1"/>
    <row r="2702" customFormat="1" customHeight="1"/>
    <row r="2703" customFormat="1" customHeight="1"/>
    <row r="2704" customFormat="1" customHeight="1"/>
    <row r="2705" customFormat="1" customHeight="1"/>
    <row r="2706" customFormat="1" customHeight="1"/>
    <row r="2707" customFormat="1" customHeight="1"/>
    <row r="2708" customFormat="1" customHeight="1"/>
    <row r="2709" customFormat="1" customHeight="1"/>
    <row r="2710" customFormat="1" customHeight="1"/>
    <row r="2711" customFormat="1" customHeight="1"/>
    <row r="2712" customFormat="1" customHeight="1"/>
    <row r="2713" customFormat="1" customHeight="1"/>
    <row r="2714" customFormat="1" customHeight="1"/>
    <row r="2715" customFormat="1" customHeight="1"/>
    <row r="2716" customFormat="1" customHeight="1"/>
    <row r="2717" customFormat="1" customHeight="1"/>
    <row r="2718" customFormat="1" customHeight="1"/>
    <row r="2719" customFormat="1" customHeight="1"/>
    <row r="2720" customFormat="1" customHeight="1"/>
    <row r="2721" customFormat="1" customHeight="1"/>
    <row r="2722" customFormat="1" customHeight="1"/>
    <row r="2723" customFormat="1" customHeight="1"/>
    <row r="2724" customFormat="1" customHeight="1"/>
    <row r="2725" customFormat="1" customHeight="1"/>
    <row r="2726" customFormat="1" customHeight="1"/>
    <row r="2727" customFormat="1" customHeight="1"/>
    <row r="2728" customFormat="1" customHeight="1"/>
    <row r="2729" customFormat="1" customHeight="1"/>
    <row r="2730" customFormat="1" customHeight="1"/>
    <row r="2731" customFormat="1" customHeight="1"/>
    <row r="2732" customFormat="1" customHeight="1"/>
    <row r="2733" customFormat="1" customHeight="1"/>
    <row r="2734" customFormat="1" customHeight="1"/>
    <row r="2735" customFormat="1" customHeight="1"/>
    <row r="2736" customFormat="1" customHeight="1"/>
    <row r="2737" customFormat="1" customHeight="1"/>
    <row r="2738" customFormat="1" customHeight="1"/>
    <row r="2739" customFormat="1" customHeight="1"/>
    <row r="2740" customFormat="1" customHeight="1"/>
    <row r="2741" customFormat="1" customHeight="1"/>
    <row r="2742" customFormat="1" customHeight="1"/>
    <row r="2743" customFormat="1" customHeight="1"/>
    <row r="2744" customFormat="1" customHeight="1"/>
    <row r="2745" customFormat="1" customHeight="1"/>
    <row r="2746" customFormat="1" customHeight="1"/>
    <row r="2747" customFormat="1" customHeight="1"/>
    <row r="2748" customFormat="1" customHeight="1"/>
    <row r="2749" customFormat="1" customHeight="1"/>
    <row r="2750" customFormat="1" customHeight="1"/>
    <row r="2751" customFormat="1" customHeight="1"/>
    <row r="2752" customFormat="1" customHeight="1"/>
    <row r="2753" customFormat="1" customHeight="1"/>
    <row r="2754" customFormat="1" customHeight="1"/>
    <row r="2755" customFormat="1" customHeight="1"/>
    <row r="2756" customFormat="1" customHeight="1"/>
    <row r="2757" customFormat="1" customHeight="1"/>
    <row r="2758" customFormat="1" customHeight="1"/>
    <row r="2759" customFormat="1" customHeight="1"/>
    <row r="2760" customFormat="1" customHeight="1"/>
    <row r="2761" customFormat="1" customHeight="1"/>
    <row r="2762" customFormat="1" customHeight="1"/>
    <row r="2763" customFormat="1" customHeight="1"/>
    <row r="2764" customFormat="1" customHeight="1"/>
    <row r="2765" customFormat="1" customHeight="1"/>
    <row r="2766" customFormat="1" customHeight="1"/>
    <row r="2767" customFormat="1" customHeight="1"/>
    <row r="2768" customFormat="1" customHeight="1"/>
    <row r="2769" customFormat="1" customHeight="1"/>
    <row r="2770" customFormat="1" customHeight="1"/>
    <row r="2771" customFormat="1" customHeight="1"/>
    <row r="2772" customFormat="1" customHeight="1"/>
    <row r="2773" customFormat="1" customHeight="1"/>
    <row r="2774" customFormat="1" customHeight="1"/>
    <row r="2775" customFormat="1" customHeight="1"/>
    <row r="2776" customFormat="1" customHeight="1"/>
    <row r="2777" customFormat="1" customHeight="1"/>
    <row r="2778" customFormat="1" customHeight="1"/>
    <row r="2779" customFormat="1" customHeight="1"/>
    <row r="2780" customFormat="1" customHeight="1"/>
    <row r="2781" customFormat="1" customHeight="1"/>
    <row r="2782" customFormat="1" customHeight="1"/>
    <row r="2783" customFormat="1" customHeight="1"/>
    <row r="2784" customFormat="1" customHeight="1"/>
    <row r="2785" customFormat="1" customHeight="1"/>
    <row r="2786" customFormat="1" customHeight="1"/>
    <row r="2787" customFormat="1" customHeight="1"/>
    <row r="2788" customFormat="1" customHeight="1"/>
    <row r="2789" customFormat="1" customHeight="1"/>
    <row r="2790" customFormat="1" customHeight="1"/>
    <row r="2791" customFormat="1" customHeight="1"/>
    <row r="2792" customFormat="1" customHeight="1"/>
    <row r="2793" customFormat="1" customHeight="1"/>
    <row r="2794" customFormat="1" customHeight="1"/>
    <row r="2795" customFormat="1" customHeight="1"/>
    <row r="2796" customFormat="1" customHeight="1"/>
    <row r="2797" customFormat="1" customHeight="1"/>
    <row r="2798" customFormat="1" customHeight="1"/>
    <row r="2799" customFormat="1" customHeight="1"/>
    <row r="2800" customFormat="1" customHeight="1"/>
    <row r="2801" customFormat="1" customHeight="1"/>
    <row r="2802" customFormat="1" customHeight="1"/>
    <row r="2803" customFormat="1" customHeight="1"/>
    <row r="2804" customFormat="1" customHeight="1"/>
    <row r="2805" customFormat="1" customHeight="1"/>
    <row r="2806" customFormat="1" customHeight="1"/>
    <row r="2807" customFormat="1" customHeight="1"/>
    <row r="2808" customFormat="1" customHeight="1"/>
    <row r="2809" customFormat="1" customHeight="1"/>
    <row r="2810" customFormat="1" customHeight="1"/>
    <row r="2811" customFormat="1" customHeight="1"/>
    <row r="2812" customFormat="1" customHeight="1"/>
    <row r="2813" customFormat="1" customHeight="1"/>
    <row r="2814" customFormat="1" customHeight="1"/>
    <row r="2815" customFormat="1" customHeight="1"/>
    <row r="2816" customFormat="1" customHeight="1"/>
    <row r="2817" customFormat="1" customHeight="1"/>
    <row r="2818" customFormat="1" customHeight="1"/>
    <row r="2819" customFormat="1" customHeight="1"/>
    <row r="2820" customFormat="1" customHeight="1"/>
    <row r="2821" customFormat="1" customHeight="1"/>
    <row r="2822" customFormat="1" customHeight="1"/>
    <row r="2823" customFormat="1" customHeight="1"/>
    <row r="2824" customFormat="1" customHeight="1"/>
    <row r="2825" customFormat="1" customHeight="1"/>
    <row r="2826" customFormat="1" customHeight="1"/>
    <row r="2827" customFormat="1" customHeight="1"/>
    <row r="2828" customFormat="1" customHeight="1"/>
    <row r="2829" customFormat="1" customHeight="1"/>
    <row r="2830" customFormat="1" customHeight="1"/>
    <row r="2831" customFormat="1" customHeight="1"/>
    <row r="2832" customFormat="1" customHeight="1"/>
    <row r="2833" customFormat="1" customHeight="1"/>
    <row r="2834" customFormat="1" customHeight="1"/>
    <row r="2835" customFormat="1" customHeight="1"/>
    <row r="2836" customFormat="1" customHeight="1"/>
    <row r="2837" customFormat="1" customHeight="1"/>
    <row r="2838" customFormat="1" customHeight="1"/>
    <row r="2839" customFormat="1" customHeight="1"/>
    <row r="2840" customFormat="1" customHeight="1"/>
    <row r="2841" customFormat="1" customHeight="1"/>
    <row r="2842" customFormat="1" customHeight="1"/>
    <row r="2843" customFormat="1" customHeight="1"/>
    <row r="2844" customFormat="1" customHeight="1"/>
    <row r="2845" customFormat="1" customHeight="1"/>
    <row r="2846" customFormat="1" customHeight="1"/>
    <row r="2847" customFormat="1" customHeight="1"/>
    <row r="2848" customFormat="1" customHeight="1"/>
    <row r="2849" customFormat="1" customHeight="1"/>
    <row r="2850" customFormat="1" customHeight="1"/>
    <row r="2851" customFormat="1" customHeight="1"/>
    <row r="2852" customFormat="1" customHeight="1"/>
    <row r="2853" customFormat="1" customHeight="1"/>
    <row r="2854" customFormat="1" customHeight="1"/>
    <row r="2855" customFormat="1" customHeight="1"/>
    <row r="2856" customFormat="1" customHeight="1"/>
    <row r="2857" customFormat="1" customHeight="1"/>
    <row r="2858" customFormat="1" customHeight="1"/>
    <row r="2859" customFormat="1" customHeight="1"/>
    <row r="2860" customFormat="1" customHeight="1"/>
    <row r="2861" customFormat="1" customHeight="1"/>
    <row r="2862" customFormat="1" customHeight="1"/>
    <row r="2863" customFormat="1" customHeight="1"/>
    <row r="2864" customFormat="1" customHeight="1"/>
    <row r="2865" customFormat="1" customHeight="1"/>
    <row r="2866" customFormat="1" customHeight="1"/>
    <row r="2867" customFormat="1" customHeight="1"/>
    <row r="2868" customFormat="1" customHeight="1"/>
    <row r="2869" customFormat="1" customHeight="1"/>
    <row r="2870" customFormat="1" customHeight="1"/>
    <row r="2871" customFormat="1" customHeight="1"/>
    <row r="2872" customFormat="1" customHeight="1"/>
    <row r="2873" customFormat="1" customHeight="1"/>
    <row r="2874" customFormat="1" customHeight="1"/>
    <row r="2875" customFormat="1" customHeight="1"/>
    <row r="2876" customFormat="1" customHeight="1"/>
    <row r="2877" customFormat="1" customHeight="1"/>
    <row r="2878" customFormat="1" customHeight="1"/>
    <row r="2879" customFormat="1" customHeight="1"/>
    <row r="2880" customFormat="1" customHeight="1"/>
    <row r="2881" customFormat="1" customHeight="1"/>
    <row r="2882" customFormat="1" customHeight="1"/>
    <row r="2883" customFormat="1" customHeight="1"/>
    <row r="2884" customFormat="1" customHeight="1"/>
    <row r="2885" customFormat="1" customHeight="1"/>
    <row r="2886" customFormat="1" customHeight="1"/>
    <row r="2887" customFormat="1" customHeight="1"/>
    <row r="2888" customFormat="1" customHeight="1"/>
    <row r="2889" customFormat="1" customHeight="1"/>
    <row r="2890" customFormat="1" customHeight="1"/>
    <row r="2891" customFormat="1" customHeight="1"/>
    <row r="2892" customFormat="1" customHeight="1"/>
    <row r="2893" customFormat="1" customHeight="1"/>
    <row r="2894" customFormat="1" customHeight="1"/>
    <row r="2895" customFormat="1" customHeight="1"/>
    <row r="2896" customFormat="1" customHeight="1"/>
    <row r="2897" customFormat="1" customHeight="1"/>
    <row r="2898" customFormat="1" customHeight="1"/>
    <row r="2899" customFormat="1" customHeight="1"/>
    <row r="2900" customFormat="1" customHeight="1"/>
    <row r="2901" customFormat="1" customHeight="1"/>
    <row r="2902" customFormat="1" customHeight="1"/>
    <row r="2903" customFormat="1" customHeight="1"/>
    <row r="2904" customFormat="1" customHeight="1"/>
    <row r="2905" customFormat="1" customHeight="1"/>
    <row r="2906" customFormat="1" customHeight="1"/>
    <row r="2907" customFormat="1" customHeight="1"/>
    <row r="2908" customFormat="1" customHeight="1"/>
    <row r="2909" customFormat="1" customHeight="1"/>
    <row r="2910" customFormat="1" customHeight="1"/>
    <row r="2911" customFormat="1" customHeight="1"/>
    <row r="2912" customFormat="1" customHeight="1"/>
    <row r="2913" customFormat="1" customHeight="1"/>
    <row r="2914" customFormat="1" customHeight="1"/>
    <row r="2915" customFormat="1" customHeight="1"/>
    <row r="2916" customFormat="1" customHeight="1"/>
    <row r="2917" customFormat="1" customHeight="1"/>
    <row r="2918" customFormat="1" customHeight="1"/>
    <row r="2919" customFormat="1" customHeight="1"/>
    <row r="2920" customFormat="1" customHeight="1"/>
    <row r="2921" customFormat="1" customHeight="1"/>
    <row r="2922" customFormat="1" customHeight="1"/>
    <row r="2923" customFormat="1" customHeight="1"/>
    <row r="2924" customFormat="1" customHeight="1"/>
    <row r="2925" customFormat="1" customHeight="1"/>
    <row r="2926" customFormat="1" customHeight="1"/>
    <row r="2927" customFormat="1" customHeight="1"/>
    <row r="2928" customFormat="1" customHeight="1"/>
    <row r="2929" customFormat="1" customHeight="1"/>
    <row r="2930" customFormat="1" customHeight="1"/>
    <row r="2931" customFormat="1" customHeight="1"/>
    <row r="2932" customFormat="1" customHeight="1"/>
    <row r="2933" customFormat="1" customHeight="1"/>
    <row r="2934" customFormat="1" customHeight="1"/>
    <row r="2935" customFormat="1" customHeight="1"/>
    <row r="2936" customFormat="1" customHeight="1"/>
    <row r="2937" customFormat="1" customHeight="1"/>
    <row r="2938" customFormat="1" customHeight="1"/>
    <row r="2939" customFormat="1" customHeight="1"/>
    <row r="2940" customFormat="1" customHeight="1"/>
    <row r="2941" customFormat="1" customHeight="1"/>
    <row r="2942" customFormat="1" customHeight="1"/>
    <row r="2943" customFormat="1" customHeight="1"/>
    <row r="2944" customFormat="1" customHeight="1"/>
    <row r="2945" customFormat="1" customHeight="1"/>
    <row r="2946" customFormat="1" customHeight="1"/>
    <row r="2947" customFormat="1" customHeight="1"/>
    <row r="2948" customFormat="1" customHeight="1"/>
    <row r="2949" customFormat="1" customHeight="1"/>
    <row r="2950" customFormat="1" customHeight="1"/>
    <row r="2951" customFormat="1" customHeight="1"/>
    <row r="2952" customFormat="1" customHeight="1"/>
    <row r="2953" customFormat="1" customHeight="1"/>
    <row r="2954" customFormat="1" customHeight="1"/>
    <row r="2955" customFormat="1" customHeight="1"/>
    <row r="2956" customFormat="1" customHeight="1"/>
    <row r="2957" customFormat="1" customHeight="1"/>
    <row r="2958" customFormat="1" customHeight="1"/>
    <row r="2959" customFormat="1" customHeight="1"/>
    <row r="2960" customFormat="1" customHeight="1"/>
    <row r="2961" customFormat="1" customHeight="1"/>
    <row r="2962" customFormat="1" customHeight="1"/>
    <row r="2963" customFormat="1" customHeight="1"/>
    <row r="2964" customFormat="1" customHeight="1"/>
    <row r="2965" customFormat="1" customHeight="1"/>
    <row r="2966" customFormat="1" customHeight="1"/>
    <row r="2967" customFormat="1" customHeight="1"/>
    <row r="2968" customFormat="1" customHeight="1"/>
    <row r="2969" customFormat="1" customHeight="1"/>
    <row r="2970" customFormat="1" customHeight="1"/>
    <row r="2971" customFormat="1" customHeight="1"/>
    <row r="2972" customFormat="1" customHeight="1"/>
    <row r="2973" customFormat="1" customHeight="1"/>
    <row r="2974" customFormat="1" customHeight="1"/>
    <row r="2975" customFormat="1" customHeight="1"/>
    <row r="2976" customFormat="1" customHeight="1"/>
    <row r="2977" customFormat="1" customHeight="1"/>
    <row r="2978" customFormat="1" customHeight="1"/>
    <row r="2979" customFormat="1" customHeight="1"/>
    <row r="2980" customFormat="1" customHeight="1"/>
    <row r="2981" customFormat="1" customHeight="1"/>
    <row r="2982" customFormat="1" customHeight="1"/>
    <row r="2983" customFormat="1" customHeight="1"/>
    <row r="2984" customFormat="1" customHeight="1"/>
    <row r="2985" customFormat="1" customHeight="1"/>
    <row r="2986" customFormat="1" customHeight="1"/>
    <row r="2987" customFormat="1" customHeight="1"/>
    <row r="2988" customFormat="1" customHeight="1"/>
    <row r="2989" customFormat="1" customHeight="1"/>
    <row r="2990" customFormat="1" customHeight="1"/>
    <row r="2991" customFormat="1" customHeight="1"/>
    <row r="2992" customFormat="1" customHeight="1"/>
    <row r="2993" customFormat="1" customHeight="1"/>
    <row r="2994" customFormat="1" customHeight="1"/>
    <row r="2995" customFormat="1" customHeight="1"/>
    <row r="2996" customFormat="1" customHeight="1"/>
    <row r="2997" customFormat="1" customHeight="1"/>
    <row r="2998" customFormat="1" customHeight="1"/>
    <row r="2999" customFormat="1" customHeight="1"/>
    <row r="3000" customFormat="1" customHeight="1"/>
    <row r="3001" customFormat="1" customHeight="1"/>
    <row r="3002" customFormat="1" customHeight="1"/>
    <row r="3003" customFormat="1" customHeight="1"/>
    <row r="3004" customFormat="1" customHeight="1"/>
    <row r="3005" customFormat="1" customHeight="1"/>
    <row r="3006" customFormat="1" customHeight="1"/>
    <row r="3007" customFormat="1" customHeight="1"/>
    <row r="3008" customFormat="1" customHeight="1"/>
    <row r="3009" customFormat="1" customHeight="1"/>
    <row r="3010" customFormat="1" customHeight="1"/>
    <row r="3011" customFormat="1" customHeight="1"/>
    <row r="3012" customFormat="1" customHeight="1"/>
    <row r="3013" customFormat="1" customHeight="1"/>
    <row r="3014" customFormat="1" customHeight="1"/>
    <row r="3015" customFormat="1" customHeight="1"/>
    <row r="3016" customFormat="1" customHeight="1"/>
    <row r="3017" customFormat="1" customHeight="1"/>
    <row r="3018" customFormat="1" customHeight="1"/>
    <row r="3019" customFormat="1" customHeight="1"/>
    <row r="3020" customFormat="1" customHeight="1"/>
    <row r="3021" customFormat="1" customHeight="1"/>
    <row r="3022" customFormat="1" customHeight="1"/>
    <row r="3023" customFormat="1" customHeight="1"/>
    <row r="3024" customFormat="1" customHeight="1"/>
    <row r="3025" customFormat="1" customHeight="1"/>
    <row r="3026" customFormat="1" customHeight="1"/>
    <row r="3027" customFormat="1" customHeight="1"/>
    <row r="3028" customFormat="1" customHeight="1"/>
    <row r="3029" customFormat="1" customHeight="1"/>
    <row r="3030" customFormat="1" customHeight="1"/>
    <row r="3031" customFormat="1" customHeight="1"/>
    <row r="3032" customFormat="1" customHeight="1"/>
    <row r="3033" customFormat="1" customHeight="1"/>
    <row r="3034" customFormat="1" customHeight="1"/>
    <row r="3035" customFormat="1" customHeight="1"/>
    <row r="3036" customFormat="1" customHeight="1"/>
    <row r="3037" customFormat="1" customHeight="1"/>
    <row r="3038" customFormat="1" customHeight="1"/>
    <row r="3039" customFormat="1" customHeight="1"/>
    <row r="3040" customFormat="1" customHeight="1"/>
    <row r="3041" customFormat="1" customHeight="1"/>
    <row r="3042" customFormat="1" customHeight="1"/>
    <row r="3043" customFormat="1" customHeight="1"/>
    <row r="3044" customFormat="1" customHeight="1"/>
    <row r="3045" customFormat="1" customHeight="1"/>
    <row r="3046" customFormat="1" customHeight="1"/>
    <row r="3047" customFormat="1" customHeight="1"/>
    <row r="3048" customFormat="1" customHeight="1"/>
    <row r="3049" customFormat="1" customHeight="1"/>
    <row r="3050" customFormat="1" customHeight="1"/>
    <row r="3051" customFormat="1" customHeight="1"/>
    <row r="3052" customFormat="1" customHeight="1"/>
    <row r="3053" customFormat="1" customHeight="1"/>
    <row r="3054" customFormat="1" customHeight="1"/>
    <row r="3055" customFormat="1" customHeight="1"/>
    <row r="3056" customFormat="1" customHeight="1"/>
    <row r="3057" customFormat="1" customHeight="1"/>
    <row r="3058" customFormat="1" customHeight="1"/>
    <row r="3059" customFormat="1" customHeight="1"/>
    <row r="3060" customFormat="1" customHeight="1"/>
    <row r="3061" customFormat="1" customHeight="1"/>
    <row r="3062" customFormat="1" customHeight="1"/>
    <row r="3063" customFormat="1" customHeight="1"/>
    <row r="3064" customFormat="1" customHeight="1"/>
    <row r="3065" customFormat="1" customHeight="1"/>
    <row r="3066" customFormat="1" customHeight="1"/>
    <row r="3067" customFormat="1" customHeight="1"/>
    <row r="3068" customFormat="1" customHeight="1"/>
    <row r="3069" customFormat="1" customHeight="1"/>
    <row r="3070" customFormat="1" customHeight="1"/>
    <row r="3071" customFormat="1" customHeight="1"/>
    <row r="3072" customFormat="1" customHeight="1"/>
    <row r="3073" customFormat="1" customHeight="1"/>
    <row r="3074" customFormat="1" customHeight="1"/>
    <row r="3075" customFormat="1" customHeight="1"/>
    <row r="3076" customFormat="1" customHeight="1"/>
    <row r="3077" customFormat="1" customHeight="1"/>
    <row r="3078" customFormat="1" customHeight="1"/>
    <row r="3079" customFormat="1" customHeight="1"/>
    <row r="3080" customFormat="1" customHeight="1"/>
    <row r="3081" customFormat="1" customHeight="1"/>
    <row r="3082" customFormat="1" customHeight="1"/>
    <row r="3083" customFormat="1" customHeight="1"/>
    <row r="3084" customFormat="1" customHeight="1"/>
    <row r="3085" customFormat="1" customHeight="1"/>
    <row r="3086" customFormat="1" customHeight="1"/>
    <row r="3087" customFormat="1" customHeight="1"/>
    <row r="3088" customFormat="1" customHeight="1"/>
    <row r="3089" customFormat="1" customHeight="1"/>
    <row r="3090" customFormat="1" customHeight="1"/>
    <row r="3091" customFormat="1" customHeight="1"/>
    <row r="3092" customFormat="1" customHeight="1"/>
    <row r="3093" customFormat="1" customHeight="1"/>
    <row r="3094" customFormat="1" customHeight="1"/>
    <row r="3095" customFormat="1" customHeight="1"/>
    <row r="3096" customFormat="1" customHeight="1"/>
    <row r="3097" customFormat="1" customHeight="1"/>
    <row r="3098" customFormat="1" customHeight="1"/>
    <row r="3099" customFormat="1" customHeight="1"/>
    <row r="3100" customFormat="1" customHeight="1"/>
    <row r="3101" customFormat="1" customHeight="1"/>
    <row r="3102" customFormat="1" customHeight="1"/>
    <row r="3103" customFormat="1" customHeight="1"/>
    <row r="3104" customFormat="1" customHeight="1"/>
    <row r="3105" customFormat="1" customHeight="1"/>
    <row r="3106" customFormat="1" customHeight="1"/>
    <row r="3107" customFormat="1" customHeight="1"/>
    <row r="3108" customFormat="1" customHeight="1"/>
    <row r="3109" customFormat="1" customHeight="1"/>
    <row r="3110" customFormat="1" customHeight="1"/>
    <row r="3111" customFormat="1" customHeight="1"/>
    <row r="3112" customFormat="1" customHeight="1"/>
    <row r="3113" customFormat="1" customHeight="1"/>
    <row r="3114" customFormat="1" customHeight="1"/>
    <row r="3115" customFormat="1" customHeight="1"/>
    <row r="3116" customFormat="1" customHeight="1"/>
    <row r="3117" customFormat="1" customHeight="1"/>
    <row r="3118" customFormat="1" customHeight="1"/>
    <row r="3119" customFormat="1" customHeight="1"/>
    <row r="3120" customFormat="1" customHeight="1"/>
    <row r="3121" customFormat="1" customHeight="1"/>
    <row r="3122" customFormat="1" customHeight="1"/>
    <row r="3123" customFormat="1" customHeight="1"/>
    <row r="3124" customFormat="1" customHeight="1"/>
    <row r="3125" customFormat="1" customHeight="1"/>
    <row r="3126" customFormat="1" customHeight="1"/>
    <row r="3127" customFormat="1" customHeight="1"/>
    <row r="3128" customFormat="1" customHeight="1"/>
    <row r="3129" customFormat="1" customHeight="1"/>
    <row r="3130" customFormat="1" customHeight="1"/>
    <row r="3131" customFormat="1" customHeight="1"/>
    <row r="3132" customFormat="1" customHeight="1"/>
    <row r="3133" customFormat="1" customHeight="1"/>
    <row r="3134" customFormat="1" customHeight="1"/>
    <row r="3135" customFormat="1" customHeight="1"/>
    <row r="3136" customFormat="1" customHeight="1"/>
    <row r="3137" customFormat="1" customHeight="1"/>
    <row r="3138" customFormat="1" customHeight="1"/>
    <row r="3139" customFormat="1" customHeight="1"/>
    <row r="3140" customFormat="1" customHeight="1"/>
    <row r="3141" customFormat="1" customHeight="1"/>
    <row r="3142" customFormat="1" customHeight="1"/>
    <row r="3143" customFormat="1" customHeight="1"/>
    <row r="3144" customFormat="1" customHeight="1"/>
    <row r="3145" customFormat="1" customHeight="1"/>
    <row r="3146" customFormat="1" customHeight="1"/>
    <row r="3147" customFormat="1" customHeight="1"/>
    <row r="3148" customFormat="1" customHeight="1"/>
    <row r="3149" customFormat="1" customHeight="1"/>
    <row r="3150" customFormat="1" customHeight="1"/>
    <row r="3151" customFormat="1" customHeight="1"/>
    <row r="3152" customFormat="1" customHeight="1"/>
    <row r="3153" customFormat="1" customHeight="1"/>
    <row r="3154" customFormat="1" customHeight="1"/>
    <row r="3155" customFormat="1" customHeight="1"/>
    <row r="3156" customFormat="1" customHeight="1"/>
    <row r="3157" customFormat="1" customHeight="1"/>
    <row r="3158" customFormat="1" customHeight="1"/>
    <row r="3159" customFormat="1" customHeight="1"/>
    <row r="3160" customFormat="1" customHeight="1"/>
    <row r="3161" customFormat="1" customHeight="1"/>
    <row r="3162" customFormat="1" customHeight="1"/>
    <row r="3163" customFormat="1" customHeight="1"/>
    <row r="3164" customFormat="1" customHeight="1"/>
    <row r="3165" customFormat="1" customHeight="1"/>
    <row r="3166" customFormat="1" customHeight="1"/>
    <row r="3167" customFormat="1" customHeight="1"/>
    <row r="3168" customFormat="1" customHeight="1"/>
    <row r="3169" customFormat="1" customHeight="1"/>
    <row r="3170" customFormat="1" customHeight="1"/>
    <row r="3171" customFormat="1" customHeight="1"/>
    <row r="3172" customFormat="1" customHeight="1"/>
    <row r="3173" customFormat="1" customHeight="1"/>
    <row r="3174" customFormat="1" customHeight="1"/>
    <row r="3175" customFormat="1" customHeight="1"/>
    <row r="3176" customFormat="1" customHeight="1"/>
    <row r="3177" customFormat="1" customHeight="1"/>
    <row r="3178" customFormat="1" customHeight="1"/>
    <row r="3179" customFormat="1" customHeight="1"/>
    <row r="3180" customFormat="1" customHeight="1"/>
    <row r="3181" customFormat="1" customHeight="1"/>
    <row r="3182" customFormat="1" customHeight="1"/>
    <row r="3183" customFormat="1" customHeight="1"/>
    <row r="3184" customFormat="1" customHeight="1"/>
    <row r="3185" customFormat="1" customHeight="1"/>
    <row r="3186" customFormat="1" customHeight="1"/>
    <row r="3187" customFormat="1" customHeight="1"/>
    <row r="3188" customFormat="1" customHeight="1"/>
    <row r="3189" customFormat="1" customHeight="1"/>
    <row r="3190" customFormat="1" customHeight="1"/>
    <row r="3191" customFormat="1" customHeight="1"/>
    <row r="3192" customFormat="1" customHeight="1"/>
    <row r="3193" customFormat="1" customHeight="1"/>
    <row r="3194" customFormat="1" customHeight="1"/>
    <row r="3195" customFormat="1" customHeight="1"/>
    <row r="3196" customFormat="1" customHeight="1"/>
    <row r="3197" customFormat="1" customHeight="1"/>
    <row r="3198" customFormat="1" customHeight="1"/>
    <row r="3199" customFormat="1" customHeight="1"/>
    <row r="3200" customFormat="1" customHeight="1"/>
    <row r="3201" customFormat="1" customHeight="1"/>
    <row r="3202" customFormat="1" customHeight="1"/>
    <row r="3203" customFormat="1" customHeight="1"/>
    <row r="3204" customFormat="1" customHeight="1"/>
    <row r="3205" customFormat="1" customHeight="1"/>
    <row r="3206" customFormat="1" customHeight="1"/>
    <row r="3207" customFormat="1" customHeight="1"/>
    <row r="3208" customFormat="1" customHeight="1"/>
    <row r="3209" customFormat="1" customHeight="1"/>
    <row r="3210" customFormat="1" customHeight="1"/>
    <row r="3211" customFormat="1" customHeight="1"/>
    <row r="3212" customFormat="1" customHeight="1"/>
    <row r="3213" customFormat="1" customHeight="1"/>
    <row r="3214" customFormat="1" customHeight="1"/>
    <row r="3215" customFormat="1" customHeight="1"/>
    <row r="3216" customFormat="1" customHeight="1"/>
    <row r="3217" customFormat="1" customHeight="1"/>
    <row r="3218" customFormat="1" customHeight="1"/>
    <row r="3219" customFormat="1" customHeight="1"/>
    <row r="3220" customFormat="1" customHeight="1"/>
    <row r="3221" customFormat="1" customHeight="1"/>
    <row r="3222" customFormat="1" customHeight="1"/>
    <row r="3223" customFormat="1" customHeight="1"/>
    <row r="3224" customFormat="1" customHeight="1"/>
    <row r="3225" customFormat="1" customHeight="1"/>
    <row r="3226" customFormat="1" customHeight="1"/>
    <row r="3227" customFormat="1" customHeight="1"/>
    <row r="3228" customFormat="1" customHeight="1"/>
    <row r="3229" customFormat="1" customHeight="1"/>
    <row r="3230" customFormat="1" customHeight="1"/>
    <row r="3231" customFormat="1" customHeight="1"/>
    <row r="3232" customFormat="1" customHeight="1"/>
    <row r="3233" customFormat="1" customHeight="1"/>
    <row r="3234" customFormat="1" customHeight="1"/>
    <row r="3235" customFormat="1" customHeight="1"/>
    <row r="3236" customFormat="1" customHeight="1"/>
    <row r="3237" customFormat="1" customHeight="1"/>
    <row r="3238" customFormat="1" customHeight="1"/>
    <row r="3239" customFormat="1" customHeight="1"/>
    <row r="3240" customFormat="1" customHeight="1"/>
    <row r="3241" customFormat="1" customHeight="1"/>
    <row r="3242" customFormat="1" customHeight="1"/>
    <row r="3243" customFormat="1" customHeight="1"/>
    <row r="3244" customFormat="1" customHeight="1"/>
    <row r="3245" customFormat="1" customHeight="1"/>
    <row r="3246" customFormat="1" customHeight="1"/>
    <row r="3247" customFormat="1" customHeight="1"/>
    <row r="3248" customFormat="1" customHeight="1"/>
    <row r="3249" customFormat="1" customHeight="1"/>
    <row r="3250" customFormat="1" customHeight="1"/>
    <row r="3251" customFormat="1" customHeight="1"/>
    <row r="3252" customFormat="1" customHeight="1"/>
    <row r="3253" customFormat="1" customHeight="1"/>
    <row r="3254" customFormat="1" customHeight="1"/>
    <row r="3255" customFormat="1" customHeight="1"/>
    <row r="3256" customFormat="1" customHeight="1"/>
    <row r="3257" customFormat="1" customHeight="1"/>
    <row r="3258" customFormat="1" customHeight="1"/>
    <row r="3259" customFormat="1" customHeight="1"/>
    <row r="3260" customFormat="1" customHeight="1"/>
    <row r="3261" customFormat="1" customHeight="1"/>
    <row r="3262" customFormat="1" customHeight="1"/>
    <row r="3263" customFormat="1" customHeight="1"/>
    <row r="3264" customFormat="1" customHeight="1"/>
    <row r="3265" customFormat="1" customHeight="1"/>
    <row r="3266" customFormat="1" customHeight="1"/>
    <row r="3267" customFormat="1" customHeight="1"/>
    <row r="3268" customFormat="1" customHeight="1"/>
    <row r="3269" customFormat="1" customHeight="1"/>
    <row r="3270" customFormat="1" customHeight="1"/>
    <row r="3271" customFormat="1" customHeight="1"/>
    <row r="3272" customFormat="1" customHeight="1"/>
    <row r="3273" customFormat="1" customHeight="1"/>
    <row r="3274" customFormat="1" customHeight="1"/>
    <row r="3275" customFormat="1" customHeight="1"/>
    <row r="3276" customFormat="1" customHeight="1"/>
    <row r="3277" customFormat="1" customHeight="1"/>
    <row r="3278" customFormat="1" customHeight="1"/>
    <row r="3279" customFormat="1" customHeight="1"/>
    <row r="3280" customFormat="1" customHeight="1"/>
    <row r="3281" customFormat="1" customHeight="1"/>
    <row r="3282" customFormat="1" customHeight="1"/>
    <row r="3283" customFormat="1" customHeight="1"/>
    <row r="3284" customFormat="1" customHeight="1"/>
    <row r="3285" customFormat="1" customHeight="1"/>
    <row r="3286" customFormat="1" customHeight="1"/>
    <row r="3287" customFormat="1" customHeight="1"/>
    <row r="3288" customFormat="1" customHeight="1"/>
    <row r="3289" customFormat="1" customHeight="1"/>
    <row r="3290" customFormat="1" customHeight="1"/>
    <row r="3291" customFormat="1" customHeight="1"/>
    <row r="3292" customFormat="1" customHeight="1"/>
    <row r="3293" customFormat="1" customHeight="1"/>
    <row r="3294" customFormat="1" customHeight="1"/>
    <row r="3295" customFormat="1" customHeight="1"/>
    <row r="3296" customFormat="1" customHeight="1"/>
    <row r="3297" customFormat="1" customHeight="1"/>
    <row r="3298" customFormat="1" customHeight="1"/>
    <row r="3299" customFormat="1" customHeight="1"/>
    <row r="3300" customFormat="1" customHeight="1"/>
    <row r="3301" customFormat="1" customHeight="1"/>
    <row r="3302" customFormat="1" customHeight="1"/>
    <row r="3303" customFormat="1" customHeight="1"/>
    <row r="3304" customFormat="1" customHeight="1"/>
    <row r="3305" customFormat="1" customHeight="1"/>
    <row r="3306" customFormat="1" customHeight="1"/>
    <row r="3307" customFormat="1" customHeight="1"/>
    <row r="3308" customFormat="1" customHeight="1"/>
    <row r="3309" customFormat="1" customHeight="1"/>
    <row r="3310" customFormat="1" customHeight="1"/>
    <row r="3311" customFormat="1" customHeight="1"/>
    <row r="3312" customFormat="1" customHeight="1"/>
    <row r="3313" customFormat="1" customHeight="1"/>
    <row r="3314" customFormat="1" customHeight="1"/>
    <row r="3315" customFormat="1" customHeight="1"/>
    <row r="3316" customFormat="1" customHeight="1"/>
    <row r="3317" customFormat="1" customHeight="1"/>
    <row r="3318" customFormat="1" customHeight="1"/>
    <row r="3319" customFormat="1" customHeight="1"/>
    <row r="3320" customFormat="1" customHeight="1"/>
    <row r="3321" customFormat="1" customHeight="1"/>
    <row r="3322" customFormat="1" customHeight="1"/>
    <row r="3323" customFormat="1" customHeight="1"/>
    <row r="3324" customFormat="1" customHeight="1"/>
    <row r="3325" customFormat="1" customHeight="1"/>
    <row r="3326" customFormat="1" customHeight="1"/>
    <row r="3327" customFormat="1" customHeight="1"/>
    <row r="3328" customFormat="1" customHeight="1"/>
    <row r="3329" customFormat="1" customHeight="1"/>
    <row r="3330" customFormat="1" customHeight="1"/>
    <row r="3331" customFormat="1" customHeight="1"/>
    <row r="3332" customFormat="1" customHeight="1"/>
    <row r="3333" customFormat="1" customHeight="1"/>
    <row r="3334" customFormat="1" customHeight="1"/>
    <row r="3335" customFormat="1" customHeight="1"/>
    <row r="3336" customFormat="1" customHeight="1"/>
    <row r="3337" customFormat="1" customHeight="1"/>
    <row r="3338" customFormat="1" customHeight="1"/>
    <row r="3339" customFormat="1" customHeight="1"/>
    <row r="3340" customFormat="1" customHeight="1"/>
    <row r="3341" customFormat="1" customHeight="1"/>
    <row r="3342" customFormat="1" customHeight="1"/>
    <row r="3343" customFormat="1" customHeight="1"/>
    <row r="3344" customFormat="1" customHeight="1"/>
    <row r="3345" customFormat="1" customHeight="1"/>
    <row r="3346" customFormat="1" customHeight="1"/>
    <row r="3347" customFormat="1" customHeight="1"/>
    <row r="3348" customFormat="1" customHeight="1"/>
    <row r="3349" customFormat="1" customHeight="1"/>
    <row r="3350" customFormat="1" customHeight="1"/>
    <row r="3351" customFormat="1" customHeight="1"/>
    <row r="3352" customFormat="1" customHeight="1"/>
    <row r="3353" customFormat="1" customHeight="1"/>
    <row r="3354" customFormat="1" customHeight="1"/>
    <row r="3355" customFormat="1" customHeight="1"/>
    <row r="3356" customFormat="1" customHeight="1"/>
    <row r="3357" customFormat="1" customHeight="1"/>
    <row r="3358" customFormat="1" customHeight="1"/>
    <row r="3359" customFormat="1" customHeight="1"/>
    <row r="3360" customFormat="1" customHeight="1"/>
    <row r="3361" customFormat="1" customHeight="1"/>
    <row r="3362" customFormat="1" customHeight="1"/>
    <row r="3363" customFormat="1" customHeight="1"/>
    <row r="3364" customFormat="1" customHeight="1"/>
    <row r="3365" customFormat="1" customHeight="1"/>
    <row r="3366" customFormat="1" customHeight="1"/>
    <row r="3367" customFormat="1" customHeight="1"/>
    <row r="3368" customFormat="1" customHeight="1"/>
    <row r="3369" customFormat="1" customHeight="1"/>
    <row r="3370" customFormat="1" customHeight="1"/>
    <row r="3371" customFormat="1" customHeight="1"/>
    <row r="3372" customFormat="1" customHeight="1"/>
    <row r="3373" customFormat="1" customHeight="1"/>
    <row r="3374" customFormat="1" customHeight="1"/>
    <row r="3375" customFormat="1" customHeight="1"/>
    <row r="3376" customFormat="1" customHeight="1"/>
    <row r="3377" customFormat="1" customHeight="1"/>
    <row r="3378" customFormat="1" customHeight="1"/>
    <row r="3379" customFormat="1" customHeight="1"/>
    <row r="3380" customFormat="1" customHeight="1"/>
    <row r="3381" customFormat="1" customHeight="1"/>
    <row r="3382" customFormat="1" customHeight="1"/>
    <row r="3383" customFormat="1" customHeight="1"/>
    <row r="3384" customFormat="1" customHeight="1"/>
    <row r="3385" customFormat="1" customHeight="1"/>
    <row r="3386" customFormat="1" customHeight="1"/>
    <row r="3387" customFormat="1" customHeight="1"/>
    <row r="3388" customFormat="1" customHeight="1"/>
    <row r="3389" customFormat="1" customHeight="1"/>
    <row r="3390" customFormat="1" customHeight="1"/>
    <row r="3391" customFormat="1" customHeight="1"/>
    <row r="3392" customFormat="1" customHeight="1"/>
    <row r="3393" customFormat="1" customHeight="1"/>
    <row r="3394" customFormat="1" customHeight="1"/>
    <row r="3395" customFormat="1" customHeight="1"/>
    <row r="3396" customFormat="1" customHeight="1"/>
    <row r="3397" customFormat="1" customHeight="1"/>
    <row r="3398" customFormat="1" customHeight="1"/>
    <row r="3399" customFormat="1" customHeight="1"/>
    <row r="3400" customFormat="1" customHeight="1"/>
    <row r="3401" customFormat="1" customHeight="1"/>
    <row r="3402" customFormat="1" customHeight="1"/>
    <row r="3403" customFormat="1" customHeight="1"/>
    <row r="3404" customFormat="1" customHeight="1"/>
    <row r="3405" customFormat="1" customHeight="1"/>
    <row r="3406" customFormat="1" customHeight="1"/>
    <row r="3407" customFormat="1" customHeight="1"/>
    <row r="3408" customFormat="1" customHeight="1"/>
    <row r="3409" customFormat="1" customHeight="1"/>
    <row r="3410" customFormat="1" customHeight="1"/>
    <row r="3411" customFormat="1" customHeight="1"/>
    <row r="3412" customFormat="1" customHeight="1"/>
    <row r="3413" customFormat="1" customHeight="1"/>
    <row r="3414" customFormat="1" customHeight="1"/>
    <row r="3415" customFormat="1" customHeight="1"/>
    <row r="3416" customFormat="1" customHeight="1"/>
    <row r="3417" customFormat="1" customHeight="1"/>
    <row r="3418" customFormat="1" customHeight="1"/>
    <row r="3419" customFormat="1" customHeight="1"/>
    <row r="3420" customFormat="1" customHeight="1"/>
    <row r="3421" customFormat="1" customHeight="1"/>
    <row r="3422" customFormat="1" customHeight="1"/>
    <row r="3423" customFormat="1" customHeight="1"/>
    <row r="3424" customFormat="1" customHeight="1"/>
    <row r="3425" customFormat="1" customHeight="1"/>
    <row r="3426" customFormat="1" customHeight="1"/>
    <row r="3427" customFormat="1" customHeight="1"/>
    <row r="3428" customFormat="1" customHeight="1"/>
    <row r="3429" customFormat="1" customHeight="1"/>
    <row r="3430" customFormat="1" customHeight="1"/>
    <row r="3431" customFormat="1" customHeight="1"/>
    <row r="3432" customFormat="1" customHeight="1"/>
    <row r="3433" customFormat="1" customHeight="1"/>
    <row r="3434" customFormat="1" customHeight="1"/>
    <row r="3435" customFormat="1" customHeight="1"/>
    <row r="3436" customFormat="1" customHeight="1"/>
    <row r="3437" customFormat="1" customHeight="1"/>
    <row r="3438" customFormat="1" customHeight="1"/>
    <row r="3439" customFormat="1" customHeight="1"/>
    <row r="3440" customFormat="1" customHeight="1"/>
    <row r="3441" customFormat="1" customHeight="1"/>
    <row r="3442" customFormat="1" customHeight="1"/>
    <row r="3443" customFormat="1" customHeight="1"/>
    <row r="3444" customFormat="1" customHeight="1"/>
    <row r="3445" customFormat="1" customHeight="1"/>
    <row r="3446" customFormat="1" customHeight="1"/>
    <row r="3447" customFormat="1" customHeight="1"/>
    <row r="3448" customFormat="1" customHeight="1"/>
    <row r="3449" customFormat="1" customHeight="1"/>
    <row r="3450" customFormat="1" customHeight="1"/>
    <row r="3451" customFormat="1" customHeight="1"/>
    <row r="3452" customFormat="1" customHeight="1"/>
    <row r="3453" customFormat="1" customHeight="1"/>
    <row r="3454" customFormat="1" customHeight="1"/>
    <row r="3455" customFormat="1" customHeight="1"/>
    <row r="3456" customFormat="1" customHeight="1"/>
    <row r="3457" customFormat="1" customHeight="1"/>
    <row r="3458" customFormat="1" customHeight="1"/>
    <row r="3459" customFormat="1" customHeight="1"/>
    <row r="3460" customFormat="1" customHeight="1"/>
    <row r="3461" customFormat="1" customHeight="1"/>
    <row r="3462" customFormat="1" customHeight="1"/>
    <row r="3463" customFormat="1" customHeight="1"/>
    <row r="3464" customFormat="1" customHeight="1"/>
    <row r="3465" customFormat="1" customHeight="1"/>
    <row r="3466" customFormat="1" customHeight="1"/>
    <row r="3467" customFormat="1" customHeight="1"/>
    <row r="3468" customFormat="1" customHeight="1"/>
    <row r="3469" customFormat="1" customHeight="1"/>
    <row r="3470" customFormat="1" customHeight="1"/>
    <row r="3471" customFormat="1" customHeight="1"/>
    <row r="3472" customFormat="1" customHeight="1"/>
    <row r="3473" customFormat="1" customHeight="1"/>
    <row r="3474" customFormat="1" customHeight="1"/>
    <row r="3475" customFormat="1" customHeight="1"/>
    <row r="3476" customFormat="1" customHeight="1"/>
    <row r="3477" customFormat="1" customHeight="1"/>
    <row r="3478" customFormat="1" customHeight="1"/>
    <row r="3479" customFormat="1" customHeight="1"/>
    <row r="3480" customFormat="1" customHeight="1"/>
    <row r="3481" customFormat="1" customHeight="1"/>
    <row r="3482" customFormat="1" customHeight="1"/>
    <row r="3483" customFormat="1" customHeight="1"/>
    <row r="3484" customFormat="1" customHeight="1"/>
    <row r="3485" customFormat="1" customHeight="1"/>
    <row r="3486" customFormat="1" customHeight="1"/>
    <row r="3487" customFormat="1" customHeight="1"/>
    <row r="3488" customFormat="1" customHeight="1"/>
    <row r="3489" customFormat="1" customHeight="1"/>
    <row r="3490" customFormat="1" customHeight="1"/>
    <row r="3491" customFormat="1" customHeight="1"/>
    <row r="3492" customFormat="1" customHeight="1"/>
    <row r="3493" customFormat="1" customHeight="1"/>
    <row r="3494" customFormat="1" customHeight="1"/>
    <row r="3495" customFormat="1" customHeight="1"/>
    <row r="3496" customFormat="1" customHeight="1"/>
    <row r="3497" customFormat="1" customHeight="1"/>
    <row r="3498" customFormat="1" customHeight="1"/>
    <row r="3499" customFormat="1" customHeight="1"/>
    <row r="3500" customFormat="1" customHeight="1"/>
    <row r="3501" customFormat="1" customHeight="1"/>
    <row r="3502" customFormat="1" customHeight="1"/>
    <row r="3503" customFormat="1" customHeight="1"/>
    <row r="3504" customFormat="1" customHeight="1"/>
    <row r="3505" customFormat="1" customHeight="1"/>
    <row r="3506" customFormat="1" customHeight="1"/>
    <row r="3507" customFormat="1" customHeight="1"/>
    <row r="3508" customFormat="1" customHeight="1"/>
    <row r="3509" customFormat="1" customHeight="1"/>
    <row r="3510" customFormat="1" customHeight="1"/>
    <row r="3511" customFormat="1" customHeight="1"/>
    <row r="3512" customFormat="1" customHeight="1"/>
    <row r="3513" customFormat="1" customHeight="1"/>
    <row r="3514" customFormat="1" customHeight="1"/>
    <row r="3515" customFormat="1" customHeight="1"/>
    <row r="3516" customFormat="1" customHeight="1"/>
    <row r="3517" customFormat="1" customHeight="1"/>
    <row r="3518" customFormat="1" customHeight="1"/>
    <row r="3519" customFormat="1" customHeight="1"/>
    <row r="3520" customFormat="1" customHeight="1"/>
    <row r="3521" customFormat="1" customHeight="1"/>
    <row r="3522" customFormat="1" customHeight="1"/>
    <row r="3523" customFormat="1" customHeight="1"/>
    <row r="3524" customFormat="1" customHeight="1"/>
    <row r="3525" customFormat="1" customHeight="1"/>
    <row r="3526" customFormat="1" customHeight="1"/>
    <row r="3527" customFormat="1" customHeight="1"/>
    <row r="3528" customFormat="1" customHeight="1"/>
    <row r="3529" customFormat="1" customHeight="1"/>
    <row r="3530" customFormat="1" customHeight="1"/>
    <row r="3531" customFormat="1" customHeight="1"/>
    <row r="3532" customFormat="1" customHeight="1"/>
    <row r="3533" customFormat="1" customHeight="1"/>
    <row r="3534" customFormat="1" customHeight="1"/>
    <row r="3535" customFormat="1" customHeight="1"/>
    <row r="3536" customFormat="1" customHeight="1"/>
    <row r="3537" customFormat="1" customHeight="1"/>
    <row r="3538" customFormat="1" customHeight="1"/>
    <row r="3539" customFormat="1" customHeight="1"/>
    <row r="3540" customFormat="1" customHeight="1"/>
    <row r="3541" customFormat="1" customHeight="1"/>
    <row r="3542" customFormat="1" customHeight="1"/>
    <row r="3543" customFormat="1" customHeight="1"/>
    <row r="3544" customFormat="1" customHeight="1"/>
    <row r="3545" customFormat="1" customHeight="1"/>
    <row r="3546" customFormat="1" customHeight="1"/>
    <row r="3547" customFormat="1" customHeight="1"/>
    <row r="3548" customFormat="1" customHeight="1"/>
    <row r="3549" customFormat="1" customHeight="1"/>
    <row r="3550" customFormat="1" customHeight="1"/>
  </sheetData>
  <sheetProtection formatCells="0" insertHyperlinks="0" autoFilter="0"/>
  <autoFilter xmlns:etc="http://www.wps.cn/officeDocument/2017/etCustomData" ref="A1:S1343" etc:filterBottomFollowUsedRange="0">
    <extLst/>
  </autoFilter>
  <hyperlinks>
    <hyperlink ref="J2" r:id="rId1" display="查看链接" tooltip="https://www.facebook.com/groups/635928950944558"/>
    <hyperlink ref="M2" r:id="rId2" display="查看帖子" tooltip="https://www.facebook.com/groups/635928950944558/permalink/996849921519124"/>
    <hyperlink ref="J3" r:id="rId3" display="查看链接" tooltip="https://www.facebook.com/groups/156005735850667"/>
    <hyperlink ref="M3" r:id="rId4" display="查看帖子" tooltip="https://www.facebook.com/groups/156005735850667/permalink/1007079404076625/"/>
    <hyperlink ref="J4" r:id="rId5" display="查看链接" tooltip="https://www.facebook.com/groups/379457484265304"/>
    <hyperlink ref="M4" r:id="rId6" display="查看帖子" tooltip="https://www.facebook.com/groups/thefrugalsahm/permalink/605635271647523"/>
    <hyperlink ref="J5" r:id="rId7" display="查看链接" tooltip="https://www.facebook.com/groups/389700749371407"/>
    <hyperlink ref="M5" r:id="rId8" display="查看帖子" tooltip="https://www.facebook.com/groups/liotp/permalink/829077818767029/?mibextid=S66gvF"/>
    <hyperlink ref="J6" r:id="rId9" display="查看链接" tooltip="https://www.facebook.com/groups/4617002575006363"/>
    <hyperlink ref="J7" r:id="rId10" display="查看链接" tooltip="https://www.facebook.com/groups/679941889134209"/>
    <hyperlink ref="M7" r:id="rId11" display="查看帖子" tooltip="https://www.facebook.com/groups/679941889134209/permalink/1819758365152550"/>
    <hyperlink ref="J8" r:id="rId12" display="查看链接" tooltip="https://www.facebook.com/groups/410426780231790"/>
    <hyperlink ref="N8" r:id="rId13" display="查看图片" tooltip="https://cdn.daixialu.com/tmp/5561929145782280__.jpg"/>
    <hyperlink ref="J9" r:id="rId14" display="查看链接" tooltip="https://www.facebook.com/groups/247524832920261"/>
    <hyperlink ref="M9" r:id="rId15" display="查看帖子" tooltip="https://www.facebook.com/groups/247524832920261/permalink/878990146440390/?mibextid=Nif5oz&amp;paipv=0&amp;eav=Afaq7-A2knmgpFJgHvKijieK56GEzZnMD1uMiQisQD_EIxwrpJXtk9-pm2yKasyV3iU&amp;_rdr"/>
    <hyperlink ref="J10" r:id="rId16" display="查看链接" tooltip="https://www.facebook.com/groups/309675624384964"/>
    <hyperlink ref="J11" r:id="rId17" display="查看链接" tooltip="https://www.facebook.com/groups/697178314306457"/>
    <hyperlink ref="M11" r:id="rId18" display="查看帖子" tooltip="https://www.facebook.com/groups/697178314306457/posts/1235798230444460/"/>
    <hyperlink ref="J12" r:id="rId19" display="查看链接" tooltip="https://www.facebook.com/groups/2272404193019511"/>
    <hyperlink ref="J13" r:id="rId20" display="查看链接" tooltip="https://www.facebook.com/Compras-toxicas-con-la-patrona-101594895708272"/>
    <hyperlink ref="N13" r:id="rId21" display="查看图片" tooltip="https://cdn.daixialu.com/tmp/5708633451008008__.jpg"/>
    <hyperlink ref="J14" r:id="rId22" display="查看链接" tooltip="https://www.facebook.com/groups/1240733246313243"/>
    <hyperlink ref="J15" r:id="rId23" display="查看链接" tooltip="https://www.facebook.com/groups/1813369818892293"/>
    <hyperlink ref="M15" r:id="rId24" display="查看帖子" tooltip="https://www.facebook.com/groups/salesaholicgroup/permalink/3855230981372823/"/>
    <hyperlink ref="J16" r:id="rId25" display="查看链接" tooltip="https://www.facebook.com/groups/303805157065867"/>
    <hyperlink ref="J17" r:id="rId26" display="查看链接" tooltip="https://www.facebook.com/groups/3433057343420774"/>
    <hyperlink ref="M17" r:id="rId27" display="查看帖子" tooltip="https://www.facebook.com/groups/shopwithnada/permalink/6831996300193511/"/>
    <hyperlink ref="J18" r:id="rId28" display="查看链接" tooltip="https://www.facebook.com/groups/422988618266575"/>
    <hyperlink ref="J19" r:id="rId29" display="查看链接" tooltip="https://www.facebook.com/groups/2181542232094033"/>
    <hyperlink ref="J20" r:id="rId30" display="查看链接" tooltip="https://www.facebook.com/groups/2486545118068111"/>
    <hyperlink ref="J21" r:id="rId31" display="查看链接" tooltip="https://www.facebook.com/groups/163854847748450"/>
    <hyperlink ref="M21" r:id="rId32" display="查看帖子" tooltip="https://www.facebook.com/groups/bullseyeonthebargain/posts/1494494874684434/"/>
    <hyperlink ref="J22" r:id="rId33" display="查看链接" tooltip="https://www.facebook.com/groups/347280445728185"/>
    <hyperlink ref="J23" r:id="rId34" display="查看链接" tooltip="https://www.facebook.com/groups/281646379410377"/>
    <hyperlink ref="M23" r:id="rId35" display="查看帖子" tooltip="https://www.facebook.com/groups/simplysalesalyssasarah/posts/1320824385492566/"/>
    <hyperlink ref="J24" r:id="rId29" display="查看链接" tooltip="https://www.facebook.com/groups/2181542232094033"/>
    <hyperlink ref="J25" r:id="rId36" display="查看链接" tooltip="https://www.facebook.com/groups/1646879538871219"/>
    <hyperlink ref="M25" r:id="rId37" display="查看帖子" tooltip="https://www.facebook.com/groups/theglitchwitchbysimplyshonna/permalink/4365400973685715"/>
    <hyperlink ref="J26" r:id="rId22" display="查看链接" tooltip="https://www.facebook.com/groups/1240733246313243"/>
    <hyperlink ref="J27" r:id="rId19" display="查看链接" tooltip="https://www.facebook.com/groups/2272404193019511"/>
    <hyperlink ref="J28" r:id="rId28" display="查看链接" tooltip="https://www.facebook.com/groups/422988618266575"/>
    <hyperlink ref="J29" r:id="rId38" display="查看链接" tooltip="https://www.facebook.com/groups/2197492577200898"/>
    <hyperlink ref="J30" r:id="rId39" display="查看链接" tooltip="https://www.facebook.com/groups/276581130519858"/>
    <hyperlink ref="M30" r:id="rId40" display="查看帖子" tooltip="https://www.facebook.com/groups/mommymedeals/posts/854689936042305/"/>
    <hyperlink ref="J31" r:id="rId41" display="查看链接" tooltip="https://www.facebook.com/groups/1552102171668524"/>
    <hyperlink ref="M31" r:id="rId42" display="查看帖子" tooltip="https://www.facebook.com/groups/KouponingWithKatie/permalink/3591434474401940"/>
    <hyperlink ref="J32" r:id="rId43" display="查看链接" tooltip="https://www.facebook.com/groups/349613118971934"/>
    <hyperlink ref="J33" r:id="rId44" display="查看链接" tooltip="https://www.facebook.com/groups/142001749885757"/>
    <hyperlink ref="J34" r:id="rId45" display="查看链接" tooltip="https://www.facebook.com/groups/528046881270010"/>
    <hyperlink ref="M34" r:id="rId46" display="查看帖子" tooltip="https://www.facebook.com/groups/CrazyDiscountCodes/permalink/1570025880405433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0"/>
  <sheetViews>
    <sheetView topLeftCell="B29" workbookViewId="0">
      <selection activeCell="K64" sqref="K64"/>
    </sheetView>
  </sheetViews>
  <sheetFormatPr defaultColWidth="42.6759259259259" defaultRowHeight="14.4" outlineLevelCol="2"/>
  <cols>
    <col min="1" max="16384" width="42.6759259259259" customWidth="1"/>
  </cols>
  <sheetData>
    <row r="1" spans="1:3">
      <c r="A1" s="1" t="s">
        <v>1239</v>
      </c>
      <c r="B1" s="1" t="s">
        <v>1240</v>
      </c>
      <c r="C1" s="1" t="s">
        <v>1241</v>
      </c>
    </row>
    <row r="2" spans="1:3">
      <c r="A2" t="s">
        <v>1242</v>
      </c>
      <c r="B2" t="s">
        <v>1243</v>
      </c>
      <c r="C2" s="1" t="s">
        <v>1244</v>
      </c>
    </row>
    <row r="3" spans="1:3">
      <c r="A3" t="s">
        <v>1245</v>
      </c>
      <c r="B3" t="s">
        <v>1246</v>
      </c>
      <c r="C3" t="s">
        <v>1247</v>
      </c>
    </row>
    <row r="4" spans="1:3">
      <c r="A4" t="s">
        <v>1248</v>
      </c>
      <c r="B4" t="s">
        <v>1249</v>
      </c>
      <c r="C4" t="s">
        <v>1250</v>
      </c>
    </row>
    <row r="5" spans="1:3">
      <c r="A5" t="s">
        <v>1251</v>
      </c>
      <c r="B5" t="s">
        <v>1252</v>
      </c>
      <c r="C5" t="s">
        <v>1253</v>
      </c>
    </row>
    <row r="6" spans="1:3">
      <c r="A6" t="s">
        <v>1254</v>
      </c>
      <c r="B6" s="1" t="s">
        <v>1255</v>
      </c>
      <c r="C6" t="s">
        <v>1256</v>
      </c>
    </row>
    <row r="7" spans="1:3">
      <c r="A7" t="s">
        <v>1257</v>
      </c>
      <c r="B7" t="s">
        <v>1258</v>
      </c>
      <c r="C7" t="s">
        <v>1259</v>
      </c>
    </row>
    <row r="8" spans="1:3">
      <c r="A8" t="s">
        <v>1260</v>
      </c>
      <c r="B8" s="1" t="s">
        <v>1261</v>
      </c>
      <c r="C8" t="s">
        <v>255</v>
      </c>
    </row>
    <row r="9" spans="1:3">
      <c r="A9" t="s">
        <v>1262</v>
      </c>
      <c r="B9" s="1" t="s">
        <v>1263</v>
      </c>
      <c r="C9" t="s">
        <v>1264</v>
      </c>
    </row>
    <row r="10" spans="1:3">
      <c r="A10" t="s">
        <v>1265</v>
      </c>
      <c r="B10" t="s">
        <v>1266</v>
      </c>
      <c r="C10" t="s">
        <v>1267</v>
      </c>
    </row>
    <row r="11" spans="1:3">
      <c r="A11" t="s">
        <v>1268</v>
      </c>
      <c r="B11" t="s">
        <v>1269</v>
      </c>
      <c r="C11" t="s">
        <v>1270</v>
      </c>
    </row>
    <row r="12" spans="1:3">
      <c r="A12" t="s">
        <v>1271</v>
      </c>
      <c r="B12" t="s">
        <v>1272</v>
      </c>
      <c r="C12" t="s">
        <v>1273</v>
      </c>
    </row>
    <row r="13" spans="1:3">
      <c r="A13" t="s">
        <v>1274</v>
      </c>
      <c r="B13" s="1" t="s">
        <v>1275</v>
      </c>
      <c r="C13" t="s">
        <v>1276</v>
      </c>
    </row>
    <row r="14" spans="1:3">
      <c r="A14" t="s">
        <v>1277</v>
      </c>
      <c r="B14" s="1" t="s">
        <v>1278</v>
      </c>
      <c r="C14" t="s">
        <v>1279</v>
      </c>
    </row>
    <row r="15" spans="1:3">
      <c r="A15" t="s">
        <v>1280</v>
      </c>
      <c r="B15" t="s">
        <v>1281</v>
      </c>
      <c r="C15" t="s">
        <v>1282</v>
      </c>
    </row>
    <row r="16" spans="1:3">
      <c r="A16" t="s">
        <v>1283</v>
      </c>
      <c r="B16" t="s">
        <v>1284</v>
      </c>
      <c r="C16" t="s">
        <v>1285</v>
      </c>
    </row>
    <row r="17" spans="1:3">
      <c r="A17" t="s">
        <v>1286</v>
      </c>
      <c r="B17" t="s">
        <v>1287</v>
      </c>
      <c r="C17" t="s">
        <v>1288</v>
      </c>
    </row>
    <row r="18" spans="1:3">
      <c r="A18" t="s">
        <v>1289</v>
      </c>
      <c r="B18" s="1" t="s">
        <v>1290</v>
      </c>
      <c r="C18" t="s">
        <v>1291</v>
      </c>
    </row>
    <row r="19" spans="1:3">
      <c r="A19" t="s">
        <v>1292</v>
      </c>
      <c r="B19" s="1" t="s">
        <v>1293</v>
      </c>
      <c r="C19" t="s">
        <v>1294</v>
      </c>
    </row>
    <row r="20" spans="1:3">
      <c r="A20" t="s">
        <v>1295</v>
      </c>
      <c r="B20" s="1" t="s">
        <v>1296</v>
      </c>
      <c r="C20" t="s">
        <v>1297</v>
      </c>
    </row>
    <row r="21" spans="1:3">
      <c r="A21" t="s">
        <v>1298</v>
      </c>
      <c r="B21" s="2" t="s">
        <v>1299</v>
      </c>
      <c r="C21" t="s">
        <v>1300</v>
      </c>
    </row>
    <row r="22" spans="1:3">
      <c r="A22" t="s">
        <v>1301</v>
      </c>
      <c r="B22" s="1" t="s">
        <v>1302</v>
      </c>
      <c r="C22" t="s">
        <v>1303</v>
      </c>
    </row>
    <row r="23" spans="1:3">
      <c r="A23" t="s">
        <v>534</v>
      </c>
      <c r="B23" s="1" t="s">
        <v>1304</v>
      </c>
      <c r="C23" t="s">
        <v>1305</v>
      </c>
    </row>
    <row r="24" spans="1:3">
      <c r="A24" t="s">
        <v>1306</v>
      </c>
      <c r="B24" s="1" t="s">
        <v>1307</v>
      </c>
      <c r="C24" t="s">
        <v>1308</v>
      </c>
    </row>
    <row r="25" spans="1:3">
      <c r="A25" t="s">
        <v>1309</v>
      </c>
      <c r="B25" s="1" t="s">
        <v>1310</v>
      </c>
      <c r="C25" t="s">
        <v>1311</v>
      </c>
    </row>
    <row r="26" spans="1:3">
      <c r="A26" t="s">
        <v>1312</v>
      </c>
      <c r="B26" s="1" t="s">
        <v>1313</v>
      </c>
      <c r="C26" t="s">
        <v>1314</v>
      </c>
    </row>
    <row r="27" spans="1:3">
      <c r="A27" t="s">
        <v>1315</v>
      </c>
      <c r="B27" s="1" t="s">
        <v>1316</v>
      </c>
      <c r="C27" t="s">
        <v>1317</v>
      </c>
    </row>
    <row r="28" spans="1:3">
      <c r="A28" t="s">
        <v>504</v>
      </c>
      <c r="B28" s="1" t="s">
        <v>1318</v>
      </c>
      <c r="C28" t="s">
        <v>1319</v>
      </c>
    </row>
    <row r="29" spans="1:3">
      <c r="A29" t="s">
        <v>1320</v>
      </c>
      <c r="B29" s="1" t="s">
        <v>1321</v>
      </c>
      <c r="C29" t="s">
        <v>1322</v>
      </c>
    </row>
    <row r="30" spans="1:3">
      <c r="A30" t="s">
        <v>475</v>
      </c>
      <c r="B30" s="1" t="s">
        <v>1323</v>
      </c>
      <c r="C30" t="s">
        <v>1324</v>
      </c>
    </row>
    <row r="31" spans="1:3">
      <c r="A31" t="s">
        <v>1325</v>
      </c>
      <c r="B31" s="1" t="s">
        <v>1326</v>
      </c>
      <c r="C31" t="s">
        <v>1327</v>
      </c>
    </row>
    <row r="32" spans="1:3">
      <c r="A32" t="s">
        <v>421</v>
      </c>
      <c r="B32" s="1" t="s">
        <v>1328</v>
      </c>
      <c r="C32">
        <v>360</v>
      </c>
    </row>
    <row r="33" spans="1:3">
      <c r="A33" t="s">
        <v>1329</v>
      </c>
      <c r="B33" s="1" t="s">
        <v>1330</v>
      </c>
      <c r="C33" t="s">
        <v>1331</v>
      </c>
    </row>
    <row r="34" spans="1:3">
      <c r="A34" t="s">
        <v>1332</v>
      </c>
      <c r="B34" s="3" t="s">
        <v>1333</v>
      </c>
      <c r="C34" t="s">
        <v>1334</v>
      </c>
    </row>
    <row r="35" spans="1:3">
      <c r="A35" t="s">
        <v>1335</v>
      </c>
      <c r="B35" s="3" t="s">
        <v>1336</v>
      </c>
      <c r="C35" t="s">
        <v>1337</v>
      </c>
    </row>
    <row r="36" spans="1:3">
      <c r="A36" t="s">
        <v>1338</v>
      </c>
      <c r="B36" s="3" t="s">
        <v>1257</v>
      </c>
      <c r="C36" t="s">
        <v>1339</v>
      </c>
    </row>
    <row r="37" spans="1:3">
      <c r="A37" t="s">
        <v>1340</v>
      </c>
      <c r="B37" s="3" t="s">
        <v>1341</v>
      </c>
      <c r="C37" t="s">
        <v>1342</v>
      </c>
    </row>
    <row r="38" spans="1:3">
      <c r="A38" t="s">
        <v>1343</v>
      </c>
      <c r="B38" s="3" t="s">
        <v>1244</v>
      </c>
      <c r="C38" t="s">
        <v>1344</v>
      </c>
    </row>
    <row r="39" spans="1:3">
      <c r="A39" t="s">
        <v>1345</v>
      </c>
      <c r="B39" s="3" t="s">
        <v>1346</v>
      </c>
      <c r="C39" t="s">
        <v>1347</v>
      </c>
    </row>
    <row r="40" spans="1:3">
      <c r="A40" t="s">
        <v>1348</v>
      </c>
      <c r="B40" s="3" t="s">
        <v>1349</v>
      </c>
      <c r="C40" t="s">
        <v>1350</v>
      </c>
    </row>
    <row r="41" spans="1:3">
      <c r="A41" t="s">
        <v>1351</v>
      </c>
      <c r="B41" s="3" t="s">
        <v>1352</v>
      </c>
      <c r="C41" t="s">
        <v>1353</v>
      </c>
    </row>
    <row r="42" spans="1:3">
      <c r="A42" s="4" t="s">
        <v>1354</v>
      </c>
      <c r="B42" s="3" t="s">
        <v>1355</v>
      </c>
      <c r="C42" t="s">
        <v>1356</v>
      </c>
    </row>
    <row r="43" spans="1:3">
      <c r="A43" s="4" t="s">
        <v>1357</v>
      </c>
      <c r="B43" s="3" t="s">
        <v>1358</v>
      </c>
      <c r="C43" t="s">
        <v>1359</v>
      </c>
    </row>
    <row r="44" spans="1:3">
      <c r="A44" s="4" t="s">
        <v>1360</v>
      </c>
      <c r="B44" s="3" t="s">
        <v>504</v>
      </c>
      <c r="C44" t="s">
        <v>1361</v>
      </c>
    </row>
    <row r="45" spans="1:3">
      <c r="A45" s="4" t="s">
        <v>1257</v>
      </c>
      <c r="B45" s="3" t="s">
        <v>1296</v>
      </c>
      <c r="C45" t="s">
        <v>1362</v>
      </c>
    </row>
    <row r="46" spans="1:3">
      <c r="A46" s="4" t="s">
        <v>1363</v>
      </c>
      <c r="B46" s="3" t="s">
        <v>1364</v>
      </c>
      <c r="C46" t="s">
        <v>1365</v>
      </c>
    </row>
    <row r="47" spans="1:3">
      <c r="A47" s="4" t="s">
        <v>251</v>
      </c>
      <c r="B47" s="3" t="s">
        <v>1366</v>
      </c>
      <c r="C47" t="s">
        <v>1367</v>
      </c>
    </row>
    <row r="48" spans="1:3">
      <c r="A48" s="4" t="s">
        <v>203</v>
      </c>
      <c r="B48" s="3" t="s">
        <v>265</v>
      </c>
      <c r="C48" t="s">
        <v>1368</v>
      </c>
    </row>
    <row r="49" spans="1:3">
      <c r="A49" s="4" t="s">
        <v>1369</v>
      </c>
      <c r="B49" s="3" t="s">
        <v>255</v>
      </c>
      <c r="C49" t="s">
        <v>1370</v>
      </c>
    </row>
    <row r="50" spans="1:3">
      <c r="A50" s="4" t="s">
        <v>205</v>
      </c>
      <c r="B50" s="3" t="s">
        <v>1246</v>
      </c>
      <c r="C50" t="s">
        <v>1371</v>
      </c>
    </row>
    <row r="51" spans="1:3">
      <c r="A51" s="4" t="s">
        <v>1251</v>
      </c>
      <c r="B51" s="3" t="s">
        <v>1372</v>
      </c>
      <c r="C51" t="s">
        <v>1373</v>
      </c>
    </row>
    <row r="52" spans="1:3">
      <c r="A52" s="4" t="s">
        <v>290</v>
      </c>
      <c r="B52" s="3" t="s">
        <v>1374</v>
      </c>
      <c r="C52" t="s">
        <v>1375</v>
      </c>
    </row>
    <row r="53" spans="1:3">
      <c r="A53" s="4" t="s">
        <v>504</v>
      </c>
      <c r="B53" s="3" t="s">
        <v>1313</v>
      </c>
      <c r="C53" t="s">
        <v>1376</v>
      </c>
    </row>
    <row r="54" spans="1:3">
      <c r="A54" s="4" t="s">
        <v>1377</v>
      </c>
      <c r="B54" s="3" t="s">
        <v>1378</v>
      </c>
      <c r="C54" t="s">
        <v>1379</v>
      </c>
    </row>
    <row r="55" spans="1:3">
      <c r="A55" s="4" t="s">
        <v>1380</v>
      </c>
      <c r="B55" s="3" t="s">
        <v>1381</v>
      </c>
      <c r="C55" t="s">
        <v>1382</v>
      </c>
    </row>
    <row r="56" spans="1:3">
      <c r="A56" s="4" t="s">
        <v>1383</v>
      </c>
      <c r="B56" s="3" t="s">
        <v>1384</v>
      </c>
      <c r="C56" t="s">
        <v>1385</v>
      </c>
    </row>
    <row r="57" spans="1:3">
      <c r="A57" s="4" t="s">
        <v>1386</v>
      </c>
      <c r="B57" s="3" t="s">
        <v>1387</v>
      </c>
      <c r="C57" t="s">
        <v>1388</v>
      </c>
    </row>
    <row r="58" spans="1:3">
      <c r="A58" s="4" t="s">
        <v>1389</v>
      </c>
      <c r="B58" s="3" t="s">
        <v>1390</v>
      </c>
      <c r="C58" t="s">
        <v>1391</v>
      </c>
    </row>
    <row r="59" spans="1:3">
      <c r="A59" s="4" t="s">
        <v>211</v>
      </c>
      <c r="B59" s="3" t="s">
        <v>1392</v>
      </c>
      <c r="C59" t="s">
        <v>1393</v>
      </c>
    </row>
    <row r="60" spans="1:3">
      <c r="A60" s="4" t="s">
        <v>1394</v>
      </c>
      <c r="B60" s="3" t="s">
        <v>1395</v>
      </c>
      <c r="C60" t="s">
        <v>1396</v>
      </c>
    </row>
    <row r="61" spans="1:3">
      <c r="A61" s="4" t="s">
        <v>1397</v>
      </c>
      <c r="B61" s="3" t="s">
        <v>1246</v>
      </c>
      <c r="C61" t="s">
        <v>1398</v>
      </c>
    </row>
    <row r="62" spans="1:3">
      <c r="A62" s="4" t="s">
        <v>475</v>
      </c>
      <c r="B62" s="3" t="s">
        <v>1399</v>
      </c>
      <c r="C62" t="s">
        <v>1400</v>
      </c>
    </row>
    <row r="63" spans="1:3">
      <c r="A63" s="4" t="s">
        <v>1401</v>
      </c>
      <c r="B63" s="3" t="s">
        <v>1402</v>
      </c>
      <c r="C63" t="s">
        <v>1403</v>
      </c>
    </row>
    <row r="64" spans="1:3">
      <c r="A64" s="4" t="s">
        <v>458</v>
      </c>
      <c r="B64" s="3" t="s">
        <v>255</v>
      </c>
      <c r="C64" t="s">
        <v>1404</v>
      </c>
    </row>
    <row r="65" spans="1:3">
      <c r="A65" s="4" t="s">
        <v>421</v>
      </c>
      <c r="B65" s="3" t="s">
        <v>1405</v>
      </c>
      <c r="C65" t="s">
        <v>1406</v>
      </c>
    </row>
    <row r="66" spans="1:3">
      <c r="A66" s="4" t="s">
        <v>1407</v>
      </c>
      <c r="B66" s="3" t="s">
        <v>1408</v>
      </c>
      <c r="C66" t="s">
        <v>1409</v>
      </c>
    </row>
    <row r="67" spans="1:3">
      <c r="A67" s="4" t="s">
        <v>1410</v>
      </c>
      <c r="B67" s="3" t="s">
        <v>1411</v>
      </c>
      <c r="C67" t="s">
        <v>1412</v>
      </c>
    </row>
    <row r="68" spans="1:3">
      <c r="A68" s="4" t="s">
        <v>274</v>
      </c>
      <c r="B68" s="3" t="s">
        <v>1413</v>
      </c>
      <c r="C68" t="s">
        <v>1414</v>
      </c>
    </row>
    <row r="69" spans="1:3">
      <c r="A69" s="4" t="s">
        <v>334</v>
      </c>
      <c r="B69" s="3" t="s">
        <v>1415</v>
      </c>
      <c r="C69" t="s">
        <v>1416</v>
      </c>
    </row>
    <row r="70" spans="1:3">
      <c r="A70" s="4" t="s">
        <v>336</v>
      </c>
      <c r="B70" s="5" t="s">
        <v>1417</v>
      </c>
      <c r="C70" t="s">
        <v>1418</v>
      </c>
    </row>
    <row r="71" spans="1:3">
      <c r="A71" s="4" t="s">
        <v>1419</v>
      </c>
      <c r="B71" s="3" t="s">
        <v>1420</v>
      </c>
      <c r="C71" t="s">
        <v>1421</v>
      </c>
    </row>
    <row r="72" spans="1:3">
      <c r="A72" s="4" t="s">
        <v>277</v>
      </c>
      <c r="B72" s="3" t="s">
        <v>1254</v>
      </c>
      <c r="C72" t="s">
        <v>1422</v>
      </c>
    </row>
    <row r="73" spans="1:3">
      <c r="A73" s="4" t="s">
        <v>1423</v>
      </c>
      <c r="B73" s="3" t="s">
        <v>1424</v>
      </c>
      <c r="C73">
        <v>360</v>
      </c>
    </row>
    <row r="74" spans="1:3">
      <c r="A74" s="4" t="s">
        <v>1248</v>
      </c>
      <c r="B74" s="3" t="s">
        <v>1279</v>
      </c>
      <c r="C74" t="s">
        <v>1425</v>
      </c>
    </row>
    <row r="75" spans="1:3">
      <c r="A75" s="4" t="s">
        <v>1426</v>
      </c>
      <c r="B75" s="3" t="s">
        <v>1328</v>
      </c>
      <c r="C75" t="s">
        <v>1427</v>
      </c>
    </row>
    <row r="76" spans="1:3">
      <c r="A76" s="4" t="s">
        <v>331</v>
      </c>
      <c r="B76" s="3" t="s">
        <v>1428</v>
      </c>
      <c r="C76" t="s">
        <v>1429</v>
      </c>
    </row>
    <row r="77" spans="1:3">
      <c r="A77" s="4" t="s">
        <v>255</v>
      </c>
      <c r="B77" s="3" t="s">
        <v>1430</v>
      </c>
      <c r="C77" t="s">
        <v>1431</v>
      </c>
    </row>
    <row r="78" spans="1:3">
      <c r="A78" s="4" t="s">
        <v>1432</v>
      </c>
      <c r="B78" s="3" t="s">
        <v>1336</v>
      </c>
      <c r="C78" t="s">
        <v>1433</v>
      </c>
    </row>
    <row r="79" spans="1:3">
      <c r="A79" s="4" t="s">
        <v>1405</v>
      </c>
      <c r="B79" s="3" t="s">
        <v>1434</v>
      </c>
      <c r="C79" t="s">
        <v>1435</v>
      </c>
    </row>
    <row r="80" spans="1:3">
      <c r="A80" s="4" t="s">
        <v>1436</v>
      </c>
      <c r="B80" s="3" t="s">
        <v>1437</v>
      </c>
      <c r="C80" t="s">
        <v>1438</v>
      </c>
    </row>
    <row r="81" spans="1:3">
      <c r="A81" s="4" t="s">
        <v>1439</v>
      </c>
      <c r="B81" s="3" t="s">
        <v>1243</v>
      </c>
      <c r="C81" t="s">
        <v>1440</v>
      </c>
    </row>
    <row r="82" spans="1:3">
      <c r="A82" s="4" t="s">
        <v>1441</v>
      </c>
      <c r="B82" s="3" t="s">
        <v>1271</v>
      </c>
      <c r="C82" t="s">
        <v>1442</v>
      </c>
    </row>
    <row r="83" spans="1:3">
      <c r="A83" s="6" t="s">
        <v>1443</v>
      </c>
      <c r="B83" s="3" t="s">
        <v>1444</v>
      </c>
      <c r="C83" t="s">
        <v>1445</v>
      </c>
    </row>
    <row r="84" spans="1:3">
      <c r="A84" s="4" t="s">
        <v>1446</v>
      </c>
      <c r="B84" s="3" t="s">
        <v>408</v>
      </c>
      <c r="C84" t="s">
        <v>1447</v>
      </c>
    </row>
    <row r="85" spans="1:3">
      <c r="A85" s="4" t="s">
        <v>1448</v>
      </c>
      <c r="B85" s="3" t="s">
        <v>1449</v>
      </c>
      <c r="C85" t="s">
        <v>1450</v>
      </c>
    </row>
    <row r="86" spans="1:3">
      <c r="A86" s="4" t="s">
        <v>1254</v>
      </c>
      <c r="B86" s="3" t="s">
        <v>1451</v>
      </c>
      <c r="C86" t="s">
        <v>1452</v>
      </c>
    </row>
    <row r="87" spans="1:3">
      <c r="A87" s="4" t="s">
        <v>1453</v>
      </c>
      <c r="B87" s="3" t="s">
        <v>1454</v>
      </c>
      <c r="C87" t="s">
        <v>1455</v>
      </c>
    </row>
    <row r="88" spans="1:3">
      <c r="A88" s="4" t="s">
        <v>338</v>
      </c>
      <c r="B88" s="3" t="s">
        <v>1456</v>
      </c>
      <c r="C88" t="s">
        <v>1457</v>
      </c>
    </row>
    <row r="89" spans="1:3">
      <c r="A89" s="4" t="s">
        <v>1458</v>
      </c>
      <c r="B89" s="3" t="s">
        <v>1459</v>
      </c>
      <c r="C89" t="s">
        <v>1460</v>
      </c>
    </row>
    <row r="90" spans="1:3">
      <c r="A90" s="4" t="s">
        <v>1461</v>
      </c>
      <c r="B90" s="3" t="s">
        <v>1462</v>
      </c>
      <c r="C90" t="s">
        <v>1463</v>
      </c>
    </row>
    <row r="91" spans="1:3">
      <c r="A91" s="4" t="s">
        <v>1464</v>
      </c>
      <c r="B91" s="3" t="s">
        <v>1465</v>
      </c>
      <c r="C91" t="s">
        <v>1466</v>
      </c>
    </row>
    <row r="92" spans="1:3">
      <c r="A92" s="4" t="s">
        <v>1467</v>
      </c>
      <c r="B92" s="3">
        <v>360</v>
      </c>
      <c r="C92" t="s">
        <v>1468</v>
      </c>
    </row>
    <row r="93" spans="1:3">
      <c r="A93" s="4" t="s">
        <v>492</v>
      </c>
      <c r="B93" s="3" t="s">
        <v>1469</v>
      </c>
      <c r="C93" t="s">
        <v>1470</v>
      </c>
    </row>
    <row r="94" spans="1:3">
      <c r="A94" s="4" t="s">
        <v>511</v>
      </c>
      <c r="B94" s="3" t="s">
        <v>1471</v>
      </c>
      <c r="C94" t="s">
        <v>1472</v>
      </c>
    </row>
    <row r="95" spans="1:3">
      <c r="A95" s="4" t="s">
        <v>1473</v>
      </c>
      <c r="B95" s="3" t="s">
        <v>1474</v>
      </c>
      <c r="C95" t="s">
        <v>1475</v>
      </c>
    </row>
    <row r="96" spans="1:3">
      <c r="A96" s="4" t="s">
        <v>543</v>
      </c>
      <c r="B96" s="3" t="s">
        <v>1476</v>
      </c>
      <c r="C96" t="s">
        <v>1477</v>
      </c>
    </row>
    <row r="97" spans="1:3">
      <c r="A97" s="4" t="s">
        <v>1437</v>
      </c>
      <c r="B97" s="3" t="s">
        <v>1478</v>
      </c>
      <c r="C97" t="s">
        <v>1479</v>
      </c>
    </row>
    <row r="98" spans="1:3">
      <c r="A98" s="4" t="s">
        <v>1480</v>
      </c>
      <c r="B98" s="3" t="s">
        <v>1481</v>
      </c>
      <c r="C98" t="s">
        <v>1482</v>
      </c>
    </row>
    <row r="99" spans="1:3">
      <c r="A99" s="4" t="s">
        <v>342</v>
      </c>
      <c r="B99" s="3" t="s">
        <v>1483</v>
      </c>
      <c r="C99" t="s">
        <v>1484</v>
      </c>
    </row>
    <row r="100" spans="1:3">
      <c r="A100" s="4" t="s">
        <v>1271</v>
      </c>
      <c r="B100" s="3" t="s">
        <v>216</v>
      </c>
      <c r="C100" t="s">
        <v>1485</v>
      </c>
    </row>
    <row r="101" spans="1:3">
      <c r="A101" s="4" t="s">
        <v>408</v>
      </c>
      <c r="B101" s="3" t="s">
        <v>1486</v>
      </c>
      <c r="C101" t="s">
        <v>1487</v>
      </c>
    </row>
    <row r="102" spans="1:3">
      <c r="A102" s="4" t="s">
        <v>249</v>
      </c>
      <c r="B102" s="3" t="s">
        <v>1488</v>
      </c>
      <c r="C102" t="s">
        <v>1489</v>
      </c>
    </row>
    <row r="103" spans="1:3">
      <c r="A103" s="4" t="s">
        <v>1490</v>
      </c>
      <c r="B103" s="3" t="s">
        <v>559</v>
      </c>
      <c r="C103" t="s">
        <v>1491</v>
      </c>
    </row>
    <row r="104" spans="1:3">
      <c r="A104" s="4" t="s">
        <v>1492</v>
      </c>
      <c r="B104" s="3" t="s">
        <v>1493</v>
      </c>
      <c r="C104" t="s">
        <v>1494</v>
      </c>
    </row>
    <row r="105" spans="1:3">
      <c r="A105" s="4" t="s">
        <v>376</v>
      </c>
      <c r="B105" s="3" t="s">
        <v>1495</v>
      </c>
      <c r="C105" t="s">
        <v>1496</v>
      </c>
    </row>
    <row r="106" spans="1:3">
      <c r="A106" s="4" t="s">
        <v>800</v>
      </c>
      <c r="B106" s="3" t="s">
        <v>1497</v>
      </c>
      <c r="C106" t="s">
        <v>1498</v>
      </c>
    </row>
    <row r="107" spans="1:3">
      <c r="A107" s="4" t="s">
        <v>1499</v>
      </c>
      <c r="B107" s="3" t="s">
        <v>944</v>
      </c>
      <c r="C107" t="s">
        <v>1500</v>
      </c>
    </row>
    <row r="108" spans="1:3">
      <c r="A108" s="4" t="s">
        <v>509</v>
      </c>
      <c r="B108" s="3" t="s">
        <v>1501</v>
      </c>
      <c r="C108" t="s">
        <v>1502</v>
      </c>
    </row>
    <row r="109" spans="1:3">
      <c r="A109" s="4" t="s">
        <v>1471</v>
      </c>
      <c r="B109" s="3" t="s">
        <v>1503</v>
      </c>
      <c r="C109" t="s">
        <v>1504</v>
      </c>
    </row>
    <row r="110" spans="1:3">
      <c r="A110" s="4" t="s">
        <v>1505</v>
      </c>
      <c r="B110" s="3" t="s">
        <v>1506</v>
      </c>
      <c r="C110" t="s">
        <v>1507</v>
      </c>
    </row>
    <row r="111" spans="1:3">
      <c r="A111" s="4" t="s">
        <v>1508</v>
      </c>
      <c r="B111" s="3" t="s">
        <v>1509</v>
      </c>
      <c r="C111" t="s">
        <v>1510</v>
      </c>
    </row>
    <row r="112" spans="1:3">
      <c r="A112" s="4" t="s">
        <v>1481</v>
      </c>
      <c r="B112" s="3" t="s">
        <v>1511</v>
      </c>
      <c r="C112" t="s">
        <v>1512</v>
      </c>
    </row>
    <row r="113" spans="1:3">
      <c r="A113" s="4" t="s">
        <v>395</v>
      </c>
      <c r="B113" s="3">
        <v>57</v>
      </c>
      <c r="C113" t="s">
        <v>1513</v>
      </c>
    </row>
    <row r="114" spans="1:3">
      <c r="A114" s="4" t="s">
        <v>190</v>
      </c>
      <c r="B114" s="3" t="s">
        <v>1514</v>
      </c>
      <c r="C114" t="s">
        <v>1515</v>
      </c>
    </row>
    <row r="115" spans="1:3">
      <c r="A115" s="4" t="s">
        <v>759</v>
      </c>
      <c r="B115" s="3" t="s">
        <v>1516</v>
      </c>
      <c r="C115" t="s">
        <v>1517</v>
      </c>
    </row>
    <row r="116" spans="1:3">
      <c r="A116" s="4" t="s">
        <v>1488</v>
      </c>
      <c r="B116" s="3" t="s">
        <v>1518</v>
      </c>
      <c r="C116" t="s">
        <v>1519</v>
      </c>
    </row>
    <row r="117" spans="1:3">
      <c r="A117" s="4" t="s">
        <v>1520</v>
      </c>
      <c r="B117" s="3" t="s">
        <v>1521</v>
      </c>
      <c r="C117" t="s">
        <v>1522</v>
      </c>
    </row>
    <row r="118" spans="1:3">
      <c r="A118" s="4" t="s">
        <v>568</v>
      </c>
      <c r="B118" s="3" t="s">
        <v>1523</v>
      </c>
      <c r="C118" t="s">
        <v>1524</v>
      </c>
    </row>
    <row r="119" spans="1:3">
      <c r="A119" s="4" t="s">
        <v>429</v>
      </c>
      <c r="B119" s="3" t="s">
        <v>1525</v>
      </c>
      <c r="C119" t="s">
        <v>1526</v>
      </c>
    </row>
    <row r="120" spans="1:3">
      <c r="A120" s="4" t="s">
        <v>1501</v>
      </c>
      <c r="B120" s="3" t="s">
        <v>1527</v>
      </c>
      <c r="C120" t="s">
        <v>1528</v>
      </c>
    </row>
    <row r="121" spans="1:3">
      <c r="A121" s="4" t="s">
        <v>1503</v>
      </c>
      <c r="B121" s="3" t="s">
        <v>1529</v>
      </c>
      <c r="C121" t="s">
        <v>1530</v>
      </c>
    </row>
    <row r="122" spans="1:3">
      <c r="A122" s="4" t="s">
        <v>1531</v>
      </c>
      <c r="B122" s="3" t="s">
        <v>1532</v>
      </c>
      <c r="C122" t="s">
        <v>1533</v>
      </c>
    </row>
    <row r="123" spans="1:3">
      <c r="A123" s="4" t="s">
        <v>1289</v>
      </c>
      <c r="B123" s="3" t="s">
        <v>1534</v>
      </c>
      <c r="C123" t="s">
        <v>1535</v>
      </c>
    </row>
    <row r="124" spans="1:3">
      <c r="A124" s="4" t="s">
        <v>1536</v>
      </c>
      <c r="B124" s="3" t="s">
        <v>1537</v>
      </c>
      <c r="C124" t="s">
        <v>1538</v>
      </c>
    </row>
    <row r="125" spans="1:3">
      <c r="A125" s="4" t="s">
        <v>379</v>
      </c>
      <c r="B125" s="3" t="s">
        <v>1315</v>
      </c>
      <c r="C125" t="s">
        <v>1539</v>
      </c>
    </row>
    <row r="126" spans="1:3">
      <c r="A126" s="4" t="s">
        <v>1514</v>
      </c>
      <c r="B126" s="3" t="s">
        <v>1540</v>
      </c>
      <c r="C126" t="s">
        <v>1541</v>
      </c>
    </row>
    <row r="127" spans="1:3">
      <c r="A127" s="4" t="s">
        <v>1516</v>
      </c>
      <c r="B127" s="3" t="s">
        <v>1542</v>
      </c>
      <c r="C127" t="s">
        <v>1543</v>
      </c>
    </row>
    <row r="128" spans="1:3">
      <c r="A128" s="4" t="s">
        <v>1544</v>
      </c>
      <c r="B128" s="3" t="s">
        <v>448</v>
      </c>
      <c r="C128" t="s">
        <v>1545</v>
      </c>
    </row>
    <row r="129" spans="1:3">
      <c r="A129" s="4" t="s">
        <v>1521</v>
      </c>
      <c r="B129" s="3" t="s">
        <v>1546</v>
      </c>
      <c r="C129" t="s">
        <v>1547</v>
      </c>
    </row>
    <row r="130" spans="1:3">
      <c r="A130" s="4" t="s">
        <v>1548</v>
      </c>
      <c r="B130" s="3" t="s">
        <v>1549</v>
      </c>
      <c r="C130" t="s">
        <v>1550</v>
      </c>
    </row>
    <row r="131" spans="1:3">
      <c r="A131" s="4" t="s">
        <v>1551</v>
      </c>
      <c r="B131" s="3" t="s">
        <v>1552</v>
      </c>
      <c r="C131" t="s">
        <v>1553</v>
      </c>
    </row>
    <row r="132" spans="1:3">
      <c r="A132" s="4" t="s">
        <v>1523</v>
      </c>
      <c r="B132" s="3" t="s">
        <v>1554</v>
      </c>
      <c r="C132" t="s">
        <v>1555</v>
      </c>
    </row>
    <row r="133" spans="1:3">
      <c r="A133" s="4" t="s">
        <v>1556</v>
      </c>
      <c r="B133" s="3" t="s">
        <v>1557</v>
      </c>
      <c r="C133" t="s">
        <v>1558</v>
      </c>
    </row>
    <row r="134" spans="1:3">
      <c r="A134" s="4" t="s">
        <v>361</v>
      </c>
      <c r="B134" s="3" t="s">
        <v>1559</v>
      </c>
      <c r="C134" t="s">
        <v>1560</v>
      </c>
    </row>
    <row r="135" spans="1:3">
      <c r="A135" s="4" t="s">
        <v>353</v>
      </c>
      <c r="B135" s="3" t="s">
        <v>1301</v>
      </c>
      <c r="C135" t="s">
        <v>1561</v>
      </c>
    </row>
    <row r="136" spans="1:3">
      <c r="A136" s="4" t="s">
        <v>1534</v>
      </c>
      <c r="B136" s="3" t="s">
        <v>1562</v>
      </c>
      <c r="C136" t="s">
        <v>1563</v>
      </c>
    </row>
    <row r="137" spans="1:3">
      <c r="A137" s="4" t="s">
        <v>1537</v>
      </c>
      <c r="B137" s="3" t="s">
        <v>1564</v>
      </c>
      <c r="C137" t="s">
        <v>1565</v>
      </c>
    </row>
    <row r="138" spans="1:3">
      <c r="A138" s="4" t="s">
        <v>1315</v>
      </c>
      <c r="B138" s="3" t="s">
        <v>1486</v>
      </c>
      <c r="C138" t="s">
        <v>1566</v>
      </c>
    </row>
    <row r="139" spans="1:3">
      <c r="A139" s="4" t="s">
        <v>1567</v>
      </c>
      <c r="B139" s="3" t="s">
        <v>1568</v>
      </c>
      <c r="C139" t="s">
        <v>1569</v>
      </c>
    </row>
    <row r="140" spans="1:3">
      <c r="A140" s="4" t="s">
        <v>1540</v>
      </c>
      <c r="B140" s="3" t="s">
        <v>1570</v>
      </c>
      <c r="C140" t="s">
        <v>1571</v>
      </c>
    </row>
    <row r="141" spans="1:3">
      <c r="A141" s="4" t="s">
        <v>1572</v>
      </c>
      <c r="B141" s="3" t="s">
        <v>1573</v>
      </c>
      <c r="C141" t="s">
        <v>1574</v>
      </c>
    </row>
    <row r="142" spans="1:2">
      <c r="A142" s="4" t="s">
        <v>448</v>
      </c>
      <c r="B142" s="3" t="s">
        <v>1575</v>
      </c>
    </row>
    <row r="143" spans="1:2">
      <c r="A143" s="4" t="s">
        <v>605</v>
      </c>
      <c r="B143" s="3" t="s">
        <v>1338</v>
      </c>
    </row>
    <row r="144" spans="1:2">
      <c r="A144" s="4" t="s">
        <v>310</v>
      </c>
      <c r="B144" s="3" t="s">
        <v>1576</v>
      </c>
    </row>
    <row r="145" spans="1:2">
      <c r="A145" s="4" t="s">
        <v>1335</v>
      </c>
      <c r="B145" s="3" t="s">
        <v>1577</v>
      </c>
    </row>
    <row r="146" spans="1:2">
      <c r="A146" s="4" t="s">
        <v>603</v>
      </c>
      <c r="B146" s="3" t="s">
        <v>254</v>
      </c>
    </row>
    <row r="147" spans="1:2">
      <c r="A147" s="4" t="s">
        <v>1557</v>
      </c>
      <c r="B147" s="3" t="s">
        <v>1434</v>
      </c>
    </row>
    <row r="148" spans="1:2">
      <c r="A148" s="4" t="s">
        <v>1559</v>
      </c>
      <c r="B148" s="3" t="s">
        <v>1578</v>
      </c>
    </row>
    <row r="149" spans="1:2">
      <c r="A149" s="4" t="s">
        <v>365</v>
      </c>
      <c r="B149" s="3" t="s">
        <v>1579</v>
      </c>
    </row>
    <row r="150" spans="1:2">
      <c r="A150" s="4" t="s">
        <v>1301</v>
      </c>
      <c r="B150" s="3" t="s">
        <v>1580</v>
      </c>
    </row>
    <row r="151" spans="1:2">
      <c r="A151" s="4" t="s">
        <v>1581</v>
      </c>
      <c r="B151" s="3" t="s">
        <v>1582</v>
      </c>
    </row>
    <row r="152" spans="1:2">
      <c r="A152" s="4" t="s">
        <v>414</v>
      </c>
      <c r="B152" s="3" t="s">
        <v>1583</v>
      </c>
    </row>
    <row r="153" spans="1:2">
      <c r="A153" s="4" t="s">
        <v>314</v>
      </c>
      <c r="B153" s="3" t="s">
        <v>1584</v>
      </c>
    </row>
    <row r="154" spans="1:2">
      <c r="A154" s="4" t="s">
        <v>431</v>
      </c>
      <c r="B154" s="3" t="s">
        <v>1585</v>
      </c>
    </row>
    <row r="155" spans="1:2">
      <c r="A155" s="4" t="s">
        <v>1570</v>
      </c>
      <c r="B155" s="3" t="s">
        <v>1586</v>
      </c>
    </row>
    <row r="156" spans="1:2">
      <c r="A156" s="4" t="s">
        <v>1575</v>
      </c>
      <c r="B156" s="3" t="s">
        <v>1587</v>
      </c>
    </row>
    <row r="157" spans="1:2">
      <c r="A157" s="4" t="s">
        <v>1338</v>
      </c>
      <c r="B157" s="3" t="s">
        <v>1588</v>
      </c>
    </row>
    <row r="158" spans="1:2">
      <c r="A158" s="4" t="s">
        <v>1576</v>
      </c>
      <c r="B158" s="3" t="s">
        <v>1589</v>
      </c>
    </row>
    <row r="159" spans="1:2">
      <c r="A159" s="4" t="s">
        <v>1590</v>
      </c>
      <c r="B159" s="3" t="s">
        <v>1591</v>
      </c>
    </row>
    <row r="160" spans="1:2">
      <c r="A160" s="4" t="s">
        <v>254</v>
      </c>
      <c r="B160" s="3" t="s">
        <v>243</v>
      </c>
    </row>
    <row r="161" spans="1:2">
      <c r="A161" s="4" t="s">
        <v>228</v>
      </c>
      <c r="B161" s="3" t="s">
        <v>1592</v>
      </c>
    </row>
    <row r="162" spans="1:2">
      <c r="A162" s="4" t="s">
        <v>1593</v>
      </c>
      <c r="B162" s="3" t="s">
        <v>1594</v>
      </c>
    </row>
    <row r="163" spans="1:2">
      <c r="A163" s="4" t="s">
        <v>1595</v>
      </c>
      <c r="B163" s="3" t="s">
        <v>263</v>
      </c>
    </row>
    <row r="164" spans="1:2">
      <c r="A164" s="4" t="s">
        <v>1580</v>
      </c>
      <c r="B164" s="3" t="s">
        <v>1596</v>
      </c>
    </row>
    <row r="165" spans="1:2">
      <c r="A165" s="4" t="s">
        <v>1597</v>
      </c>
      <c r="B165" s="3" t="s">
        <v>1262</v>
      </c>
    </row>
    <row r="166" spans="1:2">
      <c r="A166" s="4" t="s">
        <v>1582</v>
      </c>
      <c r="B166" s="3" t="s">
        <v>1598</v>
      </c>
    </row>
    <row r="167" spans="1:2">
      <c r="A167" s="4" t="s">
        <v>1599</v>
      </c>
      <c r="B167" s="3" t="s">
        <v>1600</v>
      </c>
    </row>
    <row r="168" spans="1:2">
      <c r="A168" s="4" t="s">
        <v>1584</v>
      </c>
      <c r="B168" s="3" t="s">
        <v>1601</v>
      </c>
    </row>
    <row r="169" spans="1:2">
      <c r="A169" s="4" t="s">
        <v>1585</v>
      </c>
      <c r="B169" s="3" t="s">
        <v>1602</v>
      </c>
    </row>
    <row r="170" spans="1:2">
      <c r="A170" s="4" t="s">
        <v>1586</v>
      </c>
      <c r="B170" s="3" t="s">
        <v>1603</v>
      </c>
    </row>
    <row r="171" spans="1:2">
      <c r="A171" s="4" t="s">
        <v>1587</v>
      </c>
      <c r="B171" s="3" t="s">
        <v>426</v>
      </c>
    </row>
    <row r="172" spans="1:2">
      <c r="A172" s="4" t="s">
        <v>1588</v>
      </c>
      <c r="B172" s="3" t="s">
        <v>1604</v>
      </c>
    </row>
    <row r="173" spans="1:2">
      <c r="A173" s="4" t="s">
        <v>1589</v>
      </c>
      <c r="B173" s="3" t="s">
        <v>1605</v>
      </c>
    </row>
    <row r="174" spans="1:2">
      <c r="A174" s="4" t="s">
        <v>1591</v>
      </c>
      <c r="B174" s="3" t="s">
        <v>1606</v>
      </c>
    </row>
    <row r="175" spans="1:2">
      <c r="A175" s="4" t="s">
        <v>243</v>
      </c>
      <c r="B175" s="3" t="s">
        <v>1542</v>
      </c>
    </row>
    <row r="176" spans="1:2">
      <c r="A176" s="4" t="s">
        <v>1592</v>
      </c>
      <c r="B176" s="3" t="s">
        <v>1607</v>
      </c>
    </row>
    <row r="177" spans="1:2">
      <c r="A177" s="4" t="s">
        <v>1608</v>
      </c>
      <c r="B177" s="3" t="s">
        <v>1328</v>
      </c>
    </row>
    <row r="178" spans="1:2">
      <c r="A178" s="4" t="s">
        <v>1594</v>
      </c>
      <c r="B178" s="3" t="s">
        <v>214</v>
      </c>
    </row>
    <row r="179" spans="1:2">
      <c r="A179" s="4" t="s">
        <v>263</v>
      </c>
      <c r="B179" s="3" t="s">
        <v>476</v>
      </c>
    </row>
    <row r="180" spans="1:2">
      <c r="A180" s="4" t="s">
        <v>1596</v>
      </c>
      <c r="B180" s="3" t="s">
        <v>1609</v>
      </c>
    </row>
    <row r="181" spans="1:2">
      <c r="A181" s="4" t="s">
        <v>1262</v>
      </c>
      <c r="B181" s="3" t="s">
        <v>1610</v>
      </c>
    </row>
    <row r="182" spans="1:2">
      <c r="A182" s="4" t="s">
        <v>1598</v>
      </c>
      <c r="B182" s="3" t="s">
        <v>1611</v>
      </c>
    </row>
    <row r="183" spans="1:2">
      <c r="A183" s="4" t="s">
        <v>1600</v>
      </c>
      <c r="B183" s="3" t="s">
        <v>1612</v>
      </c>
    </row>
    <row r="184" spans="1:2">
      <c r="A184" s="4" t="s">
        <v>1601</v>
      </c>
      <c r="B184" s="3" t="s">
        <v>1613</v>
      </c>
    </row>
    <row r="185" spans="1:2">
      <c r="A185" s="4" t="s">
        <v>1602</v>
      </c>
      <c r="B185" s="3" t="s">
        <v>1614</v>
      </c>
    </row>
    <row r="186" spans="1:2">
      <c r="A186" s="4" t="s">
        <v>1615</v>
      </c>
      <c r="B186" s="3" t="s">
        <v>1616</v>
      </c>
    </row>
    <row r="187" spans="1:2">
      <c r="A187" s="4" t="s">
        <v>426</v>
      </c>
      <c r="B187" s="3" t="s">
        <v>1617</v>
      </c>
    </row>
    <row r="188" spans="1:2">
      <c r="A188" s="4" t="s">
        <v>1604</v>
      </c>
      <c r="B188" s="3" t="s">
        <v>1618</v>
      </c>
    </row>
    <row r="189" spans="1:2">
      <c r="A189" s="4" t="s">
        <v>1605</v>
      </c>
      <c r="B189" s="3" t="s">
        <v>1619</v>
      </c>
    </row>
    <row r="190" spans="1:2">
      <c r="A190" s="4" t="s">
        <v>1606</v>
      </c>
      <c r="B190" s="3" t="s">
        <v>1620</v>
      </c>
    </row>
    <row r="191" spans="1:2">
      <c r="A191" s="4" t="s">
        <v>1621</v>
      </c>
      <c r="B191" s="3" t="s">
        <v>1622</v>
      </c>
    </row>
    <row r="192" spans="1:2">
      <c r="A192" s="4" t="s">
        <v>1607</v>
      </c>
      <c r="B192" s="3" t="s">
        <v>1623</v>
      </c>
    </row>
    <row r="193" spans="1:2">
      <c r="A193" s="4" t="s">
        <v>1624</v>
      </c>
      <c r="B193" s="3" t="s">
        <v>1625</v>
      </c>
    </row>
    <row r="194" spans="1:2">
      <c r="A194" s="4" t="s">
        <v>214</v>
      </c>
      <c r="B194" s="3" t="s">
        <v>1626</v>
      </c>
    </row>
    <row r="195" spans="1:2">
      <c r="A195" s="4" t="s">
        <v>476</v>
      </c>
      <c r="B195" s="3" t="s">
        <v>534</v>
      </c>
    </row>
    <row r="196" spans="1:2">
      <c r="A196" s="4" t="s">
        <v>320</v>
      </c>
      <c r="B196" s="3" t="s">
        <v>198</v>
      </c>
    </row>
    <row r="197" spans="1:2">
      <c r="A197" s="4" t="s">
        <v>1627</v>
      </c>
      <c r="B197" s="3" t="s">
        <v>216</v>
      </c>
    </row>
    <row r="198" spans="1:2">
      <c r="A198" s="4" t="s">
        <v>1611</v>
      </c>
      <c r="B198" s="3" t="s">
        <v>1628</v>
      </c>
    </row>
    <row r="199" spans="1:2">
      <c r="A199" s="4" t="s">
        <v>1612</v>
      </c>
      <c r="B199" s="3" t="s">
        <v>450</v>
      </c>
    </row>
    <row r="200" spans="1:2">
      <c r="A200" s="4" t="s">
        <v>1613</v>
      </c>
      <c r="B200" s="3" t="s">
        <v>1629</v>
      </c>
    </row>
    <row r="201" spans="1:2">
      <c r="A201" s="4" t="s">
        <v>1630</v>
      </c>
      <c r="B201" s="3" t="s">
        <v>1631</v>
      </c>
    </row>
    <row r="202" spans="1:2">
      <c r="A202" s="4" t="s">
        <v>1616</v>
      </c>
      <c r="B202" s="3" t="s">
        <v>1632</v>
      </c>
    </row>
    <row r="203" spans="1:2">
      <c r="A203" s="4" t="s">
        <v>538</v>
      </c>
      <c r="B203" s="3" t="s">
        <v>1633</v>
      </c>
    </row>
    <row r="204" spans="1:2">
      <c r="A204" s="4" t="s">
        <v>1618</v>
      </c>
      <c r="B204" s="3" t="s">
        <v>700</v>
      </c>
    </row>
    <row r="205" spans="1:2">
      <c r="A205" s="4" t="s">
        <v>1619</v>
      </c>
      <c r="B205" s="3" t="s">
        <v>1634</v>
      </c>
    </row>
    <row r="206" spans="1:2">
      <c r="A206" s="4" t="s">
        <v>1620</v>
      </c>
      <c r="B206" s="3" t="s">
        <v>1635</v>
      </c>
    </row>
    <row r="207" spans="1:2">
      <c r="A207" s="4" t="s">
        <v>1622</v>
      </c>
      <c r="B207" s="3" t="s">
        <v>1636</v>
      </c>
    </row>
    <row r="208" spans="1:2">
      <c r="A208" s="4" t="s">
        <v>1623</v>
      </c>
      <c r="B208" s="3" t="s">
        <v>1637</v>
      </c>
    </row>
    <row r="209" spans="1:2">
      <c r="A209" s="4" t="s">
        <v>1625</v>
      </c>
      <c r="B209" s="3" t="s">
        <v>1638</v>
      </c>
    </row>
    <row r="210" spans="1:2">
      <c r="A210" s="4" t="s">
        <v>1626</v>
      </c>
      <c r="B210" s="3" t="s">
        <v>1639</v>
      </c>
    </row>
    <row r="211" spans="1:2">
      <c r="A211" s="4" t="s">
        <v>534</v>
      </c>
      <c r="B211" s="3" t="s">
        <v>1640</v>
      </c>
    </row>
    <row r="212" spans="1:2">
      <c r="A212" s="4" t="s">
        <v>198</v>
      </c>
      <c r="B212" s="3" t="s">
        <v>1641</v>
      </c>
    </row>
    <row r="213" spans="1:2">
      <c r="A213" s="4" t="s">
        <v>216</v>
      </c>
      <c r="B213" s="3" t="s">
        <v>1642</v>
      </c>
    </row>
    <row r="214" spans="1:2">
      <c r="A214" s="4" t="s">
        <v>1628</v>
      </c>
      <c r="B214" s="3" t="s">
        <v>1643</v>
      </c>
    </row>
    <row r="215" spans="1:2">
      <c r="A215" s="4" t="s">
        <v>450</v>
      </c>
      <c r="B215" s="3" t="s">
        <v>1644</v>
      </c>
    </row>
    <row r="216" spans="1:2">
      <c r="A216" s="4" t="s">
        <v>1629</v>
      </c>
      <c r="B216" s="3" t="s">
        <v>1645</v>
      </c>
    </row>
    <row r="217" spans="1:2">
      <c r="A217" s="4" t="s">
        <v>1631</v>
      </c>
      <c r="B217" s="3" t="s">
        <v>1332</v>
      </c>
    </row>
    <row r="218" spans="1:2">
      <c r="A218" s="4" t="s">
        <v>1632</v>
      </c>
      <c r="B218" s="3" t="s">
        <v>1646</v>
      </c>
    </row>
    <row r="219" spans="1:2">
      <c r="A219" s="4" t="s">
        <v>1633</v>
      </c>
      <c r="B219" s="3" t="s">
        <v>1529</v>
      </c>
    </row>
    <row r="220" spans="1:2">
      <c r="A220" s="4" t="s">
        <v>1634</v>
      </c>
      <c r="B220" s="3" t="s">
        <v>1647</v>
      </c>
    </row>
    <row r="221" spans="1:2">
      <c r="A221" s="4" t="s">
        <v>1635</v>
      </c>
      <c r="B221" s="3" t="s">
        <v>1645</v>
      </c>
    </row>
    <row r="222" spans="1:2">
      <c r="A222" s="4" t="s">
        <v>1636</v>
      </c>
      <c r="B222" s="3" t="s">
        <v>1244</v>
      </c>
    </row>
    <row r="223" spans="1:2">
      <c r="A223" s="4" t="s">
        <v>1637</v>
      </c>
      <c r="B223" s="3" t="s">
        <v>1648</v>
      </c>
    </row>
    <row r="224" spans="1:2">
      <c r="A224" s="4" t="s">
        <v>1638</v>
      </c>
      <c r="B224" s="3" t="s">
        <v>1242</v>
      </c>
    </row>
    <row r="225" spans="1:2">
      <c r="A225" s="4" t="s">
        <v>1639</v>
      </c>
      <c r="B225" s="3" t="s">
        <v>1649</v>
      </c>
    </row>
    <row r="226" spans="1:2">
      <c r="A226" s="4" t="s">
        <v>1640</v>
      </c>
      <c r="B226" s="3" t="s">
        <v>1650</v>
      </c>
    </row>
    <row r="227" spans="1:2">
      <c r="A227" s="4" t="s">
        <v>1641</v>
      </c>
      <c r="B227" s="3" t="s">
        <v>1651</v>
      </c>
    </row>
    <row r="228" spans="1:2">
      <c r="A228" s="4" t="s">
        <v>1642</v>
      </c>
      <c r="B228" s="3" t="s">
        <v>1652</v>
      </c>
    </row>
    <row r="229" spans="1:1">
      <c r="A229" s="4" t="s">
        <v>1653</v>
      </c>
    </row>
    <row r="230" spans="1:1">
      <c r="A230" s="4" t="s">
        <v>1644</v>
      </c>
    </row>
    <row r="231" spans="1:1">
      <c r="A231" s="4" t="s">
        <v>1654</v>
      </c>
    </row>
    <row r="232" spans="1:1">
      <c r="A232" s="4" t="s">
        <v>1332</v>
      </c>
    </row>
    <row r="233" spans="1:1">
      <c r="A233" s="4" t="s">
        <v>1646</v>
      </c>
    </row>
    <row r="234" spans="1:1">
      <c r="A234" s="4" t="s">
        <v>1655</v>
      </c>
    </row>
    <row r="235" spans="1:1">
      <c r="A235" s="4" t="s">
        <v>1647</v>
      </c>
    </row>
    <row r="236" spans="1:1">
      <c r="A236" s="4" t="s">
        <v>1656</v>
      </c>
    </row>
    <row r="237" spans="1:1">
      <c r="A237" s="4" t="s">
        <v>666</v>
      </c>
    </row>
    <row r="238" spans="1:1">
      <c r="A238" s="4" t="s">
        <v>1657</v>
      </c>
    </row>
    <row r="239" spans="1:1">
      <c r="A239" s="4" t="s">
        <v>1242</v>
      </c>
    </row>
    <row r="240" spans="1:1">
      <c r="A240" s="4" t="s">
        <v>1658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��qQ'`sQ.�ؚ͋�vsQ-N�vsQۏL�-N�]�[b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WWO_wpscloud_20240509192954-652ac8f352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阶段实际盈亏</vt:lpstr>
      <vt:lpstr>价格策略模拟</vt:lpstr>
      <vt:lpstr>阶段总盈亏</vt:lpstr>
      <vt:lpstr>CPC模拟表格</vt:lpstr>
      <vt:lpstr>毛利模拟盈亏</vt:lpstr>
      <vt:lpstr>关键词词库</vt:lpstr>
      <vt:lpstr>主攻关键词</vt:lpstr>
      <vt:lpstr>广告布局</vt:lpstr>
      <vt:lpstr>每日订单真实数据</vt:lpstr>
      <vt:lpstr>数据演示</vt:lpstr>
      <vt:lpstr>2</vt:lpstr>
      <vt:lpstr>逮虾户上贴费用详情</vt:lpstr>
      <vt:lpstr>西柚找词垃圾词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2018-08-08T08:28:00Z</dcterms:created>
  <dcterms:modified xsi:type="dcterms:W3CDTF">2025-07-11T01:20:18Z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/>
  </property>
</Properties>
</file>