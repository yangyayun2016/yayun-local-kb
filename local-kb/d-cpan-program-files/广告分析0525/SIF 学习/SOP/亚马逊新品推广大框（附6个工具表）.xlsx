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tabRatio="703" activeTab="2"/>
  </bookViews>
  <sheets>
    <sheet name="1.广告数据指标定义" sheetId="1" r:id="rId1"/>
    <sheet name="2.广告框架树状图" sheetId="2" r:id="rId2"/>
    <sheet name="3.时间节点目录表" sheetId="3" r:id="rId3"/>
    <sheet name="4.关键词整理表" sheetId="6" r:id="rId4"/>
    <sheet name="5.广告框架表" sheetId="9" r:id="rId5"/>
    <sheet name="6.指标目标和优化建议表" sheetId="4" r:id="rId6"/>
    <sheet name="7.竟对关键词动态跟踪表" sheetId="8" r:id="rId7"/>
    <sheet name="8.流量入口布局跟踪表" sheetId="7" r:id="rId8"/>
  </sheets>
  <definedNames>
    <definedName name="_xlnm._FilterDatabase" localSheetId="3" hidden="1">'4.关键词整理表'!$A$1:$M$66</definedName>
    <definedName name="_xlnm._FilterDatabase" localSheetId="4" hidden="1">'5.广告框架表'!$B$2:$D$9</definedName>
    <definedName name="_xlnm._FilterDatabase" localSheetId="6" hidden="1">'7.竟对关键词动态跟踪表'!$A$2:$AI$36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1" authorId="0">
      <text>
        <r>
          <rPr>
            <sz val="9"/>
            <rFont val="宋体"/>
            <charset val="134"/>
          </rPr>
          <t>整理越多越好，利于后期做筛选</t>
        </r>
      </text>
    </comment>
    <comment ref="B1" authorId="0">
      <text>
        <r>
          <rPr>
            <sz val="9"/>
            <rFont val="宋体"/>
            <charset val="134"/>
          </rPr>
          <t>选择所有关键词列表中的核心关键词，填写‘是’ 便于后期筛选这些词</t>
        </r>
      </text>
    </comment>
    <comment ref="C1" authorId="0">
      <text>
        <r>
          <rPr>
            <sz val="9"/>
            <rFont val="宋体"/>
            <charset val="134"/>
          </rPr>
          <t xml:space="preserve">选择所有关键词列表中的高流量关键词，填写‘是’ 便于后期筛选这些词
</t>
        </r>
      </text>
    </comment>
    <comment ref="D1" authorId="0">
      <text>
        <r>
          <rPr>
            <sz val="9"/>
            <rFont val="宋体"/>
            <charset val="134"/>
          </rPr>
          <t xml:space="preserve">选择所有关键词列表中的高转化关键词，填写‘是’ 便于后期筛选这些词
</t>
        </r>
      </text>
    </comment>
    <comment ref="E1" authorId="0">
      <text>
        <r>
          <rPr>
            <sz val="9"/>
            <rFont val="宋体"/>
            <charset val="134"/>
          </rPr>
          <t xml:space="preserve">选择所有关键词列表中的需要否定的关键词，填写‘是’ 便于后期筛选这些词出来，整理否定因子词
</t>
        </r>
      </text>
    </comment>
  </commentList>
</comments>
</file>

<file path=xl/comments2.xml><?xml version="1.0" encoding="utf-8"?>
<comments xmlns="http://schemas.openxmlformats.org/spreadsheetml/2006/main">
  <authors>
    <author>Administrator</author>
  </authors>
  <commentList>
    <comment ref="C14" authorId="0">
      <text>
        <r>
          <rPr>
            <b/>
            <sz val="9"/>
            <rFont val="宋体"/>
            <charset val="134"/>
          </rPr>
          <t>不分是否广告出单</t>
        </r>
      </text>
    </comment>
    <comment ref="G14" authorId="0">
      <text>
        <r>
          <rPr>
            <b/>
            <sz val="9"/>
            <rFont val="宋体"/>
            <charset val="134"/>
          </rPr>
          <t xml:space="preserve">
对应子表格7的跟踪数据进行优化
</t>
        </r>
      </text>
    </comment>
    <comment ref="J15"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20" authorId="0">
      <text>
        <r>
          <rPr>
            <b/>
            <sz val="9"/>
            <rFont val="宋体"/>
            <charset val="134"/>
          </rPr>
          <t>不分是否广告出单</t>
        </r>
      </text>
    </comment>
    <comment ref="G20" authorId="0">
      <text>
        <r>
          <rPr>
            <b/>
            <sz val="9"/>
            <rFont val="宋体"/>
            <charset val="134"/>
          </rPr>
          <t xml:space="preserve">
对应子表格7的跟踪数据进行优化
</t>
        </r>
      </text>
    </comment>
    <comment ref="J21"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26" authorId="0">
      <text>
        <r>
          <rPr>
            <b/>
            <sz val="9"/>
            <rFont val="宋体"/>
            <charset val="134"/>
          </rPr>
          <t>不分是否广告出单</t>
        </r>
      </text>
    </comment>
    <comment ref="G26" authorId="0">
      <text>
        <r>
          <rPr>
            <b/>
            <sz val="9"/>
            <rFont val="宋体"/>
            <charset val="134"/>
          </rPr>
          <t xml:space="preserve">
对应子表格7的跟踪数据进行优化
</t>
        </r>
      </text>
    </comment>
    <comment ref="J27"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32" authorId="0">
      <text>
        <r>
          <rPr>
            <b/>
            <sz val="9"/>
            <rFont val="宋体"/>
            <charset val="134"/>
          </rPr>
          <t>不分是否广告出单</t>
        </r>
      </text>
    </comment>
    <comment ref="G32" authorId="0">
      <text>
        <r>
          <rPr>
            <b/>
            <sz val="9"/>
            <rFont val="宋体"/>
            <charset val="134"/>
          </rPr>
          <t xml:space="preserve">
对应子表格7的跟踪数据进行优化
</t>
        </r>
      </text>
    </comment>
    <comment ref="J33"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38" authorId="0">
      <text>
        <r>
          <rPr>
            <b/>
            <sz val="9"/>
            <rFont val="宋体"/>
            <charset val="134"/>
          </rPr>
          <t>不分是否广告出单</t>
        </r>
      </text>
    </comment>
    <comment ref="G38" authorId="0">
      <text>
        <r>
          <rPr>
            <b/>
            <sz val="9"/>
            <rFont val="宋体"/>
            <charset val="134"/>
          </rPr>
          <t xml:space="preserve">
对应子表格7的跟踪数据进行优化
</t>
        </r>
      </text>
    </comment>
    <comment ref="J39" authorId="0">
      <text>
        <r>
          <rPr>
            <b/>
            <sz val="9"/>
            <rFont val="宋体"/>
            <charset val="134"/>
          </rPr>
          <t>Administrator:</t>
        </r>
        <r>
          <rPr>
            <sz val="9"/>
            <rFont val="宋体"/>
            <charset val="134"/>
          </rPr>
          <t xml:space="preserve">
广告销售=广告点击量*CVR*客单价
点击量=广告费/CPC
广告费用=（广告销售*CPC)/(CVR*客单价)</t>
        </r>
      </text>
    </comment>
  </commentList>
</comments>
</file>

<file path=xl/sharedStrings.xml><?xml version="1.0" encoding="utf-8"?>
<sst xmlns="http://schemas.openxmlformats.org/spreadsheetml/2006/main" count="804" uniqueCount="283">
  <si>
    <t>建议统一叫法</t>
  </si>
  <si>
    <t>简称</t>
  </si>
  <si>
    <t>英文名称</t>
  </si>
  <si>
    <t>中文简称</t>
  </si>
  <si>
    <t>中文名称</t>
  </si>
  <si>
    <t>定义</t>
  </si>
  <si>
    <t>点击率</t>
  </si>
  <si>
    <t>CTR</t>
  </si>
  <si>
    <t>Click Through Rate</t>
  </si>
  <si>
    <t>广告点击率</t>
  </si>
  <si>
    <t>点击量/曝光量</t>
  </si>
  <si>
    <t>转化率</t>
  </si>
  <si>
    <t>CVR</t>
  </si>
  <si>
    <t>Click Value Rate</t>
  </si>
  <si>
    <t>广告转化率</t>
  </si>
  <si>
    <t>广告总订单量/点击量</t>
  </si>
  <si>
    <t>CPA</t>
  </si>
  <si>
    <t>Cost Per Action</t>
  </si>
  <si>
    <t>订单广告费</t>
  </si>
  <si>
    <t>单位订单平均广告花费</t>
  </si>
  <si>
    <t>广告总花费/广告总订单量</t>
  </si>
  <si>
    <t>ACOS</t>
  </si>
  <si>
    <t>Ad. Cost Of Sales</t>
  </si>
  <si>
    <t>投入产出比</t>
  </si>
  <si>
    <t>广告投入产出比</t>
  </si>
  <si>
    <t>广告总花费/广告总销售额</t>
  </si>
  <si>
    <t>ACOAS</t>
  </si>
  <si>
    <t>Ad. Cost On All Sales</t>
  </si>
  <si>
    <t>费用占比</t>
  </si>
  <si>
    <t>广告费用占总销售额比</t>
  </si>
  <si>
    <t>广告总花费/总销售额</t>
  </si>
  <si>
    <t>ASOAS</t>
  </si>
  <si>
    <t>Ad. Sales On All Sales</t>
  </si>
  <si>
    <t>销售额占比</t>
  </si>
  <si>
    <t>广告销售额占总销售额比</t>
  </si>
  <si>
    <t>广告总销售额/总销售额</t>
  </si>
  <si>
    <t>曝光</t>
  </si>
  <si>
    <t>Impressions</t>
  </si>
  <si>
    <t>曝光量</t>
  </si>
  <si>
    <t>广告的展现次数</t>
  </si>
  <si>
    <t>点击</t>
  </si>
  <si>
    <t>Clicks</t>
  </si>
  <si>
    <t>点击量</t>
  </si>
  <si>
    <t>广告的点击次数</t>
  </si>
  <si>
    <t>高效词</t>
  </si>
  <si>
    <t>Efficient</t>
  </si>
  <si>
    <t>值得投入的词</t>
  </si>
  <si>
    <t>低效词</t>
  </si>
  <si>
    <t>Inefficient</t>
  </si>
  <si>
    <t>不值得投入的词</t>
  </si>
  <si>
    <t>自动广告建议：</t>
  </si>
  <si>
    <t>1. 建议只开一个自动广告组就可以了，便于管理</t>
  </si>
  <si>
    <t>2. 一个广告组单次开启一个产品，不建议多个产品在同一个广告组里同时开启</t>
  </si>
  <si>
    <t>广泛广告建议：</t>
  </si>
  <si>
    <r>
      <rPr>
        <b/>
        <sz val="11"/>
        <color theme="1"/>
        <rFont val="宋体"/>
        <charset val="134"/>
        <scheme val="minor"/>
      </rPr>
      <t xml:space="preserve">总结建议：
</t>
    </r>
    <r>
      <rPr>
        <sz val="11"/>
        <color theme="1"/>
        <rFont val="宋体"/>
        <charset val="134"/>
        <scheme val="minor"/>
      </rPr>
      <t>1. 所有的</t>
    </r>
    <r>
      <rPr>
        <sz val="11"/>
        <color rgb="FF00B0F0"/>
        <rFont val="宋体"/>
        <charset val="134"/>
        <scheme val="minor"/>
      </rPr>
      <t>广告活动下面建议放一个广告组</t>
    </r>
    <r>
      <rPr>
        <sz val="11"/>
        <color theme="1"/>
        <rFont val="宋体"/>
        <charset val="134"/>
        <scheme val="minor"/>
      </rPr>
      <t>，不要放超过两个广告组（比如右图中的所有“广告组2”可以另外起一个广告活动），这样方便管理预算和调整广告位置。
2. 同一个广告组里面建议只开一个产品。</t>
    </r>
  </si>
  <si>
    <t>1. 广泛广告活动的建议是：主推词单个词设立一个广泛广告活动(比如有5个主推广泛词，就设立5个广告活动)，避免抢预算。</t>
  </si>
  <si>
    <t>精准广告建议：</t>
  </si>
  <si>
    <t>ASIN广告建议：</t>
  </si>
  <si>
    <t>1. ASIN广告至少开两个广告组：ASIN广告+类目广告</t>
  </si>
  <si>
    <t>展示广告建议：</t>
  </si>
  <si>
    <t>1. 重点做站内展示广告，也分为ASIN+类目广告</t>
  </si>
  <si>
    <t>2. 展示广告原则：重点竟对打ASIN，类目广告必须跑</t>
  </si>
  <si>
    <t>品牌广告建议：</t>
  </si>
  <si>
    <t>1. 店铺优化需要提前准备好，A+页面提前关联好</t>
  </si>
  <si>
    <t>2. 品牌广告不要过于在乎ACOS，因为品牌广告流量可以最大化利用</t>
  </si>
  <si>
    <t>广告前的准备</t>
  </si>
  <si>
    <t>表示需要记录在表格内</t>
  </si>
  <si>
    <t>主题</t>
  </si>
  <si>
    <t>事件</t>
  </si>
  <si>
    <t>预计完成时间</t>
  </si>
  <si>
    <t>实际完成时间</t>
  </si>
  <si>
    <t>建议</t>
  </si>
  <si>
    <t>运营备注</t>
  </si>
  <si>
    <r>
      <rPr>
        <sz val="11"/>
        <color theme="1"/>
        <rFont val="宋体"/>
        <charset val="134"/>
      </rPr>
      <t xml:space="preserve">整理关键词框架
</t>
    </r>
    <r>
      <rPr>
        <sz val="9"/>
        <color theme="1"/>
        <rFont val="宋体"/>
        <charset val="134"/>
      </rPr>
      <t>【4.关键词整理表】
【5.广告框架预设表】</t>
    </r>
  </si>
  <si>
    <t>关键词大量获取</t>
  </si>
  <si>
    <t>产品调研的时候完成搜集并整理到【4.关键词整理表】中</t>
  </si>
  <si>
    <t>核心关键词列表</t>
  </si>
  <si>
    <t>建议用于主推词，整理在【4.关键词整理表】中。（主推词在不同阶段可以不同）</t>
  </si>
  <si>
    <t>高流量词列表</t>
  </si>
  <si>
    <t>建议5个评价以后增加这类的词，整理在【4.关键词整理表】中。</t>
  </si>
  <si>
    <t>高转化词列表</t>
  </si>
  <si>
    <t>建议用于前期词，整理在【4.关键词整理表】中</t>
  </si>
  <si>
    <t>否定词列表</t>
  </si>
  <si>
    <t>在【4.关键词整理表】中整理出需要否定的词，然后运用到【5.广告框架预设表】中。</t>
  </si>
  <si>
    <t>关键词埋词</t>
  </si>
  <si>
    <t>产品编辑埋词</t>
  </si>
  <si>
    <t>建议重点推广关键字可以同时出现，但是同顺序并列关键词不能重复使用，用相近词或衍生词代替。</t>
  </si>
  <si>
    <t>测评内容埋词</t>
  </si>
  <si>
    <t>建议多参考其他本地网站的产品测评语气和尽可能的用到本地术语和接地气。</t>
  </si>
  <si>
    <t>QA问答埋词</t>
  </si>
  <si>
    <t>与测评内容埋词一样</t>
  </si>
  <si>
    <t>关联流量整理</t>
  </si>
  <si>
    <t>5.广告框架表</t>
  </si>
  <si>
    <t>结合子表格2，提前做好广告框架</t>
  </si>
  <si>
    <t>6.指标目标和优化建议表</t>
  </si>
  <si>
    <t>这个表格的逻辑是，先确定ASOAS目标，然后在价格和其他参数变动不大的前提下，通过提高广告质量得分从而控制好CPC来调整竞价达到优化ACOS和ACOAS。</t>
  </si>
  <si>
    <t>7.竟对关键词动态跟踪表</t>
  </si>
  <si>
    <t>电脑端的“一页/3/1”表示第一页第3行第1个；
手机端的“一页/5”表示第一页第5个位置。
这两个表格后期需要结合查看利于调整后期推广策略</t>
  </si>
  <si>
    <t>8.流量入口布局跟踪表</t>
  </si>
  <si>
    <t>广告投放&amp;优化时间表</t>
  </si>
  <si>
    <t>事件时间</t>
  </si>
  <si>
    <t>广告动作</t>
  </si>
  <si>
    <t>动作完成时间</t>
  </si>
  <si>
    <t>备注</t>
  </si>
  <si>
    <t>新品到货上架</t>
  </si>
  <si>
    <t>竟对页面流量入口广告开始投放</t>
  </si>
  <si>
    <t>建议新增自动广告带否定词低价跑 + ASIN竟对高价跑</t>
  </si>
  <si>
    <t>评价达到1个</t>
  </si>
  <si>
    <t>核心词+高转化词广泛广告组开始投放</t>
  </si>
  <si>
    <t>所有主推词，前期建议只开广泛词</t>
  </si>
  <si>
    <t>评价达到5个以上</t>
  </si>
  <si>
    <t>高流量词广泛广告组开始投放</t>
  </si>
  <si>
    <t>必须加入提前准备好的否定词</t>
  </si>
  <si>
    <t>新品上架第1.2周</t>
  </si>
  <si>
    <t>2020/5/14-2020/5/27</t>
  </si>
  <si>
    <t>每周至少两次分析优化</t>
  </si>
  <si>
    <t>1. 2020/5/14
2. 2020/5/18
3. 2020/5/23
4. 2020/5/25</t>
  </si>
  <si>
    <t>请参考子表格【8.指标优化方向建议】</t>
  </si>
  <si>
    <t>新品上架第3.4周</t>
  </si>
  <si>
    <t>2020/5/21-2020/5/27</t>
  </si>
  <si>
    <t>新品上架第5.6.7.8周</t>
  </si>
  <si>
    <t>新品上架第9.10.11.12周</t>
  </si>
  <si>
    <t>所有关键词列表</t>
  </si>
  <si>
    <t>核心关键词</t>
  </si>
  <si>
    <t>高流量词</t>
  </si>
  <si>
    <t>高转化词</t>
  </si>
  <si>
    <t>否定关键词</t>
  </si>
  <si>
    <t>备注：表格的关键词和词汇分类均用来做模板的例子，没有实际的关键词参考意义</t>
  </si>
  <si>
    <t>注：可以结合【2.广告框架树状图】预设好广告框架</t>
  </si>
  <si>
    <t>跟踪时间</t>
  </si>
  <si>
    <t>21周（第1周）</t>
  </si>
  <si>
    <t>22周（第2周）</t>
  </si>
  <si>
    <t>23周（第3周）</t>
  </si>
  <si>
    <t>24周（第4周）</t>
  </si>
  <si>
    <t>25周（第5周）</t>
  </si>
  <si>
    <t>26周（第6周）</t>
  </si>
  <si>
    <t>27周（第7周）</t>
  </si>
  <si>
    <t>28周（第8周）</t>
  </si>
  <si>
    <t>29周（第9周）</t>
  </si>
  <si>
    <t>30周（第10周）</t>
  </si>
  <si>
    <t>广告类型</t>
  </si>
  <si>
    <t>广告活动名称</t>
  </si>
  <si>
    <t>需要否定的因素词</t>
  </si>
  <si>
    <t>开启时间</t>
  </si>
  <si>
    <t>预算</t>
  </si>
  <si>
    <t>CPC</t>
  </si>
  <si>
    <t>ASIN广告</t>
  </si>
  <si>
    <t>自动广告</t>
  </si>
  <si>
    <t>手动广泛</t>
  </si>
  <si>
    <t>手动精准</t>
  </si>
  <si>
    <t>品牌广告</t>
  </si>
  <si>
    <t>注：结合 5-7-8 三个子表格，做出优化方向</t>
  </si>
  <si>
    <t>绿色</t>
  </si>
  <si>
    <t>粉色</t>
  </si>
  <si>
    <t>浅蓝</t>
  </si>
  <si>
    <t>无需填写</t>
  </si>
  <si>
    <t>白色</t>
  </si>
  <si>
    <t>需要运营填写</t>
  </si>
  <si>
    <t>蓝色</t>
  </si>
  <si>
    <t>需要运营填写，并重点关注</t>
  </si>
  <si>
    <t>黄色</t>
  </si>
  <si>
    <t>无需填写，有公式需要注意的指标</t>
  </si>
  <si>
    <t>目标关键指标</t>
  </si>
  <si>
    <t>时间</t>
  </si>
  <si>
    <t>21.22周（第1.2周）</t>
  </si>
  <si>
    <t>23.24周（第3.4周）</t>
  </si>
  <si>
    <t>25.26.27.28周（第5.6.7.8周）</t>
  </si>
  <si>
    <t>29.30.31.32周（第9.10.11.12周）</t>
  </si>
  <si>
    <t>理想期</t>
  </si>
  <si>
    <t>指标</t>
  </si>
  <si>
    <t>设定目标值</t>
  </si>
  <si>
    <t>注：这栏需要运营提前确定好自己的初始目标</t>
  </si>
  <si>
    <t>建议目标值</t>
  </si>
  <si>
    <t>&lt;45%</t>
  </si>
  <si>
    <t>&lt;25%</t>
  </si>
  <si>
    <t>&gt;50%-&lt;80%</t>
  </si>
  <si>
    <t>&lt;40%</t>
  </si>
  <si>
    <t>&lt;20%</t>
  </si>
  <si>
    <t>&gt;40%-&lt;70%</t>
  </si>
  <si>
    <t>&lt;35%</t>
  </si>
  <si>
    <t>&lt;12%</t>
  </si>
  <si>
    <t>&gt;30%-&lt;60%</t>
  </si>
  <si>
    <t>&lt;8%</t>
  </si>
  <si>
    <t>&gt;25%-&lt;50%</t>
  </si>
  <si>
    <t>&lt;6%</t>
  </si>
  <si>
    <t>&gt;10%-&lt;30%</t>
  </si>
  <si>
    <t>周期天数</t>
  </si>
  <si>
    <t>设定的目标指标</t>
  </si>
  <si>
    <t>客单价</t>
  </si>
  <si>
    <t>日均商品数</t>
  </si>
  <si>
    <t>总销售额</t>
  </si>
  <si>
    <t>CPC≈竞价</t>
  </si>
  <si>
    <t>广告销售额</t>
  </si>
  <si>
    <t>广告费用</t>
  </si>
  <si>
    <t>目标值</t>
  </si>
  <si>
    <t>实际完成值</t>
  </si>
  <si>
    <t>这个周期广告建议：
禁：前期因为没有评价的支撑，一定记得不建议这个阶段投放大词，会因为表现不好而影响广告组的权限，得不偿失。
宜：ASIN关联流量，POST关联流量，低价否定超大词根跑自动，精准主推词。（自动广告初级玩家不建议调动态，建议玩【固定竞价】或者【只降低】）</t>
  </si>
  <si>
    <t>这个周期广告建议：
禁：如果评价还没有跟上，不建议直接加大词的广告组，如果怕流量跟不上，可以选择大词广泛匹配但需要否定本身大词词根去跑。
宜：评价基本这个周期开始陆陆续续上，这个时候适合加入大词的广泛广告去引流。（广泛广告初级玩家建议玩【固定竞价】或者【只降低】）</t>
  </si>
  <si>
    <r>
      <rPr>
        <sz val="11"/>
        <color theme="1"/>
        <rFont val="宋体"/>
        <charset val="134"/>
        <scheme val="minor"/>
      </rPr>
      <t>这个周期广告建议：
宜：密集跟踪主推词和优化广告数据的周期，必须结合</t>
    </r>
    <r>
      <rPr>
        <b/>
        <sz val="11"/>
        <color theme="1"/>
        <rFont val="宋体"/>
        <charset val="134"/>
        <scheme val="minor"/>
      </rPr>
      <t>子表格6</t>
    </r>
    <r>
      <rPr>
        <sz val="11"/>
        <color theme="1"/>
        <rFont val="宋体"/>
        <charset val="134"/>
        <scheme val="minor"/>
      </rPr>
      <t>做好跟踪和结ASOAS设定的目标值进行调整，避免影响自然排位的发展。
禁：盲打，这个周期，广告已经有了初步的定型，避免这个周期和未来的时间都处在盲打的阶段，第二个月开始，建议做到先明确广告方向，再进行广告动作。</t>
    </r>
  </si>
  <si>
    <r>
      <rPr>
        <sz val="11"/>
        <color theme="1"/>
        <rFont val="宋体"/>
        <charset val="134"/>
        <scheme val="minor"/>
      </rPr>
      <t>这个周期广告建议：
宜：此时广告的构建基本处于比较稳定的状态，优化的方向一定是向着促进广告权重，优化广告质量得分的方向优化（结合</t>
    </r>
    <r>
      <rPr>
        <b/>
        <sz val="11"/>
        <color theme="1"/>
        <rFont val="宋体"/>
        <charset val="134"/>
        <scheme val="minor"/>
      </rPr>
      <t>子表格5</t>
    </r>
    <r>
      <rPr>
        <sz val="11"/>
        <color theme="1"/>
        <rFont val="宋体"/>
        <charset val="134"/>
        <scheme val="minor"/>
      </rPr>
      <t>和本页最上面那个公式，优化广告质量得分，让广告利益最大化）
禁：盲打。</t>
    </r>
  </si>
  <si>
    <t>这个周期是属于冲刺公司在目前阶段的设定的最理想的广告指标值，大家努力吧！</t>
  </si>
  <si>
    <t>竟对关键词动态跟踪表</t>
  </si>
  <si>
    <t>第11周</t>
  </si>
  <si>
    <t>第12周</t>
  </si>
  <si>
    <t>主推关键词</t>
  </si>
  <si>
    <t>ASIN</t>
  </si>
  <si>
    <t>排名</t>
  </si>
  <si>
    <t>目标</t>
  </si>
  <si>
    <t>自己产品</t>
  </si>
  <si>
    <t>自然坑位</t>
  </si>
  <si>
    <t>广告坑位</t>
  </si>
  <si>
    <t>竟对1</t>
  </si>
  <si>
    <t>竟对2</t>
  </si>
  <si>
    <t>竟对N+1</t>
  </si>
  <si>
    <t>流量入口布局跟踪表</t>
  </si>
  <si>
    <t>目标流量入口类型</t>
  </si>
  <si>
    <t>目标内容</t>
  </si>
  <si>
    <r>
      <rPr>
        <b/>
        <sz val="16"/>
        <color theme="1"/>
        <rFont val="宋体"/>
        <charset val="134"/>
        <scheme val="minor"/>
      </rPr>
      <t>站内关键词-自然搜索流量</t>
    </r>
    <r>
      <rPr>
        <b/>
        <sz val="11"/>
        <color theme="1"/>
        <rFont val="宋体"/>
        <charset val="134"/>
        <scheme val="minor"/>
      </rPr>
      <t xml:space="preserve">
</t>
    </r>
    <r>
      <rPr>
        <sz val="11"/>
        <color theme="1"/>
        <rFont val="宋体"/>
        <charset val="134"/>
        <scheme val="minor"/>
      </rPr>
      <t xml:space="preserve">
1. </t>
    </r>
    <r>
      <rPr>
        <sz val="10"/>
        <color theme="1"/>
        <rFont val="宋体"/>
        <charset val="134"/>
        <scheme val="minor"/>
      </rPr>
      <t>此流量是亚马逊</t>
    </r>
    <r>
      <rPr>
        <b/>
        <sz val="10"/>
        <color theme="1"/>
        <rFont val="宋体"/>
        <charset val="134"/>
        <scheme val="minor"/>
      </rPr>
      <t>站内自然流量的重点流量入口</t>
    </r>
    <r>
      <rPr>
        <sz val="10"/>
        <color theme="1"/>
        <rFont val="宋体"/>
        <charset val="134"/>
        <scheme val="minor"/>
      </rPr>
      <t xml:space="preserve">，需要重点布局
</t>
    </r>
    <r>
      <rPr>
        <b/>
        <sz val="10"/>
        <color theme="1"/>
        <rFont val="宋体"/>
        <charset val="134"/>
        <scheme val="minor"/>
      </rPr>
      <t>2. 自然搜索流量的排名主要和客户点击该关键词的点击率和购买的转化率决定，所以优化的方向主要针对这两个值去达成目标</t>
    </r>
    <r>
      <rPr>
        <sz val="10"/>
        <color theme="1"/>
        <rFont val="宋体"/>
        <charset val="134"/>
        <scheme val="minor"/>
      </rPr>
      <t xml:space="preserve">
3. 目标内容为关键词，核心关键词需要布局好目标位置
4. 前期高转化精准词需要布局更多目标在首页的位置
5. 可以自行区分手机端和电脑端的位置去进行跟踪
6. 如果需要增加列表，请直接插入行数</t>
    </r>
  </si>
  <si>
    <r>
      <rPr>
        <b/>
        <sz val="16"/>
        <color theme="1"/>
        <rFont val="宋体"/>
        <charset val="134"/>
        <scheme val="minor"/>
      </rPr>
      <t>站内关键词-广告搜索流量</t>
    </r>
    <r>
      <rPr>
        <b/>
        <sz val="12"/>
        <color theme="1"/>
        <rFont val="宋体"/>
        <charset val="134"/>
        <scheme val="minor"/>
      </rPr>
      <t xml:space="preserve">
</t>
    </r>
    <r>
      <rPr>
        <sz val="10"/>
        <color theme="1"/>
        <rFont val="宋体"/>
        <charset val="134"/>
        <scheme val="minor"/>
      </rPr>
      <t>1. 此流量是亚马逊站内</t>
    </r>
    <r>
      <rPr>
        <b/>
        <sz val="10"/>
        <color theme="1"/>
        <rFont val="宋体"/>
        <charset val="134"/>
        <scheme val="minor"/>
      </rPr>
      <t>广告流量的重点流量入口</t>
    </r>
    <r>
      <rPr>
        <sz val="10"/>
        <color theme="1"/>
        <rFont val="宋体"/>
        <charset val="134"/>
        <scheme val="minor"/>
      </rPr>
      <t xml:space="preserve">，需要重点布局
</t>
    </r>
    <r>
      <rPr>
        <b/>
        <sz val="10"/>
        <color theme="1"/>
        <rFont val="宋体"/>
        <charset val="134"/>
        <scheme val="minor"/>
      </rPr>
      <t xml:space="preserve">2. 广告关键词搜索流量的排名主要和“广告排名得分” = 广告出价x广告质量得分，而广告质量得分与CVR+CTR+广告历史表现+类目节点+相关度 有关，请参考子表格6进行跟踪优化。
</t>
    </r>
    <r>
      <rPr>
        <sz val="10"/>
        <color theme="1"/>
        <rFont val="宋体"/>
        <charset val="134"/>
        <scheme val="minor"/>
      </rPr>
      <t>3. 主要影响这部分流量的广告有：自动广告的搜索结果页面广告+手动广告搜索结果页面+品牌广告
4. 可以自行区分手机端和电脑端的位置去进行跟踪
5. 如果需要增加列表，请直接插入行数
6. 一页/底/2：表示第一页底部广告位第2位</t>
    </r>
  </si>
  <si>
    <r>
      <rPr>
        <b/>
        <sz val="16"/>
        <color theme="1"/>
        <rFont val="宋体"/>
        <charset val="134"/>
        <scheme val="minor"/>
      </rPr>
      <t xml:space="preserve">推荐流量
</t>
    </r>
    <r>
      <rPr>
        <sz val="9"/>
        <color theme="1"/>
        <rFont val="宋体"/>
        <charset val="134"/>
        <scheme val="minor"/>
      </rPr>
      <t>1. 推荐流量主要和A9算法中用户习惯的问题产生亚马逊流量入口“千人千面”的情况，这个需要聪明的你去熟悉和研究一下或者感知一下亚马逊的A9算法啦。
2. 推荐流量还包括我们的post/编辑推荐/视频广告/售后卡这几个推荐流量都属于我们的可控制的流量，可以操作获取的流量大家可以多多关注和设定自己的目标</t>
    </r>
  </si>
  <si>
    <t>Editorial Recommendations（编辑推荐产品）</t>
  </si>
  <si>
    <t>尝试联系博主</t>
  </si>
  <si>
    <t>/</t>
  </si>
  <si>
    <t>联系失败</t>
  </si>
  <si>
    <t>得到回复</t>
  </si>
  <si>
    <t>POST</t>
  </si>
  <si>
    <t>一天1post</t>
  </si>
  <si>
    <t>首页视频关联推荐</t>
  </si>
  <si>
    <t>视频广告</t>
  </si>
  <si>
    <t>推到首页</t>
  </si>
  <si>
    <t>在线1个review开始投入广告</t>
  </si>
  <si>
    <t>没在首页</t>
  </si>
  <si>
    <t>亚马逊邮件推荐</t>
  </si>
  <si>
    <t>店铺链接推荐营销（售后卡 or 自建品牌站）</t>
  </si>
  <si>
    <t>千人千面的流量（思考）</t>
  </si>
  <si>
    <r>
      <rPr>
        <b/>
        <sz val="16"/>
        <color theme="1"/>
        <rFont val="宋体"/>
        <charset val="134"/>
        <scheme val="minor"/>
      </rPr>
      <t xml:space="preserve">关联流量-B07YWST1X8竟对页面
</t>
    </r>
    <r>
      <rPr>
        <sz val="9"/>
        <color theme="1"/>
        <rFont val="宋体"/>
        <charset val="134"/>
        <scheme val="minor"/>
      </rPr>
      <t>1. 此流量是亚马逊站内</t>
    </r>
    <r>
      <rPr>
        <b/>
        <sz val="9"/>
        <color theme="1"/>
        <rFont val="宋体"/>
        <charset val="134"/>
        <scheme val="minor"/>
      </rPr>
      <t>关联流量的重点流量入口</t>
    </r>
    <r>
      <rPr>
        <sz val="9"/>
        <color theme="1"/>
        <rFont val="宋体"/>
        <charset val="134"/>
        <scheme val="minor"/>
      </rPr>
      <t>，需要重点布局
2. 这块的流量目标方向是：精准竟对需要重点布局+本店铺流量闭环+本公司流量闭环
3. 难点1：产品页面的流量入口经常变化，所以我们需要及时发现到入口的变动从而做出及时的调整。
4. 难点2：不同类目的产品页面关联流量的类型和分布也不一样，需要根据该新品对应的类目页面布局情况做出相应的目标调整。
5. 此部分表格的填写，需要以单个目标ASIN为一个跟踪对象，如果有多个竟对，请复制这个选项重新插入这个板块进行跟踪</t>
    </r>
  </si>
  <si>
    <t>Frequently Bought Together</t>
  </si>
  <si>
    <t>B07YWST1X8</t>
  </si>
  <si>
    <t>×</t>
  </si>
  <si>
    <t>√</t>
  </si>
  <si>
    <t>Customers who bought this item aslo bought</t>
  </si>
  <si>
    <t>Customers who viewed this item also viewed</t>
  </si>
  <si>
    <t>Customers who viewed this item also bought</t>
  </si>
  <si>
    <t>5点下面展示坑位（广告）</t>
  </si>
  <si>
    <t>buybox下面展示坑位（广告）</t>
  </si>
  <si>
    <t>Sponsored products related to this item 1（广告）</t>
  </si>
  <si>
    <t>4 stars and above（广告）</t>
  </si>
  <si>
    <t>Compare with similar items</t>
  </si>
  <si>
    <t>Videos for related products</t>
  </si>
  <si>
    <t>Sponsored products related to this item 2（广告）</t>
  </si>
  <si>
    <t>Brands related to this category on Amazon （广告）</t>
  </si>
  <si>
    <t>Special offers and product promotions （可以关联促销）</t>
  </si>
  <si>
    <t>Newer and similar items</t>
  </si>
  <si>
    <t>Pages with related products上面的横幅坑位</t>
  </si>
  <si>
    <t>Customers who searched for "xx" ultimately bought</t>
  </si>
  <si>
    <t>review汇总下面 广告坑位</t>
  </si>
  <si>
    <t>Like or dislike for instant recommendations</t>
  </si>
  <si>
    <r>
      <rPr>
        <b/>
        <sz val="16"/>
        <color theme="1"/>
        <rFont val="宋体"/>
        <charset val="134"/>
        <scheme val="minor"/>
      </rPr>
      <t xml:space="preserve">关联流量-B075Z643G4竟对页面
</t>
    </r>
    <r>
      <rPr>
        <sz val="9"/>
        <color theme="1"/>
        <rFont val="宋体"/>
        <charset val="134"/>
        <scheme val="minor"/>
      </rPr>
      <t>1. 此流量是亚马逊站内</t>
    </r>
    <r>
      <rPr>
        <b/>
        <sz val="9"/>
        <color theme="1"/>
        <rFont val="宋体"/>
        <charset val="134"/>
        <scheme val="minor"/>
      </rPr>
      <t>关联流量的重点流量入口</t>
    </r>
    <r>
      <rPr>
        <sz val="9"/>
        <color theme="1"/>
        <rFont val="宋体"/>
        <charset val="134"/>
        <scheme val="minor"/>
      </rPr>
      <t>，需要重点布局
2. 这块的流量目标方向是：精准竟对需要重点布局+本店铺流量闭环+本公司流量闭环
3. 难点1：产品页面的流量入口经常变化，所以我们需要及时发现到入口的变动从而做出及时的调整。
4. 难点2：不同类目的产品页面关联流量的类型和分布也不一样，需要根据该新品对应的类目页面布局情况做出相应的目标调整。
5. 此部分表格的填写，需要以单个目标ASIN为一个跟踪对象，如果有多个竟对，请复制这个选项重新插入这个板块进行跟踪</t>
    </r>
  </si>
  <si>
    <t>B075Z643G4</t>
  </si>
  <si>
    <r>
      <rPr>
        <b/>
        <sz val="16"/>
        <color theme="1"/>
        <rFont val="宋体"/>
        <charset val="134"/>
        <scheme val="minor"/>
      </rPr>
      <t xml:space="preserve">站内Today’s Deals入口
</t>
    </r>
    <r>
      <rPr>
        <sz val="9"/>
        <color theme="1"/>
        <rFont val="宋体"/>
        <charset val="134"/>
        <scheme val="minor"/>
      </rPr>
      <t>1. 此流量入口是亚马逊首页可以直接进入的专属秒杀页面
2. 选择合适的时间做一些秒杀或者coupon，提高这部分的流量</t>
    </r>
  </si>
  <si>
    <t>Deal of the Day</t>
  </si>
  <si>
    <t>Lightning Deals</t>
  </si>
  <si>
    <t>Savings &amp; Sales （BD）</t>
  </si>
  <si>
    <t>Coupons</t>
  </si>
  <si>
    <t>3天</t>
  </si>
  <si>
    <t>1天</t>
  </si>
  <si>
    <r>
      <rPr>
        <b/>
        <sz val="16"/>
        <color theme="1"/>
        <rFont val="宋体"/>
        <charset val="134"/>
        <scheme val="minor"/>
      </rPr>
      <t xml:space="preserve">站内类目节点流量
</t>
    </r>
    <r>
      <rPr>
        <sz val="9"/>
        <color theme="1"/>
        <rFont val="宋体"/>
        <charset val="134"/>
        <scheme val="minor"/>
      </rPr>
      <t>大家冲鸭，有了各种排名了，你就会拥有这部分的流量入口了。</t>
    </r>
  </si>
  <si>
    <t>Best Sellers（销量排行榜）</t>
  </si>
  <si>
    <t>小类目前100</t>
  </si>
  <si>
    <t>New Releases（新品排行榜）</t>
  </si>
  <si>
    <t>小类目前3</t>
  </si>
  <si>
    <t>Movers &amp; Shakers（飙升排行榜）</t>
  </si>
  <si>
    <t>Most Wished For（心愿单排行榜）</t>
  </si>
  <si>
    <t>Gift Ideas（礼物选择排行榜）</t>
  </si>
  <si>
    <r>
      <rPr>
        <b/>
        <sz val="16"/>
        <color theme="1"/>
        <rFont val="宋体"/>
        <charset val="134"/>
        <scheme val="minor"/>
      </rPr>
      <t xml:space="preserve">站外流量
</t>
    </r>
    <r>
      <rPr>
        <sz val="9"/>
        <color theme="1"/>
        <rFont val="宋体"/>
        <charset val="134"/>
        <scheme val="minor"/>
      </rPr>
      <t>站外流量比较灵活，暂时大家可以自由思考和发挥，多交流沟通自己的想法，你可以的！</t>
    </r>
  </si>
  <si>
    <t>站外秒杀网站流量</t>
  </si>
  <si>
    <t>谷歌CPC广告流量</t>
  </si>
  <si>
    <t>谷歌SEO优化流量</t>
  </si>
  <si>
    <t>Facebook</t>
  </si>
  <si>
    <t>Reddit</t>
  </si>
  <si>
    <t>Youtube</t>
  </si>
  <si>
    <t>Twitter</t>
  </si>
  <si>
    <t>Pinterest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</si>
</sst>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0_ "/>
    <numFmt numFmtId="178" formatCode="\$#,##0;\-\$#,##0"/>
    <numFmt numFmtId="179" formatCode="yyyy/m/d;@"/>
  </numFmts>
  <fonts count="41">
    <font>
      <sz val="11"/>
      <color theme="1"/>
      <name val="宋体"/>
      <charset val="134"/>
      <scheme val="minor"/>
    </font>
    <font>
      <b/>
      <sz val="12"/>
      <color theme="1"/>
      <name val="宋体"/>
      <charset val="134"/>
      <scheme val="minor"/>
    </font>
    <font>
      <b/>
      <sz val="10"/>
      <color theme="1"/>
      <name val="宋体"/>
      <charset val="134"/>
      <scheme val="minor"/>
    </font>
    <font>
      <sz val="10"/>
      <color theme="1"/>
      <name val="宋体"/>
      <charset val="134"/>
      <scheme val="minor"/>
    </font>
    <font>
      <b/>
      <sz val="18"/>
      <color theme="1"/>
      <name val="宋体"/>
      <charset val="134"/>
      <scheme val="minor"/>
    </font>
    <font>
      <b/>
      <sz val="16"/>
      <color theme="1"/>
      <name val="宋体"/>
      <charset val="134"/>
      <scheme val="minor"/>
    </font>
    <font>
      <b/>
      <sz val="9"/>
      <color theme="1"/>
      <name val="宋体"/>
      <charset val="134"/>
      <scheme val="minor"/>
    </font>
    <font>
      <sz val="9"/>
      <color theme="1"/>
      <name val="宋体"/>
      <charset val="134"/>
      <scheme val="minor"/>
    </font>
    <font>
      <b/>
      <sz val="11"/>
      <color theme="1"/>
      <name val="宋体"/>
      <charset val="134"/>
      <scheme val="minor"/>
    </font>
    <font>
      <sz val="8"/>
      <color theme="1"/>
      <name val="宋体"/>
      <charset val="134"/>
      <scheme val="minor"/>
    </font>
    <font>
      <b/>
      <sz val="20"/>
      <color theme="1"/>
      <name val="宋体"/>
      <charset val="134"/>
      <scheme val="minor"/>
    </font>
    <font>
      <sz val="20"/>
      <color theme="1"/>
      <name val="宋体"/>
      <charset val="134"/>
      <scheme val="minor"/>
    </font>
    <font>
      <sz val="12"/>
      <color theme="1"/>
      <name val="宋体"/>
      <charset val="134"/>
      <scheme val="minor"/>
    </font>
    <font>
      <sz val="18"/>
      <color theme="1"/>
      <name val="宋体"/>
      <charset val="134"/>
      <scheme val="minor"/>
    </font>
    <font>
      <b/>
      <sz val="14"/>
      <color theme="1"/>
      <name val="宋体"/>
      <charset val="134"/>
      <scheme val="minor"/>
    </font>
    <font>
      <b/>
      <sz val="8"/>
      <color theme="1"/>
      <name val="宋体"/>
      <charset val="134"/>
      <scheme val="minor"/>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9"/>
      <color theme="1"/>
      <name val="宋体"/>
      <charset val="134"/>
    </font>
    <font>
      <sz val="11"/>
      <color rgb="FF00B0F0"/>
      <name val="宋体"/>
      <charset val="134"/>
      <scheme val="minor"/>
    </font>
    <font>
      <sz val="9"/>
      <name val="宋体"/>
      <charset val="134"/>
    </font>
    <font>
      <b/>
      <sz val="9"/>
      <name val="宋体"/>
      <charset val="134"/>
    </font>
  </fonts>
  <fills count="47">
    <fill>
      <patternFill patternType="none"/>
    </fill>
    <fill>
      <patternFill patternType="gray125"/>
    </fill>
    <fill>
      <patternFill patternType="solid">
        <fgColor theme="8" tint="0.799951170384838"/>
        <bgColor indexed="64"/>
      </patternFill>
    </fill>
    <fill>
      <patternFill patternType="solid">
        <fgColor theme="9" tint="0.799951170384838"/>
        <bgColor indexed="64"/>
      </patternFill>
    </fill>
    <fill>
      <patternFill patternType="solid">
        <fgColor theme="6" tint="0.399945066682943"/>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3" tint="0.799951170384838"/>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4" tint="0.599993896298105"/>
        <bgColor indexed="64"/>
      </patternFill>
    </fill>
    <fill>
      <patternFill patternType="solid">
        <fgColor rgb="FF92D050"/>
        <bgColor indexed="64"/>
      </patternFill>
    </fill>
    <fill>
      <patternFill patternType="solid">
        <fgColor theme="8"/>
        <bgColor indexed="64"/>
      </patternFill>
    </fill>
    <fill>
      <patternFill patternType="solid">
        <fgColor theme="9" tint="0.599993896298105"/>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diagonal/>
    </border>
    <border>
      <left style="medium">
        <color auto="1"/>
      </left>
      <right style="thin">
        <color auto="1"/>
      </right>
      <top style="thin">
        <color auto="1"/>
      </top>
      <bottom/>
      <diagonal/>
    </border>
    <border>
      <left style="thin">
        <color auto="1"/>
      </left>
      <right style="thin">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right/>
      <top/>
      <bottom style="thick">
        <color auto="1"/>
      </bottom>
      <diagonal/>
    </border>
    <border>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style="thick">
        <color auto="1"/>
      </bottom>
      <diagonal/>
    </border>
    <border>
      <left style="thin">
        <color auto="1"/>
      </left>
      <right style="thick">
        <color auto="1"/>
      </right>
      <top style="thick">
        <color auto="1"/>
      </top>
      <bottom style="thin">
        <color auto="1"/>
      </bottom>
      <diagonal/>
    </border>
    <border>
      <left/>
      <right style="thick">
        <color auto="1"/>
      </right>
      <top/>
      <bottom style="thick">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diagonal/>
    </border>
    <border>
      <left style="thick">
        <color auto="1"/>
      </left>
      <right style="thin">
        <color auto="1"/>
      </right>
      <top style="thin">
        <color auto="1"/>
      </top>
      <bottom/>
      <diagonal/>
    </border>
    <border>
      <left style="thin">
        <color auto="1"/>
      </left>
      <right style="thick">
        <color auto="1"/>
      </right>
      <top style="thin">
        <color auto="1"/>
      </top>
      <bottom/>
      <diagonal/>
    </border>
    <border>
      <left style="thick">
        <color auto="1"/>
      </left>
      <right style="thin">
        <color auto="1"/>
      </right>
      <top style="medium">
        <color auto="1"/>
      </top>
      <bottom/>
      <diagonal/>
    </border>
    <border>
      <left style="thin">
        <color auto="1"/>
      </left>
      <right style="thick">
        <color auto="1"/>
      </right>
      <top style="medium">
        <color auto="1"/>
      </top>
      <bottom style="thin">
        <color auto="1"/>
      </bottom>
      <diagonal/>
    </border>
    <border>
      <left style="thick">
        <color auto="1"/>
      </left>
      <right style="thin">
        <color auto="1"/>
      </right>
      <top/>
      <bottom/>
      <diagonal/>
    </border>
    <border>
      <left style="thick">
        <color auto="1"/>
      </left>
      <right style="thin">
        <color auto="1"/>
      </right>
      <top/>
      <bottom style="medium">
        <color auto="1"/>
      </bottom>
      <diagonal/>
    </border>
    <border>
      <left style="thin">
        <color auto="1"/>
      </left>
      <right style="thick">
        <color auto="1"/>
      </right>
      <top style="thin">
        <color auto="1"/>
      </top>
      <bottom style="medium">
        <color auto="1"/>
      </bottom>
      <diagonal/>
    </border>
    <border>
      <left style="thick">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style="thin">
        <color auto="1"/>
      </right>
      <top style="thin">
        <color auto="1"/>
      </top>
      <bottom style="medium">
        <color auto="1"/>
      </bottom>
      <diagonal/>
    </border>
    <border>
      <left style="thin">
        <color auto="1"/>
      </left>
      <right style="thin">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16" borderId="49"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50" applyNumberFormat="0" applyFill="0" applyAlignment="0" applyProtection="0">
      <alignment vertical="center"/>
    </xf>
    <xf numFmtId="0" fontId="23" fillId="0" borderId="50" applyNumberFormat="0" applyFill="0" applyAlignment="0" applyProtection="0">
      <alignment vertical="center"/>
    </xf>
    <xf numFmtId="0" fontId="24" fillId="0" borderId="51" applyNumberFormat="0" applyFill="0" applyAlignment="0" applyProtection="0">
      <alignment vertical="center"/>
    </xf>
    <xf numFmtId="0" fontId="24" fillId="0" borderId="0" applyNumberFormat="0" applyFill="0" applyBorder="0" applyAlignment="0" applyProtection="0">
      <alignment vertical="center"/>
    </xf>
    <xf numFmtId="0" fontId="25" fillId="17" borderId="52" applyNumberFormat="0" applyAlignment="0" applyProtection="0">
      <alignment vertical="center"/>
    </xf>
    <xf numFmtId="0" fontId="26" fillId="18" borderId="53" applyNumberFormat="0" applyAlignment="0" applyProtection="0">
      <alignment vertical="center"/>
    </xf>
    <xf numFmtId="0" fontId="27" fillId="18" borderId="52" applyNumberFormat="0" applyAlignment="0" applyProtection="0">
      <alignment vertical="center"/>
    </xf>
    <xf numFmtId="0" fontId="28" fillId="19" borderId="54" applyNumberFormat="0" applyAlignment="0" applyProtection="0">
      <alignment vertical="center"/>
    </xf>
    <xf numFmtId="0" fontId="29" fillId="0" borderId="55" applyNumberFormat="0" applyFill="0" applyAlignment="0" applyProtection="0">
      <alignment vertical="center"/>
    </xf>
    <xf numFmtId="0" fontId="30" fillId="0" borderId="56" applyNumberFormat="0" applyFill="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5" fillId="36" borderId="0" applyNumberFormat="0" applyBorder="0" applyAlignment="0" applyProtection="0">
      <alignment vertical="center"/>
    </xf>
    <xf numFmtId="0" fontId="35" fillId="37" borderId="0" applyNumberFormat="0" applyBorder="0" applyAlignment="0" applyProtection="0">
      <alignment vertical="center"/>
    </xf>
    <xf numFmtId="0" fontId="34" fillId="38" borderId="0" applyNumberFormat="0" applyBorder="0" applyAlignment="0" applyProtection="0">
      <alignment vertical="center"/>
    </xf>
    <xf numFmtId="0" fontId="34" fillId="39" borderId="0" applyNumberFormat="0" applyBorder="0" applyAlignment="0" applyProtection="0">
      <alignment vertical="center"/>
    </xf>
    <xf numFmtId="0" fontId="35" fillId="40" borderId="0" applyNumberFormat="0" applyBorder="0" applyAlignment="0" applyProtection="0">
      <alignment vertical="center"/>
    </xf>
    <xf numFmtId="0" fontId="35" fillId="41" borderId="0" applyNumberFormat="0" applyBorder="0" applyAlignment="0" applyProtection="0">
      <alignment vertical="center"/>
    </xf>
    <xf numFmtId="0" fontId="34" fillId="42" borderId="0" applyNumberFormat="0" applyBorder="0" applyAlignment="0" applyProtection="0">
      <alignment vertical="center"/>
    </xf>
    <xf numFmtId="0" fontId="34" fillId="43" borderId="0" applyNumberFormat="0" applyBorder="0" applyAlignment="0" applyProtection="0">
      <alignment vertical="center"/>
    </xf>
    <xf numFmtId="0" fontId="35" fillId="44" borderId="0" applyNumberFormat="0" applyBorder="0" applyAlignment="0" applyProtection="0">
      <alignment vertical="center"/>
    </xf>
    <xf numFmtId="0" fontId="35" fillId="45" borderId="0" applyNumberFormat="0" applyBorder="0" applyAlignment="0" applyProtection="0">
      <alignment vertical="center"/>
    </xf>
    <xf numFmtId="0" fontId="34" fillId="46" borderId="0" applyNumberFormat="0" applyBorder="0" applyAlignment="0" applyProtection="0">
      <alignment vertical="center"/>
    </xf>
  </cellStyleXfs>
  <cellXfs count="227">
    <xf numFmtId="0" fontId="0" fillId="0" borderId="0" xfId="0">
      <alignment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3" borderId="0" xfId="0" applyFont="1" applyFill="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58" fontId="3" fillId="2" borderId="2" xfId="0" applyNumberFormat="1" applyFont="1" applyFill="1" applyBorder="1" applyAlignment="1">
      <alignment horizontal="center" vertical="center" wrapText="1"/>
    </xf>
    <xf numFmtId="0" fontId="5" fillId="4" borderId="3" xfId="0" applyFont="1" applyFill="1" applyBorder="1" applyAlignment="1">
      <alignment horizontal="left" vertical="center" wrapText="1"/>
    </xf>
    <xf numFmtId="0" fontId="0" fillId="0" borderId="4" xfId="0" applyBorder="1" applyAlignment="1">
      <alignment horizontal="left" vertical="center" wrapText="1"/>
    </xf>
    <xf numFmtId="0" fontId="6" fillId="2" borderId="4"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4" borderId="5" xfId="0" applyFont="1" applyFill="1" applyBorder="1" applyAlignment="1">
      <alignment horizontal="left" vertical="center" wrapText="1"/>
    </xf>
    <xf numFmtId="0" fontId="0" fillId="0" borderId="1" xfId="0" applyBorder="1" applyAlignment="1">
      <alignment horizontal="left" vertical="center" wrapText="1"/>
    </xf>
    <xf numFmtId="0" fontId="6" fillId="2" borderId="1" xfId="0" applyFont="1" applyFill="1" applyBorder="1" applyAlignment="1">
      <alignment horizontal="center" vertical="center" wrapText="1"/>
    </xf>
    <xf numFmtId="0" fontId="8" fillId="4" borderId="6" xfId="0" applyFont="1" applyFill="1" applyBorder="1" applyAlignment="1">
      <alignment horizontal="left" vertical="center" wrapText="1"/>
    </xf>
    <xf numFmtId="0" fontId="0" fillId="0" borderId="7" xfId="0" applyBorder="1" applyAlignment="1">
      <alignment horizontal="left" vertical="center" wrapText="1"/>
    </xf>
    <xf numFmtId="0" fontId="6" fillId="2" borderId="7"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8" fillId="4" borderId="10" xfId="0" applyFont="1" applyFill="1" applyBorder="1" applyAlignment="1">
      <alignment horizontal="left" vertical="center" wrapText="1"/>
    </xf>
    <xf numFmtId="0" fontId="0" fillId="0" borderId="2" xfId="0" applyBorder="1" applyAlignment="1">
      <alignment horizontal="left" vertical="center" wrapText="1"/>
    </xf>
    <xf numFmtId="0" fontId="7" fillId="2" borderId="2"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3" fontId="7" fillId="2" borderId="4" xfId="0" applyNumberFormat="1" applyFont="1" applyFill="1" applyBorder="1" applyAlignment="1">
      <alignment horizontal="center" vertical="center" wrapText="1"/>
    </xf>
    <xf numFmtId="0" fontId="8" fillId="5" borderId="1" xfId="0" applyFont="1" applyFill="1" applyBorder="1" applyAlignment="1">
      <alignment horizontal="center" vertical="center"/>
    </xf>
    <xf numFmtId="0" fontId="8" fillId="6" borderId="1" xfId="0" applyFont="1" applyFill="1" applyBorder="1" applyAlignment="1">
      <alignment horizontal="center" vertical="center"/>
    </xf>
    <xf numFmtId="0" fontId="8"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5" fillId="7" borderId="12"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4"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horizontal="center" vertical="center"/>
    </xf>
    <xf numFmtId="0" fontId="8" fillId="0" borderId="1" xfId="0" applyFont="1" applyBorder="1" applyAlignment="1">
      <alignment horizontal="center" vertical="center" wrapText="1"/>
    </xf>
    <xf numFmtId="0" fontId="9" fillId="0" borderId="0" xfId="0" applyFont="1" applyAlignment="1">
      <alignment horizontal="left" vertical="center"/>
    </xf>
    <xf numFmtId="0" fontId="0" fillId="6" borderId="1" xfId="0" applyFill="1" applyBorder="1" applyAlignment="1">
      <alignment horizontal="center" vertical="center"/>
    </xf>
    <xf numFmtId="0" fontId="0" fillId="3" borderId="1" xfId="0" applyFill="1" applyBorder="1" applyAlignment="1">
      <alignment horizontal="center" vertical="center"/>
    </xf>
    <xf numFmtId="0" fontId="0" fillId="0" borderId="0" xfId="0" applyAlignment="1">
      <alignment horizontal="center" vertical="center"/>
    </xf>
    <xf numFmtId="0" fontId="10" fillId="2" borderId="15" xfId="0" applyFont="1" applyFill="1" applyBorder="1" applyAlignment="1">
      <alignment horizontal="center" vertical="center"/>
    </xf>
    <xf numFmtId="0" fontId="10" fillId="2" borderId="16" xfId="0" applyFont="1" applyFill="1" applyBorder="1" applyAlignment="1">
      <alignment horizontal="center" vertical="center"/>
    </xf>
    <xf numFmtId="0" fontId="8" fillId="2" borderId="17" xfId="0" applyFont="1" applyFill="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9" fontId="1" fillId="8" borderId="1" xfId="0" applyNumberFormat="1" applyFont="1" applyFill="1" applyBorder="1" applyAlignment="1">
      <alignment horizontal="center" vertical="center"/>
    </xf>
    <xf numFmtId="0" fontId="8" fillId="2" borderId="18" xfId="0" applyFont="1" applyFill="1" applyBorder="1" applyAlignment="1">
      <alignment horizontal="center" vertical="center"/>
    </xf>
    <xf numFmtId="176" fontId="1" fillId="2" borderId="19" xfId="0" applyNumberFormat="1" applyFont="1" applyFill="1" applyBorder="1" applyAlignment="1">
      <alignment horizontal="center" vertical="center"/>
    </xf>
    <xf numFmtId="177" fontId="1" fillId="2" borderId="19" xfId="0" applyNumberFormat="1" applyFont="1" applyFill="1" applyBorder="1" applyAlignment="1">
      <alignment horizontal="center" vertical="center"/>
    </xf>
    <xf numFmtId="178" fontId="1" fillId="2" borderId="19" xfId="0" applyNumberFormat="1" applyFont="1" applyFill="1" applyBorder="1" applyAlignment="1">
      <alignment horizontal="center" vertical="center"/>
    </xf>
    <xf numFmtId="176" fontId="1" fillId="3" borderId="19" xfId="0" applyNumberFormat="1" applyFont="1" applyFill="1" applyBorder="1" applyAlignment="1">
      <alignment horizontal="center" vertical="center"/>
    </xf>
    <xf numFmtId="177" fontId="1" fillId="3" borderId="19" xfId="0" applyNumberFormat="1" applyFont="1" applyFill="1" applyBorder="1" applyAlignment="1">
      <alignment horizontal="center" vertical="center"/>
    </xf>
    <xf numFmtId="178" fontId="1" fillId="3" borderId="19" xfId="0" applyNumberFormat="1" applyFont="1" applyFill="1" applyBorder="1" applyAlignment="1">
      <alignment horizontal="center" vertical="center"/>
    </xf>
    <xf numFmtId="0" fontId="11" fillId="2" borderId="20" xfId="0" applyFont="1" applyFill="1" applyBorder="1" applyAlignment="1">
      <alignment horizontal="center" vertical="center"/>
    </xf>
    <xf numFmtId="0" fontId="11" fillId="2" borderId="21" xfId="0" applyFont="1" applyFill="1" applyBorder="1" applyAlignment="1">
      <alignment horizontal="center" vertical="center"/>
    </xf>
    <xf numFmtId="179" fontId="1" fillId="2" borderId="1" xfId="0" applyNumberFormat="1" applyFont="1" applyFill="1" applyBorder="1" applyAlignment="1">
      <alignment horizontal="center" vertical="center"/>
    </xf>
    <xf numFmtId="176" fontId="1" fillId="0" borderId="1" xfId="0" applyNumberFormat="1" applyFont="1" applyBorder="1" applyAlignment="1">
      <alignment horizontal="center" vertical="center"/>
    </xf>
    <xf numFmtId="177" fontId="1" fillId="0" borderId="1" xfId="0" applyNumberFormat="1" applyFont="1" applyBorder="1" applyAlignment="1">
      <alignment horizontal="center" vertical="center"/>
    </xf>
    <xf numFmtId="178" fontId="1" fillId="2" borderId="1" xfId="0" applyNumberFormat="1" applyFont="1" applyFill="1" applyBorder="1" applyAlignment="1">
      <alignment horizontal="center" vertical="center"/>
    </xf>
    <xf numFmtId="10" fontId="1" fillId="0" borderId="1" xfId="0" applyNumberFormat="1" applyFont="1" applyBorder="1" applyAlignment="1">
      <alignment horizontal="center" vertical="center"/>
    </xf>
    <xf numFmtId="176" fontId="1" fillId="9" borderId="1" xfId="0" applyNumberFormat="1" applyFont="1" applyFill="1" applyBorder="1" applyAlignment="1">
      <alignment horizontal="center" vertical="center"/>
    </xf>
    <xf numFmtId="10" fontId="1" fillId="9" borderId="1" xfId="0" applyNumberFormat="1" applyFont="1" applyFill="1" applyBorder="1" applyAlignment="1">
      <alignment horizontal="center" vertical="center"/>
    </xf>
    <xf numFmtId="176" fontId="1" fillId="0" borderId="19" xfId="0" applyNumberFormat="1" applyFont="1" applyBorder="1">
      <alignment vertical="center"/>
    </xf>
    <xf numFmtId="177" fontId="1" fillId="0" borderId="19" xfId="0" applyNumberFormat="1" applyFont="1" applyBorder="1">
      <alignment vertical="center"/>
    </xf>
    <xf numFmtId="0" fontId="8" fillId="0" borderId="19" xfId="0" applyFont="1" applyBorder="1" applyAlignment="1">
      <alignment vertical="center" wrapText="1"/>
    </xf>
    <xf numFmtId="0" fontId="0" fillId="3" borderId="22" xfId="0" applyFill="1" applyBorder="1" applyAlignment="1">
      <alignment horizontal="left" vertical="center" wrapText="1"/>
    </xf>
    <xf numFmtId="0" fontId="0" fillId="3" borderId="23" xfId="0" applyFill="1" applyBorder="1" applyAlignment="1">
      <alignment horizontal="left" vertical="center"/>
    </xf>
    <xf numFmtId="0" fontId="0" fillId="2" borderId="1" xfId="0" applyFill="1" applyBorder="1" applyAlignment="1">
      <alignment horizontal="center" vertical="center"/>
    </xf>
    <xf numFmtId="0" fontId="8" fillId="0" borderId="0" xfId="0" applyFont="1">
      <alignment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10" fillId="2" borderId="24" xfId="0" applyFont="1" applyFill="1" applyBorder="1" applyAlignment="1">
      <alignment horizontal="center" vertical="center"/>
    </xf>
    <xf numFmtId="0" fontId="1" fillId="0" borderId="25" xfId="0" applyFont="1" applyBorder="1" applyAlignment="1">
      <alignment horizontal="center" vertical="center"/>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1" fillId="6" borderId="25" xfId="0" applyFont="1" applyFill="1" applyBorder="1" applyAlignment="1">
      <alignment horizontal="center" vertical="center"/>
    </xf>
    <xf numFmtId="9" fontId="1" fillId="8" borderId="25" xfId="0" applyNumberFormat="1" applyFont="1" applyFill="1" applyBorder="1" applyAlignment="1">
      <alignment horizontal="center" vertical="center"/>
    </xf>
    <xf numFmtId="176" fontId="1" fillId="6" borderId="19" xfId="0" applyNumberFormat="1" applyFont="1" applyFill="1" applyBorder="1" applyAlignment="1">
      <alignment horizontal="center" vertical="center"/>
    </xf>
    <xf numFmtId="177" fontId="1" fillId="6" borderId="19" xfId="0" applyNumberFormat="1" applyFont="1" applyFill="1" applyBorder="1" applyAlignment="1">
      <alignment horizontal="center" vertical="center"/>
    </xf>
    <xf numFmtId="178" fontId="1" fillId="6" borderId="26" xfId="0" applyNumberFormat="1" applyFont="1" applyFill="1" applyBorder="1" applyAlignment="1">
      <alignment horizontal="center" vertical="center"/>
    </xf>
    <xf numFmtId="0" fontId="12" fillId="2" borderId="21" xfId="0" applyFont="1" applyFill="1" applyBorder="1" applyAlignment="1">
      <alignment horizontal="center" vertical="center"/>
    </xf>
    <xf numFmtId="0" fontId="12" fillId="0" borderId="21" xfId="0" applyFont="1" applyBorder="1" applyAlignment="1">
      <alignment horizontal="center" vertical="center"/>
    </xf>
    <xf numFmtId="0" fontId="13" fillId="2" borderId="21" xfId="0" applyFont="1" applyFill="1" applyBorder="1" applyAlignment="1">
      <alignment horizontal="center" vertical="center"/>
    </xf>
    <xf numFmtId="0" fontId="13" fillId="2" borderId="27" xfId="0" applyFont="1" applyFill="1" applyBorder="1" applyAlignment="1">
      <alignment horizontal="center" vertical="center"/>
    </xf>
    <xf numFmtId="0" fontId="1" fillId="2" borderId="25" xfId="0" applyFont="1" applyFill="1" applyBorder="1" applyAlignment="1">
      <alignment horizontal="center" vertical="center"/>
    </xf>
    <xf numFmtId="10" fontId="1" fillId="10" borderId="1" xfId="0" applyNumberFormat="1" applyFont="1" applyFill="1" applyBorder="1" applyAlignment="1">
      <alignment horizontal="center" vertical="center"/>
    </xf>
    <xf numFmtId="176" fontId="1" fillId="2" borderId="1" xfId="0" applyNumberFormat="1" applyFont="1" applyFill="1" applyBorder="1" applyAlignment="1">
      <alignment horizontal="center" vertical="center"/>
    </xf>
    <xf numFmtId="9" fontId="1" fillId="2" borderId="19" xfId="0" applyNumberFormat="1" applyFont="1" applyFill="1" applyBorder="1" applyAlignment="1">
      <alignment horizontal="center" vertical="center"/>
    </xf>
    <xf numFmtId="9" fontId="1" fillId="2" borderId="26" xfId="0" applyNumberFormat="1" applyFont="1" applyFill="1" applyBorder="1" applyAlignment="1">
      <alignment horizontal="center" vertical="center"/>
    </xf>
    <xf numFmtId="0" fontId="0" fillId="3" borderId="28" xfId="0" applyFill="1" applyBorder="1" applyAlignment="1">
      <alignment horizontal="left" vertical="center"/>
    </xf>
    <xf numFmtId="0" fontId="0" fillId="8" borderId="0" xfId="0" applyFill="1"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xf>
    <xf numFmtId="0" fontId="9" fillId="8" borderId="0" xfId="0" applyFont="1" applyFill="1" applyAlignment="1">
      <alignment horizontal="left" vertical="center"/>
    </xf>
    <xf numFmtId="0" fontId="14" fillId="6" borderId="1" xfId="0" applyFont="1" applyFill="1" applyBorder="1" applyAlignment="1">
      <alignment horizontal="center" vertical="center"/>
    </xf>
    <xf numFmtId="0" fontId="1" fillId="9" borderId="2" xfId="0" applyFont="1" applyFill="1" applyBorder="1" applyAlignment="1">
      <alignment horizontal="center" vertical="center"/>
    </xf>
    <xf numFmtId="179" fontId="1" fillId="9" borderId="2" xfId="0" applyNumberFormat="1" applyFont="1" applyFill="1" applyBorder="1" applyAlignment="1">
      <alignment horizontal="center" vertical="center"/>
    </xf>
    <xf numFmtId="179" fontId="1" fillId="6"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left" vertical="center"/>
    </xf>
    <xf numFmtId="0" fontId="0" fillId="0" borderId="29" xfId="0" applyBorder="1" applyAlignment="1">
      <alignment horizontal="left" vertical="center"/>
    </xf>
    <xf numFmtId="179" fontId="0" fillId="0" borderId="29" xfId="0" applyNumberFormat="1" applyBorder="1" applyAlignment="1">
      <alignment horizontal="center" vertical="center"/>
    </xf>
    <xf numFmtId="0" fontId="0" fillId="6" borderId="3" xfId="0" applyFill="1" applyBorder="1" applyAlignment="1">
      <alignment horizontal="center" vertical="center"/>
    </xf>
    <xf numFmtId="0" fontId="0" fillId="6" borderId="4" xfId="0" applyFill="1" applyBorder="1" applyAlignment="1">
      <alignment horizontal="center" vertical="center"/>
    </xf>
    <xf numFmtId="0" fontId="1" fillId="0" borderId="5" xfId="0" applyFont="1" applyBorder="1" applyAlignment="1">
      <alignment horizontal="center" vertical="center"/>
    </xf>
    <xf numFmtId="0" fontId="0" fillId="0" borderId="1" xfId="0" applyBorder="1" applyAlignment="1">
      <alignment horizontal="left" vertical="center"/>
    </xf>
    <xf numFmtId="0" fontId="0" fillId="0" borderId="12" xfId="0" applyBorder="1" applyAlignment="1">
      <alignment horizontal="left" vertical="center"/>
    </xf>
    <xf numFmtId="179" fontId="0" fillId="0" borderId="12" xfId="0" applyNumberFormat="1" applyBorder="1" applyAlignment="1">
      <alignment horizontal="center" vertical="center"/>
    </xf>
    <xf numFmtId="0" fontId="0" fillId="6" borderId="5" xfId="0" applyFill="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horizontal="left" vertical="center"/>
    </xf>
    <xf numFmtId="0" fontId="0" fillId="0" borderId="30" xfId="0" applyBorder="1" applyAlignment="1">
      <alignment horizontal="left" vertical="center"/>
    </xf>
    <xf numFmtId="179" fontId="0" fillId="0" borderId="30" xfId="0" applyNumberFormat="1" applyBorder="1" applyAlignment="1">
      <alignment horizontal="center" vertical="center"/>
    </xf>
    <xf numFmtId="0" fontId="0" fillId="6" borderId="6" xfId="0" applyFill="1" applyBorder="1" applyAlignment="1">
      <alignment horizontal="center" vertical="center"/>
    </xf>
    <xf numFmtId="0" fontId="0" fillId="6" borderId="7" xfId="0" applyFill="1" applyBorder="1" applyAlignment="1">
      <alignment horizontal="center" vertical="center"/>
    </xf>
    <xf numFmtId="0" fontId="1" fillId="0" borderId="31" xfId="0" applyFont="1" applyBorder="1" applyAlignment="1">
      <alignment horizontal="center" vertical="center"/>
    </xf>
    <xf numFmtId="0" fontId="0" fillId="0" borderId="31" xfId="0" applyBorder="1" applyAlignment="1">
      <alignment horizontal="left" vertical="center"/>
    </xf>
    <xf numFmtId="0" fontId="0" fillId="0" borderId="32" xfId="0" applyBorder="1" applyAlignment="1">
      <alignment horizontal="left" vertical="center"/>
    </xf>
    <xf numFmtId="0" fontId="0" fillId="6" borderId="33" xfId="0" applyFill="1" applyBorder="1" applyAlignment="1">
      <alignment horizontal="center" vertical="center"/>
    </xf>
    <xf numFmtId="0" fontId="0" fillId="6" borderId="9" xfId="0" applyFill="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179" fontId="0" fillId="0" borderId="1" xfId="0" applyNumberFormat="1" applyBorder="1" applyAlignment="1">
      <alignment horizontal="center" vertical="center"/>
    </xf>
    <xf numFmtId="0" fontId="1" fillId="0" borderId="11" xfId="0" applyFont="1" applyBorder="1" applyAlignment="1">
      <alignment horizontal="center" vertical="center"/>
    </xf>
    <xf numFmtId="179" fontId="0" fillId="0" borderId="7" xfId="0" applyNumberFormat="1" applyBorder="1" applyAlignment="1">
      <alignment horizontal="center" vertical="center"/>
    </xf>
    <xf numFmtId="0" fontId="14" fillId="11" borderId="1" xfId="0" applyFont="1" applyFill="1" applyBorder="1" applyAlignment="1">
      <alignment horizontal="center" vertical="center"/>
    </xf>
    <xf numFmtId="179" fontId="1" fillId="11" borderId="2" xfId="0" applyNumberFormat="1" applyFont="1" applyFill="1" applyBorder="1" applyAlignment="1">
      <alignment horizontal="center" vertical="center"/>
    </xf>
    <xf numFmtId="0" fontId="0" fillId="6" borderId="34" xfId="0" applyFill="1" applyBorder="1" applyAlignment="1">
      <alignment horizontal="center" vertical="center"/>
    </xf>
    <xf numFmtId="0" fontId="0" fillId="11" borderId="3" xfId="0" applyFill="1" applyBorder="1" applyAlignment="1">
      <alignment horizontal="center" vertical="center"/>
    </xf>
    <xf numFmtId="0" fontId="0" fillId="11" borderId="4" xfId="0" applyFill="1" applyBorder="1" applyAlignment="1">
      <alignment horizontal="center" vertical="center"/>
    </xf>
    <xf numFmtId="0" fontId="0" fillId="6" borderId="35" xfId="0" applyFill="1" applyBorder="1" applyAlignment="1">
      <alignment horizontal="center" vertical="center"/>
    </xf>
    <xf numFmtId="0" fontId="0" fillId="11" borderId="5" xfId="0" applyFill="1" applyBorder="1" applyAlignment="1">
      <alignment horizontal="center" vertical="center"/>
    </xf>
    <xf numFmtId="0" fontId="0" fillId="11" borderId="1" xfId="0" applyFill="1" applyBorder="1" applyAlignment="1">
      <alignment horizontal="center" vertical="center"/>
    </xf>
    <xf numFmtId="0" fontId="0" fillId="6" borderId="36" xfId="0" applyFill="1" applyBorder="1" applyAlignment="1">
      <alignment horizontal="center" vertical="center"/>
    </xf>
    <xf numFmtId="0" fontId="0" fillId="11" borderId="6" xfId="0" applyFill="1" applyBorder="1" applyAlignment="1">
      <alignment horizontal="center" vertical="center"/>
    </xf>
    <xf numFmtId="0" fontId="0" fillId="11" borderId="7" xfId="0" applyFill="1" applyBorder="1" applyAlignment="1">
      <alignment horizontal="center" vertical="center"/>
    </xf>
    <xf numFmtId="0" fontId="0" fillId="6" borderId="37" xfId="0" applyFill="1" applyBorder="1" applyAlignment="1">
      <alignment horizontal="center" vertical="center"/>
    </xf>
    <xf numFmtId="0" fontId="0" fillId="11" borderId="33" xfId="0" applyFill="1" applyBorder="1" applyAlignment="1">
      <alignment horizontal="center" vertical="center"/>
    </xf>
    <xf numFmtId="0" fontId="0" fillId="11" borderId="9" xfId="0" applyFill="1" applyBorder="1" applyAlignment="1">
      <alignment horizontal="center" vertical="center"/>
    </xf>
    <xf numFmtId="0" fontId="0" fillId="11" borderId="34" xfId="0" applyFill="1" applyBorder="1" applyAlignment="1">
      <alignment horizontal="center" vertical="center"/>
    </xf>
    <xf numFmtId="0" fontId="0" fillId="11" borderId="35" xfId="0" applyFill="1" applyBorder="1" applyAlignment="1">
      <alignment horizontal="center" vertical="center"/>
    </xf>
    <xf numFmtId="0" fontId="0" fillId="11" borderId="36" xfId="0" applyFill="1" applyBorder="1" applyAlignment="1">
      <alignment horizontal="center" vertical="center"/>
    </xf>
    <xf numFmtId="0" fontId="0" fillId="11" borderId="37" xfId="0" applyFill="1" applyBorder="1" applyAlignment="1">
      <alignment horizontal="center" vertical="center"/>
    </xf>
    <xf numFmtId="0" fontId="1" fillId="5" borderId="1" xfId="0" applyFont="1" applyFill="1" applyBorder="1" applyAlignment="1">
      <alignment horizontal="center" vertical="center"/>
    </xf>
    <xf numFmtId="0" fontId="15" fillId="0" borderId="0" xfId="0" applyFont="1" applyAlignment="1">
      <alignment horizontal="left" vertical="center"/>
    </xf>
    <xf numFmtId="0" fontId="16" fillId="12" borderId="1" xfId="0" applyFont="1" applyFill="1" applyBorder="1" applyAlignment="1">
      <alignment horizontal="center" vertical="center"/>
    </xf>
    <xf numFmtId="0" fontId="7" fillId="0" borderId="0" xfId="0" applyFont="1" applyAlignment="1">
      <alignment horizontal="left" vertical="center" wrapText="1"/>
    </xf>
    <xf numFmtId="0" fontId="9" fillId="0" borderId="0" xfId="0" applyFont="1" applyAlignment="1">
      <alignment horizontal="center" vertical="center" wrapText="1"/>
    </xf>
    <xf numFmtId="0" fontId="4" fillId="10" borderId="20" xfId="0" applyFont="1" applyFill="1" applyBorder="1" applyAlignment="1">
      <alignment horizontal="center" vertical="center" wrapText="1"/>
    </xf>
    <xf numFmtId="0" fontId="4" fillId="10" borderId="21" xfId="0" applyFont="1" applyFill="1" applyBorder="1" applyAlignment="1">
      <alignment horizontal="center" vertical="center" wrapText="1"/>
    </xf>
    <xf numFmtId="0" fontId="6" fillId="10" borderId="21" xfId="0" applyFont="1" applyFill="1" applyBorder="1" applyAlignment="1">
      <alignment horizontal="left" vertical="center" wrapText="1"/>
    </xf>
    <xf numFmtId="0" fontId="15" fillId="10" borderId="27" xfId="0" applyFont="1" applyFill="1" applyBorder="1" applyAlignment="1">
      <alignment horizontal="center" vertical="center" wrapText="1"/>
    </xf>
    <xf numFmtId="0" fontId="0" fillId="6" borderId="0" xfId="0" applyFill="1" applyAlignment="1">
      <alignment horizontal="center" vertical="center" wrapText="1"/>
    </xf>
    <xf numFmtId="0" fontId="8" fillId="13" borderId="38" xfId="0" applyFont="1" applyFill="1" applyBorder="1" applyAlignment="1">
      <alignment horizontal="center" vertical="center" wrapText="1"/>
    </xf>
    <xf numFmtId="0" fontId="8" fillId="13" borderId="2" xfId="0" applyFont="1" applyFill="1" applyBorder="1" applyAlignment="1">
      <alignment horizontal="center" vertical="center" wrapText="1"/>
    </xf>
    <xf numFmtId="0" fontId="6" fillId="13" borderId="2" xfId="0" applyFont="1" applyFill="1" applyBorder="1" applyAlignment="1">
      <alignment horizontal="center" vertical="center" wrapText="1"/>
    </xf>
    <xf numFmtId="0" fontId="15" fillId="13" borderId="39" xfId="0" applyFont="1" applyFill="1" applyBorder="1" applyAlignment="1">
      <alignment horizontal="center" vertical="center" wrapText="1"/>
    </xf>
    <xf numFmtId="0" fontId="0" fillId="6" borderId="40" xfId="0" applyFill="1" applyBorder="1" applyAlignment="1">
      <alignment horizontal="center" vertical="center" wrapText="1"/>
    </xf>
    <xf numFmtId="0" fontId="8" fillId="6" borderId="4" xfId="0" applyFont="1" applyFill="1" applyBorder="1" applyAlignment="1">
      <alignment horizontal="center" vertical="center" wrapText="1"/>
    </xf>
    <xf numFmtId="179" fontId="0" fillId="0" borderId="4" xfId="0" applyNumberFormat="1" applyBorder="1" applyAlignment="1">
      <alignment horizontal="center" vertical="center" wrapText="1"/>
    </xf>
    <xf numFmtId="0" fontId="7" fillId="0" borderId="4" xfId="0" applyFont="1" applyBorder="1" applyAlignment="1">
      <alignment horizontal="left" vertical="center" wrapText="1"/>
    </xf>
    <xf numFmtId="0" fontId="9" fillId="0" borderId="41" xfId="0" applyFont="1" applyBorder="1" applyAlignment="1">
      <alignment horizontal="center" vertical="center" wrapText="1"/>
    </xf>
    <xf numFmtId="0" fontId="0" fillId="6" borderId="42" xfId="0" applyFill="1" applyBorder="1" applyAlignment="1">
      <alignment horizontal="center" vertical="center" wrapText="1"/>
    </xf>
    <xf numFmtId="0" fontId="8" fillId="6" borderId="1" xfId="0" applyFont="1" applyFill="1" applyBorder="1" applyAlignment="1">
      <alignment horizontal="center" vertical="center" wrapText="1"/>
    </xf>
    <xf numFmtId="179" fontId="0" fillId="0" borderId="1" xfId="0" applyNumberFormat="1" applyBorder="1" applyAlignment="1">
      <alignment horizontal="center" vertical="center" wrapText="1"/>
    </xf>
    <xf numFmtId="0" fontId="7" fillId="0" borderId="1" xfId="0" applyFont="1" applyBorder="1" applyAlignment="1">
      <alignment horizontal="left" vertical="center" wrapText="1"/>
    </xf>
    <xf numFmtId="0" fontId="9" fillId="0" borderId="25" xfId="0" applyFont="1" applyBorder="1" applyAlignment="1">
      <alignment horizontal="center" vertical="center" wrapText="1"/>
    </xf>
    <xf numFmtId="0" fontId="0" fillId="6" borderId="43" xfId="0" applyFill="1" applyBorder="1" applyAlignment="1">
      <alignment horizontal="center" vertical="center" wrapText="1"/>
    </xf>
    <xf numFmtId="0" fontId="8" fillId="6" borderId="7" xfId="0" applyFont="1" applyFill="1" applyBorder="1" applyAlignment="1">
      <alignment horizontal="center" vertical="center" wrapText="1"/>
    </xf>
    <xf numFmtId="179" fontId="0" fillId="0" borderId="7" xfId="0" applyNumberFormat="1" applyBorder="1" applyAlignment="1">
      <alignment horizontal="center" vertical="center" wrapText="1"/>
    </xf>
    <xf numFmtId="0" fontId="7" fillId="0" borderId="7" xfId="0" applyFont="1" applyBorder="1" applyAlignment="1">
      <alignment horizontal="left" vertical="center" wrapText="1"/>
    </xf>
    <xf numFmtId="0" fontId="9" fillId="0" borderId="44" xfId="0" applyFont="1" applyBorder="1" applyAlignment="1">
      <alignment horizontal="center" vertical="center" wrapText="1"/>
    </xf>
    <xf numFmtId="0" fontId="0" fillId="0" borderId="45" xfId="0" applyBorder="1" applyAlignment="1">
      <alignment horizontal="center" vertical="center" wrapText="1"/>
    </xf>
    <xf numFmtId="0" fontId="8" fillId="0" borderId="31" xfId="0" applyFont="1" applyBorder="1" applyAlignment="1">
      <alignment horizontal="center" vertical="center" wrapText="1"/>
    </xf>
    <xf numFmtId="179" fontId="0" fillId="0" borderId="31" xfId="0" applyNumberFormat="1" applyBorder="1" applyAlignment="1">
      <alignment horizontal="center" vertical="center" wrapText="1"/>
    </xf>
    <xf numFmtId="0" fontId="7" fillId="0" borderId="31" xfId="0" applyFont="1" applyBorder="1" applyAlignment="1">
      <alignment horizontal="left" vertical="center" wrapText="1"/>
    </xf>
    <xf numFmtId="0" fontId="9" fillId="0" borderId="46" xfId="0" applyFont="1" applyBorder="1" applyAlignment="1">
      <alignment horizontal="center" vertical="center" wrapText="1"/>
    </xf>
    <xf numFmtId="0" fontId="0" fillId="0" borderId="17" xfId="0" applyBorder="1" applyAlignment="1">
      <alignment horizontal="center" vertical="center" wrapText="1"/>
    </xf>
    <xf numFmtId="0" fontId="0" fillId="0" borderId="47" xfId="0" applyBorder="1" applyAlignment="1">
      <alignment horizontal="center" vertical="center" wrapText="1"/>
    </xf>
    <xf numFmtId="0" fontId="8" fillId="0" borderId="7" xfId="0" applyFont="1" applyBorder="1" applyAlignment="1">
      <alignment horizontal="center" vertical="center" wrapText="1"/>
    </xf>
    <xf numFmtId="0" fontId="0" fillId="6" borderId="45" xfId="0" applyFill="1" applyBorder="1" applyAlignment="1">
      <alignment horizontal="center" vertical="center" wrapText="1"/>
    </xf>
    <xf numFmtId="0" fontId="8" fillId="6" borderId="31" xfId="0" applyFont="1" applyFill="1" applyBorder="1" applyAlignment="1">
      <alignment horizontal="center" vertical="center" wrapText="1"/>
    </xf>
    <xf numFmtId="0" fontId="0" fillId="6" borderId="17" xfId="0" applyFill="1" applyBorder="1" applyAlignment="1">
      <alignment horizontal="center" vertical="center" wrapText="1"/>
    </xf>
    <xf numFmtId="0" fontId="7" fillId="0" borderId="2" xfId="0" applyFont="1" applyBorder="1" applyAlignment="1">
      <alignment horizontal="left" vertical="center" wrapText="1"/>
    </xf>
    <xf numFmtId="0" fontId="0" fillId="6" borderId="18" xfId="0" applyFill="1" applyBorder="1" applyAlignment="1">
      <alignment horizontal="center" vertical="center" wrapText="1"/>
    </xf>
    <xf numFmtId="0" fontId="8" fillId="6" borderId="19" xfId="0" applyFont="1" applyFill="1" applyBorder="1" applyAlignment="1">
      <alignment horizontal="center" vertical="center" wrapText="1"/>
    </xf>
    <xf numFmtId="179" fontId="0" fillId="0" borderId="19" xfId="0" applyNumberFormat="1" applyBorder="1" applyAlignment="1">
      <alignment horizontal="center" vertical="center" wrapText="1"/>
    </xf>
    <xf numFmtId="0" fontId="7" fillId="0" borderId="48" xfId="0" applyFont="1" applyBorder="1" applyAlignment="1">
      <alignment horizontal="left" vertical="center" wrapText="1"/>
    </xf>
    <xf numFmtId="0" fontId="9" fillId="0" borderId="26" xfId="0" applyFont="1" applyBorder="1" applyAlignment="1">
      <alignment horizontal="center" vertical="center" wrapText="1"/>
    </xf>
    <xf numFmtId="0" fontId="0" fillId="8" borderId="0" xfId="0" applyFill="1" applyAlignment="1">
      <alignment horizontal="center" vertical="center" wrapText="1"/>
    </xf>
    <xf numFmtId="0" fontId="7" fillId="8" borderId="0" xfId="0" applyFont="1" applyFill="1" applyAlignment="1">
      <alignment horizontal="left" vertical="center" wrapText="1"/>
    </xf>
    <xf numFmtId="0" fontId="9" fillId="8" borderId="0" xfId="0" applyFont="1" applyFill="1" applyAlignment="1">
      <alignment horizontal="center" vertical="center" wrapText="1"/>
    </xf>
    <xf numFmtId="0" fontId="8" fillId="0" borderId="1" xfId="0" applyFont="1" applyBorder="1" applyAlignment="1">
      <alignment horizontal="left" vertical="center" wrapText="1"/>
    </xf>
    <xf numFmtId="0" fontId="7" fillId="0" borderId="9" xfId="0" applyFont="1" applyBorder="1" applyAlignment="1">
      <alignment horizontal="left" vertical="center" wrapText="1"/>
    </xf>
    <xf numFmtId="0" fontId="8" fillId="0" borderId="19" xfId="0" applyFont="1" applyBorder="1" applyAlignment="1">
      <alignment horizontal="left" vertical="center"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0" fillId="8" borderId="0" xfId="0" applyFill="1">
      <alignment vertical="center"/>
    </xf>
    <xf numFmtId="0" fontId="8" fillId="14" borderId="0" xfId="0" applyFont="1" applyFill="1" applyAlignment="1">
      <alignment horizontal="left" vertical="center" wrapText="1"/>
    </xf>
    <xf numFmtId="0" fontId="8" fillId="0" borderId="0" xfId="0" applyFont="1" applyAlignment="1">
      <alignment horizontal="center" vertical="center"/>
    </xf>
    <xf numFmtId="0" fontId="8" fillId="15" borderId="1" xfId="0" applyFont="1" applyFill="1" applyBorder="1" applyAlignment="1">
      <alignment horizontal="center" vertical="center" wrapText="1"/>
    </xf>
    <xf numFmtId="0" fontId="8" fillId="15" borderId="1" xfId="0" applyFont="1" applyFill="1" applyBorder="1" applyAlignment="1">
      <alignment horizontal="center" vertical="center"/>
    </xf>
    <xf numFmtId="0" fontId="7" fillId="0" borderId="0" xfId="0" applyFont="1" applyAlignment="1">
      <alignment horizontal="left" vertical="center"/>
    </xf>
    <xf numFmtId="0" fontId="8" fillId="10" borderId="1" xfId="0" applyFont="1" applyFill="1" applyBorder="1" applyAlignment="1">
      <alignment horizontal="center" vertical="center"/>
    </xf>
    <xf numFmtId="0" fontId="0" fillId="10" borderId="1" xfId="0"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EA52E9"/>
      <color rgb="00BC24E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411480</xdr:colOff>
      <xdr:row>9</xdr:row>
      <xdr:rowOff>144780</xdr:rowOff>
    </xdr:from>
    <xdr:to>
      <xdr:col>5</xdr:col>
      <xdr:colOff>509905</xdr:colOff>
      <xdr:row>12</xdr:row>
      <xdr:rowOff>99060</xdr:rowOff>
    </xdr:to>
    <xdr:sp>
      <xdr:nvSpPr>
        <xdr:cNvPr id="3" name="圆角矩形 2"/>
        <xdr:cNvSpPr/>
      </xdr:nvSpPr>
      <xdr:spPr>
        <a:xfrm>
          <a:off x="2263140" y="1790700"/>
          <a:ext cx="1332865" cy="50292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r>
            <a:rPr lang="en-US" altLang="zh-CN"/>
            <a:t>SKU</a:t>
          </a:r>
          <a:r>
            <a:rPr lang="zh-CN" altLang="en-US"/>
            <a:t>简写命名</a:t>
          </a:r>
          <a:endParaRPr lang="en-US" altLang="zh-CN"/>
        </a:p>
        <a:p>
          <a:pPr algn="ctr"/>
          <a:r>
            <a:rPr lang="zh-CN" altLang="en-US" sz="900"/>
            <a:t>（例：</a:t>
          </a:r>
          <a:r>
            <a:rPr lang="en-US" altLang="zh-CN" sz="900"/>
            <a:t>130cm</a:t>
          </a:r>
          <a:r>
            <a:rPr lang="zh-CN" altLang="en-US" sz="900"/>
            <a:t>门栏）</a:t>
          </a:r>
          <a:endParaRPr lang="en-US" altLang="zh-CN" sz="900"/>
        </a:p>
      </xdr:txBody>
    </xdr:sp>
    <xdr:clientData/>
  </xdr:twoCellAnchor>
  <xdr:twoCellAnchor>
    <xdr:from>
      <xdr:col>7</xdr:col>
      <xdr:colOff>347345</xdr:colOff>
      <xdr:row>0</xdr:row>
      <xdr:rowOff>103505</xdr:rowOff>
    </xdr:from>
    <xdr:to>
      <xdr:col>10</xdr:col>
      <xdr:colOff>163830</xdr:colOff>
      <xdr:row>3</xdr:row>
      <xdr:rowOff>64770</xdr:rowOff>
    </xdr:to>
    <xdr:sp>
      <xdr:nvSpPr>
        <xdr:cNvPr id="5" name="圆角矩形 4"/>
        <xdr:cNvSpPr/>
      </xdr:nvSpPr>
      <xdr:spPr>
        <a:xfrm>
          <a:off x="4667885" y="103505"/>
          <a:ext cx="1668145" cy="509905"/>
        </a:xfrm>
        <a:prstGeom prst="round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r>
            <a:rPr lang="en-US" altLang="zh-CN" sz="1100"/>
            <a:t>SKU</a:t>
          </a:r>
          <a:r>
            <a:rPr lang="zh-CN" altLang="en-US" sz="1100"/>
            <a:t>自动广告</a:t>
          </a:r>
          <a:endParaRPr lang="zh-CN" altLang="en-US" sz="1100"/>
        </a:p>
        <a:p>
          <a:pPr algn="ctr"/>
          <a:r>
            <a:rPr lang="zh-CN" altLang="en-US" sz="900"/>
            <a:t>（例：</a:t>
          </a:r>
          <a:r>
            <a:rPr lang="en-US" altLang="zh-CN" sz="900"/>
            <a:t>130cm</a:t>
          </a:r>
          <a:r>
            <a:rPr lang="zh-CN" altLang="en-US" sz="900"/>
            <a:t>门栏自动）</a:t>
          </a:r>
          <a:endParaRPr lang="zh-CN" altLang="en-US" sz="900"/>
        </a:p>
      </xdr:txBody>
    </xdr:sp>
    <xdr:clientData/>
  </xdr:twoCellAnchor>
  <xdr:twoCellAnchor>
    <xdr:from>
      <xdr:col>2</xdr:col>
      <xdr:colOff>418782</xdr:colOff>
      <xdr:row>11</xdr:row>
      <xdr:rowOff>129857</xdr:rowOff>
    </xdr:from>
    <xdr:to>
      <xdr:col>3</xdr:col>
      <xdr:colOff>279082</xdr:colOff>
      <xdr:row>23</xdr:row>
      <xdr:rowOff>98742</xdr:rowOff>
    </xdr:to>
    <xdr:sp>
      <xdr:nvSpPr>
        <xdr:cNvPr id="6" name="右箭头 5"/>
        <xdr:cNvSpPr/>
      </xdr:nvSpPr>
      <xdr:spPr>
        <a:xfrm rot="18240000">
          <a:off x="809625" y="2983865"/>
          <a:ext cx="2163445" cy="477520"/>
        </a:xfrm>
        <a:prstGeom prst="rightArrow">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r>
            <a:rPr lang="zh-CN" altLang="en-US" sz="1100"/>
            <a:t>广告组合</a:t>
          </a:r>
          <a:r>
            <a:rPr lang="en-US" altLang="zh-CN" sz="1100"/>
            <a:t>1</a:t>
          </a:r>
          <a:endParaRPr lang="en-US" altLang="zh-CN" sz="1100"/>
        </a:p>
      </xdr:txBody>
    </xdr:sp>
    <xdr:clientData/>
  </xdr:twoCellAnchor>
  <xdr:twoCellAnchor>
    <xdr:from>
      <xdr:col>5</xdr:col>
      <xdr:colOff>248285</xdr:colOff>
      <xdr:row>4</xdr:row>
      <xdr:rowOff>88265</xdr:rowOff>
    </xdr:from>
    <xdr:to>
      <xdr:col>7</xdr:col>
      <xdr:colOff>372745</xdr:colOff>
      <xdr:row>7</xdr:row>
      <xdr:rowOff>57150</xdr:rowOff>
    </xdr:to>
    <xdr:sp>
      <xdr:nvSpPr>
        <xdr:cNvPr id="7" name="右箭头 6"/>
        <xdr:cNvSpPr/>
      </xdr:nvSpPr>
      <xdr:spPr>
        <a:xfrm rot="19320000">
          <a:off x="3334385" y="819785"/>
          <a:ext cx="1358900" cy="517525"/>
        </a:xfrm>
        <a:prstGeom prst="rightArrow">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lang="zh-CN" altLang="en-US" sz="1100"/>
            <a:t>广告活动</a:t>
          </a:r>
          <a:r>
            <a:rPr lang="en-US" altLang="zh-CN" sz="1100"/>
            <a:t>1</a:t>
          </a:r>
          <a:endParaRPr lang="zh-CN" altLang="en-US" sz="1100"/>
        </a:p>
      </xdr:txBody>
    </xdr:sp>
    <xdr:clientData/>
  </xdr:twoCellAnchor>
  <xdr:twoCellAnchor>
    <xdr:from>
      <xdr:col>5</xdr:col>
      <xdr:colOff>549275</xdr:colOff>
      <xdr:row>7</xdr:row>
      <xdr:rowOff>154305</xdr:rowOff>
    </xdr:from>
    <xdr:to>
      <xdr:col>7</xdr:col>
      <xdr:colOff>349250</xdr:colOff>
      <xdr:row>10</xdr:row>
      <xdr:rowOff>123825</xdr:rowOff>
    </xdr:to>
    <xdr:sp>
      <xdr:nvSpPr>
        <xdr:cNvPr id="8" name="右箭头 7"/>
        <xdr:cNvSpPr/>
      </xdr:nvSpPr>
      <xdr:spPr>
        <a:xfrm rot="20880000">
          <a:off x="3635375" y="1434465"/>
          <a:ext cx="1034415" cy="51816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2</a:t>
          </a:r>
          <a:endParaRPr lang="zh-CN" altLang="en-US" sz="1100"/>
        </a:p>
      </xdr:txBody>
    </xdr:sp>
    <xdr:clientData/>
  </xdr:twoCellAnchor>
  <xdr:twoCellAnchor>
    <xdr:from>
      <xdr:col>7</xdr:col>
      <xdr:colOff>307340</xdr:colOff>
      <xdr:row>6</xdr:row>
      <xdr:rowOff>106045</xdr:rowOff>
    </xdr:from>
    <xdr:to>
      <xdr:col>10</xdr:col>
      <xdr:colOff>304800</xdr:colOff>
      <xdr:row>9</xdr:row>
      <xdr:rowOff>67310</xdr:rowOff>
    </xdr:to>
    <xdr:sp>
      <xdr:nvSpPr>
        <xdr:cNvPr id="9" name="圆角矩形 8"/>
        <xdr:cNvSpPr/>
      </xdr:nvSpPr>
      <xdr:spPr>
        <a:xfrm>
          <a:off x="4627880" y="1203325"/>
          <a:ext cx="1849120" cy="50990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手动广泛广告</a:t>
          </a:r>
          <a:endParaRPr lang="zh-CN" altLang="en-US" sz="1100"/>
        </a:p>
        <a:p>
          <a:pPr algn="ctr"/>
          <a:r>
            <a:rPr lang="zh-CN" altLang="en-US" sz="900"/>
            <a:t>（例：</a:t>
          </a:r>
          <a:r>
            <a:rPr lang="en-US" altLang="zh-CN" sz="900"/>
            <a:t>130cm</a:t>
          </a:r>
          <a:r>
            <a:rPr lang="zh-CN" altLang="en-US" sz="900"/>
            <a:t>门栏广泛</a:t>
          </a:r>
          <a:r>
            <a:rPr lang="en-US" altLang="zh-CN" sz="900"/>
            <a:t>-baby gate</a:t>
          </a:r>
          <a:r>
            <a:rPr lang="zh-CN" altLang="en-US" sz="900"/>
            <a:t>）</a:t>
          </a:r>
          <a:endParaRPr lang="zh-CN" altLang="en-US" sz="900"/>
        </a:p>
      </xdr:txBody>
    </xdr:sp>
    <xdr:clientData/>
  </xdr:twoCellAnchor>
  <xdr:twoCellAnchor>
    <xdr:from>
      <xdr:col>7</xdr:col>
      <xdr:colOff>427990</xdr:colOff>
      <xdr:row>11</xdr:row>
      <xdr:rowOff>167640</xdr:rowOff>
    </xdr:from>
    <xdr:to>
      <xdr:col>10</xdr:col>
      <xdr:colOff>168275</xdr:colOff>
      <xdr:row>14</xdr:row>
      <xdr:rowOff>128905</xdr:rowOff>
    </xdr:to>
    <xdr:sp>
      <xdr:nvSpPr>
        <xdr:cNvPr id="10" name="圆角矩形 9"/>
        <xdr:cNvSpPr/>
      </xdr:nvSpPr>
      <xdr:spPr>
        <a:xfrm>
          <a:off x="4748530" y="2179320"/>
          <a:ext cx="1591945" cy="50990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手动精准广告</a:t>
          </a:r>
          <a:endParaRPr lang="zh-CN" altLang="en-US" sz="1100"/>
        </a:p>
        <a:p>
          <a:pPr algn="ctr"/>
          <a:r>
            <a:rPr lang="zh-CN" altLang="en-US" sz="900"/>
            <a:t>（例：</a:t>
          </a:r>
          <a:r>
            <a:rPr lang="en-US" altLang="zh-CN" sz="900"/>
            <a:t>130cm</a:t>
          </a:r>
          <a:r>
            <a:rPr lang="zh-CN" altLang="en-US" sz="900"/>
            <a:t>门栏精准）</a:t>
          </a:r>
          <a:endParaRPr lang="zh-CN" altLang="en-US" sz="900"/>
        </a:p>
      </xdr:txBody>
    </xdr:sp>
    <xdr:clientData/>
  </xdr:twoCellAnchor>
  <xdr:twoCellAnchor>
    <xdr:from>
      <xdr:col>5</xdr:col>
      <xdr:colOff>586105</xdr:colOff>
      <xdr:row>11</xdr:row>
      <xdr:rowOff>22225</xdr:rowOff>
    </xdr:from>
    <xdr:to>
      <xdr:col>7</xdr:col>
      <xdr:colOff>443865</xdr:colOff>
      <xdr:row>13</xdr:row>
      <xdr:rowOff>174625</xdr:rowOff>
    </xdr:to>
    <xdr:sp>
      <xdr:nvSpPr>
        <xdr:cNvPr id="12" name="右箭头 11"/>
        <xdr:cNvSpPr/>
      </xdr:nvSpPr>
      <xdr:spPr>
        <a:xfrm rot="1200000">
          <a:off x="3672205" y="2033905"/>
          <a:ext cx="1092200" cy="51816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3</a:t>
          </a:r>
          <a:endParaRPr lang="zh-CN" altLang="en-US" sz="1100"/>
        </a:p>
      </xdr:txBody>
    </xdr:sp>
    <xdr:clientData/>
  </xdr:twoCellAnchor>
  <xdr:twoCellAnchor>
    <xdr:from>
      <xdr:col>1</xdr:col>
      <xdr:colOff>99060</xdr:colOff>
      <xdr:row>22</xdr:row>
      <xdr:rowOff>106680</xdr:rowOff>
    </xdr:from>
    <xdr:to>
      <xdr:col>2</xdr:col>
      <xdr:colOff>83820</xdr:colOff>
      <xdr:row>25</xdr:row>
      <xdr:rowOff>121920</xdr:rowOff>
    </xdr:to>
    <xdr:sp>
      <xdr:nvSpPr>
        <xdr:cNvPr id="13" name="圆角矩形 12"/>
        <xdr:cNvSpPr/>
      </xdr:nvSpPr>
      <xdr:spPr>
        <a:xfrm>
          <a:off x="716280" y="4130040"/>
          <a:ext cx="601980" cy="56388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r>
            <a:rPr lang="zh-CN" altLang="en-US" sz="1100"/>
            <a:t>产品</a:t>
          </a:r>
          <a:r>
            <a:rPr lang="en-US" altLang="zh-CN" sz="1100"/>
            <a:t>1</a:t>
          </a:r>
          <a:endParaRPr lang="zh-CN" altLang="en-US" sz="1100"/>
        </a:p>
      </xdr:txBody>
    </xdr:sp>
    <xdr:clientData/>
  </xdr:twoCellAnchor>
  <xdr:twoCellAnchor>
    <xdr:from>
      <xdr:col>10</xdr:col>
      <xdr:colOff>217805</xdr:colOff>
      <xdr:row>0</xdr:row>
      <xdr:rowOff>62865</xdr:rowOff>
    </xdr:from>
    <xdr:to>
      <xdr:col>11</xdr:col>
      <xdr:colOff>548640</xdr:colOff>
      <xdr:row>3</xdr:row>
      <xdr:rowOff>32385</xdr:rowOff>
    </xdr:to>
    <xdr:sp>
      <xdr:nvSpPr>
        <xdr:cNvPr id="14" name="右箭头 13"/>
        <xdr:cNvSpPr/>
      </xdr:nvSpPr>
      <xdr:spPr>
        <a:xfrm>
          <a:off x="6390005" y="62865"/>
          <a:ext cx="948055" cy="518160"/>
        </a:xfrm>
        <a:prstGeom prst="rightArrow">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247650</xdr:colOff>
      <xdr:row>5</xdr:row>
      <xdr:rowOff>19050</xdr:rowOff>
    </xdr:from>
    <xdr:to>
      <xdr:col>11</xdr:col>
      <xdr:colOff>578485</xdr:colOff>
      <xdr:row>7</xdr:row>
      <xdr:rowOff>171450</xdr:rowOff>
    </xdr:to>
    <xdr:sp>
      <xdr:nvSpPr>
        <xdr:cNvPr id="16" name="右箭头 15"/>
        <xdr:cNvSpPr/>
      </xdr:nvSpPr>
      <xdr:spPr>
        <a:xfrm rot="21360000">
          <a:off x="6419850" y="933450"/>
          <a:ext cx="948055" cy="51816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240030</xdr:colOff>
      <xdr:row>7</xdr:row>
      <xdr:rowOff>129540</xdr:rowOff>
    </xdr:from>
    <xdr:to>
      <xdr:col>11</xdr:col>
      <xdr:colOff>570865</xdr:colOff>
      <xdr:row>10</xdr:row>
      <xdr:rowOff>99060</xdr:rowOff>
    </xdr:to>
    <xdr:sp>
      <xdr:nvSpPr>
        <xdr:cNvPr id="17" name="右箭头 16"/>
        <xdr:cNvSpPr/>
      </xdr:nvSpPr>
      <xdr:spPr>
        <a:xfrm rot="360000">
          <a:off x="6412230" y="1409700"/>
          <a:ext cx="948055" cy="51816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10</xdr:col>
      <xdr:colOff>208280</xdr:colOff>
      <xdr:row>13</xdr:row>
      <xdr:rowOff>123825</xdr:rowOff>
    </xdr:from>
    <xdr:to>
      <xdr:col>11</xdr:col>
      <xdr:colOff>539115</xdr:colOff>
      <xdr:row>16</xdr:row>
      <xdr:rowOff>93345</xdr:rowOff>
    </xdr:to>
    <xdr:sp>
      <xdr:nvSpPr>
        <xdr:cNvPr id="19" name="右箭头 18"/>
        <xdr:cNvSpPr/>
      </xdr:nvSpPr>
      <xdr:spPr>
        <a:xfrm rot="420000">
          <a:off x="6380480" y="2501265"/>
          <a:ext cx="948055" cy="51816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10</xdr:col>
      <xdr:colOff>224790</xdr:colOff>
      <xdr:row>11</xdr:row>
      <xdr:rowOff>13970</xdr:rowOff>
    </xdr:from>
    <xdr:to>
      <xdr:col>11</xdr:col>
      <xdr:colOff>555625</xdr:colOff>
      <xdr:row>13</xdr:row>
      <xdr:rowOff>166370</xdr:rowOff>
    </xdr:to>
    <xdr:sp>
      <xdr:nvSpPr>
        <xdr:cNvPr id="20" name="右箭头 19"/>
        <xdr:cNvSpPr/>
      </xdr:nvSpPr>
      <xdr:spPr>
        <a:xfrm rot="21300000">
          <a:off x="6396990" y="2025650"/>
          <a:ext cx="948055" cy="51816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11</xdr:col>
      <xdr:colOff>594360</xdr:colOff>
      <xdr:row>0</xdr:row>
      <xdr:rowOff>69850</xdr:rowOff>
    </xdr:from>
    <xdr:to>
      <xdr:col>14</xdr:col>
      <xdr:colOff>427355</xdr:colOff>
      <xdr:row>3</xdr:row>
      <xdr:rowOff>15875</xdr:rowOff>
    </xdr:to>
    <xdr:sp>
      <xdr:nvSpPr>
        <xdr:cNvPr id="21" name="圆角矩形 20"/>
        <xdr:cNvSpPr/>
      </xdr:nvSpPr>
      <xdr:spPr>
        <a:xfrm>
          <a:off x="7383780" y="69850"/>
          <a:ext cx="1684655" cy="494665"/>
        </a:xfrm>
        <a:prstGeom prst="round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自动</a:t>
          </a:r>
          <a:endParaRPr lang="zh-CN" altLang="en-US" sz="1100"/>
        </a:p>
        <a:p>
          <a:pPr algn="ctr"/>
          <a:r>
            <a:rPr lang="zh-CN" altLang="en-US" sz="900"/>
            <a:t>（例：</a:t>
          </a:r>
          <a:r>
            <a:rPr lang="en-US" altLang="zh-CN" sz="900"/>
            <a:t>130cm</a:t>
          </a:r>
          <a:r>
            <a:rPr lang="zh-CN" altLang="en-US" sz="900"/>
            <a:t>门栏自动）</a:t>
          </a:r>
          <a:endParaRPr lang="zh-CN" altLang="en-US" sz="900"/>
        </a:p>
      </xdr:txBody>
    </xdr:sp>
    <xdr:clientData/>
  </xdr:twoCellAnchor>
  <xdr:twoCellAnchor>
    <xdr:from>
      <xdr:col>12</xdr:col>
      <xdr:colOff>15240</xdr:colOff>
      <xdr:row>4</xdr:row>
      <xdr:rowOff>15875</xdr:rowOff>
    </xdr:from>
    <xdr:to>
      <xdr:col>14</xdr:col>
      <xdr:colOff>448945</xdr:colOff>
      <xdr:row>6</xdr:row>
      <xdr:rowOff>160020</xdr:rowOff>
    </xdr:to>
    <xdr:sp>
      <xdr:nvSpPr>
        <xdr:cNvPr id="23" name="圆角矩形 22"/>
        <xdr:cNvSpPr/>
      </xdr:nvSpPr>
      <xdr:spPr>
        <a:xfrm>
          <a:off x="7421880" y="747395"/>
          <a:ext cx="1668145" cy="50990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广泛</a:t>
          </a:r>
          <a:r>
            <a:rPr lang="en-US" altLang="zh-CN" sz="1100"/>
            <a:t>1</a:t>
          </a:r>
          <a:endParaRPr lang="zh-CN" altLang="en-US" sz="1100"/>
        </a:p>
        <a:p>
          <a:pPr algn="ctr"/>
          <a:r>
            <a:rPr lang="zh-CN" altLang="en-US" sz="900"/>
            <a:t>（例：</a:t>
          </a:r>
          <a:r>
            <a:rPr lang="en-US" altLang="zh-CN" sz="900"/>
            <a:t>130cm</a:t>
          </a:r>
          <a:r>
            <a:rPr lang="zh-CN" altLang="en-US" sz="900"/>
            <a:t>门栏广泛）</a:t>
          </a:r>
          <a:endParaRPr lang="zh-CN" altLang="en-US" sz="900"/>
        </a:p>
      </xdr:txBody>
    </xdr:sp>
    <xdr:clientData/>
  </xdr:twoCellAnchor>
  <xdr:twoCellAnchor>
    <xdr:from>
      <xdr:col>12</xdr:col>
      <xdr:colOff>15240</xdr:colOff>
      <xdr:row>7</xdr:row>
      <xdr:rowOff>38100</xdr:rowOff>
    </xdr:from>
    <xdr:to>
      <xdr:col>14</xdr:col>
      <xdr:colOff>448945</xdr:colOff>
      <xdr:row>9</xdr:row>
      <xdr:rowOff>182245</xdr:rowOff>
    </xdr:to>
    <xdr:sp>
      <xdr:nvSpPr>
        <xdr:cNvPr id="24" name="圆角矩形 23"/>
        <xdr:cNvSpPr/>
      </xdr:nvSpPr>
      <xdr:spPr>
        <a:xfrm>
          <a:off x="7421880" y="1318260"/>
          <a:ext cx="1668145" cy="50990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广泛</a:t>
          </a:r>
          <a:r>
            <a:rPr lang="en-US" altLang="zh-CN" sz="1100"/>
            <a:t>N</a:t>
          </a:r>
          <a:endParaRPr lang="en-US" altLang="zh-CN" sz="1100"/>
        </a:p>
        <a:p>
          <a:pPr algn="ctr"/>
          <a:r>
            <a:rPr lang="zh-CN" altLang="en-US" sz="900"/>
            <a:t>（例：</a:t>
          </a:r>
          <a:r>
            <a:rPr lang="en-US" altLang="zh-CN" sz="900"/>
            <a:t>130cm</a:t>
          </a:r>
          <a:r>
            <a:rPr lang="zh-CN" altLang="en-US" sz="900"/>
            <a:t>门栏广泛测试）</a:t>
          </a:r>
          <a:endParaRPr lang="zh-CN" altLang="en-US" sz="900"/>
        </a:p>
      </xdr:txBody>
    </xdr:sp>
    <xdr:clientData/>
  </xdr:twoCellAnchor>
  <xdr:twoCellAnchor>
    <xdr:from>
      <xdr:col>11</xdr:col>
      <xdr:colOff>594360</xdr:colOff>
      <xdr:row>11</xdr:row>
      <xdr:rowOff>15240</xdr:rowOff>
    </xdr:from>
    <xdr:to>
      <xdr:col>14</xdr:col>
      <xdr:colOff>425450</xdr:colOff>
      <xdr:row>13</xdr:row>
      <xdr:rowOff>159385</xdr:rowOff>
    </xdr:to>
    <xdr:sp>
      <xdr:nvSpPr>
        <xdr:cNvPr id="25" name="圆角矩形 24"/>
        <xdr:cNvSpPr/>
      </xdr:nvSpPr>
      <xdr:spPr>
        <a:xfrm>
          <a:off x="7383780" y="2026920"/>
          <a:ext cx="1682750" cy="50990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精准</a:t>
          </a:r>
          <a:r>
            <a:rPr lang="en-US" altLang="zh-CN" sz="1100"/>
            <a:t>1</a:t>
          </a:r>
          <a:endParaRPr lang="zh-CN" altLang="en-US" sz="1100"/>
        </a:p>
        <a:p>
          <a:pPr algn="ctr"/>
          <a:r>
            <a:rPr lang="zh-CN" altLang="en-US" sz="900"/>
            <a:t>（例：</a:t>
          </a:r>
          <a:r>
            <a:rPr lang="en-US" altLang="zh-CN" sz="900"/>
            <a:t>130cm</a:t>
          </a:r>
          <a:r>
            <a:rPr lang="zh-CN" altLang="en-US" sz="900"/>
            <a:t>门栏精准）</a:t>
          </a:r>
          <a:endParaRPr lang="zh-CN" altLang="en-US" sz="900"/>
        </a:p>
      </xdr:txBody>
    </xdr:sp>
    <xdr:clientData/>
  </xdr:twoCellAnchor>
  <xdr:twoCellAnchor>
    <xdr:from>
      <xdr:col>11</xdr:col>
      <xdr:colOff>594360</xdr:colOff>
      <xdr:row>14</xdr:row>
      <xdr:rowOff>45085</xdr:rowOff>
    </xdr:from>
    <xdr:to>
      <xdr:col>14</xdr:col>
      <xdr:colOff>415925</xdr:colOff>
      <xdr:row>17</xdr:row>
      <xdr:rowOff>6350</xdr:rowOff>
    </xdr:to>
    <xdr:sp>
      <xdr:nvSpPr>
        <xdr:cNvPr id="26" name="圆角矩形 25"/>
        <xdr:cNvSpPr/>
      </xdr:nvSpPr>
      <xdr:spPr>
        <a:xfrm>
          <a:off x="7383780" y="2605405"/>
          <a:ext cx="1673225" cy="50990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精准</a:t>
          </a:r>
          <a:r>
            <a:rPr lang="en-US" altLang="zh-CN" sz="1100"/>
            <a:t>N</a:t>
          </a:r>
          <a:endParaRPr lang="zh-CN" altLang="en-US" sz="1100"/>
        </a:p>
        <a:p>
          <a:pPr algn="ctr"/>
          <a:r>
            <a:rPr lang="zh-CN" altLang="en-US" sz="900"/>
            <a:t>（例：</a:t>
          </a:r>
          <a:r>
            <a:rPr lang="en-US" altLang="zh-CN" sz="900"/>
            <a:t>130cm</a:t>
          </a:r>
          <a:r>
            <a:rPr lang="zh-CN" altLang="en-US" sz="900"/>
            <a:t>门栏精准测试）</a:t>
          </a:r>
          <a:endParaRPr lang="zh-CN" altLang="en-US" sz="900"/>
        </a:p>
      </xdr:txBody>
    </xdr:sp>
    <xdr:clientData/>
  </xdr:twoCellAnchor>
  <xdr:twoCellAnchor>
    <xdr:from>
      <xdr:col>0</xdr:col>
      <xdr:colOff>64770</xdr:colOff>
      <xdr:row>0</xdr:row>
      <xdr:rowOff>76200</xdr:rowOff>
    </xdr:from>
    <xdr:to>
      <xdr:col>4</xdr:col>
      <xdr:colOff>87630</xdr:colOff>
      <xdr:row>4</xdr:row>
      <xdr:rowOff>0</xdr:rowOff>
    </xdr:to>
    <xdr:sp>
      <xdr:nvSpPr>
        <xdr:cNvPr id="27" name="棱台 26"/>
        <xdr:cNvSpPr/>
      </xdr:nvSpPr>
      <xdr:spPr>
        <a:xfrm>
          <a:off x="64770" y="76200"/>
          <a:ext cx="2491740" cy="655320"/>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r>
            <a:rPr lang="zh-CN" altLang="en-US" sz="2000"/>
            <a:t>广告框架树状导图</a:t>
          </a:r>
          <a:endParaRPr lang="zh-CN" altLang="en-US" sz="2000"/>
        </a:p>
      </xdr:txBody>
    </xdr:sp>
    <xdr:clientData/>
  </xdr:twoCellAnchor>
  <xdr:twoCellAnchor>
    <xdr:from>
      <xdr:col>5</xdr:col>
      <xdr:colOff>262890</xdr:colOff>
      <xdr:row>14</xdr:row>
      <xdr:rowOff>153035</xdr:rowOff>
    </xdr:from>
    <xdr:to>
      <xdr:col>8</xdr:col>
      <xdr:colOff>27940</xdr:colOff>
      <xdr:row>17</xdr:row>
      <xdr:rowOff>133350</xdr:rowOff>
    </xdr:to>
    <xdr:sp>
      <xdr:nvSpPr>
        <xdr:cNvPr id="29" name="右箭头 28"/>
        <xdr:cNvSpPr/>
      </xdr:nvSpPr>
      <xdr:spPr>
        <a:xfrm rot="2520000">
          <a:off x="3348990" y="2713355"/>
          <a:ext cx="1616710" cy="528955"/>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广告活动</a:t>
          </a:r>
          <a:r>
            <a:rPr lang="en-US" sz="1100"/>
            <a:t>4</a:t>
          </a:r>
          <a:endParaRPr lang="en-US" sz="1100"/>
        </a:p>
      </xdr:txBody>
    </xdr:sp>
    <xdr:clientData/>
  </xdr:twoCellAnchor>
  <xdr:twoCellAnchor>
    <xdr:from>
      <xdr:col>7</xdr:col>
      <xdr:colOff>454660</xdr:colOff>
      <xdr:row>18</xdr:row>
      <xdr:rowOff>72390</xdr:rowOff>
    </xdr:from>
    <xdr:to>
      <xdr:col>10</xdr:col>
      <xdr:colOff>194945</xdr:colOff>
      <xdr:row>21</xdr:row>
      <xdr:rowOff>33655</xdr:rowOff>
    </xdr:to>
    <xdr:sp>
      <xdr:nvSpPr>
        <xdr:cNvPr id="30" name="圆角矩形 29"/>
        <xdr:cNvSpPr/>
      </xdr:nvSpPr>
      <xdr:spPr>
        <a:xfrm>
          <a:off x="4775200" y="3364230"/>
          <a:ext cx="1591945" cy="50990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a:t>
          </a:r>
          <a:r>
            <a:rPr lang="en-US" altLang="zh-CN" sz="1100"/>
            <a:t>ASIN</a:t>
          </a:r>
          <a:r>
            <a:rPr lang="zh-CN" altLang="en-US" sz="1100"/>
            <a:t>广告</a:t>
          </a:r>
          <a:endParaRPr lang="zh-CN" altLang="en-US" sz="1100"/>
        </a:p>
        <a:p>
          <a:pPr algn="ctr"/>
          <a:r>
            <a:rPr lang="zh-CN" altLang="en-US" sz="900"/>
            <a:t>（例：</a:t>
          </a:r>
          <a:r>
            <a:rPr lang="en-US" altLang="zh-CN" sz="900"/>
            <a:t>130cm</a:t>
          </a:r>
          <a:r>
            <a:rPr lang="zh-CN" altLang="en-US" sz="900"/>
            <a:t>门栏</a:t>
          </a:r>
          <a:r>
            <a:rPr lang="en-US" altLang="zh-CN" sz="900"/>
            <a:t>ASIN</a:t>
          </a:r>
          <a:r>
            <a:rPr lang="zh-CN" altLang="en-US" sz="900"/>
            <a:t>）</a:t>
          </a:r>
          <a:endParaRPr lang="zh-CN" altLang="en-US" sz="900"/>
        </a:p>
      </xdr:txBody>
    </xdr:sp>
    <xdr:clientData/>
  </xdr:twoCellAnchor>
  <xdr:twoCellAnchor>
    <xdr:from>
      <xdr:col>10</xdr:col>
      <xdr:colOff>241935</xdr:colOff>
      <xdr:row>17</xdr:row>
      <xdr:rowOff>132715</xdr:rowOff>
    </xdr:from>
    <xdr:to>
      <xdr:col>11</xdr:col>
      <xdr:colOff>572770</xdr:colOff>
      <xdr:row>20</xdr:row>
      <xdr:rowOff>102235</xdr:rowOff>
    </xdr:to>
    <xdr:sp>
      <xdr:nvSpPr>
        <xdr:cNvPr id="31" name="右箭头 30"/>
        <xdr:cNvSpPr/>
      </xdr:nvSpPr>
      <xdr:spPr>
        <a:xfrm rot="21360000">
          <a:off x="6414135" y="3241675"/>
          <a:ext cx="948055" cy="518160"/>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208280</xdr:colOff>
      <xdr:row>20</xdr:row>
      <xdr:rowOff>35560</xdr:rowOff>
    </xdr:from>
    <xdr:to>
      <xdr:col>11</xdr:col>
      <xdr:colOff>539115</xdr:colOff>
      <xdr:row>23</xdr:row>
      <xdr:rowOff>5080</xdr:rowOff>
    </xdr:to>
    <xdr:sp>
      <xdr:nvSpPr>
        <xdr:cNvPr id="32" name="右箭头 31"/>
        <xdr:cNvSpPr/>
      </xdr:nvSpPr>
      <xdr:spPr>
        <a:xfrm rot="660000">
          <a:off x="6380480" y="3693160"/>
          <a:ext cx="948055" cy="518160"/>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en-US" sz="1100"/>
        </a:p>
      </xdr:txBody>
    </xdr:sp>
    <xdr:clientData/>
  </xdr:twoCellAnchor>
  <xdr:twoCellAnchor>
    <xdr:from>
      <xdr:col>12</xdr:col>
      <xdr:colOff>6985</xdr:colOff>
      <xdr:row>17</xdr:row>
      <xdr:rowOff>172720</xdr:rowOff>
    </xdr:from>
    <xdr:to>
      <xdr:col>14</xdr:col>
      <xdr:colOff>364490</xdr:colOff>
      <xdr:row>20</xdr:row>
      <xdr:rowOff>133985</xdr:rowOff>
    </xdr:to>
    <xdr:sp>
      <xdr:nvSpPr>
        <xdr:cNvPr id="33" name="圆角矩形 32"/>
        <xdr:cNvSpPr/>
      </xdr:nvSpPr>
      <xdr:spPr>
        <a:xfrm>
          <a:off x="7413625" y="3281680"/>
          <a:ext cx="1591945" cy="50990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 </a:t>
          </a:r>
          <a:r>
            <a:rPr lang="en-US" sz="1100"/>
            <a:t>ASIN</a:t>
          </a:r>
          <a:endParaRPr lang="en-US" sz="1100"/>
        </a:p>
        <a:p>
          <a:pPr algn="ctr"/>
          <a:r>
            <a:rPr lang="zh-CN" altLang="en-US" sz="900"/>
            <a:t>（例：</a:t>
          </a:r>
          <a:r>
            <a:rPr lang="en-US" altLang="zh-CN" sz="900"/>
            <a:t>130cm</a:t>
          </a:r>
          <a:r>
            <a:rPr lang="zh-CN" altLang="en-US" sz="900"/>
            <a:t>门栏</a:t>
          </a:r>
          <a:r>
            <a:rPr lang="en-US" altLang="zh-CN" sz="900"/>
            <a:t>ASIN</a:t>
          </a:r>
          <a:r>
            <a:rPr lang="zh-CN" altLang="en-US" sz="900"/>
            <a:t>）</a:t>
          </a:r>
          <a:endParaRPr lang="zh-CN" altLang="en-US" sz="900"/>
        </a:p>
      </xdr:txBody>
    </xdr:sp>
    <xdr:clientData/>
  </xdr:twoCellAnchor>
  <xdr:twoCellAnchor>
    <xdr:from>
      <xdr:col>11</xdr:col>
      <xdr:colOff>594360</xdr:colOff>
      <xdr:row>21</xdr:row>
      <xdr:rowOff>18415</xdr:rowOff>
    </xdr:from>
    <xdr:to>
      <xdr:col>14</xdr:col>
      <xdr:colOff>347980</xdr:colOff>
      <xdr:row>23</xdr:row>
      <xdr:rowOff>162560</xdr:rowOff>
    </xdr:to>
    <xdr:sp>
      <xdr:nvSpPr>
        <xdr:cNvPr id="34" name="圆角矩形 33"/>
        <xdr:cNvSpPr/>
      </xdr:nvSpPr>
      <xdr:spPr>
        <a:xfrm>
          <a:off x="7383780" y="3858895"/>
          <a:ext cx="1605280" cy="50990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 类目</a:t>
          </a:r>
          <a:endParaRPr lang="en-US" altLang="zh-CN" sz="1100"/>
        </a:p>
        <a:p>
          <a:pPr algn="ctr"/>
          <a:r>
            <a:rPr lang="zh-CN" altLang="en-US" sz="900"/>
            <a:t>（例：</a:t>
          </a:r>
          <a:r>
            <a:rPr lang="en-US" altLang="zh-CN" sz="900"/>
            <a:t>130cm</a:t>
          </a:r>
          <a:r>
            <a:rPr lang="zh-CN" altLang="en-US" sz="900"/>
            <a:t>门栏类目）</a:t>
          </a:r>
          <a:endParaRPr lang="zh-CN" altLang="en-US" sz="900"/>
        </a:p>
      </xdr:txBody>
    </xdr:sp>
    <xdr:clientData/>
  </xdr:twoCellAnchor>
  <xdr:twoCellAnchor>
    <xdr:from>
      <xdr:col>2</xdr:col>
      <xdr:colOff>312420</xdr:colOff>
      <xdr:row>24</xdr:row>
      <xdr:rowOff>161290</xdr:rowOff>
    </xdr:from>
    <xdr:to>
      <xdr:col>3</xdr:col>
      <xdr:colOff>173355</xdr:colOff>
      <xdr:row>33</xdr:row>
      <xdr:rowOff>64135</xdr:rowOff>
    </xdr:to>
    <xdr:sp>
      <xdr:nvSpPr>
        <xdr:cNvPr id="35" name="右箭头 34"/>
        <xdr:cNvSpPr/>
      </xdr:nvSpPr>
      <xdr:spPr>
        <a:xfrm rot="3060000">
          <a:off x="1011555" y="5085715"/>
          <a:ext cx="1548765" cy="478155"/>
        </a:xfrm>
        <a:prstGeom prst="rightArrow">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广告组合</a:t>
          </a:r>
          <a:r>
            <a:rPr lang="en-US" altLang="zh-CN" sz="1100"/>
            <a:t>2</a:t>
          </a:r>
          <a:endParaRPr lang="en-US" altLang="zh-CN" sz="1100"/>
        </a:p>
      </xdr:txBody>
    </xdr:sp>
    <xdr:clientData/>
  </xdr:twoCellAnchor>
  <xdr:twoCellAnchor>
    <xdr:from>
      <xdr:col>3</xdr:col>
      <xdr:colOff>457200</xdr:colOff>
      <xdr:row>31</xdr:row>
      <xdr:rowOff>141605</xdr:rowOff>
    </xdr:from>
    <xdr:to>
      <xdr:col>5</xdr:col>
      <xdr:colOff>555625</xdr:colOff>
      <xdr:row>34</xdr:row>
      <xdr:rowOff>95885</xdr:rowOff>
    </xdr:to>
    <xdr:sp>
      <xdr:nvSpPr>
        <xdr:cNvPr id="36" name="圆角矩形 35"/>
        <xdr:cNvSpPr/>
      </xdr:nvSpPr>
      <xdr:spPr>
        <a:xfrm>
          <a:off x="2308860" y="5810885"/>
          <a:ext cx="1332865" cy="50292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900"/>
            <a:t>品牌广告</a:t>
          </a:r>
          <a:endParaRPr lang="en-US" sz="900"/>
        </a:p>
      </xdr:txBody>
    </xdr:sp>
    <xdr:clientData/>
  </xdr:twoCellAnchor>
  <xdr:twoCellAnchor>
    <xdr:from>
      <xdr:col>6</xdr:col>
      <xdr:colOff>71120</xdr:colOff>
      <xdr:row>13</xdr:row>
      <xdr:rowOff>25400</xdr:rowOff>
    </xdr:from>
    <xdr:to>
      <xdr:col>6</xdr:col>
      <xdr:colOff>585470</xdr:colOff>
      <xdr:row>26</xdr:row>
      <xdr:rowOff>137160</xdr:rowOff>
    </xdr:to>
    <xdr:sp>
      <xdr:nvSpPr>
        <xdr:cNvPr id="37" name="右箭头 36"/>
        <xdr:cNvSpPr/>
      </xdr:nvSpPr>
      <xdr:spPr>
        <a:xfrm rot="3120000">
          <a:off x="2787015" y="3390265"/>
          <a:ext cx="2489200" cy="51435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广告活动</a:t>
          </a:r>
          <a:r>
            <a:rPr lang="en-US" altLang="zh-CN" sz="1100"/>
            <a:t>5</a:t>
          </a:r>
          <a:endParaRPr lang="en-US" altLang="en-US" sz="1100"/>
        </a:p>
      </xdr:txBody>
    </xdr:sp>
    <xdr:clientData/>
  </xdr:twoCellAnchor>
  <xdr:twoCellAnchor>
    <xdr:from>
      <xdr:col>7</xdr:col>
      <xdr:colOff>464820</xdr:colOff>
      <xdr:row>25</xdr:row>
      <xdr:rowOff>22225</xdr:rowOff>
    </xdr:from>
    <xdr:to>
      <xdr:col>10</xdr:col>
      <xdr:colOff>205105</xdr:colOff>
      <xdr:row>27</xdr:row>
      <xdr:rowOff>166370</xdr:rowOff>
    </xdr:to>
    <xdr:sp>
      <xdr:nvSpPr>
        <xdr:cNvPr id="38" name="圆角矩形 37"/>
        <xdr:cNvSpPr/>
      </xdr:nvSpPr>
      <xdr:spPr>
        <a:xfrm>
          <a:off x="4785360" y="4594225"/>
          <a:ext cx="1591945" cy="50990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展示广告</a:t>
          </a:r>
          <a:endParaRPr lang="zh-CN" altLang="en-US" sz="1100"/>
        </a:p>
        <a:p>
          <a:pPr algn="ctr"/>
          <a:r>
            <a:rPr lang="zh-CN" altLang="en-US" sz="900"/>
            <a:t>（例：</a:t>
          </a:r>
          <a:r>
            <a:rPr lang="en-US" altLang="zh-CN" sz="900"/>
            <a:t>130cm</a:t>
          </a:r>
          <a:r>
            <a:rPr lang="zh-CN" altLang="en-US" sz="900"/>
            <a:t>门栏展示）</a:t>
          </a:r>
          <a:endParaRPr lang="zh-CN" altLang="en-US" sz="900"/>
        </a:p>
      </xdr:txBody>
    </xdr:sp>
    <xdr:clientData/>
  </xdr:twoCellAnchor>
  <xdr:twoCellAnchor>
    <xdr:from>
      <xdr:col>10</xdr:col>
      <xdr:colOff>253365</xdr:colOff>
      <xdr:row>24</xdr:row>
      <xdr:rowOff>98425</xdr:rowOff>
    </xdr:from>
    <xdr:to>
      <xdr:col>11</xdr:col>
      <xdr:colOff>584200</xdr:colOff>
      <xdr:row>27</xdr:row>
      <xdr:rowOff>67945</xdr:rowOff>
    </xdr:to>
    <xdr:sp>
      <xdr:nvSpPr>
        <xdr:cNvPr id="39" name="右箭头 38"/>
        <xdr:cNvSpPr/>
      </xdr:nvSpPr>
      <xdr:spPr>
        <a:xfrm rot="21360000">
          <a:off x="6425565" y="4487545"/>
          <a:ext cx="948055" cy="51816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219075</xdr:colOff>
      <xdr:row>27</xdr:row>
      <xdr:rowOff>0</xdr:rowOff>
    </xdr:from>
    <xdr:to>
      <xdr:col>11</xdr:col>
      <xdr:colOff>549910</xdr:colOff>
      <xdr:row>29</xdr:row>
      <xdr:rowOff>152400</xdr:rowOff>
    </xdr:to>
    <xdr:sp>
      <xdr:nvSpPr>
        <xdr:cNvPr id="40" name="右箭头 39"/>
        <xdr:cNvSpPr/>
      </xdr:nvSpPr>
      <xdr:spPr>
        <a:xfrm rot="660000">
          <a:off x="6391275" y="4937760"/>
          <a:ext cx="948055" cy="51816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en-US" altLang="en-US" sz="1100"/>
        </a:p>
      </xdr:txBody>
    </xdr:sp>
    <xdr:clientData/>
  </xdr:twoCellAnchor>
  <xdr:twoCellAnchor>
    <xdr:from>
      <xdr:col>12</xdr:col>
      <xdr:colOff>15875</xdr:colOff>
      <xdr:row>24</xdr:row>
      <xdr:rowOff>98425</xdr:rowOff>
    </xdr:from>
    <xdr:to>
      <xdr:col>14</xdr:col>
      <xdr:colOff>373380</xdr:colOff>
      <xdr:row>27</xdr:row>
      <xdr:rowOff>59690</xdr:rowOff>
    </xdr:to>
    <xdr:sp>
      <xdr:nvSpPr>
        <xdr:cNvPr id="41" name="圆角矩形 40"/>
        <xdr:cNvSpPr/>
      </xdr:nvSpPr>
      <xdr:spPr>
        <a:xfrm>
          <a:off x="7422515" y="4487545"/>
          <a:ext cx="1591945" cy="50990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 展示站内</a:t>
          </a:r>
          <a:endParaRPr lang="zh-CN" altLang="en-US" sz="1100"/>
        </a:p>
        <a:p>
          <a:pPr algn="ctr"/>
          <a:r>
            <a:rPr lang="zh-CN" altLang="en-US" sz="900"/>
            <a:t>（例：</a:t>
          </a:r>
          <a:r>
            <a:rPr lang="en-US" altLang="zh-CN" sz="900"/>
            <a:t>130cm</a:t>
          </a:r>
          <a:r>
            <a:rPr lang="zh-CN" altLang="en-US" sz="900"/>
            <a:t>门栏展示站内）</a:t>
          </a:r>
          <a:endParaRPr lang="zh-CN" altLang="en-US" sz="900"/>
        </a:p>
      </xdr:txBody>
    </xdr:sp>
    <xdr:clientData/>
  </xdr:twoCellAnchor>
  <xdr:twoCellAnchor>
    <xdr:from>
      <xdr:col>12</xdr:col>
      <xdr:colOff>7620</xdr:colOff>
      <xdr:row>27</xdr:row>
      <xdr:rowOff>115570</xdr:rowOff>
    </xdr:from>
    <xdr:to>
      <xdr:col>14</xdr:col>
      <xdr:colOff>365125</xdr:colOff>
      <xdr:row>30</xdr:row>
      <xdr:rowOff>76835</xdr:rowOff>
    </xdr:to>
    <xdr:sp>
      <xdr:nvSpPr>
        <xdr:cNvPr id="42" name="圆角矩形 41"/>
        <xdr:cNvSpPr/>
      </xdr:nvSpPr>
      <xdr:spPr>
        <a:xfrm>
          <a:off x="7414260" y="5053330"/>
          <a:ext cx="1591945" cy="50990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a:sym typeface="+mn-ea"/>
            </a:rPr>
            <a:t>SKU</a:t>
          </a:r>
          <a:r>
            <a:rPr lang="zh-CN" altLang="en-US">
              <a:sym typeface="+mn-ea"/>
            </a:rPr>
            <a:t> 展示站外</a:t>
          </a:r>
          <a:endParaRPr lang="zh-CN" altLang="en-US" sz="1100"/>
        </a:p>
        <a:p>
          <a:pPr algn="ctr"/>
          <a:r>
            <a:rPr lang="zh-CN" altLang="en-US" sz="900">
              <a:sym typeface="+mn-ea"/>
            </a:rPr>
            <a:t>（例：</a:t>
          </a:r>
          <a:r>
            <a:rPr lang="en-US" altLang="zh-CN" sz="900">
              <a:sym typeface="+mn-ea"/>
            </a:rPr>
            <a:t>130cm</a:t>
          </a:r>
          <a:r>
            <a:rPr lang="zh-CN" altLang="en-US" sz="900">
              <a:sym typeface="+mn-ea"/>
            </a:rPr>
            <a:t>门栏展示站外）</a:t>
          </a:r>
          <a:endParaRPr lang="zh-CN" altLang="en-US" sz="900"/>
        </a:p>
      </xdr:txBody>
    </xdr:sp>
    <xdr:clientData/>
  </xdr:twoCellAnchor>
  <xdr:twoCellAnchor>
    <xdr:from>
      <xdr:col>5</xdr:col>
      <xdr:colOff>594360</xdr:colOff>
      <xdr:row>31</xdr:row>
      <xdr:rowOff>157480</xdr:rowOff>
    </xdr:from>
    <xdr:to>
      <xdr:col>7</xdr:col>
      <xdr:colOff>473710</xdr:colOff>
      <xdr:row>34</xdr:row>
      <xdr:rowOff>127000</xdr:rowOff>
    </xdr:to>
    <xdr:sp>
      <xdr:nvSpPr>
        <xdr:cNvPr id="43" name="右箭头 42"/>
        <xdr:cNvSpPr/>
      </xdr:nvSpPr>
      <xdr:spPr>
        <a:xfrm>
          <a:off x="3680460" y="5826760"/>
          <a:ext cx="1113790" cy="51816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1</a:t>
          </a:r>
          <a:endParaRPr lang="zh-CN" altLang="en-US" sz="1100"/>
        </a:p>
      </xdr:txBody>
    </xdr:sp>
    <xdr:clientData/>
  </xdr:twoCellAnchor>
  <xdr:twoCellAnchor>
    <xdr:from>
      <xdr:col>7</xdr:col>
      <xdr:colOff>524510</xdr:colOff>
      <xdr:row>31</xdr:row>
      <xdr:rowOff>165735</xdr:rowOff>
    </xdr:from>
    <xdr:to>
      <xdr:col>10</xdr:col>
      <xdr:colOff>264795</xdr:colOff>
      <xdr:row>34</xdr:row>
      <xdr:rowOff>127000</xdr:rowOff>
    </xdr:to>
    <xdr:sp>
      <xdr:nvSpPr>
        <xdr:cNvPr id="44" name="圆角矩形 43"/>
        <xdr:cNvSpPr/>
      </xdr:nvSpPr>
      <xdr:spPr>
        <a:xfrm>
          <a:off x="4845050" y="5835015"/>
          <a:ext cx="1591945" cy="50990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品牌广告</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12</xdr:col>
      <xdr:colOff>0</xdr:colOff>
      <xdr:row>31</xdr:row>
      <xdr:rowOff>0</xdr:rowOff>
    </xdr:from>
    <xdr:to>
      <xdr:col>14</xdr:col>
      <xdr:colOff>357505</xdr:colOff>
      <xdr:row>33</xdr:row>
      <xdr:rowOff>144145</xdr:rowOff>
    </xdr:to>
    <xdr:sp>
      <xdr:nvSpPr>
        <xdr:cNvPr id="45" name="圆角矩形 44"/>
        <xdr:cNvSpPr/>
      </xdr:nvSpPr>
      <xdr:spPr>
        <a:xfrm>
          <a:off x="7406640" y="5669280"/>
          <a:ext cx="1591945" cy="50990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品牌产品</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12</xdr:col>
      <xdr:colOff>15875</xdr:colOff>
      <xdr:row>34</xdr:row>
      <xdr:rowOff>55880</xdr:rowOff>
    </xdr:from>
    <xdr:to>
      <xdr:col>14</xdr:col>
      <xdr:colOff>373380</xdr:colOff>
      <xdr:row>37</xdr:row>
      <xdr:rowOff>17145</xdr:rowOff>
    </xdr:to>
    <xdr:sp>
      <xdr:nvSpPr>
        <xdr:cNvPr id="46" name="圆角矩形 45"/>
        <xdr:cNvSpPr/>
      </xdr:nvSpPr>
      <xdr:spPr>
        <a:xfrm>
          <a:off x="7422515" y="6273800"/>
          <a:ext cx="1591945" cy="50990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品牌店铺</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10</xdr:col>
      <xdr:colOff>304165</xdr:colOff>
      <xdr:row>30</xdr:row>
      <xdr:rowOff>157480</xdr:rowOff>
    </xdr:from>
    <xdr:to>
      <xdr:col>11</xdr:col>
      <xdr:colOff>594360</xdr:colOff>
      <xdr:row>33</xdr:row>
      <xdr:rowOff>127000</xdr:rowOff>
    </xdr:to>
    <xdr:sp>
      <xdr:nvSpPr>
        <xdr:cNvPr id="47" name="右箭头 46"/>
        <xdr:cNvSpPr/>
      </xdr:nvSpPr>
      <xdr:spPr>
        <a:xfrm rot="20580000">
          <a:off x="6476365" y="5643880"/>
          <a:ext cx="907415" cy="51816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287020</xdr:colOff>
      <xdr:row>33</xdr:row>
      <xdr:rowOff>123825</xdr:rowOff>
    </xdr:from>
    <xdr:to>
      <xdr:col>11</xdr:col>
      <xdr:colOff>584200</xdr:colOff>
      <xdr:row>36</xdr:row>
      <xdr:rowOff>93345</xdr:rowOff>
    </xdr:to>
    <xdr:sp>
      <xdr:nvSpPr>
        <xdr:cNvPr id="48" name="右箭头 47"/>
        <xdr:cNvSpPr/>
      </xdr:nvSpPr>
      <xdr:spPr>
        <a:xfrm rot="1200000">
          <a:off x="6459220" y="6158865"/>
          <a:ext cx="914400" cy="51816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4</xdr:col>
      <xdr:colOff>115887</xdr:colOff>
      <xdr:row>12</xdr:row>
      <xdr:rowOff>137477</xdr:rowOff>
    </xdr:from>
    <xdr:to>
      <xdr:col>5</xdr:col>
      <xdr:colOff>9207</xdr:colOff>
      <xdr:row>18</xdr:row>
      <xdr:rowOff>98742</xdr:rowOff>
    </xdr:to>
    <xdr:sp>
      <xdr:nvSpPr>
        <xdr:cNvPr id="49" name="右箭头 48"/>
        <xdr:cNvSpPr/>
      </xdr:nvSpPr>
      <xdr:spPr>
        <a:xfrm rot="5400000">
          <a:off x="2310130" y="2605405"/>
          <a:ext cx="1058545" cy="51054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6</a:t>
          </a:r>
          <a:endParaRPr lang="zh-CN" altLang="en-US" sz="1100"/>
        </a:p>
      </xdr:txBody>
    </xdr:sp>
    <xdr:clientData/>
  </xdr:twoCellAnchor>
  <xdr:twoCellAnchor>
    <xdr:from>
      <xdr:col>3</xdr:col>
      <xdr:colOff>160655</xdr:colOff>
      <xdr:row>18</xdr:row>
      <xdr:rowOff>160020</xdr:rowOff>
    </xdr:from>
    <xdr:to>
      <xdr:col>5</xdr:col>
      <xdr:colOff>588010</xdr:colOff>
      <xdr:row>21</xdr:row>
      <xdr:rowOff>103505</xdr:rowOff>
    </xdr:to>
    <xdr:sp>
      <xdr:nvSpPr>
        <xdr:cNvPr id="50" name="圆角矩形 49"/>
        <xdr:cNvSpPr/>
      </xdr:nvSpPr>
      <xdr:spPr>
        <a:xfrm>
          <a:off x="2012315" y="3451860"/>
          <a:ext cx="1661795" cy="492125"/>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ctr"/>
          <a:r>
            <a:rPr lang="en-US" altLang="zh-CN" sz="1100"/>
            <a:t>SKU</a:t>
          </a:r>
          <a:r>
            <a:rPr lang="zh-CN" altLang="en-US" sz="1100"/>
            <a:t>测试专用广告</a:t>
          </a:r>
          <a:endParaRPr lang="zh-CN" altLang="en-US" sz="1100"/>
        </a:p>
        <a:p>
          <a:pPr algn="ctr"/>
          <a:r>
            <a:rPr lang="zh-CN" altLang="en-US" sz="900"/>
            <a:t>（例：</a:t>
          </a:r>
          <a:r>
            <a:rPr lang="en-US" altLang="zh-CN" sz="900"/>
            <a:t>130cm</a:t>
          </a:r>
          <a:r>
            <a:rPr lang="zh-CN" altLang="en-US" sz="900"/>
            <a:t>门栏测试）</a:t>
          </a:r>
          <a:endParaRPr lang="en-US" altLang="zh-CN" sz="900"/>
        </a:p>
      </xdr:txBody>
    </xdr:sp>
    <xdr:clientData/>
  </xdr:twoCellAnchor>
  <xdr:twoCellAnchor>
    <xdr:from>
      <xdr:col>3</xdr:col>
      <xdr:colOff>267335</xdr:colOff>
      <xdr:row>21</xdr:row>
      <xdr:rowOff>133350</xdr:rowOff>
    </xdr:from>
    <xdr:to>
      <xdr:col>4</xdr:col>
      <xdr:colOff>160655</xdr:colOff>
      <xdr:row>26</xdr:row>
      <xdr:rowOff>85090</xdr:rowOff>
    </xdr:to>
    <xdr:sp>
      <xdr:nvSpPr>
        <xdr:cNvPr id="51" name="右箭头 50"/>
        <xdr:cNvSpPr/>
      </xdr:nvSpPr>
      <xdr:spPr>
        <a:xfrm rot="5400000">
          <a:off x="1941195" y="4151630"/>
          <a:ext cx="866140" cy="51054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4</xdr:col>
      <xdr:colOff>537210</xdr:colOff>
      <xdr:row>21</xdr:row>
      <xdr:rowOff>137160</xdr:rowOff>
    </xdr:from>
    <xdr:to>
      <xdr:col>5</xdr:col>
      <xdr:colOff>430530</xdr:colOff>
      <xdr:row>26</xdr:row>
      <xdr:rowOff>80010</xdr:rowOff>
    </xdr:to>
    <xdr:sp>
      <xdr:nvSpPr>
        <xdr:cNvPr id="52" name="右箭头 51"/>
        <xdr:cNvSpPr/>
      </xdr:nvSpPr>
      <xdr:spPr>
        <a:xfrm rot="5400000">
          <a:off x="2832735" y="4150995"/>
          <a:ext cx="857250" cy="51054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N</a:t>
          </a:r>
          <a:endParaRPr lang="en-US" altLang="zh-CN" sz="1100"/>
        </a:p>
      </xdr:txBody>
    </xdr:sp>
    <xdr:clientData/>
  </xdr:twoCellAnchor>
  <xdr:twoCellAnchor>
    <xdr:from>
      <xdr:col>3</xdr:col>
      <xdr:colOff>169545</xdr:colOff>
      <xdr:row>26</xdr:row>
      <xdr:rowOff>87630</xdr:rowOff>
    </xdr:from>
    <xdr:to>
      <xdr:col>6</xdr:col>
      <xdr:colOff>187325</xdr:colOff>
      <xdr:row>29</xdr:row>
      <xdr:rowOff>31115</xdr:rowOff>
    </xdr:to>
    <xdr:sp>
      <xdr:nvSpPr>
        <xdr:cNvPr id="53" name="圆角矩形 52"/>
        <xdr:cNvSpPr/>
      </xdr:nvSpPr>
      <xdr:spPr>
        <a:xfrm>
          <a:off x="2021205" y="4842510"/>
          <a:ext cx="1869440" cy="492125"/>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a:sym typeface="+mn-ea"/>
            </a:rPr>
            <a:t>SKU</a:t>
          </a:r>
          <a:r>
            <a:rPr lang="zh-CN" altLang="en-US">
              <a:sym typeface="+mn-ea"/>
            </a:rPr>
            <a:t>测试</a:t>
          </a:r>
          <a:endParaRPr lang="zh-CN" altLang="en-US" sz="1100"/>
        </a:p>
        <a:p>
          <a:pPr algn="ctr"/>
          <a:r>
            <a:rPr lang="zh-CN" altLang="en-US" sz="900">
              <a:sym typeface="+mn-ea"/>
            </a:rPr>
            <a:t>（例：</a:t>
          </a:r>
          <a:r>
            <a:rPr lang="en-US" altLang="zh-CN" sz="900">
              <a:sym typeface="+mn-ea"/>
            </a:rPr>
            <a:t>130cm</a:t>
          </a:r>
          <a:r>
            <a:rPr lang="zh-CN" altLang="en-US" sz="900">
              <a:sym typeface="+mn-ea"/>
            </a:rPr>
            <a:t>门栏大词</a:t>
          </a:r>
          <a:r>
            <a:rPr lang="en-US" altLang="zh-CN" sz="900">
              <a:sym typeface="+mn-ea"/>
            </a:rPr>
            <a:t>/</a:t>
          </a:r>
          <a:r>
            <a:rPr lang="zh-CN" altLang="en-US" sz="900">
              <a:sym typeface="+mn-ea"/>
            </a:rPr>
            <a:t>坑位测试）</a:t>
          </a:r>
          <a:endParaRPr lang="en-US" altLang="zh-CN" sz="900"/>
        </a:p>
      </xdr:txBody>
    </xdr:sp>
    <xdr:clientData/>
  </xdr:twoCellAnchor>
  <xdr:twoCellAnchor editAs="oneCell">
    <xdr:from>
      <xdr:col>5</xdr:col>
      <xdr:colOff>0</xdr:colOff>
      <xdr:row>53</xdr:row>
      <xdr:rowOff>0</xdr:rowOff>
    </xdr:from>
    <xdr:to>
      <xdr:col>12</xdr:col>
      <xdr:colOff>353695</xdr:colOff>
      <xdr:row>82</xdr:row>
      <xdr:rowOff>86995</xdr:rowOff>
    </xdr:to>
    <xdr:pic>
      <xdr:nvPicPr>
        <xdr:cNvPr id="2" name="图片 1" descr="abfbbbdb648912d9027519ad772f41a5(1)"/>
        <xdr:cNvPicPr>
          <a:picLocks noChangeAspect="1"/>
        </xdr:cNvPicPr>
      </xdr:nvPicPr>
      <xdr:blipFill>
        <a:blip r:embed="rId1"/>
        <a:stretch>
          <a:fillRect/>
        </a:stretch>
      </xdr:blipFill>
      <xdr:spPr>
        <a:xfrm>
          <a:off x="3086100" y="9692640"/>
          <a:ext cx="4674235" cy="539051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6350</xdr:colOff>
      <xdr:row>63</xdr:row>
      <xdr:rowOff>0</xdr:rowOff>
    </xdr:from>
    <xdr:to>
      <xdr:col>1</xdr:col>
      <xdr:colOff>1341120</xdr:colOff>
      <xdr:row>75</xdr:row>
      <xdr:rowOff>93980</xdr:rowOff>
    </xdr:to>
    <xdr:pic>
      <xdr:nvPicPr>
        <xdr:cNvPr id="2" name="图片 1" descr="大宝干货名片—四宝 "/>
        <xdr:cNvPicPr>
          <a:picLocks noChangeAspect="1"/>
        </xdr:cNvPicPr>
      </xdr:nvPicPr>
      <xdr:blipFill>
        <a:blip r:embed="rId1"/>
        <a:stretch>
          <a:fillRect/>
        </a:stretch>
      </xdr:blipFill>
      <xdr:spPr>
        <a:xfrm>
          <a:off x="6350" y="12167235"/>
          <a:ext cx="3945255" cy="2288540"/>
        </a:xfrm>
        <a:prstGeom prst="rect">
          <a:avLst/>
        </a:prstGeom>
      </xdr:spPr>
    </xdr:pic>
    <xdr:clientData/>
  </xdr:twoCellAnchor>
  <xdr:twoCellAnchor editAs="oneCell">
    <xdr:from>
      <xdr:col>5</xdr:col>
      <xdr:colOff>0</xdr:colOff>
      <xdr:row>15</xdr:row>
      <xdr:rowOff>0</xdr:rowOff>
    </xdr:from>
    <xdr:to>
      <xdr:col>11</xdr:col>
      <xdr:colOff>309245</xdr:colOff>
      <xdr:row>42</xdr:row>
      <xdr:rowOff>61595</xdr:rowOff>
    </xdr:to>
    <xdr:pic>
      <xdr:nvPicPr>
        <xdr:cNvPr id="3" name="图片 2" descr="abfbbbdb648912d9027519ad772f41a5(1)"/>
        <xdr:cNvPicPr>
          <a:picLocks noChangeAspect="1"/>
        </xdr:cNvPicPr>
      </xdr:nvPicPr>
      <xdr:blipFill>
        <a:blip r:embed="rId2"/>
        <a:stretch>
          <a:fillRect/>
        </a:stretch>
      </xdr:blipFill>
      <xdr:spPr>
        <a:xfrm>
          <a:off x="7730490" y="3206115"/>
          <a:ext cx="4677410" cy="518223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0</xdr:colOff>
      <xdr:row>38</xdr:row>
      <xdr:rowOff>0</xdr:rowOff>
    </xdr:from>
    <xdr:to>
      <xdr:col>16</xdr:col>
      <xdr:colOff>398145</xdr:colOff>
      <xdr:row>67</xdr:row>
      <xdr:rowOff>86995</xdr:rowOff>
    </xdr:to>
    <xdr:pic>
      <xdr:nvPicPr>
        <xdr:cNvPr id="2" name="图片 1" descr="abfbbbdb648912d9027519ad772f41a5(1)"/>
        <xdr:cNvPicPr>
          <a:picLocks noChangeAspect="1"/>
        </xdr:cNvPicPr>
      </xdr:nvPicPr>
      <xdr:blipFill>
        <a:blip r:embed="rId1"/>
        <a:stretch>
          <a:fillRect/>
        </a:stretch>
      </xdr:blipFill>
      <xdr:spPr>
        <a:xfrm>
          <a:off x="9804400" y="9540875"/>
          <a:ext cx="4683125" cy="539051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25400</xdr:colOff>
      <xdr:row>1</xdr:row>
      <xdr:rowOff>0</xdr:rowOff>
    </xdr:from>
    <xdr:to>
      <xdr:col>5</xdr:col>
      <xdr:colOff>381635</xdr:colOff>
      <xdr:row>4</xdr:row>
      <xdr:rowOff>186690</xdr:rowOff>
    </xdr:to>
    <xdr:sp>
      <xdr:nvSpPr>
        <xdr:cNvPr id="3" name="文本框 2"/>
        <xdr:cNvSpPr txBox="1"/>
      </xdr:nvSpPr>
      <xdr:spPr>
        <a:xfrm>
          <a:off x="25400" y="190500"/>
          <a:ext cx="4721860" cy="75819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zh-CN" altLang="en-US" sz="1100" b="1"/>
            <a:t>广告排名得分 = 广告出价x广告质量得分</a:t>
          </a:r>
          <a:endParaRPr lang="zh-CN" altLang="en-US" sz="1100" b="1"/>
        </a:p>
        <a:p>
          <a:pPr algn="l"/>
          <a:r>
            <a:rPr lang="zh-CN" altLang="en-US" sz="1100" b="1"/>
            <a:t>广告质量得分 = CVR+CTR+广告历史表现+类目节点+相关度</a:t>
          </a:r>
          <a:endParaRPr lang="zh-CN" altLang="en-US" sz="1100" b="1"/>
        </a:p>
        <a:p>
          <a:pPr algn="l"/>
          <a:r>
            <a:rPr lang="zh-CN" altLang="en-US" sz="1100" b="1"/>
            <a:t>实际点击扣费 = 下一位广告排名得分/你的广告质量得分+0.01</a:t>
          </a:r>
          <a:endParaRPr lang="zh-CN" altLang="en-US" sz="1100" b="1"/>
        </a:p>
      </xdr:txBody>
    </xdr:sp>
    <xdr:clientData/>
  </xdr:twoCellAnchor>
  <xdr:twoCellAnchor editAs="oneCell">
    <xdr:from>
      <xdr:col>0</xdr:col>
      <xdr:colOff>734695</xdr:colOff>
      <xdr:row>67</xdr:row>
      <xdr:rowOff>7620</xdr:rowOff>
    </xdr:from>
    <xdr:to>
      <xdr:col>5</xdr:col>
      <xdr:colOff>727710</xdr:colOff>
      <xdr:row>72</xdr:row>
      <xdr:rowOff>203835</xdr:rowOff>
    </xdr:to>
    <xdr:pic>
      <xdr:nvPicPr>
        <xdr:cNvPr id="2" name="图片 1" descr="大宝干货名片—四宝 "/>
        <xdr:cNvPicPr>
          <a:picLocks noChangeAspect="1"/>
        </xdr:cNvPicPr>
      </xdr:nvPicPr>
      <xdr:blipFill>
        <a:blip r:embed="rId1"/>
        <a:stretch>
          <a:fillRect/>
        </a:stretch>
      </xdr:blipFill>
      <xdr:spPr>
        <a:xfrm>
          <a:off x="734695" y="28347670"/>
          <a:ext cx="4358640" cy="2482215"/>
        </a:xfrm>
        <a:prstGeom prst="rect">
          <a:avLst/>
        </a:prstGeom>
      </xdr:spPr>
    </xdr:pic>
    <xdr:clientData/>
  </xdr:twoCellAnchor>
  <xdr:twoCellAnchor editAs="oneCell">
    <xdr:from>
      <xdr:col>16</xdr:col>
      <xdr:colOff>0</xdr:colOff>
      <xdr:row>14</xdr:row>
      <xdr:rowOff>0</xdr:rowOff>
    </xdr:from>
    <xdr:to>
      <xdr:col>23</xdr:col>
      <xdr:colOff>487045</xdr:colOff>
      <xdr:row>26</xdr:row>
      <xdr:rowOff>86995</xdr:rowOff>
    </xdr:to>
    <xdr:pic>
      <xdr:nvPicPr>
        <xdr:cNvPr id="4" name="图片 3" descr="abfbbbdb648912d9027519ad772f41a5(1)"/>
        <xdr:cNvPicPr>
          <a:picLocks noChangeAspect="1"/>
        </xdr:cNvPicPr>
      </xdr:nvPicPr>
      <xdr:blipFill>
        <a:blip r:embed="rId2"/>
        <a:stretch>
          <a:fillRect/>
        </a:stretch>
      </xdr:blipFill>
      <xdr:spPr>
        <a:xfrm>
          <a:off x="13970000" y="4394200"/>
          <a:ext cx="4678680" cy="524573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1547495</xdr:colOff>
      <xdr:row>163</xdr:row>
      <xdr:rowOff>170815</xdr:rowOff>
    </xdr:from>
    <xdr:to>
      <xdr:col>1</xdr:col>
      <xdr:colOff>2664460</xdr:colOff>
      <xdr:row>177</xdr:row>
      <xdr:rowOff>163830</xdr:rowOff>
    </xdr:to>
    <xdr:pic>
      <xdr:nvPicPr>
        <xdr:cNvPr id="2" name="图片 1" descr="大宝干货名片—四宝 "/>
        <xdr:cNvPicPr>
          <a:picLocks noChangeAspect="1"/>
        </xdr:cNvPicPr>
      </xdr:nvPicPr>
      <xdr:blipFill>
        <a:blip r:embed="rId1"/>
        <a:stretch>
          <a:fillRect/>
        </a:stretch>
      </xdr:blipFill>
      <xdr:spPr>
        <a:xfrm>
          <a:off x="1547495" y="41751250"/>
          <a:ext cx="4390390" cy="255333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comments" Target="../comments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11"/>
  <sheetViews>
    <sheetView zoomScale="85" zoomScaleNormal="85" workbookViewId="0">
      <pane ySplit="1" topLeftCell="A2" activePane="bottomLeft" state="frozen"/>
      <selection/>
      <selection pane="bottomLeft" activeCell="F14" sqref="F14"/>
    </sheetView>
  </sheetViews>
  <sheetFormatPr defaultColWidth="9" defaultRowHeight="20" customHeight="1" outlineLevelCol="6"/>
  <cols>
    <col min="1" max="2" width="16.3333333333333" style="221" customWidth="1"/>
    <col min="3" max="3" width="30.0648148148148" style="59" customWidth="1"/>
    <col min="4" max="4" width="21.0648148148148" style="221" customWidth="1"/>
    <col min="5" max="5" width="29.462962962963" style="59" customWidth="1"/>
    <col min="6" max="6" width="29.6018518518519" style="113" customWidth="1"/>
    <col min="7" max="16384" width="9" style="59"/>
  </cols>
  <sheetData>
    <row r="1" s="221" customFormat="1" ht="31.05" customHeight="1" spans="1:7">
      <c r="A1" s="222" t="s">
        <v>0</v>
      </c>
      <c r="B1" s="222" t="s">
        <v>1</v>
      </c>
      <c r="C1" s="223" t="s">
        <v>2</v>
      </c>
      <c r="D1" s="223" t="s">
        <v>3</v>
      </c>
      <c r="E1" s="223" t="s">
        <v>4</v>
      </c>
      <c r="F1" s="223" t="s">
        <v>5</v>
      </c>
      <c r="G1" s="224"/>
    </row>
    <row r="2" ht="25.05" customHeight="1" spans="1:6">
      <c r="A2" s="45" t="s">
        <v>6</v>
      </c>
      <c r="B2" s="47" t="s">
        <v>7</v>
      </c>
      <c r="C2" s="49" t="s">
        <v>8</v>
      </c>
      <c r="D2" s="47" t="s">
        <v>6</v>
      </c>
      <c r="E2" s="49" t="s">
        <v>9</v>
      </c>
      <c r="F2" s="126" t="s">
        <v>10</v>
      </c>
    </row>
    <row r="3" ht="25.05" customHeight="1" spans="1:6">
      <c r="A3" s="45" t="s">
        <v>11</v>
      </c>
      <c r="B3" s="47" t="s">
        <v>12</v>
      </c>
      <c r="C3" s="49" t="s">
        <v>13</v>
      </c>
      <c r="D3" s="47" t="s">
        <v>11</v>
      </c>
      <c r="E3" s="49" t="s">
        <v>14</v>
      </c>
      <c r="F3" s="126" t="s">
        <v>15</v>
      </c>
    </row>
    <row r="4" ht="25.05" customHeight="1" spans="1:6">
      <c r="A4" s="45" t="s">
        <v>16</v>
      </c>
      <c r="B4" s="47" t="s">
        <v>16</v>
      </c>
      <c r="C4" s="49" t="s">
        <v>17</v>
      </c>
      <c r="D4" s="225" t="s">
        <v>18</v>
      </c>
      <c r="E4" s="49" t="s">
        <v>19</v>
      </c>
      <c r="F4" s="226" t="s">
        <v>20</v>
      </c>
    </row>
    <row r="5" ht="25.05" customHeight="1" spans="1:6">
      <c r="A5" s="45" t="s">
        <v>21</v>
      </c>
      <c r="B5" s="47" t="s">
        <v>21</v>
      </c>
      <c r="C5" s="49" t="s">
        <v>22</v>
      </c>
      <c r="D5" s="47" t="s">
        <v>23</v>
      </c>
      <c r="E5" s="49" t="s">
        <v>24</v>
      </c>
      <c r="F5" s="126" t="s">
        <v>25</v>
      </c>
    </row>
    <row r="6" ht="25.05" customHeight="1" spans="1:6">
      <c r="A6" s="45" t="s">
        <v>26</v>
      </c>
      <c r="B6" s="47" t="s">
        <v>26</v>
      </c>
      <c r="C6" s="49" t="s">
        <v>27</v>
      </c>
      <c r="D6" s="47" t="s">
        <v>28</v>
      </c>
      <c r="E6" s="49" t="s">
        <v>29</v>
      </c>
      <c r="F6" s="126" t="s">
        <v>30</v>
      </c>
    </row>
    <row r="7" ht="25.05" customHeight="1" spans="1:6">
      <c r="A7" s="45" t="s">
        <v>31</v>
      </c>
      <c r="B7" s="47" t="s">
        <v>31</v>
      </c>
      <c r="C7" s="49" t="s">
        <v>32</v>
      </c>
      <c r="D7" s="225" t="s">
        <v>33</v>
      </c>
      <c r="E7" s="49" t="s">
        <v>34</v>
      </c>
      <c r="F7" s="226" t="s">
        <v>35</v>
      </c>
    </row>
    <row r="8" ht="25.05" customHeight="1" spans="1:6">
      <c r="A8" s="45" t="s">
        <v>36</v>
      </c>
      <c r="B8" s="47" t="s">
        <v>37</v>
      </c>
      <c r="C8" s="49" t="s">
        <v>37</v>
      </c>
      <c r="D8" s="47" t="s">
        <v>36</v>
      </c>
      <c r="E8" s="49" t="s">
        <v>38</v>
      </c>
      <c r="F8" s="126" t="s">
        <v>39</v>
      </c>
    </row>
    <row r="9" ht="25.05" customHeight="1" spans="1:6">
      <c r="A9" s="45" t="s">
        <v>40</v>
      </c>
      <c r="B9" s="47" t="s">
        <v>41</v>
      </c>
      <c r="C9" s="49" t="s">
        <v>41</v>
      </c>
      <c r="D9" s="47" t="s">
        <v>40</v>
      </c>
      <c r="E9" s="49" t="s">
        <v>42</v>
      </c>
      <c r="F9" s="126" t="s">
        <v>43</v>
      </c>
    </row>
    <row r="10" ht="25.05" customHeight="1" spans="1:6">
      <c r="A10" s="45" t="s">
        <v>44</v>
      </c>
      <c r="B10" s="47" t="s">
        <v>45</v>
      </c>
      <c r="C10" s="49" t="s">
        <v>45</v>
      </c>
      <c r="D10" s="47" t="s">
        <v>44</v>
      </c>
      <c r="E10" s="49" t="s">
        <v>44</v>
      </c>
      <c r="F10" s="126" t="s">
        <v>46</v>
      </c>
    </row>
    <row r="11" ht="25.05" customHeight="1" spans="1:6">
      <c r="A11" s="45" t="s">
        <v>47</v>
      </c>
      <c r="B11" s="47" t="s">
        <v>48</v>
      </c>
      <c r="C11" s="49" t="s">
        <v>48</v>
      </c>
      <c r="D11" s="47" t="s">
        <v>47</v>
      </c>
      <c r="E11" s="49" t="s">
        <v>47</v>
      </c>
      <c r="F11" s="126" t="s">
        <v>49</v>
      </c>
    </row>
  </sheetData>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Q34"/>
  <sheetViews>
    <sheetView zoomScale="70" zoomScaleNormal="70" workbookViewId="0">
      <selection activeCell="F54" sqref="F54"/>
    </sheetView>
  </sheetViews>
  <sheetFormatPr defaultColWidth="9" defaultRowHeight="14.4"/>
  <cols>
    <col min="1" max="15" width="9" style="219"/>
    <col min="16" max="16" width="5" style="219" customWidth="1"/>
    <col min="17" max="16384" width="9" style="219"/>
  </cols>
  <sheetData>
    <row r="1" spans="16:16">
      <c r="P1" s="219" t="s">
        <v>50</v>
      </c>
    </row>
    <row r="2" spans="17:17">
      <c r="Q2" s="219" t="s">
        <v>51</v>
      </c>
    </row>
    <row r="3" spans="17:17">
      <c r="Q3" s="219" t="s">
        <v>52</v>
      </c>
    </row>
    <row r="5" spans="16:16">
      <c r="P5" s="219" t="s">
        <v>53</v>
      </c>
    </row>
    <row r="6" spans="1:17">
      <c r="A6" s="220" t="s">
        <v>54</v>
      </c>
      <c r="B6" s="220"/>
      <c r="C6" s="220"/>
      <c r="Q6" s="219" t="s">
        <v>55</v>
      </c>
    </row>
    <row r="7" spans="1:17">
      <c r="A7" s="220"/>
      <c r="B7" s="220"/>
      <c r="C7" s="220"/>
      <c r="Q7" s="219" t="s">
        <v>52</v>
      </c>
    </row>
    <row r="8" spans="1:3">
      <c r="A8" s="220"/>
      <c r="B8" s="220"/>
      <c r="C8" s="220"/>
    </row>
    <row r="9" spans="1:3">
      <c r="A9" s="220"/>
      <c r="B9" s="220"/>
      <c r="C9" s="220"/>
    </row>
    <row r="10" spans="1:3">
      <c r="A10" s="220"/>
      <c r="B10" s="220"/>
      <c r="C10" s="220"/>
    </row>
    <row r="11" spans="1:3">
      <c r="A11" s="220"/>
      <c r="B11" s="220"/>
      <c r="C11" s="220"/>
    </row>
    <row r="12" spans="1:16">
      <c r="A12" s="220"/>
      <c r="B12" s="220"/>
      <c r="C12" s="220"/>
      <c r="P12" s="219" t="s">
        <v>56</v>
      </c>
    </row>
    <row r="13" spans="1:17">
      <c r="A13" s="220"/>
      <c r="B13" s="220"/>
      <c r="C13" s="220"/>
      <c r="Q13" s="219" t="s">
        <v>55</v>
      </c>
    </row>
    <row r="14" spans="1:17">
      <c r="A14" s="220"/>
      <c r="B14" s="220"/>
      <c r="C14" s="220"/>
      <c r="Q14" s="219" t="s">
        <v>52</v>
      </c>
    </row>
    <row r="15" spans="1:3">
      <c r="A15" s="220"/>
      <c r="B15" s="220"/>
      <c r="C15" s="220"/>
    </row>
    <row r="16" spans="1:3">
      <c r="A16" s="220"/>
      <c r="B16" s="220"/>
      <c r="C16" s="220"/>
    </row>
    <row r="19" spans="16:16">
      <c r="P19" s="219" t="s">
        <v>57</v>
      </c>
    </row>
    <row r="20" spans="17:17">
      <c r="Q20" s="219" t="s">
        <v>58</v>
      </c>
    </row>
    <row r="21" spans="17:17">
      <c r="Q21" s="219" t="s">
        <v>52</v>
      </c>
    </row>
    <row r="25" spans="16:16">
      <c r="P25" s="219" t="s">
        <v>59</v>
      </c>
    </row>
    <row r="26" spans="17:17">
      <c r="Q26" s="219" t="s">
        <v>60</v>
      </c>
    </row>
    <row r="27" spans="17:17">
      <c r="Q27" s="219" t="s">
        <v>61</v>
      </c>
    </row>
    <row r="32" spans="16:16">
      <c r="P32" s="219" t="s">
        <v>62</v>
      </c>
    </row>
    <row r="33" spans="17:17">
      <c r="Q33" s="219" t="s">
        <v>63</v>
      </c>
    </row>
    <row r="34" spans="17:17">
      <c r="Q34" s="219" t="s">
        <v>64</v>
      </c>
    </row>
  </sheetData>
  <mergeCells count="1">
    <mergeCell ref="A6:C16"/>
  </mergeCells>
  <pageMargins left="0.699305555555556" right="0.699305555555556"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00B050"/>
  </sheetPr>
  <dimension ref="A1:I131"/>
  <sheetViews>
    <sheetView tabSelected="1" zoomScale="70" zoomScaleNormal="70" workbookViewId="0">
      <selection activeCell="C24" sqref="C24"/>
    </sheetView>
  </sheetViews>
  <sheetFormatPr defaultColWidth="9" defaultRowHeight="14.4"/>
  <cols>
    <col min="1" max="1" width="24.462962962963" style="2" customWidth="1"/>
    <col min="2" max="2" width="26.462962962963" style="2" customWidth="1"/>
    <col min="3" max="3" width="27.6018518518519" style="2" customWidth="1"/>
    <col min="4" max="4" width="26.9259259259259" style="2" customWidth="1"/>
    <col min="5" max="5" width="46.6018518518519" style="167" customWidth="1"/>
    <col min="6" max="6" width="37" style="168" customWidth="1"/>
    <col min="7" max="7" width="2.46296296296296" style="2" customWidth="1"/>
    <col min="8" max="8" width="4.52777777777778" style="2" customWidth="1"/>
    <col min="9" max="16384" width="9" style="2"/>
  </cols>
  <sheetData>
    <row r="1" ht="30" customHeight="1" spans="1:9">
      <c r="A1" s="169" t="s">
        <v>65</v>
      </c>
      <c r="B1" s="170"/>
      <c r="C1" s="170"/>
      <c r="D1" s="170"/>
      <c r="E1" s="171"/>
      <c r="F1" s="172"/>
      <c r="H1" s="173"/>
      <c r="I1" s="218" t="s">
        <v>66</v>
      </c>
    </row>
    <row r="2" ht="15" customHeight="1" spans="1:6">
      <c r="A2" s="174" t="s">
        <v>67</v>
      </c>
      <c r="B2" s="175" t="s">
        <v>68</v>
      </c>
      <c r="C2" s="175" t="s">
        <v>69</v>
      </c>
      <c r="D2" s="175" t="s">
        <v>70</v>
      </c>
      <c r="E2" s="176" t="s">
        <v>71</v>
      </c>
      <c r="F2" s="177" t="s">
        <v>72</v>
      </c>
    </row>
    <row r="3" ht="30" customHeight="1" spans="1:6">
      <c r="A3" s="178" t="s">
        <v>73</v>
      </c>
      <c r="B3" s="179" t="s">
        <v>74</v>
      </c>
      <c r="C3" s="180"/>
      <c r="D3" s="180"/>
      <c r="E3" s="181" t="s">
        <v>75</v>
      </c>
      <c r="F3" s="182"/>
    </row>
    <row r="4" ht="30" customHeight="1" spans="1:6">
      <c r="A4" s="183"/>
      <c r="B4" s="184" t="s">
        <v>76</v>
      </c>
      <c r="C4" s="185"/>
      <c r="D4" s="185"/>
      <c r="E4" s="186" t="s">
        <v>77</v>
      </c>
      <c r="F4" s="187"/>
    </row>
    <row r="5" ht="30" customHeight="1" spans="1:6">
      <c r="A5" s="183"/>
      <c r="B5" s="184" t="s">
        <v>78</v>
      </c>
      <c r="C5" s="185"/>
      <c r="D5" s="185"/>
      <c r="E5" s="186" t="s">
        <v>79</v>
      </c>
      <c r="F5" s="187"/>
    </row>
    <row r="6" ht="30" customHeight="1" spans="1:6">
      <c r="A6" s="183"/>
      <c r="B6" s="184" t="s">
        <v>80</v>
      </c>
      <c r="C6" s="185"/>
      <c r="D6" s="185"/>
      <c r="E6" s="186" t="s">
        <v>81</v>
      </c>
      <c r="F6" s="187"/>
    </row>
    <row r="7" ht="30" customHeight="1" spans="1:6">
      <c r="A7" s="188"/>
      <c r="B7" s="189" t="s">
        <v>82</v>
      </c>
      <c r="C7" s="190"/>
      <c r="D7" s="190"/>
      <c r="E7" s="191" t="s">
        <v>83</v>
      </c>
      <c r="F7" s="192"/>
    </row>
    <row r="8" ht="30" customHeight="1" spans="1:6">
      <c r="A8" s="193" t="s">
        <v>84</v>
      </c>
      <c r="B8" s="194" t="s">
        <v>85</v>
      </c>
      <c r="C8" s="195"/>
      <c r="D8" s="195"/>
      <c r="E8" s="196" t="s">
        <v>86</v>
      </c>
      <c r="F8" s="197"/>
    </row>
    <row r="9" ht="30" customHeight="1" spans="1:6">
      <c r="A9" s="198"/>
      <c r="B9" s="55" t="s">
        <v>87</v>
      </c>
      <c r="C9" s="185"/>
      <c r="D9" s="185"/>
      <c r="E9" s="186" t="s">
        <v>88</v>
      </c>
      <c r="F9" s="187"/>
    </row>
    <row r="10" ht="30" customHeight="1" spans="1:6">
      <c r="A10" s="199"/>
      <c r="B10" s="200" t="s">
        <v>89</v>
      </c>
      <c r="C10" s="190"/>
      <c r="D10" s="190"/>
      <c r="E10" s="191" t="s">
        <v>90</v>
      </c>
      <c r="F10" s="192"/>
    </row>
    <row r="11" ht="30" customHeight="1" spans="1:6">
      <c r="A11" s="201" t="s">
        <v>91</v>
      </c>
      <c r="B11" s="202" t="s">
        <v>92</v>
      </c>
      <c r="C11" s="195"/>
      <c r="D11" s="195"/>
      <c r="E11" s="196" t="s">
        <v>93</v>
      </c>
      <c r="F11" s="197"/>
    </row>
    <row r="12" ht="44" customHeight="1" spans="1:6">
      <c r="A12" s="201"/>
      <c r="B12" s="202" t="s">
        <v>94</v>
      </c>
      <c r="C12" s="195"/>
      <c r="D12" s="195"/>
      <c r="E12" s="196" t="s">
        <v>95</v>
      </c>
      <c r="F12" s="197"/>
    </row>
    <row r="13" ht="30" customHeight="1" spans="1:6">
      <c r="A13" s="203"/>
      <c r="B13" s="184" t="s">
        <v>96</v>
      </c>
      <c r="C13" s="185"/>
      <c r="D13" s="185"/>
      <c r="E13" s="204" t="s">
        <v>97</v>
      </c>
      <c r="F13" s="187"/>
    </row>
    <row r="14" ht="30" customHeight="1" spans="1:6">
      <c r="A14" s="205"/>
      <c r="B14" s="206" t="s">
        <v>98</v>
      </c>
      <c r="C14" s="207"/>
      <c r="D14" s="207"/>
      <c r="E14" s="208"/>
      <c r="F14" s="209"/>
    </row>
    <row r="15" ht="14" customHeight="1" spans="1:6">
      <c r="A15" s="210"/>
      <c r="B15" s="210"/>
      <c r="C15" s="210"/>
      <c r="D15" s="210"/>
      <c r="E15" s="211"/>
      <c r="F15" s="212"/>
    </row>
    <row r="16" ht="30" customHeight="1" spans="1:6">
      <c r="A16" s="169" t="s">
        <v>99</v>
      </c>
      <c r="B16" s="170"/>
      <c r="C16" s="170"/>
      <c r="D16" s="170"/>
      <c r="E16" s="171"/>
      <c r="F16" s="172"/>
    </row>
    <row r="17" ht="15" customHeight="1" spans="1:6">
      <c r="A17" s="174" t="s">
        <v>68</v>
      </c>
      <c r="B17" s="175" t="s">
        <v>100</v>
      </c>
      <c r="C17" s="175" t="s">
        <v>101</v>
      </c>
      <c r="D17" s="175" t="s">
        <v>102</v>
      </c>
      <c r="E17" s="176" t="s">
        <v>71</v>
      </c>
      <c r="F17" s="177" t="s">
        <v>103</v>
      </c>
    </row>
    <row r="18" ht="60" customHeight="1" spans="1:6">
      <c r="A18" s="198" t="s">
        <v>104</v>
      </c>
      <c r="B18" s="185">
        <v>44021</v>
      </c>
      <c r="C18" s="213" t="s">
        <v>105</v>
      </c>
      <c r="D18" s="185">
        <v>44021</v>
      </c>
      <c r="E18" s="186" t="s">
        <v>106</v>
      </c>
      <c r="F18" s="187"/>
    </row>
    <row r="19" ht="60" customHeight="1" spans="1:6">
      <c r="A19" s="198" t="s">
        <v>107</v>
      </c>
      <c r="B19" s="185">
        <v>43971</v>
      </c>
      <c r="C19" s="213" t="s">
        <v>108</v>
      </c>
      <c r="D19" s="185">
        <v>43971</v>
      </c>
      <c r="E19" s="186" t="s">
        <v>109</v>
      </c>
      <c r="F19" s="187"/>
    </row>
    <row r="20" ht="60" customHeight="1" spans="1:6">
      <c r="A20" s="198" t="s">
        <v>110</v>
      </c>
      <c r="B20" s="185">
        <v>43987</v>
      </c>
      <c r="C20" s="213" t="s">
        <v>111</v>
      </c>
      <c r="D20" s="185">
        <v>43990</v>
      </c>
      <c r="E20" s="186" t="s">
        <v>112</v>
      </c>
      <c r="F20" s="187"/>
    </row>
    <row r="21" ht="60" customHeight="1" spans="1:6">
      <c r="A21" s="203" t="s">
        <v>113</v>
      </c>
      <c r="B21" s="185" t="s">
        <v>114</v>
      </c>
      <c r="C21" s="213" t="s">
        <v>115</v>
      </c>
      <c r="D21" s="185" t="s">
        <v>116</v>
      </c>
      <c r="E21" s="204" t="s">
        <v>117</v>
      </c>
      <c r="F21" s="187"/>
    </row>
    <row r="22" ht="60" customHeight="1" spans="1:6">
      <c r="A22" s="203" t="s">
        <v>118</v>
      </c>
      <c r="B22" s="185" t="s">
        <v>119</v>
      </c>
      <c r="C22" s="213" t="s">
        <v>115</v>
      </c>
      <c r="D22" s="185"/>
      <c r="E22" s="214"/>
      <c r="F22" s="187"/>
    </row>
    <row r="23" ht="60" customHeight="1" spans="1:6">
      <c r="A23" s="203" t="s">
        <v>120</v>
      </c>
      <c r="B23" s="185"/>
      <c r="C23" s="213" t="s">
        <v>115</v>
      </c>
      <c r="D23" s="185"/>
      <c r="E23" s="214"/>
      <c r="F23" s="187"/>
    </row>
    <row r="24" ht="60" customHeight="1" spans="1:6">
      <c r="A24" s="205" t="s">
        <v>121</v>
      </c>
      <c r="B24" s="207"/>
      <c r="C24" s="215" t="s">
        <v>115</v>
      </c>
      <c r="D24" s="207"/>
      <c r="E24" s="208"/>
      <c r="F24" s="209"/>
    </row>
    <row r="25" ht="60" customHeight="1" spans="3:3">
      <c r="C25" s="216"/>
    </row>
    <row r="26" ht="60" customHeight="1" spans="3:3">
      <c r="C26" s="216"/>
    </row>
    <row r="27" ht="30" customHeight="1" spans="3:3">
      <c r="C27" s="216"/>
    </row>
    <row r="28" ht="30" customHeight="1" spans="3:3">
      <c r="C28" s="216"/>
    </row>
    <row r="29" ht="30" customHeight="1" spans="3:3">
      <c r="C29" s="216"/>
    </row>
    <row r="30" ht="30" customHeight="1" spans="3:3">
      <c r="C30" s="216"/>
    </row>
    <row r="31" ht="30" customHeight="1" spans="3:3">
      <c r="C31" s="216"/>
    </row>
    <row r="32" ht="30" customHeight="1" spans="3:3">
      <c r="C32" s="216"/>
    </row>
    <row r="33" ht="30" customHeight="1" spans="3:3">
      <c r="C33" s="216"/>
    </row>
    <row r="34" ht="30" customHeight="1" spans="3:3">
      <c r="C34" s="216"/>
    </row>
    <row r="35" ht="30" customHeight="1" spans="3:3">
      <c r="C35" s="216"/>
    </row>
    <row r="36" ht="30" customHeight="1" spans="3:3">
      <c r="C36" s="217"/>
    </row>
    <row r="37" ht="30" customHeight="1" spans="3:3">
      <c r="C37" s="217"/>
    </row>
    <row r="38" ht="30" customHeight="1" spans="3:3">
      <c r="C38" s="217"/>
    </row>
    <row r="39" ht="30" customHeight="1" spans="3:3">
      <c r="C39" s="217"/>
    </row>
    <row r="40" ht="30" customHeight="1" spans="3:3">
      <c r="C40" s="217"/>
    </row>
    <row r="41" ht="30" customHeight="1" spans="3:3">
      <c r="C41" s="217"/>
    </row>
    <row r="42" ht="30" customHeight="1" spans="3:3">
      <c r="C42" s="217"/>
    </row>
    <row r="43" ht="30" customHeight="1" spans="3:3">
      <c r="C43" s="217"/>
    </row>
    <row r="44" ht="30" customHeight="1" spans="3:3">
      <c r="C44" s="217"/>
    </row>
    <row r="45" ht="30" customHeight="1" spans="3:3">
      <c r="C45" s="217"/>
    </row>
    <row r="46" ht="30" customHeight="1" spans="3:3">
      <c r="C46" s="217"/>
    </row>
    <row r="47" ht="30" customHeight="1" spans="3:3">
      <c r="C47" s="217"/>
    </row>
    <row r="48" ht="30" customHeight="1" spans="3:3">
      <c r="C48" s="217"/>
    </row>
    <row r="49" ht="30" customHeight="1" spans="3:3">
      <c r="C49" s="217"/>
    </row>
    <row r="50" ht="30" customHeight="1" spans="3:3">
      <c r="C50" s="217"/>
    </row>
    <row r="51" ht="30" customHeight="1" spans="3:3">
      <c r="C51" s="217"/>
    </row>
    <row r="52" ht="30" customHeight="1" spans="3:3">
      <c r="C52" s="217"/>
    </row>
    <row r="53" ht="30" customHeight="1" spans="3:3">
      <c r="C53" s="217"/>
    </row>
    <row r="54" ht="30" customHeight="1" spans="3:3">
      <c r="C54" s="217"/>
    </row>
    <row r="55" ht="30" customHeight="1" spans="3:3">
      <c r="C55" s="217"/>
    </row>
    <row r="56" ht="30" customHeight="1" spans="3:3">
      <c r="C56" s="217"/>
    </row>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0" customHeight="1"/>
    <row r="103" ht="30" customHeight="1"/>
    <row r="104" ht="30" customHeight="1"/>
    <row r="105" ht="30" customHeight="1"/>
    <row r="106" ht="30" customHeight="1"/>
    <row r="107" ht="30" customHeight="1"/>
    <row r="108" ht="30" customHeight="1"/>
    <row r="109" ht="30" customHeight="1"/>
    <row r="110" ht="30" customHeight="1"/>
    <row r="111" ht="30" customHeight="1"/>
    <row r="112"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sheetData>
  <mergeCells count="7">
    <mergeCell ref="A1:F1"/>
    <mergeCell ref="A16:F16"/>
    <mergeCell ref="A3:A7"/>
    <mergeCell ref="A8:A10"/>
    <mergeCell ref="A11:A14"/>
    <mergeCell ref="E13:E14"/>
    <mergeCell ref="E21:E24"/>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M27"/>
  <sheetViews>
    <sheetView workbookViewId="0">
      <pane ySplit="1" topLeftCell="A2" activePane="bottomLeft" state="frozen"/>
      <selection/>
      <selection pane="bottomLeft" activeCell="F16" sqref="F16"/>
    </sheetView>
  </sheetViews>
  <sheetFormatPr defaultColWidth="8.92592592592593" defaultRowHeight="14.4"/>
  <cols>
    <col min="1" max="1" width="38.0648148148148" style="59" customWidth="1"/>
    <col min="2" max="2" width="21.2037037037037" style="59" customWidth="1"/>
    <col min="3" max="4" width="17.9259259259259" style="59" customWidth="1"/>
    <col min="5" max="5" width="17.6018518518519" style="59" customWidth="1"/>
    <col min="6" max="6" width="14.0648148148148" style="59" customWidth="1"/>
    <col min="7" max="7" width="13.9259259259259" style="59" customWidth="1"/>
    <col min="8" max="16384" width="8.92592592592593" style="59"/>
  </cols>
  <sheetData>
    <row r="1" s="112" customFormat="1" ht="34.05" customHeight="1" spans="1:13">
      <c r="A1" s="164" t="s">
        <v>122</v>
      </c>
      <c r="B1" s="164" t="s">
        <v>123</v>
      </c>
      <c r="C1" s="164" t="s">
        <v>124</v>
      </c>
      <c r="D1" s="164" t="s">
        <v>125</v>
      </c>
      <c r="E1" s="164" t="s">
        <v>126</v>
      </c>
      <c r="F1" s="165" t="s">
        <v>127</v>
      </c>
      <c r="M1" s="165"/>
    </row>
    <row r="2" ht="15.6" spans="1:1">
      <c r="A2" s="166"/>
    </row>
    <row r="3" ht="15.6" spans="1:1">
      <c r="A3" s="166"/>
    </row>
    <row r="4" ht="15.6" spans="1:1">
      <c r="A4" s="166"/>
    </row>
    <row r="5" ht="15.6" spans="1:1">
      <c r="A5" s="166"/>
    </row>
    <row r="6" ht="15.6" spans="1:1">
      <c r="A6" s="166"/>
    </row>
    <row r="7" ht="15.6" spans="1:1">
      <c r="A7" s="166"/>
    </row>
    <row r="8" ht="15.6" spans="1:1">
      <c r="A8" s="166"/>
    </row>
    <row r="9" ht="15.6" spans="1:1">
      <c r="A9" s="166"/>
    </row>
    <row r="10" ht="15.6" spans="1:1">
      <c r="A10" s="166"/>
    </row>
    <row r="11" ht="15.6" spans="1:1">
      <c r="A11" s="166"/>
    </row>
    <row r="12" ht="15.6" spans="1:1">
      <c r="A12" s="166"/>
    </row>
    <row r="13" ht="15.6" spans="1:1">
      <c r="A13" s="166"/>
    </row>
    <row r="14" ht="15.6" spans="1:1">
      <c r="A14" s="166"/>
    </row>
    <row r="15" ht="15.6" spans="1:1">
      <c r="A15" s="166"/>
    </row>
    <row r="16" ht="15.6" spans="1:1">
      <c r="A16" s="166"/>
    </row>
    <row r="17" ht="15.6" spans="1:1">
      <c r="A17" s="166"/>
    </row>
    <row r="18" ht="15.6" spans="1:1">
      <c r="A18" s="166"/>
    </row>
    <row r="19" ht="15.6" spans="1:1">
      <c r="A19" s="166"/>
    </row>
    <row r="20" ht="15.6" spans="1:1">
      <c r="A20" s="166"/>
    </row>
    <row r="21" ht="15.6" spans="1:1">
      <c r="A21" s="166"/>
    </row>
    <row r="22" ht="15.6" spans="1:1">
      <c r="A22" s="166"/>
    </row>
    <row r="23" ht="15.6" spans="1:1">
      <c r="A23" s="166"/>
    </row>
    <row r="24" ht="15.6" spans="1:1">
      <c r="A24" s="166"/>
    </row>
    <row r="25" ht="15.6" spans="1:1">
      <c r="A25" s="166"/>
    </row>
    <row r="26" ht="15.6" spans="1:1">
      <c r="A26" s="166"/>
    </row>
    <row r="27" ht="15.6" spans="1:1">
      <c r="A27" s="166"/>
    </row>
  </sheetData>
  <autoFilter xmlns:etc="http://www.wps.cn/officeDocument/2017/etCustomData" ref="A1:M66" etc:filterBottomFollowUsedRange="0">
    <extLst/>
  </autoFilter>
  <pageMargins left="0.75" right="0.75" top="1" bottom="1" header="0.5" footer="0.5"/>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F35"/>
  <sheetViews>
    <sheetView workbookViewId="0">
      <pane xSplit="4" ySplit="2" topLeftCell="E21" activePane="bottomRight" state="frozen"/>
      <selection/>
      <selection pane="topRight"/>
      <selection pane="bottomLeft"/>
      <selection pane="bottomRight" activeCell="J39" sqref="J39"/>
    </sheetView>
  </sheetViews>
  <sheetFormatPr defaultColWidth="8.92592592592593" defaultRowHeight="14.4"/>
  <cols>
    <col min="1" max="1" width="12.2037037037037" style="59" customWidth="1"/>
    <col min="2" max="2" width="38.2685185185185" style="113" customWidth="1"/>
    <col min="3" max="3" width="36.3333333333333" style="113" customWidth="1"/>
    <col min="4" max="4" width="11.5277777777778" style="59" customWidth="1"/>
    <col min="5" max="16384" width="8.92592592592593" style="59"/>
  </cols>
  <sheetData>
    <row r="1" s="111" customFormat="1" ht="23" customHeight="1" spans="1:84">
      <c r="A1" s="114" t="s">
        <v>128</v>
      </c>
      <c r="D1" s="91" t="s">
        <v>129</v>
      </c>
      <c r="E1" s="115" t="s">
        <v>130</v>
      </c>
      <c r="F1" s="115"/>
      <c r="G1" s="115"/>
      <c r="H1" s="115"/>
      <c r="I1" s="115"/>
      <c r="J1" s="115"/>
      <c r="K1" s="115"/>
      <c r="L1" s="115"/>
      <c r="M1" s="146" t="s">
        <v>131</v>
      </c>
      <c r="N1" s="146"/>
      <c r="O1" s="146"/>
      <c r="P1" s="146"/>
      <c r="Q1" s="146"/>
      <c r="R1" s="146"/>
      <c r="S1" s="146"/>
      <c r="T1" s="146"/>
      <c r="U1" s="115" t="s">
        <v>132</v>
      </c>
      <c r="V1" s="115"/>
      <c r="W1" s="115"/>
      <c r="X1" s="115"/>
      <c r="Y1" s="115"/>
      <c r="Z1" s="115"/>
      <c r="AA1" s="115"/>
      <c r="AB1" s="115"/>
      <c r="AC1" s="146" t="s">
        <v>133</v>
      </c>
      <c r="AD1" s="146"/>
      <c r="AE1" s="146"/>
      <c r="AF1" s="146"/>
      <c r="AG1" s="146"/>
      <c r="AH1" s="146"/>
      <c r="AI1" s="146"/>
      <c r="AJ1" s="146"/>
      <c r="AK1" s="115" t="s">
        <v>134</v>
      </c>
      <c r="AL1" s="115"/>
      <c r="AM1" s="115"/>
      <c r="AN1" s="115"/>
      <c r="AO1" s="115"/>
      <c r="AP1" s="115"/>
      <c r="AQ1" s="115"/>
      <c r="AR1" s="115"/>
      <c r="AS1" s="146" t="s">
        <v>135</v>
      </c>
      <c r="AT1" s="146"/>
      <c r="AU1" s="146"/>
      <c r="AV1" s="146"/>
      <c r="AW1" s="146"/>
      <c r="AX1" s="146"/>
      <c r="AY1" s="146"/>
      <c r="AZ1" s="146"/>
      <c r="BA1" s="115" t="s">
        <v>136</v>
      </c>
      <c r="BB1" s="115"/>
      <c r="BC1" s="115"/>
      <c r="BD1" s="115"/>
      <c r="BE1" s="115"/>
      <c r="BF1" s="115"/>
      <c r="BG1" s="115"/>
      <c r="BH1" s="115"/>
      <c r="BI1" s="146" t="s">
        <v>137</v>
      </c>
      <c r="BJ1" s="146"/>
      <c r="BK1" s="146"/>
      <c r="BL1" s="146"/>
      <c r="BM1" s="146"/>
      <c r="BN1" s="146"/>
      <c r="BO1" s="146"/>
      <c r="BP1" s="146"/>
      <c r="BQ1" s="115" t="s">
        <v>138</v>
      </c>
      <c r="BR1" s="115"/>
      <c r="BS1" s="115"/>
      <c r="BT1" s="115"/>
      <c r="BU1" s="115"/>
      <c r="BV1" s="115"/>
      <c r="BW1" s="115"/>
      <c r="BX1" s="115"/>
      <c r="BY1" s="146" t="s">
        <v>139</v>
      </c>
      <c r="BZ1" s="146"/>
      <c r="CA1" s="146"/>
      <c r="CB1" s="146"/>
      <c r="CC1" s="146"/>
      <c r="CD1" s="146"/>
      <c r="CE1" s="146"/>
      <c r="CF1" s="146"/>
    </row>
    <row r="2" s="112" customFormat="1" ht="25.05" customHeight="1" spans="1:84">
      <c r="A2" s="116" t="s">
        <v>140</v>
      </c>
      <c r="B2" s="116" t="s">
        <v>141</v>
      </c>
      <c r="C2" s="116" t="s">
        <v>142</v>
      </c>
      <c r="D2" s="117" t="s">
        <v>143</v>
      </c>
      <c r="E2" s="118" t="s">
        <v>7</v>
      </c>
      <c r="F2" s="118" t="s">
        <v>12</v>
      </c>
      <c r="G2" s="118" t="s">
        <v>144</v>
      </c>
      <c r="H2" s="118" t="s">
        <v>145</v>
      </c>
      <c r="I2" s="118" t="s">
        <v>16</v>
      </c>
      <c r="J2" s="118" t="s">
        <v>21</v>
      </c>
      <c r="K2" s="118" t="s">
        <v>26</v>
      </c>
      <c r="L2" s="118" t="s">
        <v>31</v>
      </c>
      <c r="M2" s="147" t="s">
        <v>7</v>
      </c>
      <c r="N2" s="147" t="s">
        <v>12</v>
      </c>
      <c r="O2" s="147" t="s">
        <v>144</v>
      </c>
      <c r="P2" s="147" t="s">
        <v>145</v>
      </c>
      <c r="Q2" s="147" t="s">
        <v>16</v>
      </c>
      <c r="R2" s="147" t="s">
        <v>21</v>
      </c>
      <c r="S2" s="147" t="s">
        <v>26</v>
      </c>
      <c r="T2" s="147" t="s">
        <v>31</v>
      </c>
      <c r="U2" s="118" t="s">
        <v>7</v>
      </c>
      <c r="V2" s="118" t="s">
        <v>12</v>
      </c>
      <c r="W2" s="118" t="s">
        <v>144</v>
      </c>
      <c r="X2" s="118" t="s">
        <v>145</v>
      </c>
      <c r="Y2" s="118" t="s">
        <v>16</v>
      </c>
      <c r="Z2" s="118" t="s">
        <v>21</v>
      </c>
      <c r="AA2" s="118" t="s">
        <v>26</v>
      </c>
      <c r="AB2" s="118" t="s">
        <v>31</v>
      </c>
      <c r="AC2" s="147" t="s">
        <v>7</v>
      </c>
      <c r="AD2" s="147" t="s">
        <v>12</v>
      </c>
      <c r="AE2" s="147" t="s">
        <v>144</v>
      </c>
      <c r="AF2" s="147" t="s">
        <v>145</v>
      </c>
      <c r="AG2" s="147" t="s">
        <v>16</v>
      </c>
      <c r="AH2" s="147" t="s">
        <v>21</v>
      </c>
      <c r="AI2" s="147" t="s">
        <v>26</v>
      </c>
      <c r="AJ2" s="147" t="s">
        <v>31</v>
      </c>
      <c r="AK2" s="118" t="s">
        <v>7</v>
      </c>
      <c r="AL2" s="118" t="s">
        <v>12</v>
      </c>
      <c r="AM2" s="118" t="s">
        <v>144</v>
      </c>
      <c r="AN2" s="118" t="s">
        <v>145</v>
      </c>
      <c r="AO2" s="118" t="s">
        <v>16</v>
      </c>
      <c r="AP2" s="118" t="s">
        <v>21</v>
      </c>
      <c r="AQ2" s="118" t="s">
        <v>26</v>
      </c>
      <c r="AR2" s="118" t="s">
        <v>31</v>
      </c>
      <c r="AS2" s="147" t="s">
        <v>7</v>
      </c>
      <c r="AT2" s="147" t="s">
        <v>12</v>
      </c>
      <c r="AU2" s="147" t="s">
        <v>144</v>
      </c>
      <c r="AV2" s="147" t="s">
        <v>145</v>
      </c>
      <c r="AW2" s="147" t="s">
        <v>16</v>
      </c>
      <c r="AX2" s="147" t="s">
        <v>21</v>
      </c>
      <c r="AY2" s="147" t="s">
        <v>26</v>
      </c>
      <c r="AZ2" s="147" t="s">
        <v>31</v>
      </c>
      <c r="BA2" s="118" t="s">
        <v>7</v>
      </c>
      <c r="BB2" s="118" t="s">
        <v>12</v>
      </c>
      <c r="BC2" s="118" t="s">
        <v>144</v>
      </c>
      <c r="BD2" s="118" t="s">
        <v>145</v>
      </c>
      <c r="BE2" s="118" t="s">
        <v>16</v>
      </c>
      <c r="BF2" s="118" t="s">
        <v>21</v>
      </c>
      <c r="BG2" s="118" t="s">
        <v>26</v>
      </c>
      <c r="BH2" s="118" t="s">
        <v>31</v>
      </c>
      <c r="BI2" s="147" t="s">
        <v>7</v>
      </c>
      <c r="BJ2" s="147" t="s">
        <v>12</v>
      </c>
      <c r="BK2" s="147" t="s">
        <v>144</v>
      </c>
      <c r="BL2" s="147" t="s">
        <v>145</v>
      </c>
      <c r="BM2" s="147" t="s">
        <v>16</v>
      </c>
      <c r="BN2" s="147" t="s">
        <v>21</v>
      </c>
      <c r="BO2" s="147" t="s">
        <v>26</v>
      </c>
      <c r="BP2" s="147" t="s">
        <v>31</v>
      </c>
      <c r="BQ2" s="118" t="s">
        <v>7</v>
      </c>
      <c r="BR2" s="118" t="s">
        <v>12</v>
      </c>
      <c r="BS2" s="118" t="s">
        <v>144</v>
      </c>
      <c r="BT2" s="118" t="s">
        <v>145</v>
      </c>
      <c r="BU2" s="118" t="s">
        <v>16</v>
      </c>
      <c r="BV2" s="118" t="s">
        <v>21</v>
      </c>
      <c r="BW2" s="118" t="s">
        <v>26</v>
      </c>
      <c r="BX2" s="118" t="s">
        <v>31</v>
      </c>
      <c r="BY2" s="147" t="s">
        <v>7</v>
      </c>
      <c r="BZ2" s="147" t="s">
        <v>12</v>
      </c>
      <c r="CA2" s="147" t="s">
        <v>144</v>
      </c>
      <c r="CB2" s="147" t="s">
        <v>145</v>
      </c>
      <c r="CC2" s="147" t="s">
        <v>16</v>
      </c>
      <c r="CD2" s="147" t="s">
        <v>21</v>
      </c>
      <c r="CE2" s="147" t="s">
        <v>26</v>
      </c>
      <c r="CF2" s="147" t="s">
        <v>31</v>
      </c>
    </row>
    <row r="3" ht="20" customHeight="1" spans="1:84">
      <c r="A3" s="119" t="s">
        <v>146</v>
      </c>
      <c r="B3" s="120"/>
      <c r="C3" s="121"/>
      <c r="D3" s="122"/>
      <c r="E3" s="123"/>
      <c r="F3" s="124"/>
      <c r="G3" s="124"/>
      <c r="H3" s="124"/>
      <c r="I3" s="124"/>
      <c r="J3" s="124"/>
      <c r="K3" s="124"/>
      <c r="L3" s="148"/>
      <c r="M3" s="149"/>
      <c r="N3" s="150"/>
      <c r="O3" s="150"/>
      <c r="P3" s="150"/>
      <c r="Q3" s="150"/>
      <c r="R3" s="150"/>
      <c r="S3" s="150"/>
      <c r="T3" s="160"/>
      <c r="U3" s="123"/>
      <c r="V3" s="124"/>
      <c r="W3" s="124"/>
      <c r="X3" s="124"/>
      <c r="Y3" s="124"/>
      <c r="Z3" s="124"/>
      <c r="AA3" s="124"/>
      <c r="AB3" s="148"/>
      <c r="AC3" s="149"/>
      <c r="AD3" s="150"/>
      <c r="AE3" s="150"/>
      <c r="AF3" s="150"/>
      <c r="AG3" s="150"/>
      <c r="AH3" s="150"/>
      <c r="AI3" s="150"/>
      <c r="AJ3" s="160"/>
      <c r="AK3" s="123"/>
      <c r="AL3" s="124"/>
      <c r="AM3" s="124"/>
      <c r="AN3" s="124"/>
      <c r="AO3" s="124"/>
      <c r="AP3" s="124"/>
      <c r="AQ3" s="124"/>
      <c r="AR3" s="148"/>
      <c r="AS3" s="149"/>
      <c r="AT3" s="150"/>
      <c r="AU3" s="150"/>
      <c r="AV3" s="150"/>
      <c r="AW3" s="150"/>
      <c r="AX3" s="150"/>
      <c r="AY3" s="150"/>
      <c r="AZ3" s="160"/>
      <c r="BA3" s="123"/>
      <c r="BB3" s="124"/>
      <c r="BC3" s="124"/>
      <c r="BD3" s="124"/>
      <c r="BE3" s="124"/>
      <c r="BF3" s="124"/>
      <c r="BG3" s="124"/>
      <c r="BH3" s="148"/>
      <c r="BI3" s="149"/>
      <c r="BJ3" s="150"/>
      <c r="BK3" s="150"/>
      <c r="BL3" s="150"/>
      <c r="BM3" s="150"/>
      <c r="BN3" s="150"/>
      <c r="BO3" s="150"/>
      <c r="BP3" s="160"/>
      <c r="BQ3" s="123"/>
      <c r="BR3" s="124"/>
      <c r="BS3" s="124"/>
      <c r="BT3" s="124"/>
      <c r="BU3" s="124"/>
      <c r="BV3" s="124"/>
      <c r="BW3" s="124"/>
      <c r="BX3" s="148"/>
      <c r="BY3" s="149"/>
      <c r="BZ3" s="150"/>
      <c r="CA3" s="150"/>
      <c r="CB3" s="150"/>
      <c r="CC3" s="150"/>
      <c r="CD3" s="150"/>
      <c r="CE3" s="150"/>
      <c r="CF3" s="160"/>
    </row>
    <row r="4" ht="20" customHeight="1" spans="1:84">
      <c r="A4" s="125"/>
      <c r="B4" s="126"/>
      <c r="C4" s="127"/>
      <c r="D4" s="128"/>
      <c r="E4" s="129"/>
      <c r="F4" s="57"/>
      <c r="G4" s="57"/>
      <c r="H4" s="57"/>
      <c r="I4" s="57"/>
      <c r="J4" s="57"/>
      <c r="K4" s="57"/>
      <c r="L4" s="151"/>
      <c r="M4" s="152"/>
      <c r="N4" s="153"/>
      <c r="O4" s="153"/>
      <c r="P4" s="153"/>
      <c r="Q4" s="153"/>
      <c r="R4" s="153"/>
      <c r="S4" s="153"/>
      <c r="T4" s="161"/>
      <c r="U4" s="129"/>
      <c r="V4" s="57"/>
      <c r="W4" s="57"/>
      <c r="X4" s="57"/>
      <c r="Y4" s="57"/>
      <c r="Z4" s="57"/>
      <c r="AA4" s="57"/>
      <c r="AB4" s="151"/>
      <c r="AC4" s="152"/>
      <c r="AD4" s="153"/>
      <c r="AE4" s="153"/>
      <c r="AF4" s="153"/>
      <c r="AG4" s="153"/>
      <c r="AH4" s="153"/>
      <c r="AI4" s="153"/>
      <c r="AJ4" s="161"/>
      <c r="AK4" s="129"/>
      <c r="AL4" s="57"/>
      <c r="AM4" s="57"/>
      <c r="AN4" s="57"/>
      <c r="AO4" s="57"/>
      <c r="AP4" s="57"/>
      <c r="AQ4" s="57"/>
      <c r="AR4" s="151"/>
      <c r="AS4" s="152"/>
      <c r="AT4" s="153"/>
      <c r="AU4" s="153"/>
      <c r="AV4" s="153"/>
      <c r="AW4" s="153"/>
      <c r="AX4" s="153"/>
      <c r="AY4" s="153"/>
      <c r="AZ4" s="161"/>
      <c r="BA4" s="129"/>
      <c r="BB4" s="57"/>
      <c r="BC4" s="57"/>
      <c r="BD4" s="57"/>
      <c r="BE4" s="57"/>
      <c r="BF4" s="57"/>
      <c r="BG4" s="57"/>
      <c r="BH4" s="151"/>
      <c r="BI4" s="152"/>
      <c r="BJ4" s="153"/>
      <c r="BK4" s="153"/>
      <c r="BL4" s="153"/>
      <c r="BM4" s="153"/>
      <c r="BN4" s="153"/>
      <c r="BO4" s="153"/>
      <c r="BP4" s="161"/>
      <c r="BQ4" s="129"/>
      <c r="BR4" s="57"/>
      <c r="BS4" s="57"/>
      <c r="BT4" s="57"/>
      <c r="BU4" s="57"/>
      <c r="BV4" s="57"/>
      <c r="BW4" s="57"/>
      <c r="BX4" s="151"/>
      <c r="BY4" s="152"/>
      <c r="BZ4" s="153"/>
      <c r="CA4" s="153"/>
      <c r="CB4" s="153"/>
      <c r="CC4" s="153"/>
      <c r="CD4" s="153"/>
      <c r="CE4" s="153"/>
      <c r="CF4" s="161"/>
    </row>
    <row r="5" ht="20" customHeight="1" spans="1:84">
      <c r="A5" s="125"/>
      <c r="B5" s="126"/>
      <c r="C5" s="127"/>
      <c r="D5" s="128"/>
      <c r="E5" s="129"/>
      <c r="F5" s="57"/>
      <c r="G5" s="57"/>
      <c r="H5" s="57"/>
      <c r="I5" s="57"/>
      <c r="J5" s="57"/>
      <c r="K5" s="57"/>
      <c r="L5" s="151"/>
      <c r="M5" s="152"/>
      <c r="N5" s="153"/>
      <c r="O5" s="153"/>
      <c r="P5" s="153"/>
      <c r="Q5" s="153"/>
      <c r="R5" s="153"/>
      <c r="S5" s="153"/>
      <c r="T5" s="161"/>
      <c r="U5" s="129"/>
      <c r="V5" s="57"/>
      <c r="W5" s="57"/>
      <c r="X5" s="57"/>
      <c r="Y5" s="57"/>
      <c r="Z5" s="57"/>
      <c r="AA5" s="57"/>
      <c r="AB5" s="151"/>
      <c r="AC5" s="152"/>
      <c r="AD5" s="153"/>
      <c r="AE5" s="153"/>
      <c r="AF5" s="153"/>
      <c r="AG5" s="153"/>
      <c r="AH5" s="153"/>
      <c r="AI5" s="153"/>
      <c r="AJ5" s="161"/>
      <c r="AK5" s="129"/>
      <c r="AL5" s="57"/>
      <c r="AM5" s="57"/>
      <c r="AN5" s="57"/>
      <c r="AO5" s="57"/>
      <c r="AP5" s="57"/>
      <c r="AQ5" s="57"/>
      <c r="AR5" s="151"/>
      <c r="AS5" s="152"/>
      <c r="AT5" s="153"/>
      <c r="AU5" s="153"/>
      <c r="AV5" s="153"/>
      <c r="AW5" s="153"/>
      <c r="AX5" s="153"/>
      <c r="AY5" s="153"/>
      <c r="AZ5" s="161"/>
      <c r="BA5" s="129"/>
      <c r="BB5" s="57"/>
      <c r="BC5" s="57"/>
      <c r="BD5" s="57"/>
      <c r="BE5" s="57"/>
      <c r="BF5" s="57"/>
      <c r="BG5" s="57"/>
      <c r="BH5" s="151"/>
      <c r="BI5" s="152"/>
      <c r="BJ5" s="153"/>
      <c r="BK5" s="153"/>
      <c r="BL5" s="153"/>
      <c r="BM5" s="153"/>
      <c r="BN5" s="153"/>
      <c r="BO5" s="153"/>
      <c r="BP5" s="161"/>
      <c r="BQ5" s="129"/>
      <c r="BR5" s="57"/>
      <c r="BS5" s="57"/>
      <c r="BT5" s="57"/>
      <c r="BU5" s="57"/>
      <c r="BV5" s="57"/>
      <c r="BW5" s="57"/>
      <c r="BX5" s="151"/>
      <c r="BY5" s="152"/>
      <c r="BZ5" s="153"/>
      <c r="CA5" s="153"/>
      <c r="CB5" s="153"/>
      <c r="CC5" s="153"/>
      <c r="CD5" s="153"/>
      <c r="CE5" s="153"/>
      <c r="CF5" s="161"/>
    </row>
    <row r="6" ht="20" customHeight="1" spans="1:84">
      <c r="A6" s="125"/>
      <c r="B6" s="126"/>
      <c r="C6" s="127"/>
      <c r="D6" s="128"/>
      <c r="E6" s="129"/>
      <c r="F6" s="57"/>
      <c r="G6" s="57"/>
      <c r="H6" s="57"/>
      <c r="I6" s="57"/>
      <c r="J6" s="57"/>
      <c r="K6" s="57"/>
      <c r="L6" s="151"/>
      <c r="M6" s="152"/>
      <c r="N6" s="153"/>
      <c r="O6" s="153"/>
      <c r="P6" s="153"/>
      <c r="Q6" s="153"/>
      <c r="R6" s="153"/>
      <c r="S6" s="153"/>
      <c r="T6" s="161"/>
      <c r="U6" s="129"/>
      <c r="V6" s="57"/>
      <c r="W6" s="57"/>
      <c r="X6" s="57"/>
      <c r="Y6" s="57"/>
      <c r="Z6" s="57"/>
      <c r="AA6" s="57"/>
      <c r="AB6" s="151"/>
      <c r="AC6" s="152"/>
      <c r="AD6" s="153"/>
      <c r="AE6" s="153"/>
      <c r="AF6" s="153"/>
      <c r="AG6" s="153"/>
      <c r="AH6" s="153"/>
      <c r="AI6" s="153"/>
      <c r="AJ6" s="161"/>
      <c r="AK6" s="129"/>
      <c r="AL6" s="57"/>
      <c r="AM6" s="57"/>
      <c r="AN6" s="57"/>
      <c r="AO6" s="57"/>
      <c r="AP6" s="57"/>
      <c r="AQ6" s="57"/>
      <c r="AR6" s="151"/>
      <c r="AS6" s="152"/>
      <c r="AT6" s="153"/>
      <c r="AU6" s="153"/>
      <c r="AV6" s="153"/>
      <c r="AW6" s="153"/>
      <c r="AX6" s="153"/>
      <c r="AY6" s="153"/>
      <c r="AZ6" s="161"/>
      <c r="BA6" s="129"/>
      <c r="BB6" s="57"/>
      <c r="BC6" s="57"/>
      <c r="BD6" s="57"/>
      <c r="BE6" s="57"/>
      <c r="BF6" s="57"/>
      <c r="BG6" s="57"/>
      <c r="BH6" s="151"/>
      <c r="BI6" s="152"/>
      <c r="BJ6" s="153"/>
      <c r="BK6" s="153"/>
      <c r="BL6" s="153"/>
      <c r="BM6" s="153"/>
      <c r="BN6" s="153"/>
      <c r="BO6" s="153"/>
      <c r="BP6" s="161"/>
      <c r="BQ6" s="129"/>
      <c r="BR6" s="57"/>
      <c r="BS6" s="57"/>
      <c r="BT6" s="57"/>
      <c r="BU6" s="57"/>
      <c r="BV6" s="57"/>
      <c r="BW6" s="57"/>
      <c r="BX6" s="151"/>
      <c r="BY6" s="152"/>
      <c r="BZ6" s="153"/>
      <c r="CA6" s="153"/>
      <c r="CB6" s="153"/>
      <c r="CC6" s="153"/>
      <c r="CD6" s="153"/>
      <c r="CE6" s="153"/>
      <c r="CF6" s="161"/>
    </row>
    <row r="7" ht="20" customHeight="1" spans="1:84">
      <c r="A7" s="125"/>
      <c r="B7" s="126"/>
      <c r="C7" s="127"/>
      <c r="D7" s="128"/>
      <c r="E7" s="129"/>
      <c r="F7" s="57"/>
      <c r="G7" s="57"/>
      <c r="H7" s="57"/>
      <c r="I7" s="57"/>
      <c r="J7" s="57"/>
      <c r="K7" s="57"/>
      <c r="L7" s="151"/>
      <c r="M7" s="152"/>
      <c r="N7" s="153"/>
      <c r="O7" s="153"/>
      <c r="P7" s="153"/>
      <c r="Q7" s="153"/>
      <c r="R7" s="153"/>
      <c r="S7" s="153"/>
      <c r="T7" s="161"/>
      <c r="U7" s="129"/>
      <c r="V7" s="57"/>
      <c r="W7" s="57"/>
      <c r="X7" s="57"/>
      <c r="Y7" s="57"/>
      <c r="Z7" s="57"/>
      <c r="AA7" s="57"/>
      <c r="AB7" s="151"/>
      <c r="AC7" s="152"/>
      <c r="AD7" s="153"/>
      <c r="AE7" s="153"/>
      <c r="AF7" s="153"/>
      <c r="AG7" s="153"/>
      <c r="AH7" s="153"/>
      <c r="AI7" s="153"/>
      <c r="AJ7" s="161"/>
      <c r="AK7" s="129"/>
      <c r="AL7" s="57"/>
      <c r="AM7" s="57"/>
      <c r="AN7" s="57"/>
      <c r="AO7" s="57"/>
      <c r="AP7" s="57"/>
      <c r="AQ7" s="57"/>
      <c r="AR7" s="151"/>
      <c r="AS7" s="152"/>
      <c r="AT7" s="153"/>
      <c r="AU7" s="153"/>
      <c r="AV7" s="153"/>
      <c r="AW7" s="153"/>
      <c r="AX7" s="153"/>
      <c r="AY7" s="153"/>
      <c r="AZ7" s="161"/>
      <c r="BA7" s="129"/>
      <c r="BB7" s="57"/>
      <c r="BC7" s="57"/>
      <c r="BD7" s="57"/>
      <c r="BE7" s="57"/>
      <c r="BF7" s="57"/>
      <c r="BG7" s="57"/>
      <c r="BH7" s="151"/>
      <c r="BI7" s="152"/>
      <c r="BJ7" s="153"/>
      <c r="BK7" s="153"/>
      <c r="BL7" s="153"/>
      <c r="BM7" s="153"/>
      <c r="BN7" s="153"/>
      <c r="BO7" s="153"/>
      <c r="BP7" s="161"/>
      <c r="BQ7" s="129"/>
      <c r="BR7" s="57"/>
      <c r="BS7" s="57"/>
      <c r="BT7" s="57"/>
      <c r="BU7" s="57"/>
      <c r="BV7" s="57"/>
      <c r="BW7" s="57"/>
      <c r="BX7" s="151"/>
      <c r="BY7" s="152"/>
      <c r="BZ7" s="153"/>
      <c r="CA7" s="153"/>
      <c r="CB7" s="153"/>
      <c r="CC7" s="153"/>
      <c r="CD7" s="153"/>
      <c r="CE7" s="153"/>
      <c r="CF7" s="161"/>
    </row>
    <row r="8" ht="20" customHeight="1" spans="1:84">
      <c r="A8" s="125"/>
      <c r="B8" s="126"/>
      <c r="C8" s="127"/>
      <c r="D8" s="128"/>
      <c r="E8" s="129"/>
      <c r="F8" s="57"/>
      <c r="G8" s="57"/>
      <c r="H8" s="57"/>
      <c r="I8" s="57"/>
      <c r="J8" s="57"/>
      <c r="K8" s="57"/>
      <c r="L8" s="151"/>
      <c r="M8" s="152"/>
      <c r="N8" s="153"/>
      <c r="O8" s="153"/>
      <c r="P8" s="153"/>
      <c r="Q8" s="153"/>
      <c r="R8" s="153"/>
      <c r="S8" s="153"/>
      <c r="T8" s="161"/>
      <c r="U8" s="129"/>
      <c r="V8" s="57"/>
      <c r="W8" s="57"/>
      <c r="X8" s="57"/>
      <c r="Y8" s="57"/>
      <c r="Z8" s="57"/>
      <c r="AA8" s="57"/>
      <c r="AB8" s="151"/>
      <c r="AC8" s="152"/>
      <c r="AD8" s="153"/>
      <c r="AE8" s="153"/>
      <c r="AF8" s="153"/>
      <c r="AG8" s="153"/>
      <c r="AH8" s="153"/>
      <c r="AI8" s="153"/>
      <c r="AJ8" s="161"/>
      <c r="AK8" s="129"/>
      <c r="AL8" s="57"/>
      <c r="AM8" s="57"/>
      <c r="AN8" s="57"/>
      <c r="AO8" s="57"/>
      <c r="AP8" s="57"/>
      <c r="AQ8" s="57"/>
      <c r="AR8" s="151"/>
      <c r="AS8" s="152"/>
      <c r="AT8" s="153"/>
      <c r="AU8" s="153"/>
      <c r="AV8" s="153"/>
      <c r="AW8" s="153"/>
      <c r="AX8" s="153"/>
      <c r="AY8" s="153"/>
      <c r="AZ8" s="161"/>
      <c r="BA8" s="129"/>
      <c r="BB8" s="57"/>
      <c r="BC8" s="57"/>
      <c r="BD8" s="57"/>
      <c r="BE8" s="57"/>
      <c r="BF8" s="57"/>
      <c r="BG8" s="57"/>
      <c r="BH8" s="151"/>
      <c r="BI8" s="152"/>
      <c r="BJ8" s="153"/>
      <c r="BK8" s="153"/>
      <c r="BL8" s="153"/>
      <c r="BM8" s="153"/>
      <c r="BN8" s="153"/>
      <c r="BO8" s="153"/>
      <c r="BP8" s="161"/>
      <c r="BQ8" s="129"/>
      <c r="BR8" s="57"/>
      <c r="BS8" s="57"/>
      <c r="BT8" s="57"/>
      <c r="BU8" s="57"/>
      <c r="BV8" s="57"/>
      <c r="BW8" s="57"/>
      <c r="BX8" s="151"/>
      <c r="BY8" s="152"/>
      <c r="BZ8" s="153"/>
      <c r="CA8" s="153"/>
      <c r="CB8" s="153"/>
      <c r="CC8" s="153"/>
      <c r="CD8" s="153"/>
      <c r="CE8" s="153"/>
      <c r="CF8" s="161"/>
    </row>
    <row r="9" ht="20" customHeight="1" spans="1:84">
      <c r="A9" s="125"/>
      <c r="B9" s="126"/>
      <c r="C9" s="127"/>
      <c r="D9" s="128"/>
      <c r="E9" s="129"/>
      <c r="F9" s="57"/>
      <c r="G9" s="57"/>
      <c r="H9" s="57"/>
      <c r="I9" s="57"/>
      <c r="J9" s="57"/>
      <c r="K9" s="57"/>
      <c r="L9" s="151"/>
      <c r="M9" s="152"/>
      <c r="N9" s="153"/>
      <c r="O9" s="153"/>
      <c r="P9" s="153"/>
      <c r="Q9" s="153"/>
      <c r="R9" s="153"/>
      <c r="S9" s="153"/>
      <c r="T9" s="161"/>
      <c r="U9" s="129"/>
      <c r="V9" s="57"/>
      <c r="W9" s="57"/>
      <c r="X9" s="57"/>
      <c r="Y9" s="57"/>
      <c r="Z9" s="57"/>
      <c r="AA9" s="57"/>
      <c r="AB9" s="151"/>
      <c r="AC9" s="152"/>
      <c r="AD9" s="153"/>
      <c r="AE9" s="153"/>
      <c r="AF9" s="153"/>
      <c r="AG9" s="153"/>
      <c r="AH9" s="153"/>
      <c r="AI9" s="153"/>
      <c r="AJ9" s="161"/>
      <c r="AK9" s="129"/>
      <c r="AL9" s="57"/>
      <c r="AM9" s="57"/>
      <c r="AN9" s="57"/>
      <c r="AO9" s="57"/>
      <c r="AP9" s="57"/>
      <c r="AQ9" s="57"/>
      <c r="AR9" s="151"/>
      <c r="AS9" s="152"/>
      <c r="AT9" s="153"/>
      <c r="AU9" s="153"/>
      <c r="AV9" s="153"/>
      <c r="AW9" s="153"/>
      <c r="AX9" s="153"/>
      <c r="AY9" s="153"/>
      <c r="AZ9" s="161"/>
      <c r="BA9" s="129"/>
      <c r="BB9" s="57"/>
      <c r="BC9" s="57"/>
      <c r="BD9" s="57"/>
      <c r="BE9" s="57"/>
      <c r="BF9" s="57"/>
      <c r="BG9" s="57"/>
      <c r="BH9" s="151"/>
      <c r="BI9" s="152"/>
      <c r="BJ9" s="153"/>
      <c r="BK9" s="153"/>
      <c r="BL9" s="153"/>
      <c r="BM9" s="153"/>
      <c r="BN9" s="153"/>
      <c r="BO9" s="153"/>
      <c r="BP9" s="161"/>
      <c r="BQ9" s="129"/>
      <c r="BR9" s="57"/>
      <c r="BS9" s="57"/>
      <c r="BT9" s="57"/>
      <c r="BU9" s="57"/>
      <c r="BV9" s="57"/>
      <c r="BW9" s="57"/>
      <c r="BX9" s="151"/>
      <c r="BY9" s="152"/>
      <c r="BZ9" s="153"/>
      <c r="CA9" s="153"/>
      <c r="CB9" s="153"/>
      <c r="CC9" s="153"/>
      <c r="CD9" s="153"/>
      <c r="CE9" s="153"/>
      <c r="CF9" s="161"/>
    </row>
    <row r="10" ht="20" customHeight="1" spans="1:84">
      <c r="A10" s="130"/>
      <c r="B10" s="131"/>
      <c r="C10" s="132"/>
      <c r="D10" s="133"/>
      <c r="E10" s="134"/>
      <c r="F10" s="135"/>
      <c r="G10" s="135"/>
      <c r="H10" s="135"/>
      <c r="I10" s="135"/>
      <c r="J10" s="135"/>
      <c r="K10" s="135"/>
      <c r="L10" s="154"/>
      <c r="M10" s="155"/>
      <c r="N10" s="156"/>
      <c r="O10" s="156"/>
      <c r="P10" s="156"/>
      <c r="Q10" s="156"/>
      <c r="R10" s="156"/>
      <c r="S10" s="156"/>
      <c r="T10" s="162"/>
      <c r="U10" s="134"/>
      <c r="V10" s="135"/>
      <c r="W10" s="135"/>
      <c r="X10" s="135"/>
      <c r="Y10" s="135"/>
      <c r="Z10" s="135"/>
      <c r="AA10" s="135"/>
      <c r="AB10" s="154"/>
      <c r="AC10" s="155"/>
      <c r="AD10" s="156"/>
      <c r="AE10" s="156"/>
      <c r="AF10" s="156"/>
      <c r="AG10" s="156"/>
      <c r="AH10" s="156"/>
      <c r="AI10" s="156"/>
      <c r="AJ10" s="162"/>
      <c r="AK10" s="134"/>
      <c r="AL10" s="135"/>
      <c r="AM10" s="135"/>
      <c r="AN10" s="135"/>
      <c r="AO10" s="135"/>
      <c r="AP10" s="135"/>
      <c r="AQ10" s="135"/>
      <c r="AR10" s="154"/>
      <c r="AS10" s="155"/>
      <c r="AT10" s="156"/>
      <c r="AU10" s="156"/>
      <c r="AV10" s="156"/>
      <c r="AW10" s="156"/>
      <c r="AX10" s="156"/>
      <c r="AY10" s="156"/>
      <c r="AZ10" s="162"/>
      <c r="BA10" s="134"/>
      <c r="BB10" s="135"/>
      <c r="BC10" s="135"/>
      <c r="BD10" s="135"/>
      <c r="BE10" s="135"/>
      <c r="BF10" s="135"/>
      <c r="BG10" s="135"/>
      <c r="BH10" s="154"/>
      <c r="BI10" s="155"/>
      <c r="BJ10" s="156"/>
      <c r="BK10" s="156"/>
      <c r="BL10" s="156"/>
      <c r="BM10" s="156"/>
      <c r="BN10" s="156"/>
      <c r="BO10" s="156"/>
      <c r="BP10" s="162"/>
      <c r="BQ10" s="134"/>
      <c r="BR10" s="135"/>
      <c r="BS10" s="135"/>
      <c r="BT10" s="135"/>
      <c r="BU10" s="135"/>
      <c r="BV10" s="135"/>
      <c r="BW10" s="135"/>
      <c r="BX10" s="154"/>
      <c r="BY10" s="155"/>
      <c r="BZ10" s="156"/>
      <c r="CA10" s="156"/>
      <c r="CB10" s="156"/>
      <c r="CC10" s="156"/>
      <c r="CD10" s="156"/>
      <c r="CE10" s="156"/>
      <c r="CF10" s="162"/>
    </row>
    <row r="11" ht="20" customHeight="1" spans="1:84">
      <c r="A11" s="136" t="s">
        <v>147</v>
      </c>
      <c r="B11" s="137"/>
      <c r="C11" s="138"/>
      <c r="D11" s="122"/>
      <c r="E11" s="139"/>
      <c r="F11" s="140"/>
      <c r="G11" s="140"/>
      <c r="H11" s="140"/>
      <c r="I11" s="140"/>
      <c r="J11" s="140"/>
      <c r="K11" s="140"/>
      <c r="L11" s="157"/>
      <c r="M11" s="158"/>
      <c r="N11" s="159"/>
      <c r="O11" s="159"/>
      <c r="P11" s="159"/>
      <c r="Q11" s="159"/>
      <c r="R11" s="159"/>
      <c r="S11" s="159"/>
      <c r="T11" s="163"/>
      <c r="U11" s="139"/>
      <c r="V11" s="140"/>
      <c r="W11" s="140"/>
      <c r="X11" s="140"/>
      <c r="Y11" s="140"/>
      <c r="Z11" s="140"/>
      <c r="AA11" s="140"/>
      <c r="AB11" s="157"/>
      <c r="AC11" s="158"/>
      <c r="AD11" s="159"/>
      <c r="AE11" s="159"/>
      <c r="AF11" s="159"/>
      <c r="AG11" s="159"/>
      <c r="AH11" s="159"/>
      <c r="AI11" s="159"/>
      <c r="AJ11" s="163"/>
      <c r="AK11" s="139"/>
      <c r="AL11" s="140"/>
      <c r="AM11" s="140"/>
      <c r="AN11" s="140"/>
      <c r="AO11" s="140"/>
      <c r="AP11" s="140"/>
      <c r="AQ11" s="140"/>
      <c r="AR11" s="157"/>
      <c r="AS11" s="158"/>
      <c r="AT11" s="159"/>
      <c r="AU11" s="159"/>
      <c r="AV11" s="159"/>
      <c r="AW11" s="159"/>
      <c r="AX11" s="159"/>
      <c r="AY11" s="159"/>
      <c r="AZ11" s="163"/>
      <c r="BA11" s="139"/>
      <c r="BB11" s="140"/>
      <c r="BC11" s="140"/>
      <c r="BD11" s="140"/>
      <c r="BE11" s="140"/>
      <c r="BF11" s="140"/>
      <c r="BG11" s="140"/>
      <c r="BH11" s="157"/>
      <c r="BI11" s="158"/>
      <c r="BJ11" s="159"/>
      <c r="BK11" s="159"/>
      <c r="BL11" s="159"/>
      <c r="BM11" s="159"/>
      <c r="BN11" s="159"/>
      <c r="BO11" s="159"/>
      <c r="BP11" s="163"/>
      <c r="BQ11" s="139"/>
      <c r="BR11" s="140"/>
      <c r="BS11" s="140"/>
      <c r="BT11" s="140"/>
      <c r="BU11" s="140"/>
      <c r="BV11" s="140"/>
      <c r="BW11" s="140"/>
      <c r="BX11" s="157"/>
      <c r="BY11" s="158"/>
      <c r="BZ11" s="159"/>
      <c r="CA11" s="159"/>
      <c r="CB11" s="159"/>
      <c r="CC11" s="159"/>
      <c r="CD11" s="159"/>
      <c r="CE11" s="159"/>
      <c r="CF11" s="163"/>
    </row>
    <row r="12" ht="20" customHeight="1" spans="1:84">
      <c r="A12" s="141" t="s">
        <v>148</v>
      </c>
      <c r="B12" s="120"/>
      <c r="C12" s="120"/>
      <c r="D12" s="122"/>
      <c r="E12" s="123"/>
      <c r="F12" s="124"/>
      <c r="G12" s="124"/>
      <c r="H12" s="124"/>
      <c r="I12" s="124"/>
      <c r="J12" s="124"/>
      <c r="K12" s="124"/>
      <c r="L12" s="148"/>
      <c r="M12" s="149"/>
      <c r="N12" s="150"/>
      <c r="O12" s="150"/>
      <c r="P12" s="150"/>
      <c r="Q12" s="150"/>
      <c r="R12" s="150"/>
      <c r="S12" s="150"/>
      <c r="T12" s="160"/>
      <c r="U12" s="123"/>
      <c r="V12" s="124"/>
      <c r="W12" s="124"/>
      <c r="X12" s="124"/>
      <c r="Y12" s="124"/>
      <c r="Z12" s="124"/>
      <c r="AA12" s="124"/>
      <c r="AB12" s="148"/>
      <c r="AC12" s="149"/>
      <c r="AD12" s="150"/>
      <c r="AE12" s="150"/>
      <c r="AF12" s="150"/>
      <c r="AG12" s="150"/>
      <c r="AH12" s="150"/>
      <c r="AI12" s="150"/>
      <c r="AJ12" s="160"/>
      <c r="AK12" s="123"/>
      <c r="AL12" s="124"/>
      <c r="AM12" s="124"/>
      <c r="AN12" s="124"/>
      <c r="AO12" s="124"/>
      <c r="AP12" s="124"/>
      <c r="AQ12" s="124"/>
      <c r="AR12" s="148"/>
      <c r="AS12" s="149"/>
      <c r="AT12" s="150"/>
      <c r="AU12" s="150"/>
      <c r="AV12" s="150"/>
      <c r="AW12" s="150"/>
      <c r="AX12" s="150"/>
      <c r="AY12" s="150"/>
      <c r="AZ12" s="160"/>
      <c r="BA12" s="123"/>
      <c r="BB12" s="124"/>
      <c r="BC12" s="124"/>
      <c r="BD12" s="124"/>
      <c r="BE12" s="124"/>
      <c r="BF12" s="124"/>
      <c r="BG12" s="124"/>
      <c r="BH12" s="148"/>
      <c r="BI12" s="149"/>
      <c r="BJ12" s="150"/>
      <c r="BK12" s="150"/>
      <c r="BL12" s="150"/>
      <c r="BM12" s="150"/>
      <c r="BN12" s="150"/>
      <c r="BO12" s="150"/>
      <c r="BP12" s="160"/>
      <c r="BQ12" s="123"/>
      <c r="BR12" s="124"/>
      <c r="BS12" s="124"/>
      <c r="BT12" s="124"/>
      <c r="BU12" s="124"/>
      <c r="BV12" s="124"/>
      <c r="BW12" s="124"/>
      <c r="BX12" s="148"/>
      <c r="BY12" s="149"/>
      <c r="BZ12" s="150"/>
      <c r="CA12" s="150"/>
      <c r="CB12" s="150"/>
      <c r="CC12" s="150"/>
      <c r="CD12" s="150"/>
      <c r="CE12" s="150"/>
      <c r="CF12" s="160"/>
    </row>
    <row r="13" ht="20" customHeight="1" spans="1:84">
      <c r="A13" s="142"/>
      <c r="B13" s="126"/>
      <c r="C13" s="126"/>
      <c r="D13" s="143"/>
      <c r="E13" s="129"/>
      <c r="F13" s="57"/>
      <c r="G13" s="57"/>
      <c r="H13" s="57"/>
      <c r="I13" s="57"/>
      <c r="J13" s="57"/>
      <c r="K13" s="57"/>
      <c r="L13" s="151"/>
      <c r="M13" s="152"/>
      <c r="N13" s="153"/>
      <c r="O13" s="153"/>
      <c r="P13" s="153"/>
      <c r="Q13" s="153"/>
      <c r="R13" s="153"/>
      <c r="S13" s="153"/>
      <c r="T13" s="161"/>
      <c r="U13" s="129"/>
      <c r="V13" s="57"/>
      <c r="W13" s="57"/>
      <c r="X13" s="57"/>
      <c r="Y13" s="57"/>
      <c r="Z13" s="57"/>
      <c r="AA13" s="57"/>
      <c r="AB13" s="151"/>
      <c r="AC13" s="152"/>
      <c r="AD13" s="153"/>
      <c r="AE13" s="153"/>
      <c r="AF13" s="153"/>
      <c r="AG13" s="153"/>
      <c r="AH13" s="153"/>
      <c r="AI13" s="153"/>
      <c r="AJ13" s="161"/>
      <c r="AK13" s="129"/>
      <c r="AL13" s="57"/>
      <c r="AM13" s="57"/>
      <c r="AN13" s="57"/>
      <c r="AO13" s="57"/>
      <c r="AP13" s="57"/>
      <c r="AQ13" s="57"/>
      <c r="AR13" s="151"/>
      <c r="AS13" s="152"/>
      <c r="AT13" s="153"/>
      <c r="AU13" s="153"/>
      <c r="AV13" s="153"/>
      <c r="AW13" s="153"/>
      <c r="AX13" s="153"/>
      <c r="AY13" s="153"/>
      <c r="AZ13" s="161"/>
      <c r="BA13" s="129"/>
      <c r="BB13" s="57"/>
      <c r="BC13" s="57"/>
      <c r="BD13" s="57"/>
      <c r="BE13" s="57"/>
      <c r="BF13" s="57"/>
      <c r="BG13" s="57"/>
      <c r="BH13" s="151"/>
      <c r="BI13" s="152"/>
      <c r="BJ13" s="153"/>
      <c r="BK13" s="153"/>
      <c r="BL13" s="153"/>
      <c r="BM13" s="153"/>
      <c r="BN13" s="153"/>
      <c r="BO13" s="153"/>
      <c r="BP13" s="161"/>
      <c r="BQ13" s="129"/>
      <c r="BR13" s="57"/>
      <c r="BS13" s="57"/>
      <c r="BT13" s="57"/>
      <c r="BU13" s="57"/>
      <c r="BV13" s="57"/>
      <c r="BW13" s="57"/>
      <c r="BX13" s="151"/>
      <c r="BY13" s="152"/>
      <c r="BZ13" s="153"/>
      <c r="CA13" s="153"/>
      <c r="CB13" s="153"/>
      <c r="CC13" s="153"/>
      <c r="CD13" s="153"/>
      <c r="CE13" s="153"/>
      <c r="CF13" s="161"/>
    </row>
    <row r="14" ht="20" customHeight="1" spans="1:84">
      <c r="A14" s="142"/>
      <c r="B14" s="126"/>
      <c r="C14" s="126"/>
      <c r="D14" s="143"/>
      <c r="E14" s="129"/>
      <c r="F14" s="57"/>
      <c r="G14" s="57"/>
      <c r="H14" s="57"/>
      <c r="I14" s="57"/>
      <c r="J14" s="57"/>
      <c r="K14" s="57"/>
      <c r="L14" s="151"/>
      <c r="M14" s="152"/>
      <c r="N14" s="153"/>
      <c r="O14" s="153"/>
      <c r="P14" s="153"/>
      <c r="Q14" s="153"/>
      <c r="R14" s="153"/>
      <c r="S14" s="153"/>
      <c r="T14" s="161"/>
      <c r="U14" s="129"/>
      <c r="V14" s="57"/>
      <c r="W14" s="57"/>
      <c r="X14" s="57"/>
      <c r="Y14" s="57"/>
      <c r="Z14" s="57"/>
      <c r="AA14" s="57"/>
      <c r="AB14" s="151"/>
      <c r="AC14" s="152"/>
      <c r="AD14" s="153"/>
      <c r="AE14" s="153"/>
      <c r="AF14" s="153"/>
      <c r="AG14" s="153"/>
      <c r="AH14" s="153"/>
      <c r="AI14" s="153"/>
      <c r="AJ14" s="161"/>
      <c r="AK14" s="129"/>
      <c r="AL14" s="57"/>
      <c r="AM14" s="57"/>
      <c r="AN14" s="57"/>
      <c r="AO14" s="57"/>
      <c r="AP14" s="57"/>
      <c r="AQ14" s="57"/>
      <c r="AR14" s="151"/>
      <c r="AS14" s="152"/>
      <c r="AT14" s="153"/>
      <c r="AU14" s="153"/>
      <c r="AV14" s="153"/>
      <c r="AW14" s="153"/>
      <c r="AX14" s="153"/>
      <c r="AY14" s="153"/>
      <c r="AZ14" s="161"/>
      <c r="BA14" s="129"/>
      <c r="BB14" s="57"/>
      <c r="BC14" s="57"/>
      <c r="BD14" s="57"/>
      <c r="BE14" s="57"/>
      <c r="BF14" s="57"/>
      <c r="BG14" s="57"/>
      <c r="BH14" s="151"/>
      <c r="BI14" s="152"/>
      <c r="BJ14" s="153"/>
      <c r="BK14" s="153"/>
      <c r="BL14" s="153"/>
      <c r="BM14" s="153"/>
      <c r="BN14" s="153"/>
      <c r="BO14" s="153"/>
      <c r="BP14" s="161"/>
      <c r="BQ14" s="129"/>
      <c r="BR14" s="57"/>
      <c r="BS14" s="57"/>
      <c r="BT14" s="57"/>
      <c r="BU14" s="57"/>
      <c r="BV14" s="57"/>
      <c r="BW14" s="57"/>
      <c r="BX14" s="151"/>
      <c r="BY14" s="152"/>
      <c r="BZ14" s="153"/>
      <c r="CA14" s="153"/>
      <c r="CB14" s="153"/>
      <c r="CC14" s="153"/>
      <c r="CD14" s="153"/>
      <c r="CE14" s="153"/>
      <c r="CF14" s="161"/>
    </row>
    <row r="15" ht="20" customHeight="1" spans="1:84">
      <c r="A15" s="142"/>
      <c r="B15" s="126"/>
      <c r="C15" s="126"/>
      <c r="D15" s="143"/>
      <c r="E15" s="129"/>
      <c r="F15" s="57"/>
      <c r="G15" s="57"/>
      <c r="H15" s="57"/>
      <c r="I15" s="57"/>
      <c r="J15" s="57"/>
      <c r="K15" s="57"/>
      <c r="L15" s="151"/>
      <c r="M15" s="152"/>
      <c r="N15" s="153"/>
      <c r="O15" s="153"/>
      <c r="P15" s="153"/>
      <c r="Q15" s="153"/>
      <c r="R15" s="153"/>
      <c r="S15" s="153"/>
      <c r="T15" s="161"/>
      <c r="U15" s="129"/>
      <c r="V15" s="57"/>
      <c r="W15" s="57"/>
      <c r="X15" s="57"/>
      <c r="Y15" s="57"/>
      <c r="Z15" s="57"/>
      <c r="AA15" s="57"/>
      <c r="AB15" s="151"/>
      <c r="AC15" s="152"/>
      <c r="AD15" s="153"/>
      <c r="AE15" s="153"/>
      <c r="AF15" s="153"/>
      <c r="AG15" s="153"/>
      <c r="AH15" s="153"/>
      <c r="AI15" s="153"/>
      <c r="AJ15" s="161"/>
      <c r="AK15" s="129"/>
      <c r="AL15" s="57"/>
      <c r="AM15" s="57"/>
      <c r="AN15" s="57"/>
      <c r="AO15" s="57"/>
      <c r="AP15" s="57"/>
      <c r="AQ15" s="57"/>
      <c r="AR15" s="151"/>
      <c r="AS15" s="152"/>
      <c r="AT15" s="153"/>
      <c r="AU15" s="153"/>
      <c r="AV15" s="153"/>
      <c r="AW15" s="153"/>
      <c r="AX15" s="153"/>
      <c r="AY15" s="153"/>
      <c r="AZ15" s="161"/>
      <c r="BA15" s="129"/>
      <c r="BB15" s="57"/>
      <c r="BC15" s="57"/>
      <c r="BD15" s="57"/>
      <c r="BE15" s="57"/>
      <c r="BF15" s="57"/>
      <c r="BG15" s="57"/>
      <c r="BH15" s="151"/>
      <c r="BI15" s="152"/>
      <c r="BJ15" s="153"/>
      <c r="BK15" s="153"/>
      <c r="BL15" s="153"/>
      <c r="BM15" s="153"/>
      <c r="BN15" s="153"/>
      <c r="BO15" s="153"/>
      <c r="BP15" s="161"/>
      <c r="BQ15" s="129"/>
      <c r="BR15" s="57"/>
      <c r="BS15" s="57"/>
      <c r="BT15" s="57"/>
      <c r="BU15" s="57"/>
      <c r="BV15" s="57"/>
      <c r="BW15" s="57"/>
      <c r="BX15" s="151"/>
      <c r="BY15" s="152"/>
      <c r="BZ15" s="153"/>
      <c r="CA15" s="153"/>
      <c r="CB15" s="153"/>
      <c r="CC15" s="153"/>
      <c r="CD15" s="153"/>
      <c r="CE15" s="153"/>
      <c r="CF15" s="161"/>
    </row>
    <row r="16" ht="20" customHeight="1" spans="1:84">
      <c r="A16" s="142"/>
      <c r="B16" s="126"/>
      <c r="C16" s="126"/>
      <c r="D16" s="143"/>
      <c r="E16" s="129"/>
      <c r="F16" s="57"/>
      <c r="G16" s="57"/>
      <c r="H16" s="57"/>
      <c r="I16" s="57"/>
      <c r="J16" s="57"/>
      <c r="K16" s="57"/>
      <c r="L16" s="151"/>
      <c r="M16" s="152"/>
      <c r="N16" s="153"/>
      <c r="O16" s="153"/>
      <c r="P16" s="153"/>
      <c r="Q16" s="153"/>
      <c r="R16" s="153"/>
      <c r="S16" s="153"/>
      <c r="T16" s="161"/>
      <c r="U16" s="129"/>
      <c r="V16" s="57"/>
      <c r="W16" s="57"/>
      <c r="X16" s="57"/>
      <c r="Y16" s="57"/>
      <c r="Z16" s="57"/>
      <c r="AA16" s="57"/>
      <c r="AB16" s="151"/>
      <c r="AC16" s="152"/>
      <c r="AD16" s="153"/>
      <c r="AE16" s="153"/>
      <c r="AF16" s="153"/>
      <c r="AG16" s="153"/>
      <c r="AH16" s="153"/>
      <c r="AI16" s="153"/>
      <c r="AJ16" s="161"/>
      <c r="AK16" s="129"/>
      <c r="AL16" s="57"/>
      <c r="AM16" s="57"/>
      <c r="AN16" s="57"/>
      <c r="AO16" s="57"/>
      <c r="AP16" s="57"/>
      <c r="AQ16" s="57"/>
      <c r="AR16" s="151"/>
      <c r="AS16" s="152"/>
      <c r="AT16" s="153"/>
      <c r="AU16" s="153"/>
      <c r="AV16" s="153"/>
      <c r="AW16" s="153"/>
      <c r="AX16" s="153"/>
      <c r="AY16" s="153"/>
      <c r="AZ16" s="161"/>
      <c r="BA16" s="129"/>
      <c r="BB16" s="57"/>
      <c r="BC16" s="57"/>
      <c r="BD16" s="57"/>
      <c r="BE16" s="57"/>
      <c r="BF16" s="57"/>
      <c r="BG16" s="57"/>
      <c r="BH16" s="151"/>
      <c r="BI16" s="152"/>
      <c r="BJ16" s="153"/>
      <c r="BK16" s="153"/>
      <c r="BL16" s="153"/>
      <c r="BM16" s="153"/>
      <c r="BN16" s="153"/>
      <c r="BO16" s="153"/>
      <c r="BP16" s="161"/>
      <c r="BQ16" s="129"/>
      <c r="BR16" s="57"/>
      <c r="BS16" s="57"/>
      <c r="BT16" s="57"/>
      <c r="BU16" s="57"/>
      <c r="BV16" s="57"/>
      <c r="BW16" s="57"/>
      <c r="BX16" s="151"/>
      <c r="BY16" s="152"/>
      <c r="BZ16" s="153"/>
      <c r="CA16" s="153"/>
      <c r="CB16" s="153"/>
      <c r="CC16" s="153"/>
      <c r="CD16" s="153"/>
      <c r="CE16" s="153"/>
      <c r="CF16" s="161"/>
    </row>
    <row r="17" ht="20" customHeight="1" spans="1:84">
      <c r="A17" s="142"/>
      <c r="B17" s="126"/>
      <c r="C17" s="126"/>
      <c r="D17" s="143"/>
      <c r="E17" s="129"/>
      <c r="F17" s="57"/>
      <c r="G17" s="57"/>
      <c r="H17" s="57"/>
      <c r="I17" s="57"/>
      <c r="J17" s="57"/>
      <c r="K17" s="57"/>
      <c r="L17" s="151"/>
      <c r="M17" s="152"/>
      <c r="N17" s="153"/>
      <c r="O17" s="153"/>
      <c r="P17" s="153"/>
      <c r="Q17" s="153"/>
      <c r="R17" s="153"/>
      <c r="S17" s="153"/>
      <c r="T17" s="161"/>
      <c r="U17" s="129"/>
      <c r="V17" s="57"/>
      <c r="W17" s="57"/>
      <c r="X17" s="57"/>
      <c r="Y17" s="57"/>
      <c r="Z17" s="57"/>
      <c r="AA17" s="57"/>
      <c r="AB17" s="151"/>
      <c r="AC17" s="152"/>
      <c r="AD17" s="153"/>
      <c r="AE17" s="153"/>
      <c r="AF17" s="153"/>
      <c r="AG17" s="153"/>
      <c r="AH17" s="153"/>
      <c r="AI17" s="153"/>
      <c r="AJ17" s="161"/>
      <c r="AK17" s="129"/>
      <c r="AL17" s="57"/>
      <c r="AM17" s="57"/>
      <c r="AN17" s="57"/>
      <c r="AO17" s="57"/>
      <c r="AP17" s="57"/>
      <c r="AQ17" s="57"/>
      <c r="AR17" s="151"/>
      <c r="AS17" s="152"/>
      <c r="AT17" s="153"/>
      <c r="AU17" s="153"/>
      <c r="AV17" s="153"/>
      <c r="AW17" s="153"/>
      <c r="AX17" s="153"/>
      <c r="AY17" s="153"/>
      <c r="AZ17" s="161"/>
      <c r="BA17" s="129"/>
      <c r="BB17" s="57"/>
      <c r="BC17" s="57"/>
      <c r="BD17" s="57"/>
      <c r="BE17" s="57"/>
      <c r="BF17" s="57"/>
      <c r="BG17" s="57"/>
      <c r="BH17" s="151"/>
      <c r="BI17" s="152"/>
      <c r="BJ17" s="153"/>
      <c r="BK17" s="153"/>
      <c r="BL17" s="153"/>
      <c r="BM17" s="153"/>
      <c r="BN17" s="153"/>
      <c r="BO17" s="153"/>
      <c r="BP17" s="161"/>
      <c r="BQ17" s="129"/>
      <c r="BR17" s="57"/>
      <c r="BS17" s="57"/>
      <c r="BT17" s="57"/>
      <c r="BU17" s="57"/>
      <c r="BV17" s="57"/>
      <c r="BW17" s="57"/>
      <c r="BX17" s="151"/>
      <c r="BY17" s="152"/>
      <c r="BZ17" s="153"/>
      <c r="CA17" s="153"/>
      <c r="CB17" s="153"/>
      <c r="CC17" s="153"/>
      <c r="CD17" s="153"/>
      <c r="CE17" s="153"/>
      <c r="CF17" s="161"/>
    </row>
    <row r="18" ht="20" customHeight="1" spans="1:84">
      <c r="A18" s="142"/>
      <c r="B18" s="126"/>
      <c r="C18" s="126"/>
      <c r="D18" s="143"/>
      <c r="E18" s="129"/>
      <c r="F18" s="57"/>
      <c r="G18" s="57"/>
      <c r="H18" s="57"/>
      <c r="I18" s="57"/>
      <c r="J18" s="57"/>
      <c r="K18" s="57"/>
      <c r="L18" s="151"/>
      <c r="M18" s="152"/>
      <c r="N18" s="153"/>
      <c r="O18" s="153"/>
      <c r="P18" s="153"/>
      <c r="Q18" s="153"/>
      <c r="R18" s="153"/>
      <c r="S18" s="153"/>
      <c r="T18" s="161"/>
      <c r="U18" s="129"/>
      <c r="V18" s="57"/>
      <c r="W18" s="57"/>
      <c r="X18" s="57"/>
      <c r="Y18" s="57"/>
      <c r="Z18" s="57"/>
      <c r="AA18" s="57"/>
      <c r="AB18" s="151"/>
      <c r="AC18" s="152"/>
      <c r="AD18" s="153"/>
      <c r="AE18" s="153"/>
      <c r="AF18" s="153"/>
      <c r="AG18" s="153"/>
      <c r="AH18" s="153"/>
      <c r="AI18" s="153"/>
      <c r="AJ18" s="161"/>
      <c r="AK18" s="129"/>
      <c r="AL18" s="57"/>
      <c r="AM18" s="57"/>
      <c r="AN18" s="57"/>
      <c r="AO18" s="57"/>
      <c r="AP18" s="57"/>
      <c r="AQ18" s="57"/>
      <c r="AR18" s="151"/>
      <c r="AS18" s="152"/>
      <c r="AT18" s="153"/>
      <c r="AU18" s="153"/>
      <c r="AV18" s="153"/>
      <c r="AW18" s="153"/>
      <c r="AX18" s="153"/>
      <c r="AY18" s="153"/>
      <c r="AZ18" s="161"/>
      <c r="BA18" s="129"/>
      <c r="BB18" s="57"/>
      <c r="BC18" s="57"/>
      <c r="BD18" s="57"/>
      <c r="BE18" s="57"/>
      <c r="BF18" s="57"/>
      <c r="BG18" s="57"/>
      <c r="BH18" s="151"/>
      <c r="BI18" s="152"/>
      <c r="BJ18" s="153"/>
      <c r="BK18" s="153"/>
      <c r="BL18" s="153"/>
      <c r="BM18" s="153"/>
      <c r="BN18" s="153"/>
      <c r="BO18" s="153"/>
      <c r="BP18" s="161"/>
      <c r="BQ18" s="129"/>
      <c r="BR18" s="57"/>
      <c r="BS18" s="57"/>
      <c r="BT18" s="57"/>
      <c r="BU18" s="57"/>
      <c r="BV18" s="57"/>
      <c r="BW18" s="57"/>
      <c r="BX18" s="151"/>
      <c r="BY18" s="152"/>
      <c r="BZ18" s="153"/>
      <c r="CA18" s="153"/>
      <c r="CB18" s="153"/>
      <c r="CC18" s="153"/>
      <c r="CD18" s="153"/>
      <c r="CE18" s="153"/>
      <c r="CF18" s="161"/>
    </row>
    <row r="19" ht="20" customHeight="1" spans="1:84">
      <c r="A19" s="144"/>
      <c r="B19" s="131"/>
      <c r="C19" s="131"/>
      <c r="D19" s="145"/>
      <c r="E19" s="134"/>
      <c r="F19" s="135"/>
      <c r="G19" s="135"/>
      <c r="H19" s="135"/>
      <c r="I19" s="135"/>
      <c r="J19" s="135"/>
      <c r="K19" s="135"/>
      <c r="L19" s="154"/>
      <c r="M19" s="155"/>
      <c r="N19" s="156"/>
      <c r="O19" s="156"/>
      <c r="P19" s="156"/>
      <c r="Q19" s="156"/>
      <c r="R19" s="156"/>
      <c r="S19" s="156"/>
      <c r="T19" s="162"/>
      <c r="U19" s="134"/>
      <c r="V19" s="135"/>
      <c r="W19" s="135"/>
      <c r="X19" s="135"/>
      <c r="Y19" s="135"/>
      <c r="Z19" s="135"/>
      <c r="AA19" s="135"/>
      <c r="AB19" s="154"/>
      <c r="AC19" s="155"/>
      <c r="AD19" s="156"/>
      <c r="AE19" s="156"/>
      <c r="AF19" s="156"/>
      <c r="AG19" s="156"/>
      <c r="AH19" s="156"/>
      <c r="AI19" s="156"/>
      <c r="AJ19" s="162"/>
      <c r="AK19" s="134"/>
      <c r="AL19" s="135"/>
      <c r="AM19" s="135"/>
      <c r="AN19" s="135"/>
      <c r="AO19" s="135"/>
      <c r="AP19" s="135"/>
      <c r="AQ19" s="135"/>
      <c r="AR19" s="154"/>
      <c r="AS19" s="155"/>
      <c r="AT19" s="156"/>
      <c r="AU19" s="156"/>
      <c r="AV19" s="156"/>
      <c r="AW19" s="156"/>
      <c r="AX19" s="156"/>
      <c r="AY19" s="156"/>
      <c r="AZ19" s="162"/>
      <c r="BA19" s="134"/>
      <c r="BB19" s="135"/>
      <c r="BC19" s="135"/>
      <c r="BD19" s="135"/>
      <c r="BE19" s="135"/>
      <c r="BF19" s="135"/>
      <c r="BG19" s="135"/>
      <c r="BH19" s="154"/>
      <c r="BI19" s="155"/>
      <c r="BJ19" s="156"/>
      <c r="BK19" s="156"/>
      <c r="BL19" s="156"/>
      <c r="BM19" s="156"/>
      <c r="BN19" s="156"/>
      <c r="BO19" s="156"/>
      <c r="BP19" s="162"/>
      <c r="BQ19" s="134"/>
      <c r="BR19" s="135"/>
      <c r="BS19" s="135"/>
      <c r="BT19" s="135"/>
      <c r="BU19" s="135"/>
      <c r="BV19" s="135"/>
      <c r="BW19" s="135"/>
      <c r="BX19" s="154"/>
      <c r="BY19" s="155"/>
      <c r="BZ19" s="156"/>
      <c r="CA19" s="156"/>
      <c r="CB19" s="156"/>
      <c r="CC19" s="156"/>
      <c r="CD19" s="156"/>
      <c r="CE19" s="156"/>
      <c r="CF19" s="162"/>
    </row>
    <row r="20" ht="20" customHeight="1" spans="1:84">
      <c r="A20" s="141" t="s">
        <v>149</v>
      </c>
      <c r="B20" s="120"/>
      <c r="C20" s="120"/>
      <c r="D20" s="122"/>
      <c r="E20" s="123"/>
      <c r="F20" s="124"/>
      <c r="G20" s="124"/>
      <c r="H20" s="124"/>
      <c r="I20" s="124"/>
      <c r="J20" s="124"/>
      <c r="K20" s="124"/>
      <c r="L20" s="148"/>
      <c r="M20" s="149"/>
      <c r="N20" s="150"/>
      <c r="O20" s="150"/>
      <c r="P20" s="150"/>
      <c r="Q20" s="150"/>
      <c r="R20" s="150"/>
      <c r="S20" s="150"/>
      <c r="T20" s="160"/>
      <c r="U20" s="123"/>
      <c r="V20" s="124"/>
      <c r="W20" s="124"/>
      <c r="X20" s="124"/>
      <c r="Y20" s="124"/>
      <c r="Z20" s="124"/>
      <c r="AA20" s="124"/>
      <c r="AB20" s="148"/>
      <c r="AC20" s="149"/>
      <c r="AD20" s="150"/>
      <c r="AE20" s="150"/>
      <c r="AF20" s="150"/>
      <c r="AG20" s="150"/>
      <c r="AH20" s="150"/>
      <c r="AI20" s="150"/>
      <c r="AJ20" s="160"/>
      <c r="AK20" s="123"/>
      <c r="AL20" s="124"/>
      <c r="AM20" s="124"/>
      <c r="AN20" s="124"/>
      <c r="AO20" s="124"/>
      <c r="AP20" s="124"/>
      <c r="AQ20" s="124"/>
      <c r="AR20" s="148"/>
      <c r="AS20" s="149"/>
      <c r="AT20" s="150"/>
      <c r="AU20" s="150"/>
      <c r="AV20" s="150"/>
      <c r="AW20" s="150"/>
      <c r="AX20" s="150"/>
      <c r="AY20" s="150"/>
      <c r="AZ20" s="160"/>
      <c r="BA20" s="123"/>
      <c r="BB20" s="124"/>
      <c r="BC20" s="124"/>
      <c r="BD20" s="124"/>
      <c r="BE20" s="124"/>
      <c r="BF20" s="124"/>
      <c r="BG20" s="124"/>
      <c r="BH20" s="148"/>
      <c r="BI20" s="149"/>
      <c r="BJ20" s="150"/>
      <c r="BK20" s="150"/>
      <c r="BL20" s="150"/>
      <c r="BM20" s="150"/>
      <c r="BN20" s="150"/>
      <c r="BO20" s="150"/>
      <c r="BP20" s="160"/>
      <c r="BQ20" s="123"/>
      <c r="BR20" s="124"/>
      <c r="BS20" s="124"/>
      <c r="BT20" s="124"/>
      <c r="BU20" s="124"/>
      <c r="BV20" s="124"/>
      <c r="BW20" s="124"/>
      <c r="BX20" s="148"/>
      <c r="BY20" s="149"/>
      <c r="BZ20" s="150"/>
      <c r="CA20" s="150"/>
      <c r="CB20" s="150"/>
      <c r="CC20" s="150"/>
      <c r="CD20" s="150"/>
      <c r="CE20" s="150"/>
      <c r="CF20" s="160"/>
    </row>
    <row r="21" ht="20" customHeight="1" spans="1:84">
      <c r="A21" s="142"/>
      <c r="B21" s="126"/>
      <c r="C21" s="126"/>
      <c r="D21" s="143"/>
      <c r="E21" s="129"/>
      <c r="F21" s="57"/>
      <c r="G21" s="57"/>
      <c r="H21" s="57"/>
      <c r="I21" s="57"/>
      <c r="J21" s="57"/>
      <c r="K21" s="57"/>
      <c r="L21" s="151"/>
      <c r="M21" s="152"/>
      <c r="N21" s="153"/>
      <c r="O21" s="153"/>
      <c r="P21" s="153"/>
      <c r="Q21" s="153"/>
      <c r="R21" s="153"/>
      <c r="S21" s="153"/>
      <c r="T21" s="161"/>
      <c r="U21" s="129"/>
      <c r="V21" s="57"/>
      <c r="W21" s="57"/>
      <c r="X21" s="57"/>
      <c r="Y21" s="57"/>
      <c r="Z21" s="57"/>
      <c r="AA21" s="57"/>
      <c r="AB21" s="151"/>
      <c r="AC21" s="152"/>
      <c r="AD21" s="153"/>
      <c r="AE21" s="153"/>
      <c r="AF21" s="153"/>
      <c r="AG21" s="153"/>
      <c r="AH21" s="153"/>
      <c r="AI21" s="153"/>
      <c r="AJ21" s="161"/>
      <c r="AK21" s="129"/>
      <c r="AL21" s="57"/>
      <c r="AM21" s="57"/>
      <c r="AN21" s="57"/>
      <c r="AO21" s="57"/>
      <c r="AP21" s="57"/>
      <c r="AQ21" s="57"/>
      <c r="AR21" s="151"/>
      <c r="AS21" s="152"/>
      <c r="AT21" s="153"/>
      <c r="AU21" s="153"/>
      <c r="AV21" s="153"/>
      <c r="AW21" s="153"/>
      <c r="AX21" s="153"/>
      <c r="AY21" s="153"/>
      <c r="AZ21" s="161"/>
      <c r="BA21" s="129"/>
      <c r="BB21" s="57"/>
      <c r="BC21" s="57"/>
      <c r="BD21" s="57"/>
      <c r="BE21" s="57"/>
      <c r="BF21" s="57"/>
      <c r="BG21" s="57"/>
      <c r="BH21" s="151"/>
      <c r="BI21" s="152"/>
      <c r="BJ21" s="153"/>
      <c r="BK21" s="153"/>
      <c r="BL21" s="153"/>
      <c r="BM21" s="153"/>
      <c r="BN21" s="153"/>
      <c r="BO21" s="153"/>
      <c r="BP21" s="161"/>
      <c r="BQ21" s="129"/>
      <c r="BR21" s="57"/>
      <c r="BS21" s="57"/>
      <c r="BT21" s="57"/>
      <c r="BU21" s="57"/>
      <c r="BV21" s="57"/>
      <c r="BW21" s="57"/>
      <c r="BX21" s="151"/>
      <c r="BY21" s="152"/>
      <c r="BZ21" s="153"/>
      <c r="CA21" s="153"/>
      <c r="CB21" s="153"/>
      <c r="CC21" s="153"/>
      <c r="CD21" s="153"/>
      <c r="CE21" s="153"/>
      <c r="CF21" s="161"/>
    </row>
    <row r="22" ht="20" customHeight="1" spans="1:84">
      <c r="A22" s="142"/>
      <c r="B22" s="126"/>
      <c r="C22" s="126"/>
      <c r="D22" s="143"/>
      <c r="E22" s="129"/>
      <c r="F22" s="57"/>
      <c r="G22" s="57"/>
      <c r="H22" s="57"/>
      <c r="I22" s="57"/>
      <c r="J22" s="57"/>
      <c r="K22" s="57"/>
      <c r="L22" s="151"/>
      <c r="M22" s="152"/>
      <c r="N22" s="153"/>
      <c r="O22" s="153"/>
      <c r="P22" s="153"/>
      <c r="Q22" s="153"/>
      <c r="R22" s="153"/>
      <c r="S22" s="153"/>
      <c r="T22" s="161"/>
      <c r="U22" s="129"/>
      <c r="V22" s="57"/>
      <c r="W22" s="57"/>
      <c r="X22" s="57"/>
      <c r="Y22" s="57"/>
      <c r="Z22" s="57"/>
      <c r="AA22" s="57"/>
      <c r="AB22" s="151"/>
      <c r="AC22" s="152"/>
      <c r="AD22" s="153"/>
      <c r="AE22" s="153"/>
      <c r="AF22" s="153"/>
      <c r="AG22" s="153"/>
      <c r="AH22" s="153"/>
      <c r="AI22" s="153"/>
      <c r="AJ22" s="161"/>
      <c r="AK22" s="129"/>
      <c r="AL22" s="57"/>
      <c r="AM22" s="57"/>
      <c r="AN22" s="57"/>
      <c r="AO22" s="57"/>
      <c r="AP22" s="57"/>
      <c r="AQ22" s="57"/>
      <c r="AR22" s="151"/>
      <c r="AS22" s="152"/>
      <c r="AT22" s="153"/>
      <c r="AU22" s="153"/>
      <c r="AV22" s="153"/>
      <c r="AW22" s="153"/>
      <c r="AX22" s="153"/>
      <c r="AY22" s="153"/>
      <c r="AZ22" s="161"/>
      <c r="BA22" s="129"/>
      <c r="BB22" s="57"/>
      <c r="BC22" s="57"/>
      <c r="BD22" s="57"/>
      <c r="BE22" s="57"/>
      <c r="BF22" s="57"/>
      <c r="BG22" s="57"/>
      <c r="BH22" s="151"/>
      <c r="BI22" s="152"/>
      <c r="BJ22" s="153"/>
      <c r="BK22" s="153"/>
      <c r="BL22" s="153"/>
      <c r="BM22" s="153"/>
      <c r="BN22" s="153"/>
      <c r="BO22" s="153"/>
      <c r="BP22" s="161"/>
      <c r="BQ22" s="129"/>
      <c r="BR22" s="57"/>
      <c r="BS22" s="57"/>
      <c r="BT22" s="57"/>
      <c r="BU22" s="57"/>
      <c r="BV22" s="57"/>
      <c r="BW22" s="57"/>
      <c r="BX22" s="151"/>
      <c r="BY22" s="152"/>
      <c r="BZ22" s="153"/>
      <c r="CA22" s="153"/>
      <c r="CB22" s="153"/>
      <c r="CC22" s="153"/>
      <c r="CD22" s="153"/>
      <c r="CE22" s="153"/>
      <c r="CF22" s="161"/>
    </row>
    <row r="23" ht="20" customHeight="1" spans="1:84">
      <c r="A23" s="142"/>
      <c r="B23" s="126"/>
      <c r="C23" s="126"/>
      <c r="D23" s="143"/>
      <c r="E23" s="129"/>
      <c r="F23" s="57"/>
      <c r="G23" s="57"/>
      <c r="H23" s="57"/>
      <c r="I23" s="57"/>
      <c r="J23" s="57"/>
      <c r="K23" s="57"/>
      <c r="L23" s="151"/>
      <c r="M23" s="152"/>
      <c r="N23" s="153"/>
      <c r="O23" s="153"/>
      <c r="P23" s="153"/>
      <c r="Q23" s="153"/>
      <c r="R23" s="153"/>
      <c r="S23" s="153"/>
      <c r="T23" s="161"/>
      <c r="U23" s="129"/>
      <c r="V23" s="57"/>
      <c r="W23" s="57"/>
      <c r="X23" s="57"/>
      <c r="Y23" s="57"/>
      <c r="Z23" s="57"/>
      <c r="AA23" s="57"/>
      <c r="AB23" s="151"/>
      <c r="AC23" s="152"/>
      <c r="AD23" s="153"/>
      <c r="AE23" s="153"/>
      <c r="AF23" s="153"/>
      <c r="AG23" s="153"/>
      <c r="AH23" s="153"/>
      <c r="AI23" s="153"/>
      <c r="AJ23" s="161"/>
      <c r="AK23" s="129"/>
      <c r="AL23" s="57"/>
      <c r="AM23" s="57"/>
      <c r="AN23" s="57"/>
      <c r="AO23" s="57"/>
      <c r="AP23" s="57"/>
      <c r="AQ23" s="57"/>
      <c r="AR23" s="151"/>
      <c r="AS23" s="152"/>
      <c r="AT23" s="153"/>
      <c r="AU23" s="153"/>
      <c r="AV23" s="153"/>
      <c r="AW23" s="153"/>
      <c r="AX23" s="153"/>
      <c r="AY23" s="153"/>
      <c r="AZ23" s="161"/>
      <c r="BA23" s="129"/>
      <c r="BB23" s="57"/>
      <c r="BC23" s="57"/>
      <c r="BD23" s="57"/>
      <c r="BE23" s="57"/>
      <c r="BF23" s="57"/>
      <c r="BG23" s="57"/>
      <c r="BH23" s="151"/>
      <c r="BI23" s="152"/>
      <c r="BJ23" s="153"/>
      <c r="BK23" s="153"/>
      <c r="BL23" s="153"/>
      <c r="BM23" s="153"/>
      <c r="BN23" s="153"/>
      <c r="BO23" s="153"/>
      <c r="BP23" s="161"/>
      <c r="BQ23" s="129"/>
      <c r="BR23" s="57"/>
      <c r="BS23" s="57"/>
      <c r="BT23" s="57"/>
      <c r="BU23" s="57"/>
      <c r="BV23" s="57"/>
      <c r="BW23" s="57"/>
      <c r="BX23" s="151"/>
      <c r="BY23" s="152"/>
      <c r="BZ23" s="153"/>
      <c r="CA23" s="153"/>
      <c r="CB23" s="153"/>
      <c r="CC23" s="153"/>
      <c r="CD23" s="153"/>
      <c r="CE23" s="153"/>
      <c r="CF23" s="161"/>
    </row>
    <row r="24" ht="20" customHeight="1" spans="1:84">
      <c r="A24" s="142"/>
      <c r="B24" s="126"/>
      <c r="C24" s="126"/>
      <c r="D24" s="143"/>
      <c r="E24" s="129"/>
      <c r="F24" s="57"/>
      <c r="G24" s="57"/>
      <c r="H24" s="57"/>
      <c r="I24" s="57"/>
      <c r="J24" s="57"/>
      <c r="K24" s="57"/>
      <c r="L24" s="151"/>
      <c r="M24" s="152"/>
      <c r="N24" s="153"/>
      <c r="O24" s="153"/>
      <c r="P24" s="153"/>
      <c r="Q24" s="153"/>
      <c r="R24" s="153"/>
      <c r="S24" s="153"/>
      <c r="T24" s="161"/>
      <c r="U24" s="129"/>
      <c r="V24" s="57"/>
      <c r="W24" s="57"/>
      <c r="X24" s="57"/>
      <c r="Y24" s="57"/>
      <c r="Z24" s="57"/>
      <c r="AA24" s="57"/>
      <c r="AB24" s="151"/>
      <c r="AC24" s="152"/>
      <c r="AD24" s="153"/>
      <c r="AE24" s="153"/>
      <c r="AF24" s="153"/>
      <c r="AG24" s="153"/>
      <c r="AH24" s="153"/>
      <c r="AI24" s="153"/>
      <c r="AJ24" s="161"/>
      <c r="AK24" s="129"/>
      <c r="AL24" s="57"/>
      <c r="AM24" s="57"/>
      <c r="AN24" s="57"/>
      <c r="AO24" s="57"/>
      <c r="AP24" s="57"/>
      <c r="AQ24" s="57"/>
      <c r="AR24" s="151"/>
      <c r="AS24" s="152"/>
      <c r="AT24" s="153"/>
      <c r="AU24" s="153"/>
      <c r="AV24" s="153"/>
      <c r="AW24" s="153"/>
      <c r="AX24" s="153"/>
      <c r="AY24" s="153"/>
      <c r="AZ24" s="161"/>
      <c r="BA24" s="129"/>
      <c r="BB24" s="57"/>
      <c r="BC24" s="57"/>
      <c r="BD24" s="57"/>
      <c r="BE24" s="57"/>
      <c r="BF24" s="57"/>
      <c r="BG24" s="57"/>
      <c r="BH24" s="151"/>
      <c r="BI24" s="152"/>
      <c r="BJ24" s="153"/>
      <c r="BK24" s="153"/>
      <c r="BL24" s="153"/>
      <c r="BM24" s="153"/>
      <c r="BN24" s="153"/>
      <c r="BO24" s="153"/>
      <c r="BP24" s="161"/>
      <c r="BQ24" s="129"/>
      <c r="BR24" s="57"/>
      <c r="BS24" s="57"/>
      <c r="BT24" s="57"/>
      <c r="BU24" s="57"/>
      <c r="BV24" s="57"/>
      <c r="BW24" s="57"/>
      <c r="BX24" s="151"/>
      <c r="BY24" s="152"/>
      <c r="BZ24" s="153"/>
      <c r="CA24" s="153"/>
      <c r="CB24" s="153"/>
      <c r="CC24" s="153"/>
      <c r="CD24" s="153"/>
      <c r="CE24" s="153"/>
      <c r="CF24" s="161"/>
    </row>
    <row r="25" ht="20" customHeight="1" spans="1:84">
      <c r="A25" s="142"/>
      <c r="B25" s="126"/>
      <c r="C25" s="126"/>
      <c r="D25" s="143"/>
      <c r="E25" s="129"/>
      <c r="F25" s="57"/>
      <c r="G25" s="57"/>
      <c r="H25" s="57"/>
      <c r="I25" s="57"/>
      <c r="J25" s="57"/>
      <c r="K25" s="57"/>
      <c r="L25" s="151"/>
      <c r="M25" s="152"/>
      <c r="N25" s="153"/>
      <c r="O25" s="153"/>
      <c r="P25" s="153"/>
      <c r="Q25" s="153"/>
      <c r="R25" s="153"/>
      <c r="S25" s="153"/>
      <c r="T25" s="161"/>
      <c r="U25" s="129"/>
      <c r="V25" s="57"/>
      <c r="W25" s="57"/>
      <c r="X25" s="57"/>
      <c r="Y25" s="57"/>
      <c r="Z25" s="57"/>
      <c r="AA25" s="57"/>
      <c r="AB25" s="151"/>
      <c r="AC25" s="152"/>
      <c r="AD25" s="153"/>
      <c r="AE25" s="153"/>
      <c r="AF25" s="153"/>
      <c r="AG25" s="153"/>
      <c r="AH25" s="153"/>
      <c r="AI25" s="153"/>
      <c r="AJ25" s="161"/>
      <c r="AK25" s="129"/>
      <c r="AL25" s="57"/>
      <c r="AM25" s="57"/>
      <c r="AN25" s="57"/>
      <c r="AO25" s="57"/>
      <c r="AP25" s="57"/>
      <c r="AQ25" s="57"/>
      <c r="AR25" s="151"/>
      <c r="AS25" s="152"/>
      <c r="AT25" s="153"/>
      <c r="AU25" s="153"/>
      <c r="AV25" s="153"/>
      <c r="AW25" s="153"/>
      <c r="AX25" s="153"/>
      <c r="AY25" s="153"/>
      <c r="AZ25" s="161"/>
      <c r="BA25" s="129"/>
      <c r="BB25" s="57"/>
      <c r="BC25" s="57"/>
      <c r="BD25" s="57"/>
      <c r="BE25" s="57"/>
      <c r="BF25" s="57"/>
      <c r="BG25" s="57"/>
      <c r="BH25" s="151"/>
      <c r="BI25" s="152"/>
      <c r="BJ25" s="153"/>
      <c r="BK25" s="153"/>
      <c r="BL25" s="153"/>
      <c r="BM25" s="153"/>
      <c r="BN25" s="153"/>
      <c r="BO25" s="153"/>
      <c r="BP25" s="161"/>
      <c r="BQ25" s="129"/>
      <c r="BR25" s="57"/>
      <c r="BS25" s="57"/>
      <c r="BT25" s="57"/>
      <c r="BU25" s="57"/>
      <c r="BV25" s="57"/>
      <c r="BW25" s="57"/>
      <c r="BX25" s="151"/>
      <c r="BY25" s="152"/>
      <c r="BZ25" s="153"/>
      <c r="CA25" s="153"/>
      <c r="CB25" s="153"/>
      <c r="CC25" s="153"/>
      <c r="CD25" s="153"/>
      <c r="CE25" s="153"/>
      <c r="CF25" s="161"/>
    </row>
    <row r="26" ht="20" customHeight="1" spans="1:84">
      <c r="A26" s="142"/>
      <c r="B26" s="126"/>
      <c r="C26" s="126"/>
      <c r="D26" s="143"/>
      <c r="E26" s="129"/>
      <c r="F26" s="57"/>
      <c r="G26" s="57"/>
      <c r="H26" s="57"/>
      <c r="I26" s="57"/>
      <c r="J26" s="57"/>
      <c r="K26" s="57"/>
      <c r="L26" s="151"/>
      <c r="M26" s="152"/>
      <c r="N26" s="153"/>
      <c r="O26" s="153"/>
      <c r="P26" s="153"/>
      <c r="Q26" s="153"/>
      <c r="R26" s="153"/>
      <c r="S26" s="153"/>
      <c r="T26" s="161"/>
      <c r="U26" s="129"/>
      <c r="V26" s="57"/>
      <c r="W26" s="57"/>
      <c r="X26" s="57"/>
      <c r="Y26" s="57"/>
      <c r="Z26" s="57"/>
      <c r="AA26" s="57"/>
      <c r="AB26" s="151"/>
      <c r="AC26" s="152"/>
      <c r="AD26" s="153"/>
      <c r="AE26" s="153"/>
      <c r="AF26" s="153"/>
      <c r="AG26" s="153"/>
      <c r="AH26" s="153"/>
      <c r="AI26" s="153"/>
      <c r="AJ26" s="161"/>
      <c r="AK26" s="129"/>
      <c r="AL26" s="57"/>
      <c r="AM26" s="57"/>
      <c r="AN26" s="57"/>
      <c r="AO26" s="57"/>
      <c r="AP26" s="57"/>
      <c r="AQ26" s="57"/>
      <c r="AR26" s="151"/>
      <c r="AS26" s="152"/>
      <c r="AT26" s="153"/>
      <c r="AU26" s="153"/>
      <c r="AV26" s="153"/>
      <c r="AW26" s="153"/>
      <c r="AX26" s="153"/>
      <c r="AY26" s="153"/>
      <c r="AZ26" s="161"/>
      <c r="BA26" s="129"/>
      <c r="BB26" s="57"/>
      <c r="BC26" s="57"/>
      <c r="BD26" s="57"/>
      <c r="BE26" s="57"/>
      <c r="BF26" s="57"/>
      <c r="BG26" s="57"/>
      <c r="BH26" s="151"/>
      <c r="BI26" s="152"/>
      <c r="BJ26" s="153"/>
      <c r="BK26" s="153"/>
      <c r="BL26" s="153"/>
      <c r="BM26" s="153"/>
      <c r="BN26" s="153"/>
      <c r="BO26" s="153"/>
      <c r="BP26" s="161"/>
      <c r="BQ26" s="129"/>
      <c r="BR26" s="57"/>
      <c r="BS26" s="57"/>
      <c r="BT26" s="57"/>
      <c r="BU26" s="57"/>
      <c r="BV26" s="57"/>
      <c r="BW26" s="57"/>
      <c r="BX26" s="151"/>
      <c r="BY26" s="152"/>
      <c r="BZ26" s="153"/>
      <c r="CA26" s="153"/>
      <c r="CB26" s="153"/>
      <c r="CC26" s="153"/>
      <c r="CD26" s="153"/>
      <c r="CE26" s="153"/>
      <c r="CF26" s="161"/>
    </row>
    <row r="27" ht="20" customHeight="1" spans="1:84">
      <c r="A27" s="144"/>
      <c r="B27" s="131"/>
      <c r="C27" s="131"/>
      <c r="D27" s="145"/>
      <c r="E27" s="134"/>
      <c r="F27" s="135"/>
      <c r="G27" s="135"/>
      <c r="H27" s="135"/>
      <c r="I27" s="135"/>
      <c r="J27" s="135"/>
      <c r="K27" s="135"/>
      <c r="L27" s="154"/>
      <c r="M27" s="155"/>
      <c r="N27" s="156"/>
      <c r="O27" s="156"/>
      <c r="P27" s="156"/>
      <c r="Q27" s="156"/>
      <c r="R27" s="156"/>
      <c r="S27" s="156"/>
      <c r="T27" s="162"/>
      <c r="U27" s="134"/>
      <c r="V27" s="135"/>
      <c r="W27" s="135"/>
      <c r="X27" s="135"/>
      <c r="Y27" s="135"/>
      <c r="Z27" s="135"/>
      <c r="AA27" s="135"/>
      <c r="AB27" s="154"/>
      <c r="AC27" s="155"/>
      <c r="AD27" s="156"/>
      <c r="AE27" s="156"/>
      <c r="AF27" s="156"/>
      <c r="AG27" s="156"/>
      <c r="AH27" s="156"/>
      <c r="AI27" s="156"/>
      <c r="AJ27" s="162"/>
      <c r="AK27" s="134"/>
      <c r="AL27" s="135"/>
      <c r="AM27" s="135"/>
      <c r="AN27" s="135"/>
      <c r="AO27" s="135"/>
      <c r="AP27" s="135"/>
      <c r="AQ27" s="135"/>
      <c r="AR27" s="154"/>
      <c r="AS27" s="155"/>
      <c r="AT27" s="156"/>
      <c r="AU27" s="156"/>
      <c r="AV27" s="156"/>
      <c r="AW27" s="156"/>
      <c r="AX27" s="156"/>
      <c r="AY27" s="156"/>
      <c r="AZ27" s="162"/>
      <c r="BA27" s="134"/>
      <c r="BB27" s="135"/>
      <c r="BC27" s="135"/>
      <c r="BD27" s="135"/>
      <c r="BE27" s="135"/>
      <c r="BF27" s="135"/>
      <c r="BG27" s="135"/>
      <c r="BH27" s="154"/>
      <c r="BI27" s="155"/>
      <c r="BJ27" s="156"/>
      <c r="BK27" s="156"/>
      <c r="BL27" s="156"/>
      <c r="BM27" s="156"/>
      <c r="BN27" s="156"/>
      <c r="BO27" s="156"/>
      <c r="BP27" s="162"/>
      <c r="BQ27" s="134"/>
      <c r="BR27" s="135"/>
      <c r="BS27" s="135"/>
      <c r="BT27" s="135"/>
      <c r="BU27" s="135"/>
      <c r="BV27" s="135"/>
      <c r="BW27" s="135"/>
      <c r="BX27" s="154"/>
      <c r="BY27" s="155"/>
      <c r="BZ27" s="156"/>
      <c r="CA27" s="156"/>
      <c r="CB27" s="156"/>
      <c r="CC27" s="156"/>
      <c r="CD27" s="156"/>
      <c r="CE27" s="156"/>
      <c r="CF27" s="162"/>
    </row>
    <row r="28" ht="20" customHeight="1" spans="1:84">
      <c r="A28" s="141" t="s">
        <v>150</v>
      </c>
      <c r="B28" s="120"/>
      <c r="C28" s="120"/>
      <c r="D28" s="122"/>
      <c r="E28" s="123"/>
      <c r="F28" s="124"/>
      <c r="G28" s="124"/>
      <c r="H28" s="124"/>
      <c r="I28" s="124"/>
      <c r="J28" s="124"/>
      <c r="K28" s="124"/>
      <c r="L28" s="148"/>
      <c r="M28" s="149"/>
      <c r="N28" s="150"/>
      <c r="O28" s="150"/>
      <c r="P28" s="150"/>
      <c r="Q28" s="150"/>
      <c r="R28" s="150"/>
      <c r="S28" s="150"/>
      <c r="T28" s="160"/>
      <c r="U28" s="123"/>
      <c r="V28" s="124"/>
      <c r="W28" s="124"/>
      <c r="X28" s="124"/>
      <c r="Y28" s="124"/>
      <c r="Z28" s="124"/>
      <c r="AA28" s="124"/>
      <c r="AB28" s="148"/>
      <c r="AC28" s="149"/>
      <c r="AD28" s="150"/>
      <c r="AE28" s="150"/>
      <c r="AF28" s="150"/>
      <c r="AG28" s="150"/>
      <c r="AH28" s="150"/>
      <c r="AI28" s="150"/>
      <c r="AJ28" s="160"/>
      <c r="AK28" s="123"/>
      <c r="AL28" s="124"/>
      <c r="AM28" s="124"/>
      <c r="AN28" s="124"/>
      <c r="AO28" s="124"/>
      <c r="AP28" s="124"/>
      <c r="AQ28" s="124"/>
      <c r="AR28" s="148"/>
      <c r="AS28" s="149"/>
      <c r="AT28" s="150"/>
      <c r="AU28" s="150"/>
      <c r="AV28" s="150"/>
      <c r="AW28" s="150"/>
      <c r="AX28" s="150"/>
      <c r="AY28" s="150"/>
      <c r="AZ28" s="160"/>
      <c r="BA28" s="123"/>
      <c r="BB28" s="124"/>
      <c r="BC28" s="124"/>
      <c r="BD28" s="124"/>
      <c r="BE28" s="124"/>
      <c r="BF28" s="124"/>
      <c r="BG28" s="124"/>
      <c r="BH28" s="148"/>
      <c r="BI28" s="149"/>
      <c r="BJ28" s="150"/>
      <c r="BK28" s="150"/>
      <c r="BL28" s="150"/>
      <c r="BM28" s="150"/>
      <c r="BN28" s="150"/>
      <c r="BO28" s="150"/>
      <c r="BP28" s="160"/>
      <c r="BQ28" s="123"/>
      <c r="BR28" s="124"/>
      <c r="BS28" s="124"/>
      <c r="BT28" s="124"/>
      <c r="BU28" s="124"/>
      <c r="BV28" s="124"/>
      <c r="BW28" s="124"/>
      <c r="BX28" s="148"/>
      <c r="BY28" s="149"/>
      <c r="BZ28" s="150"/>
      <c r="CA28" s="150"/>
      <c r="CB28" s="150"/>
      <c r="CC28" s="150"/>
      <c r="CD28" s="150"/>
      <c r="CE28" s="150"/>
      <c r="CF28" s="160"/>
    </row>
    <row r="29" ht="20" customHeight="1" spans="1:84">
      <c r="A29" s="142"/>
      <c r="B29" s="126"/>
      <c r="C29" s="126"/>
      <c r="D29" s="143"/>
      <c r="E29" s="129"/>
      <c r="F29" s="57"/>
      <c r="G29" s="57"/>
      <c r="H29" s="57"/>
      <c r="I29" s="57"/>
      <c r="J29" s="57"/>
      <c r="K29" s="57"/>
      <c r="L29" s="151"/>
      <c r="M29" s="152"/>
      <c r="N29" s="153"/>
      <c r="O29" s="153"/>
      <c r="P29" s="153"/>
      <c r="Q29" s="153"/>
      <c r="R29" s="153"/>
      <c r="S29" s="153"/>
      <c r="T29" s="161"/>
      <c r="U29" s="129"/>
      <c r="V29" s="57"/>
      <c r="W29" s="57"/>
      <c r="X29" s="57"/>
      <c r="Y29" s="57"/>
      <c r="Z29" s="57"/>
      <c r="AA29" s="57"/>
      <c r="AB29" s="151"/>
      <c r="AC29" s="152"/>
      <c r="AD29" s="153"/>
      <c r="AE29" s="153"/>
      <c r="AF29" s="153"/>
      <c r="AG29" s="153"/>
      <c r="AH29" s="153"/>
      <c r="AI29" s="153"/>
      <c r="AJ29" s="161"/>
      <c r="AK29" s="129"/>
      <c r="AL29" s="57"/>
      <c r="AM29" s="57"/>
      <c r="AN29" s="57"/>
      <c r="AO29" s="57"/>
      <c r="AP29" s="57"/>
      <c r="AQ29" s="57"/>
      <c r="AR29" s="151"/>
      <c r="AS29" s="152"/>
      <c r="AT29" s="153"/>
      <c r="AU29" s="153"/>
      <c r="AV29" s="153"/>
      <c r="AW29" s="153"/>
      <c r="AX29" s="153"/>
      <c r="AY29" s="153"/>
      <c r="AZ29" s="161"/>
      <c r="BA29" s="129"/>
      <c r="BB29" s="57"/>
      <c r="BC29" s="57"/>
      <c r="BD29" s="57"/>
      <c r="BE29" s="57"/>
      <c r="BF29" s="57"/>
      <c r="BG29" s="57"/>
      <c r="BH29" s="151"/>
      <c r="BI29" s="152"/>
      <c r="BJ29" s="153"/>
      <c r="BK29" s="153"/>
      <c r="BL29" s="153"/>
      <c r="BM29" s="153"/>
      <c r="BN29" s="153"/>
      <c r="BO29" s="153"/>
      <c r="BP29" s="161"/>
      <c r="BQ29" s="129"/>
      <c r="BR29" s="57"/>
      <c r="BS29" s="57"/>
      <c r="BT29" s="57"/>
      <c r="BU29" s="57"/>
      <c r="BV29" s="57"/>
      <c r="BW29" s="57"/>
      <c r="BX29" s="151"/>
      <c r="BY29" s="152"/>
      <c r="BZ29" s="153"/>
      <c r="CA29" s="153"/>
      <c r="CB29" s="153"/>
      <c r="CC29" s="153"/>
      <c r="CD29" s="153"/>
      <c r="CE29" s="153"/>
      <c r="CF29" s="161"/>
    </row>
    <row r="30" ht="20" customHeight="1" spans="1:84">
      <c r="A30" s="142"/>
      <c r="B30" s="126"/>
      <c r="C30" s="126"/>
      <c r="D30" s="143"/>
      <c r="E30" s="129"/>
      <c r="F30" s="57"/>
      <c r="G30" s="57"/>
      <c r="H30" s="57"/>
      <c r="I30" s="57"/>
      <c r="J30" s="57"/>
      <c r="K30" s="57"/>
      <c r="L30" s="151"/>
      <c r="M30" s="152"/>
      <c r="N30" s="153"/>
      <c r="O30" s="153"/>
      <c r="P30" s="153"/>
      <c r="Q30" s="153"/>
      <c r="R30" s="153"/>
      <c r="S30" s="153"/>
      <c r="T30" s="161"/>
      <c r="U30" s="129"/>
      <c r="V30" s="57"/>
      <c r="W30" s="57"/>
      <c r="X30" s="57"/>
      <c r="Y30" s="57"/>
      <c r="Z30" s="57"/>
      <c r="AA30" s="57"/>
      <c r="AB30" s="151"/>
      <c r="AC30" s="152"/>
      <c r="AD30" s="153"/>
      <c r="AE30" s="153"/>
      <c r="AF30" s="153"/>
      <c r="AG30" s="153"/>
      <c r="AH30" s="153"/>
      <c r="AI30" s="153"/>
      <c r="AJ30" s="161"/>
      <c r="AK30" s="129"/>
      <c r="AL30" s="57"/>
      <c r="AM30" s="57"/>
      <c r="AN30" s="57"/>
      <c r="AO30" s="57"/>
      <c r="AP30" s="57"/>
      <c r="AQ30" s="57"/>
      <c r="AR30" s="151"/>
      <c r="AS30" s="152"/>
      <c r="AT30" s="153"/>
      <c r="AU30" s="153"/>
      <c r="AV30" s="153"/>
      <c r="AW30" s="153"/>
      <c r="AX30" s="153"/>
      <c r="AY30" s="153"/>
      <c r="AZ30" s="161"/>
      <c r="BA30" s="129"/>
      <c r="BB30" s="57"/>
      <c r="BC30" s="57"/>
      <c r="BD30" s="57"/>
      <c r="BE30" s="57"/>
      <c r="BF30" s="57"/>
      <c r="BG30" s="57"/>
      <c r="BH30" s="151"/>
      <c r="BI30" s="152"/>
      <c r="BJ30" s="153"/>
      <c r="BK30" s="153"/>
      <c r="BL30" s="153"/>
      <c r="BM30" s="153"/>
      <c r="BN30" s="153"/>
      <c r="BO30" s="153"/>
      <c r="BP30" s="161"/>
      <c r="BQ30" s="129"/>
      <c r="BR30" s="57"/>
      <c r="BS30" s="57"/>
      <c r="BT30" s="57"/>
      <c r="BU30" s="57"/>
      <c r="BV30" s="57"/>
      <c r="BW30" s="57"/>
      <c r="BX30" s="151"/>
      <c r="BY30" s="152"/>
      <c r="BZ30" s="153"/>
      <c r="CA30" s="153"/>
      <c r="CB30" s="153"/>
      <c r="CC30" s="153"/>
      <c r="CD30" s="153"/>
      <c r="CE30" s="153"/>
      <c r="CF30" s="161"/>
    </row>
    <row r="31" ht="20" customHeight="1" spans="1:84">
      <c r="A31" s="142"/>
      <c r="B31" s="126"/>
      <c r="C31" s="126"/>
      <c r="D31" s="143"/>
      <c r="E31" s="129"/>
      <c r="F31" s="57"/>
      <c r="G31" s="57"/>
      <c r="H31" s="57"/>
      <c r="I31" s="57"/>
      <c r="J31" s="57"/>
      <c r="K31" s="57"/>
      <c r="L31" s="151"/>
      <c r="M31" s="152"/>
      <c r="N31" s="153"/>
      <c r="O31" s="153"/>
      <c r="P31" s="153"/>
      <c r="Q31" s="153"/>
      <c r="R31" s="153"/>
      <c r="S31" s="153"/>
      <c r="T31" s="161"/>
      <c r="U31" s="129"/>
      <c r="V31" s="57"/>
      <c r="W31" s="57"/>
      <c r="X31" s="57"/>
      <c r="Y31" s="57"/>
      <c r="Z31" s="57"/>
      <c r="AA31" s="57"/>
      <c r="AB31" s="151"/>
      <c r="AC31" s="152"/>
      <c r="AD31" s="153"/>
      <c r="AE31" s="153"/>
      <c r="AF31" s="153"/>
      <c r="AG31" s="153"/>
      <c r="AH31" s="153"/>
      <c r="AI31" s="153"/>
      <c r="AJ31" s="161"/>
      <c r="AK31" s="129"/>
      <c r="AL31" s="57"/>
      <c r="AM31" s="57"/>
      <c r="AN31" s="57"/>
      <c r="AO31" s="57"/>
      <c r="AP31" s="57"/>
      <c r="AQ31" s="57"/>
      <c r="AR31" s="151"/>
      <c r="AS31" s="152"/>
      <c r="AT31" s="153"/>
      <c r="AU31" s="153"/>
      <c r="AV31" s="153"/>
      <c r="AW31" s="153"/>
      <c r="AX31" s="153"/>
      <c r="AY31" s="153"/>
      <c r="AZ31" s="161"/>
      <c r="BA31" s="129"/>
      <c r="BB31" s="57"/>
      <c r="BC31" s="57"/>
      <c r="BD31" s="57"/>
      <c r="BE31" s="57"/>
      <c r="BF31" s="57"/>
      <c r="BG31" s="57"/>
      <c r="BH31" s="151"/>
      <c r="BI31" s="152"/>
      <c r="BJ31" s="153"/>
      <c r="BK31" s="153"/>
      <c r="BL31" s="153"/>
      <c r="BM31" s="153"/>
      <c r="BN31" s="153"/>
      <c r="BO31" s="153"/>
      <c r="BP31" s="161"/>
      <c r="BQ31" s="129"/>
      <c r="BR31" s="57"/>
      <c r="BS31" s="57"/>
      <c r="BT31" s="57"/>
      <c r="BU31" s="57"/>
      <c r="BV31" s="57"/>
      <c r="BW31" s="57"/>
      <c r="BX31" s="151"/>
      <c r="BY31" s="152"/>
      <c r="BZ31" s="153"/>
      <c r="CA31" s="153"/>
      <c r="CB31" s="153"/>
      <c r="CC31" s="153"/>
      <c r="CD31" s="153"/>
      <c r="CE31" s="153"/>
      <c r="CF31" s="161"/>
    </row>
    <row r="32" ht="20" customHeight="1" spans="1:84">
      <c r="A32" s="142"/>
      <c r="B32" s="126"/>
      <c r="C32" s="126"/>
      <c r="D32" s="143"/>
      <c r="E32" s="129"/>
      <c r="F32" s="57"/>
      <c r="G32" s="57"/>
      <c r="H32" s="57"/>
      <c r="I32" s="57"/>
      <c r="J32" s="57"/>
      <c r="K32" s="57"/>
      <c r="L32" s="151"/>
      <c r="M32" s="152"/>
      <c r="N32" s="153"/>
      <c r="O32" s="153"/>
      <c r="P32" s="153"/>
      <c r="Q32" s="153"/>
      <c r="R32" s="153"/>
      <c r="S32" s="153"/>
      <c r="T32" s="161"/>
      <c r="U32" s="129"/>
      <c r="V32" s="57"/>
      <c r="W32" s="57"/>
      <c r="X32" s="57"/>
      <c r="Y32" s="57"/>
      <c r="Z32" s="57"/>
      <c r="AA32" s="57"/>
      <c r="AB32" s="151"/>
      <c r="AC32" s="152"/>
      <c r="AD32" s="153"/>
      <c r="AE32" s="153"/>
      <c r="AF32" s="153"/>
      <c r="AG32" s="153"/>
      <c r="AH32" s="153"/>
      <c r="AI32" s="153"/>
      <c r="AJ32" s="161"/>
      <c r="AK32" s="129"/>
      <c r="AL32" s="57"/>
      <c r="AM32" s="57"/>
      <c r="AN32" s="57"/>
      <c r="AO32" s="57"/>
      <c r="AP32" s="57"/>
      <c r="AQ32" s="57"/>
      <c r="AR32" s="151"/>
      <c r="AS32" s="152"/>
      <c r="AT32" s="153"/>
      <c r="AU32" s="153"/>
      <c r="AV32" s="153"/>
      <c r="AW32" s="153"/>
      <c r="AX32" s="153"/>
      <c r="AY32" s="153"/>
      <c r="AZ32" s="161"/>
      <c r="BA32" s="129"/>
      <c r="BB32" s="57"/>
      <c r="BC32" s="57"/>
      <c r="BD32" s="57"/>
      <c r="BE32" s="57"/>
      <c r="BF32" s="57"/>
      <c r="BG32" s="57"/>
      <c r="BH32" s="151"/>
      <c r="BI32" s="152"/>
      <c r="BJ32" s="153"/>
      <c r="BK32" s="153"/>
      <c r="BL32" s="153"/>
      <c r="BM32" s="153"/>
      <c r="BN32" s="153"/>
      <c r="BO32" s="153"/>
      <c r="BP32" s="161"/>
      <c r="BQ32" s="129"/>
      <c r="BR32" s="57"/>
      <c r="BS32" s="57"/>
      <c r="BT32" s="57"/>
      <c r="BU32" s="57"/>
      <c r="BV32" s="57"/>
      <c r="BW32" s="57"/>
      <c r="BX32" s="151"/>
      <c r="BY32" s="152"/>
      <c r="BZ32" s="153"/>
      <c r="CA32" s="153"/>
      <c r="CB32" s="153"/>
      <c r="CC32" s="153"/>
      <c r="CD32" s="153"/>
      <c r="CE32" s="153"/>
      <c r="CF32" s="161"/>
    </row>
    <row r="33" ht="20" customHeight="1" spans="1:84">
      <c r="A33" s="142"/>
      <c r="B33" s="126"/>
      <c r="C33" s="126"/>
      <c r="D33" s="143"/>
      <c r="E33" s="129"/>
      <c r="F33" s="57"/>
      <c r="G33" s="57"/>
      <c r="H33" s="57"/>
      <c r="I33" s="57"/>
      <c r="J33" s="57"/>
      <c r="K33" s="57"/>
      <c r="L33" s="151"/>
      <c r="M33" s="152"/>
      <c r="N33" s="153"/>
      <c r="O33" s="153"/>
      <c r="P33" s="153"/>
      <c r="Q33" s="153"/>
      <c r="R33" s="153"/>
      <c r="S33" s="153"/>
      <c r="T33" s="161"/>
      <c r="U33" s="129"/>
      <c r="V33" s="57"/>
      <c r="W33" s="57"/>
      <c r="X33" s="57"/>
      <c r="Y33" s="57"/>
      <c r="Z33" s="57"/>
      <c r="AA33" s="57"/>
      <c r="AB33" s="151"/>
      <c r="AC33" s="152"/>
      <c r="AD33" s="153"/>
      <c r="AE33" s="153"/>
      <c r="AF33" s="153"/>
      <c r="AG33" s="153"/>
      <c r="AH33" s="153"/>
      <c r="AI33" s="153"/>
      <c r="AJ33" s="161"/>
      <c r="AK33" s="129"/>
      <c r="AL33" s="57"/>
      <c r="AM33" s="57"/>
      <c r="AN33" s="57"/>
      <c r="AO33" s="57"/>
      <c r="AP33" s="57"/>
      <c r="AQ33" s="57"/>
      <c r="AR33" s="151"/>
      <c r="AS33" s="152"/>
      <c r="AT33" s="153"/>
      <c r="AU33" s="153"/>
      <c r="AV33" s="153"/>
      <c r="AW33" s="153"/>
      <c r="AX33" s="153"/>
      <c r="AY33" s="153"/>
      <c r="AZ33" s="161"/>
      <c r="BA33" s="129"/>
      <c r="BB33" s="57"/>
      <c r="BC33" s="57"/>
      <c r="BD33" s="57"/>
      <c r="BE33" s="57"/>
      <c r="BF33" s="57"/>
      <c r="BG33" s="57"/>
      <c r="BH33" s="151"/>
      <c r="BI33" s="152"/>
      <c r="BJ33" s="153"/>
      <c r="BK33" s="153"/>
      <c r="BL33" s="153"/>
      <c r="BM33" s="153"/>
      <c r="BN33" s="153"/>
      <c r="BO33" s="153"/>
      <c r="BP33" s="161"/>
      <c r="BQ33" s="129"/>
      <c r="BR33" s="57"/>
      <c r="BS33" s="57"/>
      <c r="BT33" s="57"/>
      <c r="BU33" s="57"/>
      <c r="BV33" s="57"/>
      <c r="BW33" s="57"/>
      <c r="BX33" s="151"/>
      <c r="BY33" s="152"/>
      <c r="BZ33" s="153"/>
      <c r="CA33" s="153"/>
      <c r="CB33" s="153"/>
      <c r="CC33" s="153"/>
      <c r="CD33" s="153"/>
      <c r="CE33" s="153"/>
      <c r="CF33" s="161"/>
    </row>
    <row r="34" ht="20" customHeight="1" spans="1:84">
      <c r="A34" s="142"/>
      <c r="B34" s="126"/>
      <c r="C34" s="126"/>
      <c r="D34" s="143"/>
      <c r="E34" s="129"/>
      <c r="F34" s="57"/>
      <c r="G34" s="57"/>
      <c r="H34" s="57"/>
      <c r="I34" s="57"/>
      <c r="J34" s="57"/>
      <c r="K34" s="57"/>
      <c r="L34" s="151"/>
      <c r="M34" s="152"/>
      <c r="N34" s="153"/>
      <c r="O34" s="153"/>
      <c r="P34" s="153"/>
      <c r="Q34" s="153"/>
      <c r="R34" s="153"/>
      <c r="S34" s="153"/>
      <c r="T34" s="161"/>
      <c r="U34" s="129"/>
      <c r="V34" s="57"/>
      <c r="W34" s="57"/>
      <c r="X34" s="57"/>
      <c r="Y34" s="57"/>
      <c r="Z34" s="57"/>
      <c r="AA34" s="57"/>
      <c r="AB34" s="151"/>
      <c r="AC34" s="152"/>
      <c r="AD34" s="153"/>
      <c r="AE34" s="153"/>
      <c r="AF34" s="153"/>
      <c r="AG34" s="153"/>
      <c r="AH34" s="153"/>
      <c r="AI34" s="153"/>
      <c r="AJ34" s="161"/>
      <c r="AK34" s="129"/>
      <c r="AL34" s="57"/>
      <c r="AM34" s="57"/>
      <c r="AN34" s="57"/>
      <c r="AO34" s="57"/>
      <c r="AP34" s="57"/>
      <c r="AQ34" s="57"/>
      <c r="AR34" s="151"/>
      <c r="AS34" s="152"/>
      <c r="AT34" s="153"/>
      <c r="AU34" s="153"/>
      <c r="AV34" s="153"/>
      <c r="AW34" s="153"/>
      <c r="AX34" s="153"/>
      <c r="AY34" s="153"/>
      <c r="AZ34" s="161"/>
      <c r="BA34" s="129"/>
      <c r="BB34" s="57"/>
      <c r="BC34" s="57"/>
      <c r="BD34" s="57"/>
      <c r="BE34" s="57"/>
      <c r="BF34" s="57"/>
      <c r="BG34" s="57"/>
      <c r="BH34" s="151"/>
      <c r="BI34" s="152"/>
      <c r="BJ34" s="153"/>
      <c r="BK34" s="153"/>
      <c r="BL34" s="153"/>
      <c r="BM34" s="153"/>
      <c r="BN34" s="153"/>
      <c r="BO34" s="153"/>
      <c r="BP34" s="161"/>
      <c r="BQ34" s="129"/>
      <c r="BR34" s="57"/>
      <c r="BS34" s="57"/>
      <c r="BT34" s="57"/>
      <c r="BU34" s="57"/>
      <c r="BV34" s="57"/>
      <c r="BW34" s="57"/>
      <c r="BX34" s="151"/>
      <c r="BY34" s="152"/>
      <c r="BZ34" s="153"/>
      <c r="CA34" s="153"/>
      <c r="CB34" s="153"/>
      <c r="CC34" s="153"/>
      <c r="CD34" s="153"/>
      <c r="CE34" s="153"/>
      <c r="CF34" s="161"/>
    </row>
    <row r="35" ht="20" customHeight="1" spans="1:84">
      <c r="A35" s="144"/>
      <c r="B35" s="131"/>
      <c r="C35" s="131"/>
      <c r="D35" s="145"/>
      <c r="E35" s="134"/>
      <c r="F35" s="135"/>
      <c r="G35" s="135"/>
      <c r="H35" s="135"/>
      <c r="I35" s="135"/>
      <c r="J35" s="135"/>
      <c r="K35" s="135"/>
      <c r="L35" s="154"/>
      <c r="M35" s="155"/>
      <c r="N35" s="156"/>
      <c r="O35" s="156"/>
      <c r="P35" s="156"/>
      <c r="Q35" s="156"/>
      <c r="R35" s="156"/>
      <c r="S35" s="156"/>
      <c r="T35" s="162"/>
      <c r="U35" s="134"/>
      <c r="V35" s="135"/>
      <c r="W35" s="135"/>
      <c r="X35" s="135"/>
      <c r="Y35" s="135"/>
      <c r="Z35" s="135"/>
      <c r="AA35" s="135"/>
      <c r="AB35" s="154"/>
      <c r="AC35" s="155"/>
      <c r="AD35" s="156"/>
      <c r="AE35" s="156"/>
      <c r="AF35" s="156"/>
      <c r="AG35" s="156"/>
      <c r="AH35" s="156"/>
      <c r="AI35" s="156"/>
      <c r="AJ35" s="162"/>
      <c r="AK35" s="134"/>
      <c r="AL35" s="135"/>
      <c r="AM35" s="135"/>
      <c r="AN35" s="135"/>
      <c r="AO35" s="135"/>
      <c r="AP35" s="135"/>
      <c r="AQ35" s="135"/>
      <c r="AR35" s="154"/>
      <c r="AS35" s="155"/>
      <c r="AT35" s="156"/>
      <c r="AU35" s="156"/>
      <c r="AV35" s="156"/>
      <c r="AW35" s="156"/>
      <c r="AX35" s="156"/>
      <c r="AY35" s="156"/>
      <c r="AZ35" s="162"/>
      <c r="BA35" s="134"/>
      <c r="BB35" s="135"/>
      <c r="BC35" s="135"/>
      <c r="BD35" s="135"/>
      <c r="BE35" s="135"/>
      <c r="BF35" s="135"/>
      <c r="BG35" s="135"/>
      <c r="BH35" s="154"/>
      <c r="BI35" s="155"/>
      <c r="BJ35" s="156"/>
      <c r="BK35" s="156"/>
      <c r="BL35" s="156"/>
      <c r="BM35" s="156"/>
      <c r="BN35" s="156"/>
      <c r="BO35" s="156"/>
      <c r="BP35" s="162"/>
      <c r="BQ35" s="134"/>
      <c r="BR35" s="135"/>
      <c r="BS35" s="135"/>
      <c r="BT35" s="135"/>
      <c r="BU35" s="135"/>
      <c r="BV35" s="135"/>
      <c r="BW35" s="135"/>
      <c r="BX35" s="154"/>
      <c r="BY35" s="155"/>
      <c r="BZ35" s="156"/>
      <c r="CA35" s="156"/>
      <c r="CB35" s="156"/>
      <c r="CC35" s="156"/>
      <c r="CD35" s="156"/>
      <c r="CE35" s="156"/>
      <c r="CF35" s="162"/>
    </row>
  </sheetData>
  <autoFilter xmlns:etc="http://www.wps.cn/officeDocument/2017/etCustomData" ref="B2:D9" etc:filterBottomFollowUsedRange="0">
    <extLst/>
  </autoFilter>
  <mergeCells count="14">
    <mergeCell ref="E1:L1"/>
    <mergeCell ref="M1:T1"/>
    <mergeCell ref="U1:AB1"/>
    <mergeCell ref="AC1:AJ1"/>
    <mergeCell ref="AK1:AR1"/>
    <mergeCell ref="AS1:AZ1"/>
    <mergeCell ref="BA1:BH1"/>
    <mergeCell ref="BI1:BP1"/>
    <mergeCell ref="BQ1:BX1"/>
    <mergeCell ref="BY1:CF1"/>
    <mergeCell ref="A3:A10"/>
    <mergeCell ref="A12:A19"/>
    <mergeCell ref="A20:A27"/>
    <mergeCell ref="A28:A35"/>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Q41"/>
  <sheetViews>
    <sheetView zoomScale="85" zoomScaleNormal="85" workbookViewId="0">
      <selection activeCell="Q15" sqref="Q15"/>
    </sheetView>
  </sheetViews>
  <sheetFormatPr defaultColWidth="8.73148148148148" defaultRowHeight="36" customHeight="1"/>
  <cols>
    <col min="1" max="16" width="12.7314814814815" customWidth="1"/>
  </cols>
  <sheetData>
    <row r="1" ht="15" customHeight="1" spans="1:6">
      <c r="A1" s="56" t="s">
        <v>151</v>
      </c>
      <c r="B1" s="56"/>
      <c r="C1" s="56"/>
      <c r="D1" s="56"/>
      <c r="F1" s="56"/>
    </row>
    <row r="2" ht="15" customHeight="1" spans="7:10">
      <c r="G2" s="57" t="s">
        <v>152</v>
      </c>
      <c r="H2" s="58" t="s">
        <v>153</v>
      </c>
      <c r="I2" s="88" t="s">
        <v>154</v>
      </c>
      <c r="J2" t="s">
        <v>155</v>
      </c>
    </row>
    <row r="3" ht="15" customHeight="1" spans="7:10">
      <c r="G3" s="59"/>
      <c r="H3" s="59"/>
      <c r="I3" s="49" t="s">
        <v>156</v>
      </c>
      <c r="J3" s="89" t="s">
        <v>157</v>
      </c>
    </row>
    <row r="4" ht="15" customHeight="1" spans="7:10">
      <c r="G4" s="59"/>
      <c r="H4" s="59"/>
      <c r="I4" s="90" t="s">
        <v>158</v>
      </c>
      <c r="J4" s="89" t="s">
        <v>159</v>
      </c>
    </row>
    <row r="5" ht="15" customHeight="1" spans="7:10">
      <c r="G5" s="59"/>
      <c r="H5" s="59"/>
      <c r="I5" s="91" t="s">
        <v>160</v>
      </c>
      <c r="J5" t="s">
        <v>161</v>
      </c>
    </row>
    <row r="6" ht="15" customHeight="1"/>
    <row r="7" ht="29" customHeight="1" spans="1:16">
      <c r="A7" s="60" t="s">
        <v>162</v>
      </c>
      <c r="B7" s="61"/>
      <c r="C7" s="61"/>
      <c r="D7" s="61"/>
      <c r="E7" s="61"/>
      <c r="F7" s="61"/>
      <c r="G7" s="61"/>
      <c r="H7" s="61"/>
      <c r="I7" s="61"/>
      <c r="J7" s="61"/>
      <c r="K7" s="61"/>
      <c r="L7" s="61"/>
      <c r="M7" s="61"/>
      <c r="N7" s="61"/>
      <c r="O7" s="61"/>
      <c r="P7" s="92"/>
    </row>
    <row r="8" customHeight="1" spans="1:16">
      <c r="A8" s="62" t="s">
        <v>163</v>
      </c>
      <c r="B8" s="63" t="s">
        <v>164</v>
      </c>
      <c r="C8" s="63"/>
      <c r="D8" s="63"/>
      <c r="E8" s="63" t="s">
        <v>165</v>
      </c>
      <c r="F8" s="63"/>
      <c r="G8" s="63"/>
      <c r="H8" s="63" t="s">
        <v>166</v>
      </c>
      <c r="I8" s="63"/>
      <c r="J8" s="63"/>
      <c r="K8" s="63" t="s">
        <v>167</v>
      </c>
      <c r="L8" s="63"/>
      <c r="M8" s="63"/>
      <c r="N8" s="63" t="s">
        <v>168</v>
      </c>
      <c r="O8" s="63"/>
      <c r="P8" s="93"/>
    </row>
    <row r="9" customHeight="1" spans="1:16">
      <c r="A9" s="62" t="s">
        <v>169</v>
      </c>
      <c r="B9" s="64" t="s">
        <v>21</v>
      </c>
      <c r="C9" s="10" t="s">
        <v>26</v>
      </c>
      <c r="D9" s="64" t="s">
        <v>31</v>
      </c>
      <c r="E9" s="65" t="s">
        <v>21</v>
      </c>
      <c r="F9" s="32" t="s">
        <v>26</v>
      </c>
      <c r="G9" s="65" t="s">
        <v>31</v>
      </c>
      <c r="H9" s="64" t="s">
        <v>21</v>
      </c>
      <c r="I9" s="10" t="s">
        <v>26</v>
      </c>
      <c r="J9" s="64" t="s">
        <v>31</v>
      </c>
      <c r="K9" s="65" t="s">
        <v>21</v>
      </c>
      <c r="L9" s="32" t="s">
        <v>26</v>
      </c>
      <c r="M9" s="65" t="s">
        <v>31</v>
      </c>
      <c r="N9" s="94" t="s">
        <v>21</v>
      </c>
      <c r="O9" s="95" t="s">
        <v>26</v>
      </c>
      <c r="P9" s="96" t="s">
        <v>31</v>
      </c>
    </row>
    <row r="10" ht="38" customHeight="1" spans="1:17">
      <c r="A10" s="62" t="s">
        <v>170</v>
      </c>
      <c r="B10" s="66">
        <v>0.3</v>
      </c>
      <c r="C10" s="66">
        <v>0.2</v>
      </c>
      <c r="D10" s="66">
        <v>0.7</v>
      </c>
      <c r="E10" s="66"/>
      <c r="F10" s="66"/>
      <c r="G10" s="66"/>
      <c r="H10" s="66"/>
      <c r="I10" s="66"/>
      <c r="J10" s="66"/>
      <c r="K10" s="66"/>
      <c r="L10" s="66"/>
      <c r="M10" s="66"/>
      <c r="N10" s="66"/>
      <c r="O10" s="66"/>
      <c r="P10" s="97"/>
      <c r="Q10" t="s">
        <v>171</v>
      </c>
    </row>
    <row r="11" ht="38" customHeight="1" spans="1:16">
      <c r="A11" s="67" t="s">
        <v>172</v>
      </c>
      <c r="B11" s="68" t="s">
        <v>173</v>
      </c>
      <c r="C11" s="69" t="s">
        <v>174</v>
      </c>
      <c r="D11" s="70" t="s">
        <v>175</v>
      </c>
      <c r="E11" s="71" t="s">
        <v>176</v>
      </c>
      <c r="F11" s="72" t="s">
        <v>177</v>
      </c>
      <c r="G11" s="73" t="s">
        <v>178</v>
      </c>
      <c r="H11" s="68" t="s">
        <v>179</v>
      </c>
      <c r="I11" s="69" t="s">
        <v>180</v>
      </c>
      <c r="J11" s="70" t="s">
        <v>181</v>
      </c>
      <c r="K11" s="71" t="s">
        <v>174</v>
      </c>
      <c r="L11" s="72" t="s">
        <v>182</v>
      </c>
      <c r="M11" s="73" t="s">
        <v>183</v>
      </c>
      <c r="N11" s="98" t="s">
        <v>177</v>
      </c>
      <c r="O11" s="99" t="s">
        <v>184</v>
      </c>
      <c r="P11" s="100" t="s">
        <v>185</v>
      </c>
    </row>
    <row r="12" ht="14" customHeight="1"/>
    <row r="13" ht="29" customHeight="1" spans="1:14">
      <c r="A13" s="74" t="str">
        <f>B8</f>
        <v>21.22周（第1.2周）</v>
      </c>
      <c r="B13" s="75"/>
      <c r="C13" s="75"/>
      <c r="D13" s="75"/>
      <c r="E13" s="75"/>
      <c r="F13" s="75"/>
      <c r="G13" s="75"/>
      <c r="H13" s="75"/>
      <c r="I13" s="75"/>
      <c r="J13" s="101" t="s">
        <v>186</v>
      </c>
      <c r="K13" s="102">
        <v>14</v>
      </c>
      <c r="L13" s="103" t="s">
        <v>187</v>
      </c>
      <c r="M13" s="103"/>
      <c r="N13" s="104"/>
    </row>
    <row r="14" customHeight="1" spans="1:14">
      <c r="A14" s="62" t="s">
        <v>169</v>
      </c>
      <c r="B14" s="64" t="s">
        <v>188</v>
      </c>
      <c r="C14" s="10" t="s">
        <v>189</v>
      </c>
      <c r="D14" s="64" t="s">
        <v>190</v>
      </c>
      <c r="E14" s="76" t="s">
        <v>12</v>
      </c>
      <c r="F14" s="76" t="s">
        <v>191</v>
      </c>
      <c r="G14" s="76" t="s">
        <v>31</v>
      </c>
      <c r="H14" s="10" t="s">
        <v>192</v>
      </c>
      <c r="I14" s="76" t="s">
        <v>26</v>
      </c>
      <c r="J14" s="10" t="s">
        <v>193</v>
      </c>
      <c r="K14" s="76" t="s">
        <v>21</v>
      </c>
      <c r="L14" s="64" t="str">
        <f>B8</f>
        <v>21.22周（第1.2周）</v>
      </c>
      <c r="M14" s="64"/>
      <c r="N14" s="105"/>
    </row>
    <row r="15" ht="38" customHeight="1" spans="1:14">
      <c r="A15" s="62" t="s">
        <v>194</v>
      </c>
      <c r="B15" s="77">
        <v>39.99</v>
      </c>
      <c r="C15" s="78">
        <v>15</v>
      </c>
      <c r="D15" s="79">
        <f>B15*C15*K13</f>
        <v>8397.9</v>
      </c>
      <c r="E15" s="80">
        <v>0.1</v>
      </c>
      <c r="F15" s="81">
        <v>1.2</v>
      </c>
      <c r="G15" s="82">
        <v>0.6</v>
      </c>
      <c r="H15" s="79">
        <f>D15*G15</f>
        <v>5038.74</v>
      </c>
      <c r="I15" s="106">
        <f>IFERROR(J15/D15,)</f>
        <v>0.180045011252813</v>
      </c>
      <c r="J15" s="107">
        <f>IFERROR((H15*F15)/(E15*B15),)</f>
        <v>1512</v>
      </c>
      <c r="K15" s="106">
        <f>IFERROR(F15/(B15*E15),)</f>
        <v>0.300075018754689</v>
      </c>
      <c r="L15" s="64" t="s">
        <v>21</v>
      </c>
      <c r="M15" s="10" t="s">
        <v>26</v>
      </c>
      <c r="N15" s="105" t="s">
        <v>31</v>
      </c>
    </row>
    <row r="16" ht="43.05" customHeight="1" spans="1:14">
      <c r="A16" s="67" t="s">
        <v>195</v>
      </c>
      <c r="B16" s="83"/>
      <c r="C16" s="84"/>
      <c r="D16" s="70">
        <f>B16*C16*K13</f>
        <v>0</v>
      </c>
      <c r="E16" s="85"/>
      <c r="F16" s="85"/>
      <c r="G16" s="85"/>
      <c r="H16" s="70">
        <f>D16*G16</f>
        <v>0</v>
      </c>
      <c r="I16" s="85"/>
      <c r="J16" s="68">
        <f>D16*I16</f>
        <v>0</v>
      </c>
      <c r="K16" s="85"/>
      <c r="L16" s="108">
        <f>B10</f>
        <v>0.3</v>
      </c>
      <c r="M16" s="108">
        <f>C10</f>
        <v>0.2</v>
      </c>
      <c r="N16" s="109">
        <f>D10</f>
        <v>0.7</v>
      </c>
    </row>
    <row r="17" ht="43.05" customHeight="1" spans="1:14">
      <c r="A17" s="86" t="s">
        <v>196</v>
      </c>
      <c r="B17" s="87"/>
      <c r="C17" s="87"/>
      <c r="D17" s="87"/>
      <c r="E17" s="87"/>
      <c r="F17" s="87"/>
      <c r="G17" s="87"/>
      <c r="H17" s="87"/>
      <c r="I17" s="87"/>
      <c r="J17" s="87"/>
      <c r="K17" s="87"/>
      <c r="L17" s="87"/>
      <c r="M17" s="87"/>
      <c r="N17" s="110"/>
    </row>
    <row r="18" ht="14" customHeight="1"/>
    <row r="19" ht="29" customHeight="1" spans="1:14">
      <c r="A19" s="74" t="str">
        <f>E8</f>
        <v>23.24周（第3.4周）</v>
      </c>
      <c r="B19" s="75"/>
      <c r="C19" s="75"/>
      <c r="D19" s="75"/>
      <c r="E19" s="75"/>
      <c r="F19" s="75"/>
      <c r="G19" s="75"/>
      <c r="H19" s="75"/>
      <c r="I19" s="75"/>
      <c r="J19" s="101" t="s">
        <v>186</v>
      </c>
      <c r="K19" s="102">
        <v>14</v>
      </c>
      <c r="L19" s="103" t="s">
        <v>187</v>
      </c>
      <c r="M19" s="103"/>
      <c r="N19" s="104"/>
    </row>
    <row r="20" customHeight="1" spans="1:14">
      <c r="A20" s="62" t="s">
        <v>169</v>
      </c>
      <c r="B20" s="64" t="s">
        <v>188</v>
      </c>
      <c r="C20" s="10" t="s">
        <v>189</v>
      </c>
      <c r="D20" s="64" t="s">
        <v>190</v>
      </c>
      <c r="E20" s="76" t="s">
        <v>12</v>
      </c>
      <c r="F20" s="76" t="s">
        <v>191</v>
      </c>
      <c r="G20" s="76" t="s">
        <v>31</v>
      </c>
      <c r="H20" s="10" t="s">
        <v>192</v>
      </c>
      <c r="I20" s="76" t="s">
        <v>26</v>
      </c>
      <c r="J20" s="10" t="s">
        <v>193</v>
      </c>
      <c r="K20" s="76" t="s">
        <v>21</v>
      </c>
      <c r="L20" s="64" t="str">
        <f>E8</f>
        <v>23.24周（第3.4周）</v>
      </c>
      <c r="M20" s="64"/>
      <c r="N20" s="105"/>
    </row>
    <row r="21" ht="38" customHeight="1" spans="1:14">
      <c r="A21" s="62" t="s">
        <v>194</v>
      </c>
      <c r="B21" s="77">
        <v>39.99</v>
      </c>
      <c r="C21" s="78">
        <v>28</v>
      </c>
      <c r="D21" s="79">
        <f>B21*C21*K19</f>
        <v>15676.08</v>
      </c>
      <c r="E21" s="80"/>
      <c r="F21" s="81"/>
      <c r="G21" s="82"/>
      <c r="H21" s="79">
        <f>D21*G21</f>
        <v>0</v>
      </c>
      <c r="I21" s="106">
        <f>IFERROR(J21/D21,)</f>
        <v>0</v>
      </c>
      <c r="J21" s="107">
        <f>IFERROR((H21*F21)/(E21*B21),)</f>
        <v>0</v>
      </c>
      <c r="K21" s="106">
        <f>IFERROR(F21/(B21*E21),)</f>
        <v>0</v>
      </c>
      <c r="L21" s="64" t="s">
        <v>21</v>
      </c>
      <c r="M21" s="10" t="s">
        <v>26</v>
      </c>
      <c r="N21" s="105" t="s">
        <v>31</v>
      </c>
    </row>
    <row r="22" ht="43.05" customHeight="1" spans="1:14">
      <c r="A22" s="67" t="s">
        <v>195</v>
      </c>
      <c r="B22" s="83"/>
      <c r="C22" s="84"/>
      <c r="D22" s="70">
        <f>B22*C22*K19</f>
        <v>0</v>
      </c>
      <c r="E22" s="85"/>
      <c r="F22" s="85"/>
      <c r="G22" s="85"/>
      <c r="H22" s="70">
        <f>D22*G22</f>
        <v>0</v>
      </c>
      <c r="I22" s="85"/>
      <c r="J22" s="68">
        <f>D22*I22</f>
        <v>0</v>
      </c>
      <c r="K22" s="85"/>
      <c r="L22" s="108">
        <f>E10</f>
        <v>0</v>
      </c>
      <c r="M22" s="108">
        <f>F10</f>
        <v>0</v>
      </c>
      <c r="N22" s="109">
        <f>G10</f>
        <v>0</v>
      </c>
    </row>
    <row r="23" ht="43.05" customHeight="1" spans="1:14">
      <c r="A23" s="86" t="s">
        <v>197</v>
      </c>
      <c r="B23" s="87"/>
      <c r="C23" s="87"/>
      <c r="D23" s="87"/>
      <c r="E23" s="87"/>
      <c r="F23" s="87"/>
      <c r="G23" s="87"/>
      <c r="H23" s="87"/>
      <c r="I23" s="87"/>
      <c r="J23" s="87"/>
      <c r="K23" s="87"/>
      <c r="L23" s="87"/>
      <c r="M23" s="87"/>
      <c r="N23" s="110"/>
    </row>
    <row r="24" ht="14" customHeight="1"/>
    <row r="25" ht="29" customHeight="1" spans="1:14">
      <c r="A25" s="74" t="str">
        <f>H8</f>
        <v>25.26.27.28周（第5.6.7.8周）</v>
      </c>
      <c r="B25" s="75"/>
      <c r="C25" s="75"/>
      <c r="D25" s="75"/>
      <c r="E25" s="75"/>
      <c r="F25" s="75"/>
      <c r="G25" s="75"/>
      <c r="H25" s="75"/>
      <c r="I25" s="75"/>
      <c r="J25" s="101" t="s">
        <v>186</v>
      </c>
      <c r="K25" s="102">
        <v>28</v>
      </c>
      <c r="L25" s="103" t="s">
        <v>187</v>
      </c>
      <c r="M25" s="103"/>
      <c r="N25" s="104"/>
    </row>
    <row r="26" customHeight="1" spans="1:14">
      <c r="A26" s="62" t="s">
        <v>169</v>
      </c>
      <c r="B26" s="64" t="s">
        <v>188</v>
      </c>
      <c r="C26" s="10" t="s">
        <v>189</v>
      </c>
      <c r="D26" s="64" t="s">
        <v>190</v>
      </c>
      <c r="E26" s="76" t="s">
        <v>12</v>
      </c>
      <c r="F26" s="76" t="s">
        <v>191</v>
      </c>
      <c r="G26" s="76" t="s">
        <v>31</v>
      </c>
      <c r="H26" s="10" t="s">
        <v>192</v>
      </c>
      <c r="I26" s="76" t="s">
        <v>26</v>
      </c>
      <c r="J26" s="10" t="s">
        <v>193</v>
      </c>
      <c r="K26" s="76" t="s">
        <v>21</v>
      </c>
      <c r="L26" s="64" t="str">
        <f>H8</f>
        <v>25.26.27.28周（第5.6.7.8周）</v>
      </c>
      <c r="M26" s="64"/>
      <c r="N26" s="105"/>
    </row>
    <row r="27" ht="38" customHeight="1" spans="1:14">
      <c r="A27" s="62" t="s">
        <v>194</v>
      </c>
      <c r="B27" s="77">
        <v>39.99</v>
      </c>
      <c r="C27" s="78">
        <v>48</v>
      </c>
      <c r="D27" s="79">
        <f>B27*C27*K25</f>
        <v>53746.56</v>
      </c>
      <c r="E27" s="80"/>
      <c r="F27" s="81"/>
      <c r="G27" s="82"/>
      <c r="H27" s="79">
        <f>D27*G27</f>
        <v>0</v>
      </c>
      <c r="I27" s="106">
        <f>IFERROR(J27/D27,)</f>
        <v>0</v>
      </c>
      <c r="J27" s="107">
        <f>IFERROR((H27*F27)/(E27*B27),)</f>
        <v>0</v>
      </c>
      <c r="K27" s="106">
        <f>IFERROR(F27/(B27*E27),)</f>
        <v>0</v>
      </c>
      <c r="L27" s="64" t="s">
        <v>21</v>
      </c>
      <c r="M27" s="10" t="s">
        <v>26</v>
      </c>
      <c r="N27" s="105" t="s">
        <v>31</v>
      </c>
    </row>
    <row r="28" ht="43.05" customHeight="1" spans="1:14">
      <c r="A28" s="67" t="s">
        <v>195</v>
      </c>
      <c r="B28" s="83"/>
      <c r="C28" s="84"/>
      <c r="D28" s="70">
        <f>B28*C28*K25</f>
        <v>0</v>
      </c>
      <c r="E28" s="85"/>
      <c r="F28" s="85"/>
      <c r="G28" s="85"/>
      <c r="H28" s="70">
        <f>D28*G28</f>
        <v>0</v>
      </c>
      <c r="I28" s="85"/>
      <c r="J28" s="68">
        <f>D28*I28</f>
        <v>0</v>
      </c>
      <c r="K28" s="85"/>
      <c r="L28" s="108">
        <f>H10</f>
        <v>0</v>
      </c>
      <c r="M28" s="108">
        <f>I10</f>
        <v>0</v>
      </c>
      <c r="N28" s="109">
        <f>J10</f>
        <v>0</v>
      </c>
    </row>
    <row r="29" ht="43.05" customHeight="1" spans="1:14">
      <c r="A29" s="86" t="s">
        <v>198</v>
      </c>
      <c r="B29" s="87"/>
      <c r="C29" s="87"/>
      <c r="D29" s="87"/>
      <c r="E29" s="87"/>
      <c r="F29" s="87"/>
      <c r="G29" s="87"/>
      <c r="H29" s="87"/>
      <c r="I29" s="87"/>
      <c r="J29" s="87"/>
      <c r="K29" s="87"/>
      <c r="L29" s="87"/>
      <c r="M29" s="87"/>
      <c r="N29" s="110"/>
    </row>
    <row r="30" ht="14" customHeight="1"/>
    <row r="31" ht="29" customHeight="1" spans="1:14">
      <c r="A31" s="74" t="str">
        <f>K8</f>
        <v>29.30.31.32周（第9.10.11.12周）</v>
      </c>
      <c r="B31" s="75"/>
      <c r="C31" s="75"/>
      <c r="D31" s="75"/>
      <c r="E31" s="75"/>
      <c r="F31" s="75"/>
      <c r="G31" s="75"/>
      <c r="H31" s="75"/>
      <c r="I31" s="75"/>
      <c r="J31" s="101" t="s">
        <v>186</v>
      </c>
      <c r="K31" s="102">
        <v>28</v>
      </c>
      <c r="L31" s="103" t="s">
        <v>187</v>
      </c>
      <c r="M31" s="103"/>
      <c r="N31" s="104"/>
    </row>
    <row r="32" customHeight="1" spans="1:14">
      <c r="A32" s="62" t="s">
        <v>169</v>
      </c>
      <c r="B32" s="64" t="s">
        <v>188</v>
      </c>
      <c r="C32" s="10" t="s">
        <v>189</v>
      </c>
      <c r="D32" s="64" t="s">
        <v>190</v>
      </c>
      <c r="E32" s="76" t="s">
        <v>12</v>
      </c>
      <c r="F32" s="76" t="s">
        <v>191</v>
      </c>
      <c r="G32" s="76" t="s">
        <v>31</v>
      </c>
      <c r="H32" s="10" t="s">
        <v>192</v>
      </c>
      <c r="I32" s="76" t="s">
        <v>26</v>
      </c>
      <c r="J32" s="10" t="s">
        <v>193</v>
      </c>
      <c r="K32" s="76" t="s">
        <v>21</v>
      </c>
      <c r="L32" s="64" t="str">
        <f>K8</f>
        <v>29.30.31.32周（第9.10.11.12周）</v>
      </c>
      <c r="M32" s="64"/>
      <c r="N32" s="105"/>
    </row>
    <row r="33" ht="38" customHeight="1" spans="1:14">
      <c r="A33" s="62" t="s">
        <v>194</v>
      </c>
      <c r="B33" s="77">
        <v>39.99</v>
      </c>
      <c r="C33" s="78">
        <v>60</v>
      </c>
      <c r="D33" s="79">
        <f>B33*C33*K31</f>
        <v>67183.2</v>
      </c>
      <c r="E33" s="80"/>
      <c r="F33" s="81"/>
      <c r="G33" s="82"/>
      <c r="H33" s="79">
        <f>D33*G33</f>
        <v>0</v>
      </c>
      <c r="I33" s="106">
        <f>IFERROR(J33/D33,)</f>
        <v>0</v>
      </c>
      <c r="J33" s="107">
        <f>IFERROR((H33*F33)/(E33*B33),)</f>
        <v>0</v>
      </c>
      <c r="K33" s="106">
        <f>IFERROR(F33/(B33*E33),)</f>
        <v>0</v>
      </c>
      <c r="L33" s="64" t="s">
        <v>21</v>
      </c>
      <c r="M33" s="10" t="s">
        <v>26</v>
      </c>
      <c r="N33" s="105" t="s">
        <v>31</v>
      </c>
    </row>
    <row r="34" ht="43.05" customHeight="1" spans="1:14">
      <c r="A34" s="67" t="s">
        <v>195</v>
      </c>
      <c r="B34" s="83"/>
      <c r="C34" s="84"/>
      <c r="D34" s="70">
        <f>B34*C34*K31</f>
        <v>0</v>
      </c>
      <c r="E34" s="85"/>
      <c r="F34" s="85"/>
      <c r="G34" s="85"/>
      <c r="H34" s="70">
        <f>D34*G34</f>
        <v>0</v>
      </c>
      <c r="I34" s="85"/>
      <c r="J34" s="68">
        <f>D34*I34</f>
        <v>0</v>
      </c>
      <c r="K34" s="85"/>
      <c r="L34" s="108">
        <f>K10</f>
        <v>0</v>
      </c>
      <c r="M34" s="108">
        <f>L10</f>
        <v>0</v>
      </c>
      <c r="N34" s="109">
        <f>M10</f>
        <v>0</v>
      </c>
    </row>
    <row r="35" ht="61.05" customHeight="1" spans="1:14">
      <c r="A35" s="86" t="s">
        <v>199</v>
      </c>
      <c r="B35" s="87"/>
      <c r="C35" s="87"/>
      <c r="D35" s="87"/>
      <c r="E35" s="87"/>
      <c r="F35" s="87"/>
      <c r="G35" s="87"/>
      <c r="H35" s="87"/>
      <c r="I35" s="87"/>
      <c r="J35" s="87"/>
      <c r="K35" s="87"/>
      <c r="L35" s="87"/>
      <c r="M35" s="87"/>
      <c r="N35" s="110"/>
    </row>
    <row r="36" ht="16.05" customHeight="1"/>
    <row r="37" ht="29" customHeight="1" spans="1:14">
      <c r="A37" s="74" t="str">
        <f>N8</f>
        <v>理想期</v>
      </c>
      <c r="B37" s="75"/>
      <c r="C37" s="75"/>
      <c r="D37" s="75"/>
      <c r="E37" s="75"/>
      <c r="F37" s="75"/>
      <c r="G37" s="75"/>
      <c r="H37" s="75"/>
      <c r="I37" s="75"/>
      <c r="J37" s="101" t="s">
        <v>186</v>
      </c>
      <c r="K37" s="102">
        <v>28</v>
      </c>
      <c r="L37" s="103" t="s">
        <v>187</v>
      </c>
      <c r="M37" s="103"/>
      <c r="N37" s="104"/>
    </row>
    <row r="38" customHeight="1" spans="1:14">
      <c r="A38" s="62" t="s">
        <v>169</v>
      </c>
      <c r="B38" s="64" t="s">
        <v>188</v>
      </c>
      <c r="C38" s="10" t="s">
        <v>189</v>
      </c>
      <c r="D38" s="64" t="s">
        <v>190</v>
      </c>
      <c r="E38" s="76" t="s">
        <v>12</v>
      </c>
      <c r="F38" s="76" t="s">
        <v>191</v>
      </c>
      <c r="G38" s="76" t="s">
        <v>31</v>
      </c>
      <c r="H38" s="10" t="s">
        <v>192</v>
      </c>
      <c r="I38" s="76" t="s">
        <v>26</v>
      </c>
      <c r="J38" s="10" t="s">
        <v>193</v>
      </c>
      <c r="K38" s="76" t="s">
        <v>21</v>
      </c>
      <c r="L38" s="64" t="str">
        <f>N8</f>
        <v>理想期</v>
      </c>
      <c r="M38" s="64"/>
      <c r="N38" s="105"/>
    </row>
    <row r="39" ht="38" customHeight="1" spans="1:14">
      <c r="A39" s="62" t="s">
        <v>194</v>
      </c>
      <c r="B39" s="77">
        <v>39.99</v>
      </c>
      <c r="C39" s="78">
        <v>60</v>
      </c>
      <c r="D39" s="79">
        <f>B39*C39*K37</f>
        <v>67183.2</v>
      </c>
      <c r="E39" s="80"/>
      <c r="F39" s="81"/>
      <c r="G39" s="82"/>
      <c r="H39" s="79">
        <f>D39*G39</f>
        <v>0</v>
      </c>
      <c r="I39" s="106">
        <f>IFERROR(J39/D39,)</f>
        <v>0</v>
      </c>
      <c r="J39" s="107">
        <f>IFERROR((H39*F39)/(E39*B39),)</f>
        <v>0</v>
      </c>
      <c r="K39" s="106">
        <f>IFERROR(F39/(B39*E39),)</f>
        <v>0</v>
      </c>
      <c r="L39" s="64" t="s">
        <v>21</v>
      </c>
      <c r="M39" s="10" t="s">
        <v>26</v>
      </c>
      <c r="N39" s="105" t="s">
        <v>31</v>
      </c>
    </row>
    <row r="40" ht="43.05" customHeight="1" spans="1:14">
      <c r="A40" s="67" t="s">
        <v>195</v>
      </c>
      <c r="B40" s="83"/>
      <c r="C40" s="84"/>
      <c r="D40" s="70">
        <f>B40*C40*K37</f>
        <v>0</v>
      </c>
      <c r="E40" s="85"/>
      <c r="F40" s="85"/>
      <c r="G40" s="85"/>
      <c r="H40" s="70">
        <f>D40*G40</f>
        <v>0</v>
      </c>
      <c r="I40" s="85"/>
      <c r="J40" s="68">
        <f>D40*I40</f>
        <v>0</v>
      </c>
      <c r="K40" s="85"/>
      <c r="L40" s="108">
        <f>N10</f>
        <v>0</v>
      </c>
      <c r="M40" s="108">
        <f>O10</f>
        <v>0</v>
      </c>
      <c r="N40" s="109">
        <f>P10</f>
        <v>0</v>
      </c>
    </row>
    <row r="41" customHeight="1" spans="1:14">
      <c r="A41" s="86" t="s">
        <v>200</v>
      </c>
      <c r="B41" s="87"/>
      <c r="C41" s="87"/>
      <c r="D41" s="87"/>
      <c r="E41" s="87"/>
      <c r="F41" s="87"/>
      <c r="G41" s="87"/>
      <c r="H41" s="87"/>
      <c r="I41" s="87"/>
      <c r="J41" s="87"/>
      <c r="K41" s="87"/>
      <c r="L41" s="87"/>
      <c r="M41" s="87"/>
      <c r="N41" s="110"/>
    </row>
  </sheetData>
  <mergeCells count="26">
    <mergeCell ref="A7:P7"/>
    <mergeCell ref="B8:D8"/>
    <mergeCell ref="E8:G8"/>
    <mergeCell ref="H8:J8"/>
    <mergeCell ref="K8:M8"/>
    <mergeCell ref="N8:P8"/>
    <mergeCell ref="A13:I13"/>
    <mergeCell ref="L13:N13"/>
    <mergeCell ref="L14:N14"/>
    <mergeCell ref="A17:N17"/>
    <mergeCell ref="A19:I19"/>
    <mergeCell ref="L19:N19"/>
    <mergeCell ref="L20:N20"/>
    <mergeCell ref="A23:N23"/>
    <mergeCell ref="A25:I25"/>
    <mergeCell ref="L25:N25"/>
    <mergeCell ref="L26:N26"/>
    <mergeCell ref="A29:N29"/>
    <mergeCell ref="A31:I31"/>
    <mergeCell ref="L31:N31"/>
    <mergeCell ref="L32:N32"/>
    <mergeCell ref="A35:N35"/>
    <mergeCell ref="A37:I37"/>
    <mergeCell ref="L37:N37"/>
    <mergeCell ref="L38:N38"/>
    <mergeCell ref="A41:N41"/>
  </mergeCells>
  <pageMargins left="0.75" right="0.75" top="1" bottom="1" header="0.5" footer="0.5"/>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CU36"/>
  <sheetViews>
    <sheetView zoomScale="85" zoomScaleNormal="85" workbookViewId="0">
      <pane xSplit="3" ySplit="2" topLeftCell="D3" activePane="bottomRight" state="frozen"/>
      <selection/>
      <selection pane="topRight"/>
      <selection pane="bottomLeft"/>
      <selection pane="bottomRight" activeCell="D28" sqref="D28"/>
    </sheetView>
  </sheetViews>
  <sheetFormatPr defaultColWidth="10.7314814814815" defaultRowHeight="20" customHeight="1"/>
  <cols>
    <col min="1" max="1" width="31.462962962963" style="48" customWidth="1"/>
    <col min="2" max="2" width="13.2037037037037" style="49" customWidth="1"/>
    <col min="3" max="3" width="10.7314814814815" style="49" customWidth="1"/>
    <col min="4" max="16384" width="10.7314814814815" style="49"/>
  </cols>
  <sheetData>
    <row r="1" customHeight="1" spans="1:99">
      <c r="A1" s="50" t="s">
        <v>201</v>
      </c>
      <c r="B1" s="51"/>
      <c r="C1" s="52"/>
      <c r="D1" s="10" t="s">
        <v>130</v>
      </c>
      <c r="E1" s="10"/>
      <c r="F1" s="10"/>
      <c r="G1" s="10"/>
      <c r="H1" s="10"/>
      <c r="I1" s="10"/>
      <c r="J1" s="10"/>
      <c r="K1" s="10"/>
      <c r="L1" s="32" t="s">
        <v>131</v>
      </c>
      <c r="M1" s="32"/>
      <c r="N1" s="32"/>
      <c r="O1" s="32"/>
      <c r="P1" s="32"/>
      <c r="Q1" s="32"/>
      <c r="R1" s="32"/>
      <c r="S1" s="32"/>
      <c r="T1" s="10" t="s">
        <v>132</v>
      </c>
      <c r="U1" s="10"/>
      <c r="V1" s="10"/>
      <c r="W1" s="10"/>
      <c r="X1" s="10"/>
      <c r="Y1" s="10"/>
      <c r="Z1" s="10"/>
      <c r="AA1" s="10"/>
      <c r="AB1" s="32" t="s">
        <v>133</v>
      </c>
      <c r="AC1" s="32"/>
      <c r="AD1" s="32"/>
      <c r="AE1" s="32"/>
      <c r="AF1" s="32"/>
      <c r="AG1" s="32"/>
      <c r="AH1" s="32"/>
      <c r="AI1" s="32"/>
      <c r="AJ1" s="10" t="s">
        <v>134</v>
      </c>
      <c r="AK1" s="10"/>
      <c r="AL1" s="10"/>
      <c r="AM1" s="10"/>
      <c r="AN1" s="10"/>
      <c r="AO1" s="10"/>
      <c r="AP1" s="10"/>
      <c r="AQ1" s="10"/>
      <c r="AR1" s="32" t="s">
        <v>135</v>
      </c>
      <c r="AS1" s="32"/>
      <c r="AT1" s="32"/>
      <c r="AU1" s="32"/>
      <c r="AV1" s="32"/>
      <c r="AW1" s="32"/>
      <c r="AX1" s="32"/>
      <c r="AY1" s="32"/>
      <c r="AZ1" s="10" t="s">
        <v>136</v>
      </c>
      <c r="BA1" s="10"/>
      <c r="BB1" s="10"/>
      <c r="BC1" s="10"/>
      <c r="BD1" s="10"/>
      <c r="BE1" s="10"/>
      <c r="BF1" s="10"/>
      <c r="BG1" s="10"/>
      <c r="BH1" s="32" t="s">
        <v>137</v>
      </c>
      <c r="BI1" s="32"/>
      <c r="BJ1" s="32"/>
      <c r="BK1" s="32"/>
      <c r="BL1" s="32"/>
      <c r="BM1" s="32"/>
      <c r="BN1" s="32"/>
      <c r="BO1" s="32"/>
      <c r="BP1" s="10" t="s">
        <v>138</v>
      </c>
      <c r="BQ1" s="10"/>
      <c r="BR1" s="10"/>
      <c r="BS1" s="10"/>
      <c r="BT1" s="10"/>
      <c r="BU1" s="10"/>
      <c r="BV1" s="10"/>
      <c r="BW1" s="10"/>
      <c r="BX1" s="32" t="s">
        <v>139</v>
      </c>
      <c r="BY1" s="32"/>
      <c r="BZ1" s="32"/>
      <c r="CA1" s="32"/>
      <c r="CB1" s="32"/>
      <c r="CC1" s="32"/>
      <c r="CD1" s="32"/>
      <c r="CE1" s="32"/>
      <c r="CF1" s="10" t="s">
        <v>202</v>
      </c>
      <c r="CG1" s="10"/>
      <c r="CH1" s="10"/>
      <c r="CI1" s="10"/>
      <c r="CJ1" s="10"/>
      <c r="CK1" s="10"/>
      <c r="CL1" s="10"/>
      <c r="CM1" s="10"/>
      <c r="CN1" s="32" t="s">
        <v>203</v>
      </c>
      <c r="CO1" s="32"/>
      <c r="CP1" s="32"/>
      <c r="CQ1" s="32"/>
      <c r="CR1" s="32"/>
      <c r="CS1" s="32"/>
      <c r="CT1" s="32"/>
      <c r="CU1" s="32"/>
    </row>
    <row r="2" s="45" customFormat="1" ht="28.05" customHeight="1" spans="1:99">
      <c r="A2" s="53" t="s">
        <v>204</v>
      </c>
      <c r="B2" s="54" t="s">
        <v>205</v>
      </c>
      <c r="C2" s="54" t="s">
        <v>206</v>
      </c>
      <c r="D2" s="12" t="s">
        <v>207</v>
      </c>
      <c r="E2" s="13">
        <v>44022</v>
      </c>
      <c r="F2" s="13">
        <v>44023</v>
      </c>
      <c r="G2" s="13">
        <v>44024</v>
      </c>
      <c r="H2" s="13">
        <v>44025</v>
      </c>
      <c r="I2" s="13">
        <v>44026</v>
      </c>
      <c r="J2" s="13">
        <v>44027</v>
      </c>
      <c r="K2" s="13">
        <v>44028</v>
      </c>
      <c r="L2" s="33" t="s">
        <v>207</v>
      </c>
      <c r="M2" s="34"/>
      <c r="N2" s="34"/>
      <c r="O2" s="34"/>
      <c r="P2" s="34"/>
      <c r="Q2" s="34"/>
      <c r="R2" s="34"/>
      <c r="S2" s="34"/>
      <c r="T2" s="12" t="s">
        <v>207</v>
      </c>
      <c r="U2" s="13"/>
      <c r="V2" s="13"/>
      <c r="W2" s="13"/>
      <c r="X2" s="13"/>
      <c r="Y2" s="13"/>
      <c r="Z2" s="13"/>
      <c r="AA2" s="13"/>
      <c r="AB2" s="33" t="s">
        <v>207</v>
      </c>
      <c r="AC2" s="34"/>
      <c r="AD2" s="34"/>
      <c r="AE2" s="34"/>
      <c r="AF2" s="34"/>
      <c r="AG2" s="34"/>
      <c r="AH2" s="34"/>
      <c r="AI2" s="34"/>
      <c r="AJ2" s="12" t="s">
        <v>207</v>
      </c>
      <c r="AK2" s="13"/>
      <c r="AL2" s="13"/>
      <c r="AM2" s="13"/>
      <c r="AN2" s="13"/>
      <c r="AO2" s="13"/>
      <c r="AP2" s="13"/>
      <c r="AQ2" s="13"/>
      <c r="AR2" s="33" t="s">
        <v>207</v>
      </c>
      <c r="AS2" s="34"/>
      <c r="AT2" s="34"/>
      <c r="AU2" s="34"/>
      <c r="AV2" s="34"/>
      <c r="AW2" s="34"/>
      <c r="AX2" s="34"/>
      <c r="AY2" s="34"/>
      <c r="AZ2" s="12" t="s">
        <v>207</v>
      </c>
      <c r="BA2" s="13"/>
      <c r="BB2" s="13"/>
      <c r="BC2" s="13"/>
      <c r="BD2" s="13"/>
      <c r="BE2" s="13"/>
      <c r="BF2" s="13"/>
      <c r="BG2" s="13"/>
      <c r="BH2" s="33" t="s">
        <v>207</v>
      </c>
      <c r="BI2" s="34"/>
      <c r="BJ2" s="34"/>
      <c r="BK2" s="34"/>
      <c r="BL2" s="34"/>
      <c r="BM2" s="34"/>
      <c r="BN2" s="34"/>
      <c r="BO2" s="34"/>
      <c r="BP2" s="12" t="s">
        <v>207</v>
      </c>
      <c r="BQ2" s="13"/>
      <c r="BR2" s="13"/>
      <c r="BS2" s="13"/>
      <c r="BT2" s="13"/>
      <c r="BU2" s="13"/>
      <c r="BV2" s="13"/>
      <c r="BW2" s="13"/>
      <c r="BX2" s="33" t="s">
        <v>207</v>
      </c>
      <c r="BY2" s="34"/>
      <c r="BZ2" s="34"/>
      <c r="CA2" s="34"/>
      <c r="CB2" s="34"/>
      <c r="CC2" s="34"/>
      <c r="CD2" s="34"/>
      <c r="CE2" s="34"/>
      <c r="CF2" s="12" t="s">
        <v>207</v>
      </c>
      <c r="CG2" s="13"/>
      <c r="CH2" s="13"/>
      <c r="CI2" s="13"/>
      <c r="CJ2" s="13"/>
      <c r="CK2" s="13"/>
      <c r="CL2" s="13"/>
      <c r="CM2" s="13"/>
      <c r="CN2" s="33" t="s">
        <v>207</v>
      </c>
      <c r="CO2" s="34"/>
      <c r="CP2" s="34"/>
      <c r="CQ2" s="34"/>
      <c r="CR2" s="34"/>
      <c r="CS2" s="34"/>
      <c r="CT2" s="34"/>
      <c r="CU2" s="34"/>
    </row>
    <row r="3" s="46" customFormat="1" customHeight="1" spans="1:3">
      <c r="A3" s="55"/>
      <c r="B3" s="46" t="s">
        <v>208</v>
      </c>
      <c r="C3" s="46" t="s">
        <v>209</v>
      </c>
    </row>
    <row r="4" s="46" customFormat="1" customHeight="1" spans="1:3">
      <c r="A4" s="55"/>
      <c r="C4" s="46" t="s">
        <v>210</v>
      </c>
    </row>
    <row r="5" s="47" customFormat="1" customHeight="1" spans="1:3">
      <c r="A5" s="55"/>
      <c r="C5" s="47" t="s">
        <v>209</v>
      </c>
    </row>
    <row r="6" s="47" customFormat="1" customHeight="1" spans="1:3">
      <c r="A6" s="55"/>
      <c r="C6" s="47" t="s">
        <v>210</v>
      </c>
    </row>
    <row r="7" s="47" customFormat="1" customHeight="1" spans="1:3">
      <c r="A7" s="55"/>
      <c r="C7" s="47" t="s">
        <v>209</v>
      </c>
    </row>
    <row r="8" s="47" customFormat="1" customHeight="1" spans="1:3">
      <c r="A8" s="55"/>
      <c r="C8" s="47" t="s">
        <v>210</v>
      </c>
    </row>
    <row r="9" s="46" customFormat="1" customHeight="1" spans="1:3">
      <c r="A9" s="55"/>
      <c r="B9" s="46" t="s">
        <v>208</v>
      </c>
      <c r="C9" s="46" t="s">
        <v>209</v>
      </c>
    </row>
    <row r="10" s="46" customFormat="1" customHeight="1" spans="1:3">
      <c r="A10" s="55"/>
      <c r="C10" s="46" t="s">
        <v>210</v>
      </c>
    </row>
    <row r="11" s="47" customFormat="1" customHeight="1" spans="1:3">
      <c r="A11" s="55"/>
      <c r="C11" s="47" t="s">
        <v>209</v>
      </c>
    </row>
    <row r="12" s="47" customFormat="1" customHeight="1" spans="1:3">
      <c r="A12" s="55"/>
      <c r="C12" s="47" t="s">
        <v>210</v>
      </c>
    </row>
    <row r="13" s="47" customFormat="1" customHeight="1" spans="1:3">
      <c r="A13" s="55"/>
      <c r="C13" s="47" t="s">
        <v>209</v>
      </c>
    </row>
    <row r="14" s="47" customFormat="1" customHeight="1" spans="1:3">
      <c r="A14" s="55"/>
      <c r="C14" s="47" t="s">
        <v>210</v>
      </c>
    </row>
    <row r="15" s="46" customFormat="1" customHeight="1" spans="1:3">
      <c r="A15" s="55"/>
      <c r="B15" s="46" t="s">
        <v>208</v>
      </c>
      <c r="C15" s="46" t="s">
        <v>209</v>
      </c>
    </row>
    <row r="16" s="46" customFormat="1" customHeight="1" spans="1:3">
      <c r="A16" s="55"/>
      <c r="C16" s="46" t="s">
        <v>210</v>
      </c>
    </row>
    <row r="17" s="47" customFormat="1" customHeight="1" spans="1:3">
      <c r="A17" s="55"/>
      <c r="C17" s="47" t="s">
        <v>209</v>
      </c>
    </row>
    <row r="18" s="47" customFormat="1" customHeight="1" spans="1:3">
      <c r="A18" s="55"/>
      <c r="C18" s="47" t="s">
        <v>210</v>
      </c>
    </row>
    <row r="19" s="47" customFormat="1" customHeight="1" spans="1:3">
      <c r="A19" s="55"/>
      <c r="C19" s="47" t="s">
        <v>209</v>
      </c>
    </row>
    <row r="20" s="47" customFormat="1" customHeight="1" spans="1:3">
      <c r="A20" s="55"/>
      <c r="C20" s="47" t="s">
        <v>210</v>
      </c>
    </row>
    <row r="21" s="46" customFormat="1" customHeight="1" spans="1:3">
      <c r="A21" s="55"/>
      <c r="B21" s="46" t="s">
        <v>208</v>
      </c>
      <c r="C21" s="46" t="s">
        <v>209</v>
      </c>
    </row>
    <row r="22" s="46" customFormat="1" customHeight="1" spans="1:3">
      <c r="A22" s="55"/>
      <c r="C22" s="46" t="s">
        <v>210</v>
      </c>
    </row>
    <row r="23" s="47" customFormat="1" customHeight="1" spans="1:3">
      <c r="A23" s="55"/>
      <c r="B23" s="47" t="s">
        <v>211</v>
      </c>
      <c r="C23" s="47" t="s">
        <v>209</v>
      </c>
    </row>
    <row r="24" s="47" customFormat="1" customHeight="1" spans="1:3">
      <c r="A24" s="55"/>
      <c r="C24" s="47" t="s">
        <v>210</v>
      </c>
    </row>
    <row r="25" s="47" customFormat="1" customHeight="1" spans="1:3">
      <c r="A25" s="55"/>
      <c r="B25" s="47" t="s">
        <v>212</v>
      </c>
      <c r="C25" s="47" t="s">
        <v>209</v>
      </c>
    </row>
    <row r="26" s="47" customFormat="1" customHeight="1" spans="1:3">
      <c r="A26" s="55"/>
      <c r="C26" s="47" t="s">
        <v>210</v>
      </c>
    </row>
    <row r="27" s="47" customFormat="1" customHeight="1" spans="1:3">
      <c r="A27" s="55"/>
      <c r="B27" s="47" t="s">
        <v>213</v>
      </c>
      <c r="C27" s="47" t="s">
        <v>209</v>
      </c>
    </row>
    <row r="28" s="47" customFormat="1" customHeight="1" spans="1:3">
      <c r="A28" s="55"/>
      <c r="C28" s="47" t="s">
        <v>210</v>
      </c>
    </row>
    <row r="29" s="46" customFormat="1" customHeight="1" spans="1:3">
      <c r="A29" s="55"/>
      <c r="B29" s="46" t="s">
        <v>208</v>
      </c>
      <c r="C29" s="46" t="s">
        <v>209</v>
      </c>
    </row>
    <row r="30" s="46" customFormat="1" customHeight="1" spans="1:3">
      <c r="A30" s="55"/>
      <c r="C30" s="46" t="s">
        <v>210</v>
      </c>
    </row>
    <row r="31" s="47" customFormat="1" customHeight="1" spans="1:3">
      <c r="A31" s="55"/>
      <c r="B31" s="47" t="s">
        <v>211</v>
      </c>
      <c r="C31" s="47" t="s">
        <v>209</v>
      </c>
    </row>
    <row r="32" s="47" customFormat="1" customHeight="1" spans="1:3">
      <c r="A32" s="55"/>
      <c r="C32" s="47" t="s">
        <v>210</v>
      </c>
    </row>
    <row r="33" s="47" customFormat="1" customHeight="1" spans="1:3">
      <c r="A33" s="55"/>
      <c r="B33" s="47" t="s">
        <v>212</v>
      </c>
      <c r="C33" s="47" t="s">
        <v>209</v>
      </c>
    </row>
    <row r="34" s="47" customFormat="1" customHeight="1" spans="1:3">
      <c r="A34" s="55"/>
      <c r="C34" s="47" t="s">
        <v>210</v>
      </c>
    </row>
    <row r="35" s="47" customFormat="1" customHeight="1" spans="1:3">
      <c r="A35" s="55"/>
      <c r="B35" s="47" t="s">
        <v>213</v>
      </c>
      <c r="C35" s="47" t="s">
        <v>209</v>
      </c>
    </row>
    <row r="36" s="47" customFormat="1" customHeight="1" spans="1:3">
      <c r="A36" s="55"/>
      <c r="C36" s="47" t="s">
        <v>210</v>
      </c>
    </row>
  </sheetData>
  <autoFilter xmlns:etc="http://www.wps.cn/officeDocument/2017/etCustomData" ref="A2:AI36" etc:filterBottomFollowUsedRange="0">
    <extLst/>
  </autoFilter>
  <mergeCells count="35">
    <mergeCell ref="A1:C1"/>
    <mergeCell ref="D1:K1"/>
    <mergeCell ref="L1:S1"/>
    <mergeCell ref="T1:AA1"/>
    <mergeCell ref="AB1:AI1"/>
    <mergeCell ref="AJ1:AQ1"/>
    <mergeCell ref="AR1:AY1"/>
    <mergeCell ref="AZ1:BG1"/>
    <mergeCell ref="BH1:BO1"/>
    <mergeCell ref="BP1:BW1"/>
    <mergeCell ref="BX1:CE1"/>
    <mergeCell ref="CF1:CM1"/>
    <mergeCell ref="CN1:CU1"/>
    <mergeCell ref="A3:A8"/>
    <mergeCell ref="A9:A14"/>
    <mergeCell ref="A15:A20"/>
    <mergeCell ref="A21:A28"/>
    <mergeCell ref="A29:A36"/>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CT86"/>
  <sheetViews>
    <sheetView zoomScale="85" zoomScaleNormal="85" workbookViewId="0">
      <pane xSplit="2" ySplit="2" topLeftCell="C3" activePane="bottomRight" state="frozen"/>
      <selection/>
      <selection pane="topRight"/>
      <selection pane="bottomLeft"/>
      <selection pane="bottomRight" activeCell="B49" sqref="B49"/>
    </sheetView>
  </sheetViews>
  <sheetFormatPr defaultColWidth="8.92592592592593" defaultRowHeight="14.4"/>
  <cols>
    <col min="1" max="1" width="47.7314814814815" style="2" customWidth="1"/>
    <col min="2" max="2" width="63.3333333333333" style="3" customWidth="1"/>
    <col min="3" max="3" width="10.7314814814815" style="4" customWidth="1"/>
    <col min="4" max="10" width="10.7314814814815" style="5" customWidth="1"/>
    <col min="11" max="11" width="10.7314814814815" style="6" customWidth="1"/>
    <col min="12" max="18" width="10.7314814814815" style="7" customWidth="1"/>
    <col min="19" max="19" width="10.7314814814815" style="4" customWidth="1"/>
    <col min="20" max="26" width="10.7314814814815" style="5" customWidth="1"/>
    <col min="27" max="27" width="10.7314814814815" style="6" customWidth="1"/>
    <col min="28" max="34" width="10.7314814814815" style="7" customWidth="1"/>
    <col min="35" max="35" width="10.7314814814815" style="4" customWidth="1"/>
    <col min="36" max="42" width="10.7314814814815" style="5" customWidth="1"/>
    <col min="43" max="43" width="10.7314814814815" style="6" customWidth="1"/>
    <col min="44" max="50" width="10.7314814814815" style="7" customWidth="1"/>
    <col min="51" max="51" width="10.7314814814815" style="4" customWidth="1"/>
    <col min="52" max="58" width="10.7314814814815" style="5" customWidth="1"/>
    <col min="59" max="59" width="10.7314814814815" style="6" customWidth="1"/>
    <col min="60" max="66" width="10.7314814814815" style="7" customWidth="1"/>
    <col min="67" max="67" width="10.7314814814815" style="4" customWidth="1"/>
    <col min="68" max="74" width="10.7314814814815" style="5" customWidth="1"/>
    <col min="75" max="75" width="10.7314814814815" style="6" customWidth="1"/>
    <col min="76" max="82" width="10.7314814814815" style="7" customWidth="1"/>
    <col min="83" max="83" width="10.7314814814815" style="4" customWidth="1"/>
    <col min="84" max="90" width="10.7314814814815" style="5" customWidth="1"/>
    <col min="91" max="91" width="10.7314814814815" style="6" customWidth="1"/>
    <col min="92" max="98" width="10.7314814814815" style="7" customWidth="1"/>
    <col min="99" max="16384" width="8.92592592592593" style="2"/>
  </cols>
  <sheetData>
    <row r="1" s="1" customFormat="1" ht="27" customHeight="1" spans="1:98">
      <c r="A1" s="8" t="s">
        <v>214</v>
      </c>
      <c r="B1" s="9"/>
      <c r="C1" s="10" t="s">
        <v>130</v>
      </c>
      <c r="D1" s="10"/>
      <c r="E1" s="10"/>
      <c r="F1" s="10"/>
      <c r="G1" s="10"/>
      <c r="H1" s="10"/>
      <c r="I1" s="10"/>
      <c r="J1" s="10"/>
      <c r="K1" s="32" t="s">
        <v>131</v>
      </c>
      <c r="L1" s="32"/>
      <c r="M1" s="32"/>
      <c r="N1" s="32"/>
      <c r="O1" s="32"/>
      <c r="P1" s="32"/>
      <c r="Q1" s="32"/>
      <c r="R1" s="32"/>
      <c r="S1" s="10" t="s">
        <v>132</v>
      </c>
      <c r="T1" s="10"/>
      <c r="U1" s="10"/>
      <c r="V1" s="10"/>
      <c r="W1" s="10"/>
      <c r="X1" s="10"/>
      <c r="Y1" s="10"/>
      <c r="Z1" s="10"/>
      <c r="AA1" s="32" t="s">
        <v>133</v>
      </c>
      <c r="AB1" s="32"/>
      <c r="AC1" s="32"/>
      <c r="AD1" s="32"/>
      <c r="AE1" s="32"/>
      <c r="AF1" s="32"/>
      <c r="AG1" s="32"/>
      <c r="AH1" s="32"/>
      <c r="AI1" s="10" t="s">
        <v>134</v>
      </c>
      <c r="AJ1" s="10"/>
      <c r="AK1" s="10"/>
      <c r="AL1" s="10"/>
      <c r="AM1" s="10"/>
      <c r="AN1" s="10"/>
      <c r="AO1" s="10"/>
      <c r="AP1" s="10"/>
      <c r="AQ1" s="32" t="s">
        <v>135</v>
      </c>
      <c r="AR1" s="32"/>
      <c r="AS1" s="32"/>
      <c r="AT1" s="32"/>
      <c r="AU1" s="32"/>
      <c r="AV1" s="32"/>
      <c r="AW1" s="32"/>
      <c r="AX1" s="32"/>
      <c r="AY1" s="10" t="s">
        <v>136</v>
      </c>
      <c r="AZ1" s="10"/>
      <c r="BA1" s="10"/>
      <c r="BB1" s="10"/>
      <c r="BC1" s="10"/>
      <c r="BD1" s="10"/>
      <c r="BE1" s="10"/>
      <c r="BF1" s="10"/>
      <c r="BG1" s="32" t="s">
        <v>137</v>
      </c>
      <c r="BH1" s="32"/>
      <c r="BI1" s="32"/>
      <c r="BJ1" s="32"/>
      <c r="BK1" s="32"/>
      <c r="BL1" s="32"/>
      <c r="BM1" s="32"/>
      <c r="BN1" s="32"/>
      <c r="BO1" s="10" t="s">
        <v>138</v>
      </c>
      <c r="BP1" s="10"/>
      <c r="BQ1" s="10"/>
      <c r="BR1" s="10"/>
      <c r="BS1" s="10"/>
      <c r="BT1" s="10"/>
      <c r="BU1" s="10"/>
      <c r="BV1" s="10"/>
      <c r="BW1" s="32" t="s">
        <v>139</v>
      </c>
      <c r="BX1" s="32"/>
      <c r="BY1" s="32"/>
      <c r="BZ1" s="32"/>
      <c r="CA1" s="32"/>
      <c r="CB1" s="32"/>
      <c r="CC1" s="32"/>
      <c r="CD1" s="32"/>
      <c r="CE1" s="10" t="s">
        <v>202</v>
      </c>
      <c r="CF1" s="10"/>
      <c r="CG1" s="10"/>
      <c r="CH1" s="10"/>
      <c r="CI1" s="10"/>
      <c r="CJ1" s="10"/>
      <c r="CK1" s="10"/>
      <c r="CL1" s="10"/>
      <c r="CM1" s="32" t="s">
        <v>203</v>
      </c>
      <c r="CN1" s="32"/>
      <c r="CO1" s="32"/>
      <c r="CP1" s="32"/>
      <c r="CQ1" s="32"/>
      <c r="CR1" s="32"/>
      <c r="CS1" s="32"/>
      <c r="CT1" s="32"/>
    </row>
    <row r="2" ht="34.05" customHeight="1" spans="1:98">
      <c r="A2" s="11" t="s">
        <v>215</v>
      </c>
      <c r="B2" s="11" t="s">
        <v>216</v>
      </c>
      <c r="C2" s="12" t="s">
        <v>207</v>
      </c>
      <c r="D2" s="13">
        <v>44022</v>
      </c>
      <c r="E2" s="13">
        <v>44023</v>
      </c>
      <c r="F2" s="13">
        <v>44024</v>
      </c>
      <c r="G2" s="13">
        <v>44025</v>
      </c>
      <c r="H2" s="13">
        <v>44026</v>
      </c>
      <c r="I2" s="13">
        <v>44027</v>
      </c>
      <c r="J2" s="13">
        <v>44028</v>
      </c>
      <c r="K2" s="33" t="s">
        <v>207</v>
      </c>
      <c r="L2" s="34"/>
      <c r="M2" s="34"/>
      <c r="N2" s="34"/>
      <c r="O2" s="34"/>
      <c r="P2" s="34"/>
      <c r="Q2" s="34"/>
      <c r="R2" s="34"/>
      <c r="S2" s="12" t="s">
        <v>207</v>
      </c>
      <c r="T2" s="13"/>
      <c r="U2" s="13"/>
      <c r="V2" s="13"/>
      <c r="W2" s="13"/>
      <c r="X2" s="13"/>
      <c r="Y2" s="13"/>
      <c r="Z2" s="13"/>
      <c r="AA2" s="33" t="s">
        <v>207</v>
      </c>
      <c r="AB2" s="34"/>
      <c r="AC2" s="34"/>
      <c r="AD2" s="34"/>
      <c r="AE2" s="34"/>
      <c r="AF2" s="34"/>
      <c r="AG2" s="34"/>
      <c r="AH2" s="34"/>
      <c r="AI2" s="12" t="s">
        <v>207</v>
      </c>
      <c r="AJ2" s="13"/>
      <c r="AK2" s="13"/>
      <c r="AL2" s="13"/>
      <c r="AM2" s="13"/>
      <c r="AN2" s="13"/>
      <c r="AO2" s="13"/>
      <c r="AP2" s="13"/>
      <c r="AQ2" s="33" t="s">
        <v>207</v>
      </c>
      <c r="AR2" s="34"/>
      <c r="AS2" s="34"/>
      <c r="AT2" s="34"/>
      <c r="AU2" s="34"/>
      <c r="AV2" s="34"/>
      <c r="AW2" s="34"/>
      <c r="AX2" s="34"/>
      <c r="AY2" s="12" t="s">
        <v>207</v>
      </c>
      <c r="AZ2" s="13"/>
      <c r="BA2" s="13"/>
      <c r="BB2" s="13"/>
      <c r="BC2" s="13"/>
      <c r="BD2" s="13"/>
      <c r="BE2" s="13"/>
      <c r="BF2" s="13"/>
      <c r="BG2" s="33" t="s">
        <v>207</v>
      </c>
      <c r="BH2" s="34"/>
      <c r="BI2" s="34"/>
      <c r="BJ2" s="34"/>
      <c r="BK2" s="34"/>
      <c r="BL2" s="34"/>
      <c r="BM2" s="34"/>
      <c r="BN2" s="34"/>
      <c r="BO2" s="12" t="s">
        <v>207</v>
      </c>
      <c r="BP2" s="13"/>
      <c r="BQ2" s="13"/>
      <c r="BR2" s="13"/>
      <c r="BS2" s="13"/>
      <c r="BT2" s="13"/>
      <c r="BU2" s="13"/>
      <c r="BV2" s="13"/>
      <c r="BW2" s="33" t="s">
        <v>207</v>
      </c>
      <c r="BX2" s="34"/>
      <c r="BY2" s="34"/>
      <c r="BZ2" s="34"/>
      <c r="CA2" s="34"/>
      <c r="CB2" s="34"/>
      <c r="CC2" s="34"/>
      <c r="CD2" s="34"/>
      <c r="CE2" s="12" t="s">
        <v>207</v>
      </c>
      <c r="CF2" s="13"/>
      <c r="CG2" s="13"/>
      <c r="CH2" s="13"/>
      <c r="CI2" s="13"/>
      <c r="CJ2" s="13"/>
      <c r="CK2" s="13"/>
      <c r="CL2" s="13"/>
      <c r="CM2" s="33" t="s">
        <v>207</v>
      </c>
      <c r="CN2" s="34"/>
      <c r="CO2" s="34"/>
      <c r="CP2" s="34"/>
      <c r="CQ2" s="34"/>
      <c r="CR2" s="34"/>
      <c r="CS2" s="34"/>
      <c r="CT2" s="34"/>
    </row>
    <row r="3" ht="25.05" customHeight="1" spans="1:98">
      <c r="A3" s="14" t="s">
        <v>217</v>
      </c>
      <c r="B3" s="15"/>
      <c r="C3" s="16"/>
      <c r="D3" s="17"/>
      <c r="E3" s="17"/>
      <c r="F3" s="17"/>
      <c r="G3" s="17"/>
      <c r="H3" s="17"/>
      <c r="I3" s="17"/>
      <c r="J3" s="17"/>
      <c r="K3" s="35"/>
      <c r="L3" s="36"/>
      <c r="M3" s="36"/>
      <c r="N3" s="36"/>
      <c r="O3" s="36"/>
      <c r="P3" s="36"/>
      <c r="Q3" s="36"/>
      <c r="R3" s="36"/>
      <c r="S3" s="16"/>
      <c r="T3" s="25"/>
      <c r="U3" s="25"/>
      <c r="V3" s="25"/>
      <c r="W3" s="25"/>
      <c r="X3" s="25"/>
      <c r="Y3" s="25"/>
      <c r="Z3" s="25"/>
      <c r="AA3" s="35"/>
      <c r="AB3" s="36"/>
      <c r="AC3" s="36"/>
      <c r="AD3" s="36"/>
      <c r="AE3" s="36"/>
      <c r="AF3" s="36"/>
      <c r="AG3" s="36"/>
      <c r="AH3" s="36"/>
      <c r="AI3" s="16"/>
      <c r="AJ3" s="25"/>
      <c r="AK3" s="25"/>
      <c r="AL3" s="25"/>
      <c r="AM3" s="25"/>
      <c r="AN3" s="25"/>
      <c r="AO3" s="25"/>
      <c r="AP3" s="25"/>
      <c r="AQ3" s="35"/>
      <c r="AR3" s="36"/>
      <c r="AS3" s="36"/>
      <c r="AT3" s="36"/>
      <c r="AU3" s="36"/>
      <c r="AV3" s="36"/>
      <c r="AW3" s="36"/>
      <c r="AX3" s="36"/>
      <c r="AY3" s="16"/>
      <c r="AZ3" s="25"/>
      <c r="BA3" s="25"/>
      <c r="BB3" s="25"/>
      <c r="BC3" s="25"/>
      <c r="BD3" s="25"/>
      <c r="BE3" s="25"/>
      <c r="BF3" s="25"/>
      <c r="BG3" s="35"/>
      <c r="BH3" s="36"/>
      <c r="BI3" s="36"/>
      <c r="BJ3" s="36"/>
      <c r="BK3" s="36"/>
      <c r="BL3" s="36"/>
      <c r="BM3" s="36"/>
      <c r="BN3" s="36"/>
      <c r="BO3" s="16"/>
      <c r="BP3" s="25"/>
      <c r="BQ3" s="25"/>
      <c r="BR3" s="25"/>
      <c r="BS3" s="25"/>
      <c r="BT3" s="25"/>
      <c r="BU3" s="25"/>
      <c r="BV3" s="25"/>
      <c r="BW3" s="35"/>
      <c r="BX3" s="36"/>
      <c r="BY3" s="36"/>
      <c r="BZ3" s="36"/>
      <c r="CA3" s="36"/>
      <c r="CB3" s="36"/>
      <c r="CC3" s="36"/>
      <c r="CD3" s="36"/>
      <c r="CE3" s="16"/>
      <c r="CF3" s="25"/>
      <c r="CG3" s="25"/>
      <c r="CH3" s="25"/>
      <c r="CI3" s="25"/>
      <c r="CJ3" s="25"/>
      <c r="CK3" s="25"/>
      <c r="CL3" s="25"/>
      <c r="CM3" s="35"/>
      <c r="CN3" s="36"/>
      <c r="CO3" s="36"/>
      <c r="CP3" s="36"/>
      <c r="CQ3" s="36"/>
      <c r="CR3" s="36"/>
      <c r="CS3" s="36"/>
      <c r="CT3" s="36"/>
    </row>
    <row r="4" ht="25.05" customHeight="1" spans="1:98">
      <c r="A4" s="18"/>
      <c r="B4" s="19"/>
      <c r="C4" s="20"/>
      <c r="D4" s="17"/>
      <c r="E4" s="17"/>
      <c r="F4" s="17"/>
      <c r="G4" s="17"/>
      <c r="H4" s="17"/>
      <c r="I4" s="17"/>
      <c r="J4" s="17"/>
      <c r="K4" s="37"/>
      <c r="L4" s="38"/>
      <c r="M4" s="38"/>
      <c r="N4" s="38"/>
      <c r="O4" s="38"/>
      <c r="P4" s="38"/>
      <c r="Q4" s="38"/>
      <c r="R4" s="38"/>
      <c r="S4" s="20"/>
      <c r="T4" s="17"/>
      <c r="U4" s="17"/>
      <c r="V4" s="17"/>
      <c r="W4" s="17"/>
      <c r="X4" s="17"/>
      <c r="Y4" s="17"/>
      <c r="Z4" s="17"/>
      <c r="AA4" s="37"/>
      <c r="AB4" s="38"/>
      <c r="AC4" s="38"/>
      <c r="AD4" s="38"/>
      <c r="AE4" s="38"/>
      <c r="AF4" s="38"/>
      <c r="AG4" s="38"/>
      <c r="AH4" s="38"/>
      <c r="AI4" s="20"/>
      <c r="AJ4" s="17"/>
      <c r="AK4" s="17"/>
      <c r="AL4" s="17"/>
      <c r="AM4" s="17"/>
      <c r="AN4" s="17"/>
      <c r="AO4" s="17"/>
      <c r="AP4" s="17"/>
      <c r="AQ4" s="37"/>
      <c r="AR4" s="38"/>
      <c r="AS4" s="38"/>
      <c r="AT4" s="38"/>
      <c r="AU4" s="38"/>
      <c r="AV4" s="38"/>
      <c r="AW4" s="38"/>
      <c r="AX4" s="38"/>
      <c r="AY4" s="20"/>
      <c r="AZ4" s="17"/>
      <c r="BA4" s="17"/>
      <c r="BB4" s="17"/>
      <c r="BC4" s="17"/>
      <c r="BD4" s="17"/>
      <c r="BE4" s="17"/>
      <c r="BF4" s="17"/>
      <c r="BG4" s="37"/>
      <c r="BH4" s="38"/>
      <c r="BI4" s="38"/>
      <c r="BJ4" s="38"/>
      <c r="BK4" s="38"/>
      <c r="BL4" s="38"/>
      <c r="BM4" s="38"/>
      <c r="BN4" s="38"/>
      <c r="BO4" s="20"/>
      <c r="BP4" s="17"/>
      <c r="BQ4" s="17"/>
      <c r="BR4" s="17"/>
      <c r="BS4" s="17"/>
      <c r="BT4" s="17"/>
      <c r="BU4" s="17"/>
      <c r="BV4" s="17"/>
      <c r="BW4" s="37"/>
      <c r="BX4" s="38"/>
      <c r="BY4" s="38"/>
      <c r="BZ4" s="38"/>
      <c r="CA4" s="38"/>
      <c r="CB4" s="38"/>
      <c r="CC4" s="38"/>
      <c r="CD4" s="38"/>
      <c r="CE4" s="20"/>
      <c r="CF4" s="17"/>
      <c r="CG4" s="17"/>
      <c r="CH4" s="17"/>
      <c r="CI4" s="17"/>
      <c r="CJ4" s="17"/>
      <c r="CK4" s="17"/>
      <c r="CL4" s="17"/>
      <c r="CM4" s="37"/>
      <c r="CN4" s="38"/>
      <c r="CO4" s="38"/>
      <c r="CP4" s="38"/>
      <c r="CQ4" s="38"/>
      <c r="CR4" s="38"/>
      <c r="CS4" s="38"/>
      <c r="CT4" s="38"/>
    </row>
    <row r="5" ht="25.05" customHeight="1" spans="1:98">
      <c r="A5" s="18"/>
      <c r="B5" s="19"/>
      <c r="C5" s="20"/>
      <c r="D5" s="17"/>
      <c r="E5" s="17"/>
      <c r="F5" s="17"/>
      <c r="G5" s="17"/>
      <c r="H5" s="17"/>
      <c r="I5" s="17"/>
      <c r="J5" s="17"/>
      <c r="K5" s="37"/>
      <c r="L5" s="38"/>
      <c r="M5" s="38"/>
      <c r="N5" s="38"/>
      <c r="O5" s="38"/>
      <c r="P5" s="38"/>
      <c r="Q5" s="38"/>
      <c r="R5" s="38"/>
      <c r="S5" s="20"/>
      <c r="T5" s="17"/>
      <c r="U5" s="17"/>
      <c r="V5" s="17"/>
      <c r="W5" s="17"/>
      <c r="X5" s="17"/>
      <c r="Y5" s="17"/>
      <c r="Z5" s="17"/>
      <c r="AA5" s="37"/>
      <c r="AB5" s="38"/>
      <c r="AC5" s="38"/>
      <c r="AD5" s="38"/>
      <c r="AE5" s="38"/>
      <c r="AF5" s="38"/>
      <c r="AG5" s="38"/>
      <c r="AH5" s="38"/>
      <c r="AI5" s="20"/>
      <c r="AJ5" s="17"/>
      <c r="AK5" s="17"/>
      <c r="AL5" s="17"/>
      <c r="AM5" s="17"/>
      <c r="AN5" s="17"/>
      <c r="AO5" s="17"/>
      <c r="AP5" s="17"/>
      <c r="AQ5" s="37"/>
      <c r="AR5" s="38"/>
      <c r="AS5" s="38"/>
      <c r="AT5" s="38"/>
      <c r="AU5" s="38"/>
      <c r="AV5" s="38"/>
      <c r="AW5" s="38"/>
      <c r="AX5" s="38"/>
      <c r="AY5" s="20"/>
      <c r="AZ5" s="17"/>
      <c r="BA5" s="17"/>
      <c r="BB5" s="17"/>
      <c r="BC5" s="17"/>
      <c r="BD5" s="17"/>
      <c r="BE5" s="17"/>
      <c r="BF5" s="17"/>
      <c r="BG5" s="37"/>
      <c r="BH5" s="38"/>
      <c r="BI5" s="38"/>
      <c r="BJ5" s="38"/>
      <c r="BK5" s="38"/>
      <c r="BL5" s="38"/>
      <c r="BM5" s="38"/>
      <c r="BN5" s="38"/>
      <c r="BO5" s="20"/>
      <c r="BP5" s="17"/>
      <c r="BQ5" s="17"/>
      <c r="BR5" s="17"/>
      <c r="BS5" s="17"/>
      <c r="BT5" s="17"/>
      <c r="BU5" s="17"/>
      <c r="BV5" s="17"/>
      <c r="BW5" s="37"/>
      <c r="BX5" s="38"/>
      <c r="BY5" s="38"/>
      <c r="BZ5" s="38"/>
      <c r="CA5" s="38"/>
      <c r="CB5" s="38"/>
      <c r="CC5" s="38"/>
      <c r="CD5" s="38"/>
      <c r="CE5" s="20"/>
      <c r="CF5" s="17"/>
      <c r="CG5" s="17"/>
      <c r="CH5" s="17"/>
      <c r="CI5" s="17"/>
      <c r="CJ5" s="17"/>
      <c r="CK5" s="17"/>
      <c r="CL5" s="17"/>
      <c r="CM5" s="37"/>
      <c r="CN5" s="38"/>
      <c r="CO5" s="38"/>
      <c r="CP5" s="38"/>
      <c r="CQ5" s="38"/>
      <c r="CR5" s="38"/>
      <c r="CS5" s="38"/>
      <c r="CT5" s="38"/>
    </row>
    <row r="6" ht="25.05" customHeight="1" spans="1:98">
      <c r="A6" s="18"/>
      <c r="B6" s="19"/>
      <c r="C6" s="20"/>
      <c r="D6" s="17"/>
      <c r="E6" s="17"/>
      <c r="F6" s="17"/>
      <c r="G6" s="17"/>
      <c r="H6" s="17"/>
      <c r="I6" s="17"/>
      <c r="J6" s="17"/>
      <c r="K6" s="37"/>
      <c r="L6" s="38"/>
      <c r="M6" s="38"/>
      <c r="N6" s="38"/>
      <c r="O6" s="38"/>
      <c r="P6" s="38"/>
      <c r="Q6" s="38"/>
      <c r="R6" s="38"/>
      <c r="S6" s="20"/>
      <c r="T6" s="17"/>
      <c r="U6" s="17"/>
      <c r="V6" s="17"/>
      <c r="W6" s="17"/>
      <c r="X6" s="17"/>
      <c r="Y6" s="17"/>
      <c r="Z6" s="17"/>
      <c r="AA6" s="37"/>
      <c r="AB6" s="38"/>
      <c r="AC6" s="38"/>
      <c r="AD6" s="38"/>
      <c r="AE6" s="38"/>
      <c r="AF6" s="38"/>
      <c r="AG6" s="38"/>
      <c r="AH6" s="38"/>
      <c r="AI6" s="20"/>
      <c r="AJ6" s="17"/>
      <c r="AK6" s="17"/>
      <c r="AL6" s="17"/>
      <c r="AM6" s="17"/>
      <c r="AN6" s="17"/>
      <c r="AO6" s="17"/>
      <c r="AP6" s="17"/>
      <c r="AQ6" s="37"/>
      <c r="AR6" s="38"/>
      <c r="AS6" s="38"/>
      <c r="AT6" s="38"/>
      <c r="AU6" s="38"/>
      <c r="AV6" s="38"/>
      <c r="AW6" s="38"/>
      <c r="AX6" s="38"/>
      <c r="AY6" s="20"/>
      <c r="AZ6" s="17"/>
      <c r="BA6" s="17"/>
      <c r="BB6" s="17"/>
      <c r="BC6" s="17"/>
      <c r="BD6" s="17"/>
      <c r="BE6" s="17"/>
      <c r="BF6" s="17"/>
      <c r="BG6" s="37"/>
      <c r="BH6" s="38"/>
      <c r="BI6" s="38"/>
      <c r="BJ6" s="38"/>
      <c r="BK6" s="38"/>
      <c r="BL6" s="38"/>
      <c r="BM6" s="38"/>
      <c r="BN6" s="38"/>
      <c r="BO6" s="20"/>
      <c r="BP6" s="17"/>
      <c r="BQ6" s="17"/>
      <c r="BR6" s="17"/>
      <c r="BS6" s="17"/>
      <c r="BT6" s="17"/>
      <c r="BU6" s="17"/>
      <c r="BV6" s="17"/>
      <c r="BW6" s="37"/>
      <c r="BX6" s="38"/>
      <c r="BY6" s="38"/>
      <c r="BZ6" s="38"/>
      <c r="CA6" s="38"/>
      <c r="CB6" s="38"/>
      <c r="CC6" s="38"/>
      <c r="CD6" s="38"/>
      <c r="CE6" s="20"/>
      <c r="CF6" s="17"/>
      <c r="CG6" s="17"/>
      <c r="CH6" s="17"/>
      <c r="CI6" s="17"/>
      <c r="CJ6" s="17"/>
      <c r="CK6" s="17"/>
      <c r="CL6" s="17"/>
      <c r="CM6" s="37"/>
      <c r="CN6" s="38"/>
      <c r="CO6" s="38"/>
      <c r="CP6" s="38"/>
      <c r="CQ6" s="38"/>
      <c r="CR6" s="38"/>
      <c r="CS6" s="38"/>
      <c r="CT6" s="38"/>
    </row>
    <row r="7" ht="25.05" customHeight="1" spans="1:98">
      <c r="A7" s="18"/>
      <c r="B7" s="19"/>
      <c r="C7" s="20"/>
      <c r="D7" s="17"/>
      <c r="E7" s="17"/>
      <c r="F7" s="17"/>
      <c r="G7" s="17"/>
      <c r="H7" s="17"/>
      <c r="I7" s="17"/>
      <c r="J7" s="17"/>
      <c r="K7" s="37"/>
      <c r="L7" s="38"/>
      <c r="M7" s="38"/>
      <c r="N7" s="38"/>
      <c r="O7" s="38"/>
      <c r="P7" s="38"/>
      <c r="Q7" s="38"/>
      <c r="R7" s="38"/>
      <c r="S7" s="20"/>
      <c r="T7" s="17"/>
      <c r="U7" s="17"/>
      <c r="V7" s="17"/>
      <c r="W7" s="17"/>
      <c r="X7" s="17"/>
      <c r="Y7" s="17"/>
      <c r="Z7" s="17"/>
      <c r="AA7" s="37"/>
      <c r="AB7" s="38"/>
      <c r="AC7" s="38"/>
      <c r="AD7" s="38"/>
      <c r="AE7" s="38"/>
      <c r="AF7" s="38"/>
      <c r="AG7" s="38"/>
      <c r="AH7" s="38"/>
      <c r="AI7" s="20"/>
      <c r="AJ7" s="17"/>
      <c r="AK7" s="17"/>
      <c r="AL7" s="17"/>
      <c r="AM7" s="17"/>
      <c r="AN7" s="17"/>
      <c r="AO7" s="17"/>
      <c r="AP7" s="17"/>
      <c r="AQ7" s="37"/>
      <c r="AR7" s="38"/>
      <c r="AS7" s="38"/>
      <c r="AT7" s="38"/>
      <c r="AU7" s="38"/>
      <c r="AV7" s="38"/>
      <c r="AW7" s="38"/>
      <c r="AX7" s="38"/>
      <c r="AY7" s="20"/>
      <c r="AZ7" s="17"/>
      <c r="BA7" s="17"/>
      <c r="BB7" s="17"/>
      <c r="BC7" s="17"/>
      <c r="BD7" s="17"/>
      <c r="BE7" s="17"/>
      <c r="BF7" s="17"/>
      <c r="BG7" s="37"/>
      <c r="BH7" s="38"/>
      <c r="BI7" s="38"/>
      <c r="BJ7" s="38"/>
      <c r="BK7" s="38"/>
      <c r="BL7" s="38"/>
      <c r="BM7" s="38"/>
      <c r="BN7" s="38"/>
      <c r="BO7" s="20"/>
      <c r="BP7" s="17"/>
      <c r="BQ7" s="17"/>
      <c r="BR7" s="17"/>
      <c r="BS7" s="17"/>
      <c r="BT7" s="17"/>
      <c r="BU7" s="17"/>
      <c r="BV7" s="17"/>
      <c r="BW7" s="37"/>
      <c r="BX7" s="38"/>
      <c r="BY7" s="38"/>
      <c r="BZ7" s="38"/>
      <c r="CA7" s="38"/>
      <c r="CB7" s="38"/>
      <c r="CC7" s="38"/>
      <c r="CD7" s="38"/>
      <c r="CE7" s="20"/>
      <c r="CF7" s="17"/>
      <c r="CG7" s="17"/>
      <c r="CH7" s="17"/>
      <c r="CI7" s="17"/>
      <c r="CJ7" s="17"/>
      <c r="CK7" s="17"/>
      <c r="CL7" s="17"/>
      <c r="CM7" s="37"/>
      <c r="CN7" s="38"/>
      <c r="CO7" s="38"/>
      <c r="CP7" s="38"/>
      <c r="CQ7" s="38"/>
      <c r="CR7" s="38"/>
      <c r="CS7" s="38"/>
      <c r="CT7" s="38"/>
    </row>
    <row r="8" ht="25.05" customHeight="1" spans="1:98">
      <c r="A8" s="18"/>
      <c r="B8"/>
      <c r="C8" s="20"/>
      <c r="D8" s="17"/>
      <c r="E8" s="17"/>
      <c r="F8" s="17"/>
      <c r="G8" s="17"/>
      <c r="H8" s="17"/>
      <c r="I8" s="17"/>
      <c r="J8" s="17"/>
      <c r="K8" s="37"/>
      <c r="L8" s="38"/>
      <c r="M8" s="38"/>
      <c r="N8" s="38"/>
      <c r="O8" s="38"/>
      <c r="P8" s="38"/>
      <c r="Q8" s="38"/>
      <c r="R8" s="38"/>
      <c r="S8" s="20"/>
      <c r="T8" s="17"/>
      <c r="U8" s="17"/>
      <c r="V8" s="17"/>
      <c r="W8" s="17"/>
      <c r="X8" s="17"/>
      <c r="Y8" s="17"/>
      <c r="Z8" s="17"/>
      <c r="AA8" s="37"/>
      <c r="AB8" s="38"/>
      <c r="AC8" s="38"/>
      <c r="AD8" s="38"/>
      <c r="AE8" s="38"/>
      <c r="AF8" s="38"/>
      <c r="AG8" s="38"/>
      <c r="AH8" s="38"/>
      <c r="AI8" s="20"/>
      <c r="AJ8" s="17"/>
      <c r="AK8" s="17"/>
      <c r="AL8" s="17"/>
      <c r="AM8" s="17"/>
      <c r="AN8" s="17"/>
      <c r="AO8" s="17"/>
      <c r="AP8" s="17"/>
      <c r="AQ8" s="37"/>
      <c r="AR8" s="38"/>
      <c r="AS8" s="38"/>
      <c r="AT8" s="38"/>
      <c r="AU8" s="38"/>
      <c r="AV8" s="38"/>
      <c r="AW8" s="38"/>
      <c r="AX8" s="38"/>
      <c r="AY8" s="20"/>
      <c r="AZ8" s="17"/>
      <c r="BA8" s="17"/>
      <c r="BB8" s="17"/>
      <c r="BC8" s="17"/>
      <c r="BD8" s="17"/>
      <c r="BE8" s="17"/>
      <c r="BF8" s="17"/>
      <c r="BG8" s="37"/>
      <c r="BH8" s="38"/>
      <c r="BI8" s="38"/>
      <c r="BJ8" s="38"/>
      <c r="BK8" s="38"/>
      <c r="BL8" s="38"/>
      <c r="BM8" s="38"/>
      <c r="BN8" s="38"/>
      <c r="BO8" s="20"/>
      <c r="BP8" s="17"/>
      <c r="BQ8" s="17"/>
      <c r="BR8" s="17"/>
      <c r="BS8" s="17"/>
      <c r="BT8" s="17"/>
      <c r="BU8" s="17"/>
      <c r="BV8" s="17"/>
      <c r="BW8" s="37"/>
      <c r="BX8" s="38"/>
      <c r="BY8" s="38"/>
      <c r="BZ8" s="38"/>
      <c r="CA8" s="38"/>
      <c r="CB8" s="38"/>
      <c r="CC8" s="38"/>
      <c r="CD8" s="38"/>
      <c r="CE8" s="20"/>
      <c r="CF8" s="17"/>
      <c r="CG8" s="17"/>
      <c r="CH8" s="17"/>
      <c r="CI8" s="17"/>
      <c r="CJ8" s="17"/>
      <c r="CK8" s="17"/>
      <c r="CL8" s="17"/>
      <c r="CM8" s="37"/>
      <c r="CN8" s="38"/>
      <c r="CO8" s="38"/>
      <c r="CP8" s="38"/>
      <c r="CQ8" s="38"/>
      <c r="CR8" s="38"/>
      <c r="CS8" s="38"/>
      <c r="CT8" s="38"/>
    </row>
    <row r="9" ht="25.05" customHeight="1" spans="1:98">
      <c r="A9" s="18"/>
      <c r="B9" s="19"/>
      <c r="C9" s="20"/>
      <c r="D9" s="17"/>
      <c r="E9" s="17"/>
      <c r="F9" s="17"/>
      <c r="G9" s="17"/>
      <c r="H9" s="17"/>
      <c r="I9" s="17"/>
      <c r="J9" s="17"/>
      <c r="K9" s="37"/>
      <c r="L9" s="38"/>
      <c r="M9" s="38"/>
      <c r="N9" s="38"/>
      <c r="O9" s="38"/>
      <c r="P9" s="38"/>
      <c r="Q9" s="38"/>
      <c r="R9" s="38"/>
      <c r="S9" s="20"/>
      <c r="T9" s="17"/>
      <c r="U9" s="17"/>
      <c r="V9" s="17"/>
      <c r="W9" s="17"/>
      <c r="X9" s="17"/>
      <c r="Y9" s="17"/>
      <c r="Z9" s="17"/>
      <c r="AA9" s="37"/>
      <c r="AB9" s="38"/>
      <c r="AC9" s="38"/>
      <c r="AD9" s="38"/>
      <c r="AE9" s="38"/>
      <c r="AF9" s="38"/>
      <c r="AG9" s="38"/>
      <c r="AH9" s="38"/>
      <c r="AI9" s="20"/>
      <c r="AJ9" s="17"/>
      <c r="AK9" s="17"/>
      <c r="AL9" s="17"/>
      <c r="AM9" s="17"/>
      <c r="AN9" s="17"/>
      <c r="AO9" s="17"/>
      <c r="AP9" s="17"/>
      <c r="AQ9" s="37"/>
      <c r="AR9" s="38"/>
      <c r="AS9" s="38"/>
      <c r="AT9" s="38"/>
      <c r="AU9" s="38"/>
      <c r="AV9" s="38"/>
      <c r="AW9" s="38"/>
      <c r="AX9" s="38"/>
      <c r="AY9" s="20"/>
      <c r="AZ9" s="17"/>
      <c r="BA9" s="17"/>
      <c r="BB9" s="17"/>
      <c r="BC9" s="17"/>
      <c r="BD9" s="17"/>
      <c r="BE9" s="17"/>
      <c r="BF9" s="17"/>
      <c r="BG9" s="37"/>
      <c r="BH9" s="38"/>
      <c r="BI9" s="38"/>
      <c r="BJ9" s="38"/>
      <c r="BK9" s="38"/>
      <c r="BL9" s="38"/>
      <c r="BM9" s="38"/>
      <c r="BN9" s="38"/>
      <c r="BO9" s="20"/>
      <c r="BP9" s="17"/>
      <c r="BQ9" s="17"/>
      <c r="BR9" s="17"/>
      <c r="BS9" s="17"/>
      <c r="BT9" s="17"/>
      <c r="BU9" s="17"/>
      <c r="BV9" s="17"/>
      <c r="BW9" s="37"/>
      <c r="BX9" s="38"/>
      <c r="BY9" s="38"/>
      <c r="BZ9" s="38"/>
      <c r="CA9" s="38"/>
      <c r="CB9" s="38"/>
      <c r="CC9" s="38"/>
      <c r="CD9" s="38"/>
      <c r="CE9" s="20"/>
      <c r="CF9" s="17"/>
      <c r="CG9" s="17"/>
      <c r="CH9" s="17"/>
      <c r="CI9" s="17"/>
      <c r="CJ9" s="17"/>
      <c r="CK9" s="17"/>
      <c r="CL9" s="17"/>
      <c r="CM9" s="37"/>
      <c r="CN9" s="38"/>
      <c r="CO9" s="38"/>
      <c r="CP9" s="38"/>
      <c r="CQ9" s="38"/>
      <c r="CR9" s="38"/>
      <c r="CS9" s="38"/>
      <c r="CT9" s="38"/>
    </row>
    <row r="10" ht="25.05" customHeight="1" spans="1:98">
      <c r="A10" s="21"/>
      <c r="B10" s="22"/>
      <c r="C10" s="23"/>
      <c r="D10" s="24"/>
      <c r="E10" s="24"/>
      <c r="F10" s="24"/>
      <c r="G10" s="24"/>
      <c r="H10" s="24"/>
      <c r="I10" s="24"/>
      <c r="J10" s="24"/>
      <c r="K10" s="39"/>
      <c r="L10" s="40"/>
      <c r="M10" s="40"/>
      <c r="N10" s="40"/>
      <c r="O10" s="40"/>
      <c r="P10" s="40"/>
      <c r="Q10" s="40"/>
      <c r="R10" s="40"/>
      <c r="S10" s="23"/>
      <c r="T10" s="24"/>
      <c r="U10" s="24"/>
      <c r="V10" s="24"/>
      <c r="W10" s="24"/>
      <c r="X10" s="24"/>
      <c r="Y10" s="24"/>
      <c r="Z10" s="24"/>
      <c r="AA10" s="39"/>
      <c r="AB10" s="40"/>
      <c r="AC10" s="40"/>
      <c r="AD10" s="40"/>
      <c r="AE10" s="40"/>
      <c r="AF10" s="40"/>
      <c r="AG10" s="40"/>
      <c r="AH10" s="40"/>
      <c r="AI10" s="23"/>
      <c r="AJ10" s="24"/>
      <c r="AK10" s="24"/>
      <c r="AL10" s="24"/>
      <c r="AM10" s="24"/>
      <c r="AN10" s="24"/>
      <c r="AO10" s="24"/>
      <c r="AP10" s="24"/>
      <c r="AQ10" s="39"/>
      <c r="AR10" s="40"/>
      <c r="AS10" s="40"/>
      <c r="AT10" s="40"/>
      <c r="AU10" s="40"/>
      <c r="AV10" s="40"/>
      <c r="AW10" s="40"/>
      <c r="AX10" s="40"/>
      <c r="AY10" s="23"/>
      <c r="AZ10" s="24"/>
      <c r="BA10" s="24"/>
      <c r="BB10" s="24"/>
      <c r="BC10" s="24"/>
      <c r="BD10" s="24"/>
      <c r="BE10" s="24"/>
      <c r="BF10" s="24"/>
      <c r="BG10" s="39"/>
      <c r="BH10" s="40"/>
      <c r="BI10" s="40"/>
      <c r="BJ10" s="40"/>
      <c r="BK10" s="40"/>
      <c r="BL10" s="40"/>
      <c r="BM10" s="40"/>
      <c r="BN10" s="40"/>
      <c r="BO10" s="23"/>
      <c r="BP10" s="24"/>
      <c r="BQ10" s="24"/>
      <c r="BR10" s="24"/>
      <c r="BS10" s="24"/>
      <c r="BT10" s="24"/>
      <c r="BU10" s="24"/>
      <c r="BV10" s="24"/>
      <c r="BW10" s="39"/>
      <c r="BX10" s="40"/>
      <c r="BY10" s="40"/>
      <c r="BZ10" s="40"/>
      <c r="CA10" s="40"/>
      <c r="CB10" s="40"/>
      <c r="CC10" s="40"/>
      <c r="CD10" s="40"/>
      <c r="CE10" s="23"/>
      <c r="CF10" s="24"/>
      <c r="CG10" s="24"/>
      <c r="CH10" s="24"/>
      <c r="CI10" s="24"/>
      <c r="CJ10" s="24"/>
      <c r="CK10" s="24"/>
      <c r="CL10" s="24"/>
      <c r="CM10" s="39"/>
      <c r="CN10" s="40"/>
      <c r="CO10" s="40"/>
      <c r="CP10" s="40"/>
      <c r="CQ10" s="40"/>
      <c r="CR10" s="40"/>
      <c r="CS10" s="40"/>
      <c r="CT10" s="40"/>
    </row>
    <row r="11" ht="25.05" customHeight="1" spans="1:98">
      <c r="A11" s="14" t="s">
        <v>218</v>
      </c>
      <c r="B11" s="15"/>
      <c r="C11" s="16"/>
      <c r="D11" s="16"/>
      <c r="E11" s="17"/>
      <c r="F11" s="17"/>
      <c r="G11" s="17"/>
      <c r="H11" s="25"/>
      <c r="I11" s="25"/>
      <c r="J11" s="25"/>
      <c r="K11" s="35"/>
      <c r="L11" s="36"/>
      <c r="M11" s="36"/>
      <c r="N11" s="36"/>
      <c r="O11" s="36"/>
      <c r="P11" s="36"/>
      <c r="Q11" s="36"/>
      <c r="R11" s="36"/>
      <c r="S11" s="16"/>
      <c r="T11" s="25"/>
      <c r="U11" s="25"/>
      <c r="V11" s="25"/>
      <c r="W11" s="25"/>
      <c r="X11" s="25"/>
      <c r="Y11" s="25"/>
      <c r="Z11" s="25"/>
      <c r="AA11" s="35"/>
      <c r="AB11" s="36"/>
      <c r="AC11" s="36"/>
      <c r="AD11" s="36"/>
      <c r="AE11" s="36"/>
      <c r="AF11" s="36"/>
      <c r="AG11" s="36"/>
      <c r="AH11" s="36"/>
      <c r="AI11" s="16"/>
      <c r="AJ11" s="25"/>
      <c r="AK11" s="25"/>
      <c r="AL11" s="25"/>
      <c r="AM11" s="25"/>
      <c r="AN11" s="25"/>
      <c r="AO11" s="25"/>
      <c r="AP11" s="25"/>
      <c r="AQ11" s="35"/>
      <c r="AR11" s="36"/>
      <c r="AS11" s="36"/>
      <c r="AT11" s="36"/>
      <c r="AU11" s="36"/>
      <c r="AV11" s="36"/>
      <c r="AW11" s="36"/>
      <c r="AX11" s="36"/>
      <c r="AY11" s="16"/>
      <c r="AZ11" s="25"/>
      <c r="BA11" s="25"/>
      <c r="BB11" s="25"/>
      <c r="BC11" s="25"/>
      <c r="BD11" s="25"/>
      <c r="BE11" s="25"/>
      <c r="BF11" s="25"/>
      <c r="BG11" s="35"/>
      <c r="BH11" s="36"/>
      <c r="BI11" s="36"/>
      <c r="BJ11" s="36"/>
      <c r="BK11" s="36"/>
      <c r="BL11" s="36"/>
      <c r="BM11" s="36"/>
      <c r="BN11" s="36"/>
      <c r="BO11" s="16"/>
      <c r="BP11" s="25"/>
      <c r="BQ11" s="25"/>
      <c r="BR11" s="25"/>
      <c r="BS11" s="25"/>
      <c r="BT11" s="25"/>
      <c r="BU11" s="25"/>
      <c r="BV11" s="25"/>
      <c r="BW11" s="35"/>
      <c r="BX11" s="36"/>
      <c r="BY11" s="36"/>
      <c r="BZ11" s="36"/>
      <c r="CA11" s="36"/>
      <c r="CB11" s="36"/>
      <c r="CC11" s="36"/>
      <c r="CD11" s="36"/>
      <c r="CE11" s="16"/>
      <c r="CF11" s="25"/>
      <c r="CG11" s="25"/>
      <c r="CH11" s="25"/>
      <c r="CI11" s="25"/>
      <c r="CJ11" s="25"/>
      <c r="CK11" s="25"/>
      <c r="CL11" s="25"/>
      <c r="CM11" s="35"/>
      <c r="CN11" s="36"/>
      <c r="CO11" s="36"/>
      <c r="CP11" s="36"/>
      <c r="CQ11" s="36"/>
      <c r="CR11" s="36"/>
      <c r="CS11" s="36"/>
      <c r="CT11" s="36"/>
    </row>
    <row r="12" ht="25.05" customHeight="1" spans="1:98">
      <c r="A12" s="18"/>
      <c r="B12" s="19"/>
      <c r="C12" s="20"/>
      <c r="D12" s="17"/>
      <c r="E12" s="17"/>
      <c r="F12" s="17"/>
      <c r="G12" s="17"/>
      <c r="H12" s="17"/>
      <c r="I12" s="17"/>
      <c r="J12" s="17"/>
      <c r="K12" s="37"/>
      <c r="L12" s="38"/>
      <c r="M12" s="38"/>
      <c r="N12" s="38"/>
      <c r="O12" s="38"/>
      <c r="P12" s="38"/>
      <c r="Q12" s="38"/>
      <c r="R12" s="38"/>
      <c r="S12" s="20"/>
      <c r="T12" s="17"/>
      <c r="U12" s="17"/>
      <c r="V12" s="17"/>
      <c r="W12" s="17"/>
      <c r="X12" s="17"/>
      <c r="Y12" s="17"/>
      <c r="Z12" s="17"/>
      <c r="AA12" s="37"/>
      <c r="AB12" s="38"/>
      <c r="AC12" s="38"/>
      <c r="AD12" s="38"/>
      <c r="AE12" s="38"/>
      <c r="AF12" s="38"/>
      <c r="AG12" s="38"/>
      <c r="AH12" s="38"/>
      <c r="AI12" s="20"/>
      <c r="AJ12" s="17"/>
      <c r="AK12" s="17"/>
      <c r="AL12" s="17"/>
      <c r="AM12" s="17"/>
      <c r="AN12" s="17"/>
      <c r="AO12" s="17"/>
      <c r="AP12" s="17"/>
      <c r="AQ12" s="37"/>
      <c r="AR12" s="38"/>
      <c r="AS12" s="38"/>
      <c r="AT12" s="38"/>
      <c r="AU12" s="38"/>
      <c r="AV12" s="38"/>
      <c r="AW12" s="38"/>
      <c r="AX12" s="38"/>
      <c r="AY12" s="20"/>
      <c r="AZ12" s="17"/>
      <c r="BA12" s="17"/>
      <c r="BB12" s="17"/>
      <c r="BC12" s="17"/>
      <c r="BD12" s="17"/>
      <c r="BE12" s="17"/>
      <c r="BF12" s="17"/>
      <c r="BG12" s="37"/>
      <c r="BH12" s="38"/>
      <c r="BI12" s="38"/>
      <c r="BJ12" s="38"/>
      <c r="BK12" s="38"/>
      <c r="BL12" s="38"/>
      <c r="BM12" s="38"/>
      <c r="BN12" s="38"/>
      <c r="BO12" s="20"/>
      <c r="BP12" s="17"/>
      <c r="BQ12" s="17"/>
      <c r="BR12" s="17"/>
      <c r="BS12" s="17"/>
      <c r="BT12" s="17"/>
      <c r="BU12" s="17"/>
      <c r="BV12" s="17"/>
      <c r="BW12" s="37"/>
      <c r="BX12" s="38"/>
      <c r="BY12" s="38"/>
      <c r="BZ12" s="38"/>
      <c r="CA12" s="38"/>
      <c r="CB12" s="38"/>
      <c r="CC12" s="38"/>
      <c r="CD12" s="38"/>
      <c r="CE12" s="20"/>
      <c r="CF12" s="17"/>
      <c r="CG12" s="17"/>
      <c r="CH12" s="17"/>
      <c r="CI12" s="17"/>
      <c r="CJ12" s="17"/>
      <c r="CK12" s="17"/>
      <c r="CL12" s="17"/>
      <c r="CM12" s="37"/>
      <c r="CN12" s="38"/>
      <c r="CO12" s="38"/>
      <c r="CP12" s="38"/>
      <c r="CQ12" s="38"/>
      <c r="CR12" s="38"/>
      <c r="CS12" s="38"/>
      <c r="CT12" s="38"/>
    </row>
    <row r="13" ht="25.05" customHeight="1" spans="1:98">
      <c r="A13" s="18"/>
      <c r="B13" s="19"/>
      <c r="C13" s="20"/>
      <c r="D13" s="17"/>
      <c r="E13" s="17"/>
      <c r="F13" s="17"/>
      <c r="G13" s="17"/>
      <c r="H13" s="17"/>
      <c r="I13" s="17"/>
      <c r="J13" s="17"/>
      <c r="K13" s="37"/>
      <c r="L13" s="38"/>
      <c r="M13" s="38"/>
      <c r="N13" s="38"/>
      <c r="O13" s="38"/>
      <c r="P13" s="38"/>
      <c r="Q13" s="38"/>
      <c r="R13" s="38"/>
      <c r="S13" s="20"/>
      <c r="T13" s="17"/>
      <c r="U13" s="17"/>
      <c r="V13" s="17"/>
      <c r="W13" s="17"/>
      <c r="X13" s="17"/>
      <c r="Y13" s="17"/>
      <c r="Z13" s="17"/>
      <c r="AA13" s="37"/>
      <c r="AB13" s="38"/>
      <c r="AC13" s="38"/>
      <c r="AD13" s="38"/>
      <c r="AE13" s="38"/>
      <c r="AF13" s="38"/>
      <c r="AG13" s="38"/>
      <c r="AH13" s="38"/>
      <c r="AI13" s="20"/>
      <c r="AJ13" s="17"/>
      <c r="AK13" s="17"/>
      <c r="AL13" s="17"/>
      <c r="AM13" s="17"/>
      <c r="AN13" s="17"/>
      <c r="AO13" s="17"/>
      <c r="AP13" s="17"/>
      <c r="AQ13" s="37"/>
      <c r="AR13" s="38"/>
      <c r="AS13" s="38"/>
      <c r="AT13" s="38"/>
      <c r="AU13" s="38"/>
      <c r="AV13" s="38"/>
      <c r="AW13" s="38"/>
      <c r="AX13" s="38"/>
      <c r="AY13" s="20"/>
      <c r="AZ13" s="17"/>
      <c r="BA13" s="17"/>
      <c r="BB13" s="17"/>
      <c r="BC13" s="17"/>
      <c r="BD13" s="17"/>
      <c r="BE13" s="17"/>
      <c r="BF13" s="17"/>
      <c r="BG13" s="37"/>
      <c r="BH13" s="38"/>
      <c r="BI13" s="38"/>
      <c r="BJ13" s="38"/>
      <c r="BK13" s="38"/>
      <c r="BL13" s="38"/>
      <c r="BM13" s="38"/>
      <c r="BN13" s="38"/>
      <c r="BO13" s="20"/>
      <c r="BP13" s="17"/>
      <c r="BQ13" s="17"/>
      <c r="BR13" s="17"/>
      <c r="BS13" s="17"/>
      <c r="BT13" s="17"/>
      <c r="BU13" s="17"/>
      <c r="BV13" s="17"/>
      <c r="BW13" s="37"/>
      <c r="BX13" s="38"/>
      <c r="BY13" s="38"/>
      <c r="BZ13" s="38"/>
      <c r="CA13" s="38"/>
      <c r="CB13" s="38"/>
      <c r="CC13" s="38"/>
      <c r="CD13" s="38"/>
      <c r="CE13" s="20"/>
      <c r="CF13" s="17"/>
      <c r="CG13" s="17"/>
      <c r="CH13" s="17"/>
      <c r="CI13" s="17"/>
      <c r="CJ13" s="17"/>
      <c r="CK13" s="17"/>
      <c r="CL13" s="17"/>
      <c r="CM13" s="37"/>
      <c r="CN13" s="38"/>
      <c r="CO13" s="38"/>
      <c r="CP13" s="38"/>
      <c r="CQ13" s="38"/>
      <c r="CR13" s="38"/>
      <c r="CS13" s="38"/>
      <c r="CT13" s="38"/>
    </row>
    <row r="14" ht="25.05" customHeight="1" spans="1:98">
      <c r="A14" s="18"/>
      <c r="B14" s="19"/>
      <c r="C14" s="20"/>
      <c r="D14" s="17"/>
      <c r="E14" s="17"/>
      <c r="F14" s="17"/>
      <c r="G14" s="17"/>
      <c r="H14" s="17"/>
      <c r="I14" s="17"/>
      <c r="J14" s="17"/>
      <c r="K14" s="37"/>
      <c r="L14" s="38"/>
      <c r="M14" s="38"/>
      <c r="N14" s="38"/>
      <c r="O14" s="38"/>
      <c r="P14" s="38"/>
      <c r="Q14" s="38"/>
      <c r="R14" s="38"/>
      <c r="S14" s="20"/>
      <c r="T14" s="17"/>
      <c r="U14" s="17"/>
      <c r="V14" s="17"/>
      <c r="W14" s="17"/>
      <c r="X14" s="17"/>
      <c r="Y14" s="17"/>
      <c r="Z14" s="17"/>
      <c r="AA14" s="37"/>
      <c r="AB14" s="38"/>
      <c r="AC14" s="38"/>
      <c r="AD14" s="38"/>
      <c r="AE14" s="38"/>
      <c r="AF14" s="38"/>
      <c r="AG14" s="38"/>
      <c r="AH14" s="38"/>
      <c r="AI14" s="20"/>
      <c r="AJ14" s="17"/>
      <c r="AK14" s="17"/>
      <c r="AL14" s="17"/>
      <c r="AM14" s="17"/>
      <c r="AN14" s="17"/>
      <c r="AO14" s="17"/>
      <c r="AP14" s="17"/>
      <c r="AQ14" s="37"/>
      <c r="AR14" s="38"/>
      <c r="AS14" s="38"/>
      <c r="AT14" s="38"/>
      <c r="AU14" s="38"/>
      <c r="AV14" s="38"/>
      <c r="AW14" s="38"/>
      <c r="AX14" s="38"/>
      <c r="AY14" s="20"/>
      <c r="AZ14" s="17"/>
      <c r="BA14" s="17"/>
      <c r="BB14" s="17"/>
      <c r="BC14" s="17"/>
      <c r="BD14" s="17"/>
      <c r="BE14" s="17"/>
      <c r="BF14" s="17"/>
      <c r="BG14" s="37"/>
      <c r="BH14" s="38"/>
      <c r="BI14" s="38"/>
      <c r="BJ14" s="38"/>
      <c r="BK14" s="38"/>
      <c r="BL14" s="38"/>
      <c r="BM14" s="38"/>
      <c r="BN14" s="38"/>
      <c r="BO14" s="20"/>
      <c r="BP14" s="17"/>
      <c r="BQ14" s="17"/>
      <c r="BR14" s="17"/>
      <c r="BS14" s="17"/>
      <c r="BT14" s="17"/>
      <c r="BU14" s="17"/>
      <c r="BV14" s="17"/>
      <c r="BW14" s="37"/>
      <c r="BX14" s="38"/>
      <c r="BY14" s="38"/>
      <c r="BZ14" s="38"/>
      <c r="CA14" s="38"/>
      <c r="CB14" s="38"/>
      <c r="CC14" s="38"/>
      <c r="CD14" s="38"/>
      <c r="CE14" s="20"/>
      <c r="CF14" s="17"/>
      <c r="CG14" s="17"/>
      <c r="CH14" s="17"/>
      <c r="CI14" s="17"/>
      <c r="CJ14" s="17"/>
      <c r="CK14" s="17"/>
      <c r="CL14" s="17"/>
      <c r="CM14" s="37"/>
      <c r="CN14" s="38"/>
      <c r="CO14" s="38"/>
      <c r="CP14" s="38"/>
      <c r="CQ14" s="38"/>
      <c r="CR14" s="38"/>
      <c r="CS14" s="38"/>
      <c r="CT14" s="38"/>
    </row>
    <row r="15" ht="25.05" customHeight="1" spans="1:98">
      <c r="A15" s="18"/>
      <c r="B15" s="19"/>
      <c r="C15" s="20"/>
      <c r="D15" s="17"/>
      <c r="E15" s="17"/>
      <c r="F15" s="17"/>
      <c r="G15" s="17"/>
      <c r="H15" s="17"/>
      <c r="I15" s="17"/>
      <c r="J15" s="17"/>
      <c r="K15" s="37"/>
      <c r="L15" s="38"/>
      <c r="M15" s="38"/>
      <c r="N15" s="38"/>
      <c r="O15" s="38"/>
      <c r="P15" s="38"/>
      <c r="Q15" s="38"/>
      <c r="R15" s="38"/>
      <c r="S15" s="20"/>
      <c r="T15" s="17"/>
      <c r="U15" s="17"/>
      <c r="V15" s="17"/>
      <c r="W15" s="17"/>
      <c r="X15" s="17"/>
      <c r="Y15" s="17"/>
      <c r="Z15" s="17"/>
      <c r="AA15" s="37"/>
      <c r="AB15" s="38"/>
      <c r="AC15" s="38"/>
      <c r="AD15" s="38"/>
      <c r="AE15" s="38"/>
      <c r="AF15" s="38"/>
      <c r="AG15" s="38"/>
      <c r="AH15" s="38"/>
      <c r="AI15" s="20"/>
      <c r="AJ15" s="17"/>
      <c r="AK15" s="17"/>
      <c r="AL15" s="17"/>
      <c r="AM15" s="17"/>
      <c r="AN15" s="17"/>
      <c r="AO15" s="17"/>
      <c r="AP15" s="17"/>
      <c r="AQ15" s="37"/>
      <c r="AR15" s="38"/>
      <c r="AS15" s="38"/>
      <c r="AT15" s="38"/>
      <c r="AU15" s="38"/>
      <c r="AV15" s="38"/>
      <c r="AW15" s="38"/>
      <c r="AX15" s="38"/>
      <c r="AY15" s="20"/>
      <c r="AZ15" s="17"/>
      <c r="BA15" s="17"/>
      <c r="BB15" s="17"/>
      <c r="BC15" s="17"/>
      <c r="BD15" s="17"/>
      <c r="BE15" s="17"/>
      <c r="BF15" s="17"/>
      <c r="BG15" s="37"/>
      <c r="BH15" s="38"/>
      <c r="BI15" s="38"/>
      <c r="BJ15" s="38"/>
      <c r="BK15" s="38"/>
      <c r="BL15" s="38"/>
      <c r="BM15" s="38"/>
      <c r="BN15" s="38"/>
      <c r="BO15" s="20"/>
      <c r="BP15" s="17"/>
      <c r="BQ15" s="17"/>
      <c r="BR15" s="17"/>
      <c r="BS15" s="17"/>
      <c r="BT15" s="17"/>
      <c r="BU15" s="17"/>
      <c r="BV15" s="17"/>
      <c r="BW15" s="37"/>
      <c r="BX15" s="38"/>
      <c r="BY15" s="38"/>
      <c r="BZ15" s="38"/>
      <c r="CA15" s="38"/>
      <c r="CB15" s="38"/>
      <c r="CC15" s="38"/>
      <c r="CD15" s="38"/>
      <c r="CE15" s="20"/>
      <c r="CF15" s="17"/>
      <c r="CG15" s="17"/>
      <c r="CH15" s="17"/>
      <c r="CI15" s="17"/>
      <c r="CJ15" s="17"/>
      <c r="CK15" s="17"/>
      <c r="CL15" s="17"/>
      <c r="CM15" s="37"/>
      <c r="CN15" s="38"/>
      <c r="CO15" s="38"/>
      <c r="CP15" s="38"/>
      <c r="CQ15" s="38"/>
      <c r="CR15" s="38"/>
      <c r="CS15" s="38"/>
      <c r="CT15" s="38"/>
    </row>
    <row r="16" ht="25.05" customHeight="1" spans="1:98">
      <c r="A16" s="18"/>
      <c r="B16"/>
      <c r="C16" s="20"/>
      <c r="D16" s="17"/>
      <c r="E16" s="17"/>
      <c r="F16" s="17"/>
      <c r="G16" s="17"/>
      <c r="H16" s="17"/>
      <c r="I16" s="17"/>
      <c r="J16" s="17"/>
      <c r="K16" s="37"/>
      <c r="L16" s="38"/>
      <c r="M16" s="38"/>
      <c r="N16" s="38"/>
      <c r="O16" s="38"/>
      <c r="P16" s="38"/>
      <c r="Q16" s="38"/>
      <c r="R16" s="38"/>
      <c r="S16" s="20"/>
      <c r="T16" s="17"/>
      <c r="U16" s="17"/>
      <c r="V16" s="17"/>
      <c r="W16" s="17"/>
      <c r="X16" s="17"/>
      <c r="Y16" s="17"/>
      <c r="Z16" s="17"/>
      <c r="AA16" s="37"/>
      <c r="AB16" s="38"/>
      <c r="AC16" s="38"/>
      <c r="AD16" s="38"/>
      <c r="AE16" s="38"/>
      <c r="AF16" s="38"/>
      <c r="AG16" s="38"/>
      <c r="AH16" s="38"/>
      <c r="AI16" s="20"/>
      <c r="AJ16" s="17"/>
      <c r="AK16" s="17"/>
      <c r="AL16" s="17"/>
      <c r="AM16" s="17"/>
      <c r="AN16" s="17"/>
      <c r="AO16" s="17"/>
      <c r="AP16" s="17"/>
      <c r="AQ16" s="37"/>
      <c r="AR16" s="38"/>
      <c r="AS16" s="38"/>
      <c r="AT16" s="38"/>
      <c r="AU16" s="38"/>
      <c r="AV16" s="38"/>
      <c r="AW16" s="38"/>
      <c r="AX16" s="38"/>
      <c r="AY16" s="20"/>
      <c r="AZ16" s="17"/>
      <c r="BA16" s="17"/>
      <c r="BB16" s="17"/>
      <c r="BC16" s="17"/>
      <c r="BD16" s="17"/>
      <c r="BE16" s="17"/>
      <c r="BF16" s="17"/>
      <c r="BG16" s="37"/>
      <c r="BH16" s="38"/>
      <c r="BI16" s="38"/>
      <c r="BJ16" s="38"/>
      <c r="BK16" s="38"/>
      <c r="BL16" s="38"/>
      <c r="BM16" s="38"/>
      <c r="BN16" s="38"/>
      <c r="BO16" s="20"/>
      <c r="BP16" s="17"/>
      <c r="BQ16" s="17"/>
      <c r="BR16" s="17"/>
      <c r="BS16" s="17"/>
      <c r="BT16" s="17"/>
      <c r="BU16" s="17"/>
      <c r="BV16" s="17"/>
      <c r="BW16" s="37"/>
      <c r="BX16" s="38"/>
      <c r="BY16" s="38"/>
      <c r="BZ16" s="38"/>
      <c r="CA16" s="38"/>
      <c r="CB16" s="38"/>
      <c r="CC16" s="38"/>
      <c r="CD16" s="38"/>
      <c r="CE16" s="20"/>
      <c r="CF16" s="17"/>
      <c r="CG16" s="17"/>
      <c r="CH16" s="17"/>
      <c r="CI16" s="17"/>
      <c r="CJ16" s="17"/>
      <c r="CK16" s="17"/>
      <c r="CL16" s="17"/>
      <c r="CM16" s="37"/>
      <c r="CN16" s="38"/>
      <c r="CO16" s="38"/>
      <c r="CP16" s="38"/>
      <c r="CQ16" s="38"/>
      <c r="CR16" s="38"/>
      <c r="CS16" s="38"/>
      <c r="CT16" s="38"/>
    </row>
    <row r="17" ht="25.05" customHeight="1" spans="1:98">
      <c r="A17" s="18"/>
      <c r="B17" s="19"/>
      <c r="C17" s="20"/>
      <c r="D17" s="17"/>
      <c r="E17" s="17"/>
      <c r="F17" s="17"/>
      <c r="G17" s="17"/>
      <c r="H17" s="17"/>
      <c r="I17" s="17"/>
      <c r="J17" s="17"/>
      <c r="K17" s="37"/>
      <c r="L17" s="38"/>
      <c r="M17" s="38"/>
      <c r="N17" s="38"/>
      <c r="O17" s="38"/>
      <c r="P17" s="38"/>
      <c r="Q17" s="38"/>
      <c r="R17" s="38"/>
      <c r="S17" s="20"/>
      <c r="T17" s="17"/>
      <c r="U17" s="17"/>
      <c r="V17" s="17"/>
      <c r="W17" s="17"/>
      <c r="X17" s="17"/>
      <c r="Y17" s="17"/>
      <c r="Z17" s="17"/>
      <c r="AA17" s="37"/>
      <c r="AB17" s="38"/>
      <c r="AC17" s="38"/>
      <c r="AD17" s="38"/>
      <c r="AE17" s="38"/>
      <c r="AF17" s="38"/>
      <c r="AG17" s="38"/>
      <c r="AH17" s="38"/>
      <c r="AI17" s="20"/>
      <c r="AJ17" s="17"/>
      <c r="AK17" s="17"/>
      <c r="AL17" s="17"/>
      <c r="AM17" s="17"/>
      <c r="AN17" s="17"/>
      <c r="AO17" s="17"/>
      <c r="AP17" s="17"/>
      <c r="AQ17" s="37"/>
      <c r="AR17" s="38"/>
      <c r="AS17" s="38"/>
      <c r="AT17" s="38"/>
      <c r="AU17" s="38"/>
      <c r="AV17" s="38"/>
      <c r="AW17" s="38"/>
      <c r="AX17" s="38"/>
      <c r="AY17" s="20"/>
      <c r="AZ17" s="17"/>
      <c r="BA17" s="17"/>
      <c r="BB17" s="17"/>
      <c r="BC17" s="17"/>
      <c r="BD17" s="17"/>
      <c r="BE17" s="17"/>
      <c r="BF17" s="17"/>
      <c r="BG17" s="37"/>
      <c r="BH17" s="38"/>
      <c r="BI17" s="38"/>
      <c r="BJ17" s="38"/>
      <c r="BK17" s="38"/>
      <c r="BL17" s="38"/>
      <c r="BM17" s="38"/>
      <c r="BN17" s="38"/>
      <c r="BO17" s="20"/>
      <c r="BP17" s="17"/>
      <c r="BQ17" s="17"/>
      <c r="BR17" s="17"/>
      <c r="BS17" s="17"/>
      <c r="BT17" s="17"/>
      <c r="BU17" s="17"/>
      <c r="BV17" s="17"/>
      <c r="BW17" s="37"/>
      <c r="BX17" s="38"/>
      <c r="BY17" s="38"/>
      <c r="BZ17" s="38"/>
      <c r="CA17" s="38"/>
      <c r="CB17" s="38"/>
      <c r="CC17" s="38"/>
      <c r="CD17" s="38"/>
      <c r="CE17" s="20"/>
      <c r="CF17" s="17"/>
      <c r="CG17" s="17"/>
      <c r="CH17" s="17"/>
      <c r="CI17" s="17"/>
      <c r="CJ17" s="17"/>
      <c r="CK17" s="17"/>
      <c r="CL17" s="17"/>
      <c r="CM17" s="37"/>
      <c r="CN17" s="38"/>
      <c r="CO17" s="38"/>
      <c r="CP17" s="38"/>
      <c r="CQ17" s="38"/>
      <c r="CR17" s="38"/>
      <c r="CS17" s="38"/>
      <c r="CT17" s="38"/>
    </row>
    <row r="18" ht="25.05" customHeight="1" spans="1:98">
      <c r="A18" s="21"/>
      <c r="B18" s="22"/>
      <c r="C18" s="23"/>
      <c r="D18" s="24"/>
      <c r="E18" s="24"/>
      <c r="F18" s="24"/>
      <c r="G18" s="24"/>
      <c r="H18" s="24"/>
      <c r="I18" s="24"/>
      <c r="J18" s="24"/>
      <c r="K18" s="39"/>
      <c r="L18" s="40"/>
      <c r="M18" s="40"/>
      <c r="N18" s="40"/>
      <c r="O18" s="40"/>
      <c r="P18" s="40"/>
      <c r="Q18" s="40"/>
      <c r="R18" s="40"/>
      <c r="S18" s="23"/>
      <c r="T18" s="24"/>
      <c r="U18" s="24"/>
      <c r="V18" s="24"/>
      <c r="W18" s="24"/>
      <c r="X18" s="24"/>
      <c r="Y18" s="24"/>
      <c r="Z18" s="24"/>
      <c r="AA18" s="39"/>
      <c r="AB18" s="40"/>
      <c r="AC18" s="40"/>
      <c r="AD18" s="40"/>
      <c r="AE18" s="40"/>
      <c r="AF18" s="40"/>
      <c r="AG18" s="40"/>
      <c r="AH18" s="40"/>
      <c r="AI18" s="23"/>
      <c r="AJ18" s="24"/>
      <c r="AK18" s="24"/>
      <c r="AL18" s="24"/>
      <c r="AM18" s="24"/>
      <c r="AN18" s="24"/>
      <c r="AO18" s="24"/>
      <c r="AP18" s="24"/>
      <c r="AQ18" s="39"/>
      <c r="AR18" s="40"/>
      <c r="AS18" s="40"/>
      <c r="AT18" s="40"/>
      <c r="AU18" s="40"/>
      <c r="AV18" s="40"/>
      <c r="AW18" s="40"/>
      <c r="AX18" s="40"/>
      <c r="AY18" s="23"/>
      <c r="AZ18" s="24"/>
      <c r="BA18" s="24"/>
      <c r="BB18" s="24"/>
      <c r="BC18" s="24"/>
      <c r="BD18" s="24"/>
      <c r="BE18" s="24"/>
      <c r="BF18" s="24"/>
      <c r="BG18" s="39"/>
      <c r="BH18" s="40"/>
      <c r="BI18" s="40"/>
      <c r="BJ18" s="40"/>
      <c r="BK18" s="40"/>
      <c r="BL18" s="40"/>
      <c r="BM18" s="40"/>
      <c r="BN18" s="40"/>
      <c r="BO18" s="23"/>
      <c r="BP18" s="24"/>
      <c r="BQ18" s="24"/>
      <c r="BR18" s="24"/>
      <c r="BS18" s="24"/>
      <c r="BT18" s="24"/>
      <c r="BU18" s="24"/>
      <c r="BV18" s="24"/>
      <c r="BW18" s="39"/>
      <c r="BX18" s="40"/>
      <c r="BY18" s="40"/>
      <c r="BZ18" s="40"/>
      <c r="CA18" s="40"/>
      <c r="CB18" s="40"/>
      <c r="CC18" s="40"/>
      <c r="CD18" s="40"/>
      <c r="CE18" s="23"/>
      <c r="CF18" s="24"/>
      <c r="CG18" s="24"/>
      <c r="CH18" s="24"/>
      <c r="CI18" s="24"/>
      <c r="CJ18" s="24"/>
      <c r="CK18" s="24"/>
      <c r="CL18" s="24"/>
      <c r="CM18" s="39"/>
      <c r="CN18" s="40"/>
      <c r="CO18" s="40"/>
      <c r="CP18" s="40"/>
      <c r="CQ18" s="40"/>
      <c r="CR18" s="40"/>
      <c r="CS18" s="40"/>
      <c r="CT18" s="40"/>
    </row>
    <row r="19" ht="25.05" customHeight="1" spans="1:98">
      <c r="A19" s="14" t="s">
        <v>219</v>
      </c>
      <c r="B19" s="15" t="s">
        <v>220</v>
      </c>
      <c r="C19" s="16" t="s">
        <v>221</v>
      </c>
      <c r="D19" s="25" t="s">
        <v>222</v>
      </c>
      <c r="E19" s="25" t="s">
        <v>222</v>
      </c>
      <c r="F19" s="25" t="s">
        <v>222</v>
      </c>
      <c r="G19" s="25" t="s">
        <v>223</v>
      </c>
      <c r="H19" s="25" t="s">
        <v>222</v>
      </c>
      <c r="I19" s="25" t="s">
        <v>222</v>
      </c>
      <c r="J19" s="25" t="s">
        <v>224</v>
      </c>
      <c r="K19" s="35"/>
      <c r="L19" s="36"/>
      <c r="M19" s="36"/>
      <c r="N19" s="36"/>
      <c r="O19" s="36"/>
      <c r="P19" s="36"/>
      <c r="Q19" s="36"/>
      <c r="R19" s="36"/>
      <c r="S19" s="16"/>
      <c r="T19" s="25"/>
      <c r="U19" s="25"/>
      <c r="V19" s="25"/>
      <c r="W19" s="25"/>
      <c r="X19" s="25"/>
      <c r="Y19" s="25"/>
      <c r="Z19" s="25"/>
      <c r="AA19" s="35"/>
      <c r="AB19" s="36"/>
      <c r="AC19" s="36"/>
      <c r="AD19" s="36"/>
      <c r="AE19" s="36"/>
      <c r="AF19" s="36"/>
      <c r="AG19" s="36"/>
      <c r="AH19" s="36"/>
      <c r="AI19" s="16"/>
      <c r="AJ19" s="25"/>
      <c r="AK19" s="25"/>
      <c r="AL19" s="25"/>
      <c r="AM19" s="25"/>
      <c r="AN19" s="25"/>
      <c r="AO19" s="25"/>
      <c r="AP19" s="25"/>
      <c r="AQ19" s="35"/>
      <c r="AR19" s="36"/>
      <c r="AS19" s="36"/>
      <c r="AT19" s="36"/>
      <c r="AU19" s="36"/>
      <c r="AV19" s="36"/>
      <c r="AW19" s="36"/>
      <c r="AX19" s="36"/>
      <c r="AY19" s="16"/>
      <c r="AZ19" s="25"/>
      <c r="BA19" s="25"/>
      <c r="BB19" s="25"/>
      <c r="BC19" s="25"/>
      <c r="BD19" s="25"/>
      <c r="BE19" s="25"/>
      <c r="BF19" s="25"/>
      <c r="BG19" s="35"/>
      <c r="BH19" s="36"/>
      <c r="BI19" s="36"/>
      <c r="BJ19" s="36"/>
      <c r="BK19" s="36"/>
      <c r="BL19" s="36"/>
      <c r="BM19" s="36"/>
      <c r="BN19" s="36"/>
      <c r="BO19" s="16"/>
      <c r="BP19" s="25"/>
      <c r="BQ19" s="25"/>
      <c r="BR19" s="25"/>
      <c r="BS19" s="25"/>
      <c r="BT19" s="25"/>
      <c r="BU19" s="25"/>
      <c r="BV19" s="25"/>
      <c r="BW19" s="35"/>
      <c r="BX19" s="36"/>
      <c r="BY19" s="36"/>
      <c r="BZ19" s="36"/>
      <c r="CA19" s="36"/>
      <c r="CB19" s="36"/>
      <c r="CC19" s="36"/>
      <c r="CD19" s="36"/>
      <c r="CE19" s="16"/>
      <c r="CF19" s="25"/>
      <c r="CG19" s="25"/>
      <c r="CH19" s="25"/>
      <c r="CI19" s="25"/>
      <c r="CJ19" s="25"/>
      <c r="CK19" s="25"/>
      <c r="CL19" s="25"/>
      <c r="CM19" s="35"/>
      <c r="CN19" s="36"/>
      <c r="CO19" s="36"/>
      <c r="CP19" s="36"/>
      <c r="CQ19" s="36"/>
      <c r="CR19" s="36"/>
      <c r="CS19" s="36"/>
      <c r="CT19" s="36"/>
    </row>
    <row r="20" ht="25.05" customHeight="1" spans="1:98">
      <c r="A20" s="18"/>
      <c r="B20" s="19" t="s">
        <v>225</v>
      </c>
      <c r="C20" s="20" t="s">
        <v>226</v>
      </c>
      <c r="D20" s="17">
        <v>1</v>
      </c>
      <c r="E20" s="17">
        <v>1</v>
      </c>
      <c r="F20" s="17">
        <v>1</v>
      </c>
      <c r="G20" s="17">
        <v>0</v>
      </c>
      <c r="H20" s="17">
        <v>2</v>
      </c>
      <c r="I20" s="17">
        <v>1</v>
      </c>
      <c r="J20" s="17">
        <v>2</v>
      </c>
      <c r="K20" s="37"/>
      <c r="L20" s="38"/>
      <c r="M20" s="38"/>
      <c r="N20" s="38"/>
      <c r="O20" s="38"/>
      <c r="P20" s="38"/>
      <c r="Q20" s="38"/>
      <c r="R20" s="38"/>
      <c r="S20" s="20"/>
      <c r="T20" s="17"/>
      <c r="U20" s="17"/>
      <c r="V20" s="17"/>
      <c r="W20" s="17"/>
      <c r="X20" s="17"/>
      <c r="Y20" s="17"/>
      <c r="Z20" s="17"/>
      <c r="AA20" s="37"/>
      <c r="AB20" s="38"/>
      <c r="AC20" s="38"/>
      <c r="AD20" s="38"/>
      <c r="AE20" s="38"/>
      <c r="AF20" s="38"/>
      <c r="AG20" s="38"/>
      <c r="AH20" s="38"/>
      <c r="AI20" s="20"/>
      <c r="AJ20" s="17"/>
      <c r="AK20" s="17"/>
      <c r="AL20" s="17"/>
      <c r="AM20" s="17"/>
      <c r="AN20" s="17"/>
      <c r="AO20" s="17"/>
      <c r="AP20" s="17"/>
      <c r="AQ20" s="37"/>
      <c r="AR20" s="38"/>
      <c r="AS20" s="38"/>
      <c r="AT20" s="38"/>
      <c r="AU20" s="38"/>
      <c r="AV20" s="38"/>
      <c r="AW20" s="38"/>
      <c r="AX20" s="38"/>
      <c r="AY20" s="20"/>
      <c r="AZ20" s="17"/>
      <c r="BA20" s="17"/>
      <c r="BB20" s="17"/>
      <c r="BC20" s="17"/>
      <c r="BD20" s="17"/>
      <c r="BE20" s="17"/>
      <c r="BF20" s="17"/>
      <c r="BG20" s="37"/>
      <c r="BH20" s="38"/>
      <c r="BI20" s="38"/>
      <c r="BJ20" s="38"/>
      <c r="BK20" s="38"/>
      <c r="BL20" s="38"/>
      <c r="BM20" s="38"/>
      <c r="BN20" s="38"/>
      <c r="BO20" s="20"/>
      <c r="BP20" s="17"/>
      <c r="BQ20" s="17"/>
      <c r="BR20" s="17"/>
      <c r="BS20" s="17"/>
      <c r="BT20" s="17"/>
      <c r="BU20" s="17"/>
      <c r="BV20" s="17"/>
      <c r="BW20" s="37"/>
      <c r="BX20" s="38"/>
      <c r="BY20" s="38"/>
      <c r="BZ20" s="38"/>
      <c r="CA20" s="38"/>
      <c r="CB20" s="38"/>
      <c r="CC20" s="38"/>
      <c r="CD20" s="38"/>
      <c r="CE20" s="20"/>
      <c r="CF20" s="17"/>
      <c r="CG20" s="17"/>
      <c r="CH20" s="17"/>
      <c r="CI20" s="17"/>
      <c r="CJ20" s="17"/>
      <c r="CK20" s="17"/>
      <c r="CL20" s="17"/>
      <c r="CM20" s="37"/>
      <c r="CN20" s="38"/>
      <c r="CO20" s="38"/>
      <c r="CP20" s="38"/>
      <c r="CQ20" s="38"/>
      <c r="CR20" s="38"/>
      <c r="CS20" s="38"/>
      <c r="CT20" s="38"/>
    </row>
    <row r="21" ht="25.05" customHeight="1" spans="1:98">
      <c r="A21" s="18"/>
      <c r="B21" s="19" t="s">
        <v>227</v>
      </c>
      <c r="C21" s="20" t="s">
        <v>222</v>
      </c>
      <c r="D21" s="17" t="s">
        <v>222</v>
      </c>
      <c r="E21" s="17" t="s">
        <v>222</v>
      </c>
      <c r="F21" s="17" t="s">
        <v>222</v>
      </c>
      <c r="G21" s="17" t="s">
        <v>222</v>
      </c>
      <c r="H21" s="17" t="s">
        <v>222</v>
      </c>
      <c r="I21" s="17" t="s">
        <v>222</v>
      </c>
      <c r="J21" s="17" t="s">
        <v>222</v>
      </c>
      <c r="K21" s="37"/>
      <c r="L21" s="38"/>
      <c r="M21" s="38"/>
      <c r="N21" s="38"/>
      <c r="O21" s="38"/>
      <c r="P21" s="38"/>
      <c r="Q21" s="38"/>
      <c r="R21" s="38"/>
      <c r="S21" s="20"/>
      <c r="T21" s="17"/>
      <c r="U21" s="17"/>
      <c r="V21" s="17"/>
      <c r="W21" s="17"/>
      <c r="X21" s="17"/>
      <c r="Y21" s="17"/>
      <c r="Z21" s="17"/>
      <c r="AA21" s="37"/>
      <c r="AB21" s="38"/>
      <c r="AC21" s="38"/>
      <c r="AD21" s="38"/>
      <c r="AE21" s="38"/>
      <c r="AF21" s="38"/>
      <c r="AG21" s="38"/>
      <c r="AH21" s="38"/>
      <c r="AI21" s="20"/>
      <c r="AJ21" s="17"/>
      <c r="AK21" s="17"/>
      <c r="AL21" s="17"/>
      <c r="AM21" s="17"/>
      <c r="AN21" s="17"/>
      <c r="AO21" s="17"/>
      <c r="AP21" s="17"/>
      <c r="AQ21" s="37"/>
      <c r="AR21" s="38"/>
      <c r="AS21" s="38"/>
      <c r="AT21" s="38"/>
      <c r="AU21" s="38"/>
      <c r="AV21" s="38"/>
      <c r="AW21" s="38"/>
      <c r="AX21" s="38"/>
      <c r="AY21" s="20"/>
      <c r="AZ21" s="17"/>
      <c r="BA21" s="17"/>
      <c r="BB21" s="17"/>
      <c r="BC21" s="17"/>
      <c r="BD21" s="17"/>
      <c r="BE21" s="17"/>
      <c r="BF21" s="17"/>
      <c r="BG21" s="37"/>
      <c r="BH21" s="38"/>
      <c r="BI21" s="38"/>
      <c r="BJ21" s="38"/>
      <c r="BK21" s="38"/>
      <c r="BL21" s="38"/>
      <c r="BM21" s="38"/>
      <c r="BN21" s="38"/>
      <c r="BO21" s="20"/>
      <c r="BP21" s="17"/>
      <c r="BQ21" s="17"/>
      <c r="BR21" s="17"/>
      <c r="BS21" s="17"/>
      <c r="BT21" s="17"/>
      <c r="BU21" s="17"/>
      <c r="BV21" s="17"/>
      <c r="BW21" s="37"/>
      <c r="BX21" s="38"/>
      <c r="BY21" s="38"/>
      <c r="BZ21" s="38"/>
      <c r="CA21" s="38"/>
      <c r="CB21" s="38"/>
      <c r="CC21" s="38"/>
      <c r="CD21" s="38"/>
      <c r="CE21" s="20"/>
      <c r="CF21" s="17"/>
      <c r="CG21" s="17"/>
      <c r="CH21" s="17"/>
      <c r="CI21" s="17"/>
      <c r="CJ21" s="17"/>
      <c r="CK21" s="17"/>
      <c r="CL21" s="17"/>
      <c r="CM21" s="37"/>
      <c r="CN21" s="38"/>
      <c r="CO21" s="38"/>
      <c r="CP21" s="38"/>
      <c r="CQ21" s="38"/>
      <c r="CR21" s="38"/>
      <c r="CS21" s="38"/>
      <c r="CT21" s="38"/>
    </row>
    <row r="22" ht="25.05" customHeight="1" spans="1:98">
      <c r="A22" s="18"/>
      <c r="B22" s="19" t="s">
        <v>228</v>
      </c>
      <c r="C22" s="20" t="s">
        <v>229</v>
      </c>
      <c r="D22" s="17" t="s">
        <v>222</v>
      </c>
      <c r="E22" s="17" t="s">
        <v>222</v>
      </c>
      <c r="F22" s="17" t="s">
        <v>222</v>
      </c>
      <c r="G22" s="17" t="s">
        <v>222</v>
      </c>
      <c r="H22" s="17" t="s">
        <v>222</v>
      </c>
      <c r="I22" s="17" t="s">
        <v>230</v>
      </c>
      <c r="J22" s="17" t="s">
        <v>231</v>
      </c>
      <c r="K22" s="37"/>
      <c r="L22" s="38"/>
      <c r="M22" s="38"/>
      <c r="N22" s="38"/>
      <c r="O22" s="38"/>
      <c r="P22" s="38"/>
      <c r="Q22" s="38"/>
      <c r="R22" s="38"/>
      <c r="S22" s="20"/>
      <c r="T22" s="17"/>
      <c r="U22" s="17"/>
      <c r="V22" s="17"/>
      <c r="W22" s="17"/>
      <c r="X22" s="17"/>
      <c r="Y22" s="17"/>
      <c r="Z22" s="17"/>
      <c r="AA22" s="37"/>
      <c r="AB22" s="38"/>
      <c r="AC22" s="38"/>
      <c r="AD22" s="38"/>
      <c r="AE22" s="38"/>
      <c r="AF22" s="38"/>
      <c r="AG22" s="38"/>
      <c r="AH22" s="38"/>
      <c r="AI22" s="20"/>
      <c r="AJ22" s="17"/>
      <c r="AK22" s="17"/>
      <c r="AL22" s="17"/>
      <c r="AM22" s="17"/>
      <c r="AN22" s="17"/>
      <c r="AO22" s="17"/>
      <c r="AP22" s="17"/>
      <c r="AQ22" s="37"/>
      <c r="AR22" s="38"/>
      <c r="AS22" s="38"/>
      <c r="AT22" s="38"/>
      <c r="AU22" s="38"/>
      <c r="AV22" s="38"/>
      <c r="AW22" s="38"/>
      <c r="AX22" s="38"/>
      <c r="AY22" s="20"/>
      <c r="AZ22" s="17"/>
      <c r="BA22" s="17"/>
      <c r="BB22" s="17"/>
      <c r="BC22" s="17"/>
      <c r="BD22" s="17"/>
      <c r="BE22" s="17"/>
      <c r="BF22" s="17"/>
      <c r="BG22" s="37"/>
      <c r="BH22" s="38"/>
      <c r="BI22" s="38"/>
      <c r="BJ22" s="38"/>
      <c r="BK22" s="38"/>
      <c r="BL22" s="38"/>
      <c r="BM22" s="38"/>
      <c r="BN22" s="38"/>
      <c r="BO22" s="20"/>
      <c r="BP22" s="17"/>
      <c r="BQ22" s="17"/>
      <c r="BR22" s="17"/>
      <c r="BS22" s="17"/>
      <c r="BT22" s="17"/>
      <c r="BU22" s="17"/>
      <c r="BV22" s="17"/>
      <c r="BW22" s="37"/>
      <c r="BX22" s="38"/>
      <c r="BY22" s="38"/>
      <c r="BZ22" s="38"/>
      <c r="CA22" s="38"/>
      <c r="CB22" s="38"/>
      <c r="CC22" s="38"/>
      <c r="CD22" s="38"/>
      <c r="CE22" s="20"/>
      <c r="CF22" s="17"/>
      <c r="CG22" s="17"/>
      <c r="CH22" s="17"/>
      <c r="CI22" s="17"/>
      <c r="CJ22" s="17"/>
      <c r="CK22" s="17"/>
      <c r="CL22" s="17"/>
      <c r="CM22" s="37"/>
      <c r="CN22" s="38"/>
      <c r="CO22" s="38"/>
      <c r="CP22" s="38"/>
      <c r="CQ22" s="38"/>
      <c r="CR22" s="38"/>
      <c r="CS22" s="38"/>
      <c r="CT22" s="38"/>
    </row>
    <row r="23" ht="25.05" customHeight="1" spans="1:98">
      <c r="A23" s="18"/>
      <c r="B23" s="19" t="s">
        <v>232</v>
      </c>
      <c r="C23" s="20"/>
      <c r="D23" s="17"/>
      <c r="E23" s="17"/>
      <c r="F23" s="17"/>
      <c r="G23" s="17"/>
      <c r="H23" s="17"/>
      <c r="I23" s="17"/>
      <c r="J23" s="17"/>
      <c r="K23" s="37"/>
      <c r="L23" s="38"/>
      <c r="M23" s="38"/>
      <c r="N23" s="38"/>
      <c r="O23" s="38"/>
      <c r="P23" s="38"/>
      <c r="Q23" s="38"/>
      <c r="R23" s="38"/>
      <c r="S23" s="20"/>
      <c r="T23" s="17"/>
      <c r="U23" s="17"/>
      <c r="V23" s="17"/>
      <c r="W23" s="17"/>
      <c r="X23" s="17"/>
      <c r="Y23" s="17"/>
      <c r="Z23" s="17"/>
      <c r="AA23" s="37"/>
      <c r="AB23" s="38"/>
      <c r="AC23" s="38"/>
      <c r="AD23" s="38"/>
      <c r="AE23" s="38"/>
      <c r="AF23" s="38"/>
      <c r="AG23" s="38"/>
      <c r="AH23" s="38"/>
      <c r="AI23" s="20"/>
      <c r="AJ23" s="17"/>
      <c r="AK23" s="17"/>
      <c r="AL23" s="17"/>
      <c r="AM23" s="17"/>
      <c r="AN23" s="17"/>
      <c r="AO23" s="17"/>
      <c r="AP23" s="17"/>
      <c r="AQ23" s="37"/>
      <c r="AR23" s="38"/>
      <c r="AS23" s="38"/>
      <c r="AT23" s="38"/>
      <c r="AU23" s="38"/>
      <c r="AV23" s="38"/>
      <c r="AW23" s="38"/>
      <c r="AX23" s="38"/>
      <c r="AY23" s="20"/>
      <c r="AZ23" s="17"/>
      <c r="BA23" s="17"/>
      <c r="BB23" s="17"/>
      <c r="BC23" s="17"/>
      <c r="BD23" s="17"/>
      <c r="BE23" s="17"/>
      <c r="BF23" s="17"/>
      <c r="BG23" s="37"/>
      <c r="BH23" s="38"/>
      <c r="BI23" s="38"/>
      <c r="BJ23" s="38"/>
      <c r="BK23" s="38"/>
      <c r="BL23" s="38"/>
      <c r="BM23" s="38"/>
      <c r="BN23" s="38"/>
      <c r="BO23" s="20"/>
      <c r="BP23" s="17"/>
      <c r="BQ23" s="17"/>
      <c r="BR23" s="17"/>
      <c r="BS23" s="17"/>
      <c r="BT23" s="17"/>
      <c r="BU23" s="17"/>
      <c r="BV23" s="17"/>
      <c r="BW23" s="37"/>
      <c r="BX23" s="38"/>
      <c r="BY23" s="38"/>
      <c r="BZ23" s="38"/>
      <c r="CA23" s="38"/>
      <c r="CB23" s="38"/>
      <c r="CC23" s="38"/>
      <c r="CD23" s="38"/>
      <c r="CE23" s="20"/>
      <c r="CF23" s="17"/>
      <c r="CG23" s="17"/>
      <c r="CH23" s="17"/>
      <c r="CI23" s="17"/>
      <c r="CJ23" s="17"/>
      <c r="CK23" s="17"/>
      <c r="CL23" s="17"/>
      <c r="CM23" s="37"/>
      <c r="CN23" s="38"/>
      <c r="CO23" s="38"/>
      <c r="CP23" s="38"/>
      <c r="CQ23" s="38"/>
      <c r="CR23" s="38"/>
      <c r="CS23" s="38"/>
      <c r="CT23" s="38"/>
    </row>
    <row r="24" ht="25.05" customHeight="1" spans="1:98">
      <c r="A24" s="18"/>
      <c r="B24" s="19" t="s">
        <v>233</v>
      </c>
      <c r="C24" s="20"/>
      <c r="D24" s="17"/>
      <c r="E24" s="17"/>
      <c r="F24" s="17"/>
      <c r="G24" s="17"/>
      <c r="H24" s="17"/>
      <c r="I24" s="17"/>
      <c r="J24" s="17"/>
      <c r="K24" s="37"/>
      <c r="L24" s="38"/>
      <c r="M24" s="38"/>
      <c r="N24" s="38"/>
      <c r="O24" s="38"/>
      <c r="P24" s="38"/>
      <c r="Q24" s="38"/>
      <c r="R24" s="38"/>
      <c r="S24" s="20"/>
      <c r="T24" s="17"/>
      <c r="U24" s="17"/>
      <c r="V24" s="17"/>
      <c r="W24" s="17"/>
      <c r="X24" s="17"/>
      <c r="Y24" s="17"/>
      <c r="Z24" s="17"/>
      <c r="AA24" s="37"/>
      <c r="AB24" s="38"/>
      <c r="AC24" s="38"/>
      <c r="AD24" s="38"/>
      <c r="AE24" s="38"/>
      <c r="AF24" s="38"/>
      <c r="AG24" s="38"/>
      <c r="AH24" s="38"/>
      <c r="AI24" s="20"/>
      <c r="AJ24" s="17"/>
      <c r="AK24" s="17"/>
      <c r="AL24" s="17"/>
      <c r="AM24" s="17"/>
      <c r="AN24" s="17"/>
      <c r="AO24" s="17"/>
      <c r="AP24" s="17"/>
      <c r="AQ24" s="37"/>
      <c r="AR24" s="38"/>
      <c r="AS24" s="38"/>
      <c r="AT24" s="38"/>
      <c r="AU24" s="38"/>
      <c r="AV24" s="38"/>
      <c r="AW24" s="38"/>
      <c r="AX24" s="38"/>
      <c r="AY24" s="20"/>
      <c r="AZ24" s="17"/>
      <c r="BA24" s="17"/>
      <c r="BB24" s="17"/>
      <c r="BC24" s="17"/>
      <c r="BD24" s="17"/>
      <c r="BE24" s="17"/>
      <c r="BF24" s="17"/>
      <c r="BG24" s="37"/>
      <c r="BH24" s="38"/>
      <c r="BI24" s="38"/>
      <c r="BJ24" s="38"/>
      <c r="BK24" s="38"/>
      <c r="BL24" s="38"/>
      <c r="BM24" s="38"/>
      <c r="BN24" s="38"/>
      <c r="BO24" s="20"/>
      <c r="BP24" s="17"/>
      <c r="BQ24" s="17"/>
      <c r="BR24" s="17"/>
      <c r="BS24" s="17"/>
      <c r="BT24" s="17"/>
      <c r="BU24" s="17"/>
      <c r="BV24" s="17"/>
      <c r="BW24" s="37"/>
      <c r="BX24" s="38"/>
      <c r="BY24" s="38"/>
      <c r="BZ24" s="38"/>
      <c r="CA24" s="38"/>
      <c r="CB24" s="38"/>
      <c r="CC24" s="38"/>
      <c r="CD24" s="38"/>
      <c r="CE24" s="20"/>
      <c r="CF24" s="17"/>
      <c r="CG24" s="17"/>
      <c r="CH24" s="17"/>
      <c r="CI24" s="17"/>
      <c r="CJ24" s="17"/>
      <c r="CK24" s="17"/>
      <c r="CL24" s="17"/>
      <c r="CM24" s="37"/>
      <c r="CN24" s="38"/>
      <c r="CO24" s="38"/>
      <c r="CP24" s="38"/>
      <c r="CQ24" s="38"/>
      <c r="CR24" s="38"/>
      <c r="CS24" s="38"/>
      <c r="CT24" s="38"/>
    </row>
    <row r="25" ht="25.05" customHeight="1" spans="1:98">
      <c r="A25" s="18"/>
      <c r="B25" s="19" t="s">
        <v>234</v>
      </c>
      <c r="C25" s="20"/>
      <c r="D25" s="17"/>
      <c r="E25" s="17"/>
      <c r="F25" s="17"/>
      <c r="G25" s="17"/>
      <c r="H25" s="17"/>
      <c r="I25" s="17"/>
      <c r="J25" s="17"/>
      <c r="K25" s="37"/>
      <c r="L25" s="38"/>
      <c r="M25" s="38"/>
      <c r="N25" s="38"/>
      <c r="O25" s="38"/>
      <c r="P25" s="38"/>
      <c r="Q25" s="38"/>
      <c r="R25" s="38"/>
      <c r="S25" s="20"/>
      <c r="T25" s="17"/>
      <c r="U25" s="17"/>
      <c r="V25" s="17"/>
      <c r="W25" s="17"/>
      <c r="X25" s="17"/>
      <c r="Y25" s="17"/>
      <c r="Z25" s="17"/>
      <c r="AA25" s="37"/>
      <c r="AB25" s="38"/>
      <c r="AC25" s="38"/>
      <c r="AD25" s="38"/>
      <c r="AE25" s="38"/>
      <c r="AF25" s="38"/>
      <c r="AG25" s="38"/>
      <c r="AH25" s="38"/>
      <c r="AI25" s="20"/>
      <c r="AJ25" s="17"/>
      <c r="AK25" s="17"/>
      <c r="AL25" s="17"/>
      <c r="AM25" s="17"/>
      <c r="AN25" s="17"/>
      <c r="AO25" s="17"/>
      <c r="AP25" s="17"/>
      <c r="AQ25" s="37"/>
      <c r="AR25" s="38"/>
      <c r="AS25" s="38"/>
      <c r="AT25" s="38"/>
      <c r="AU25" s="38"/>
      <c r="AV25" s="38"/>
      <c r="AW25" s="38"/>
      <c r="AX25" s="38"/>
      <c r="AY25" s="20"/>
      <c r="AZ25" s="17"/>
      <c r="BA25" s="17"/>
      <c r="BB25" s="17"/>
      <c r="BC25" s="17"/>
      <c r="BD25" s="17"/>
      <c r="BE25" s="17"/>
      <c r="BF25" s="17"/>
      <c r="BG25" s="37"/>
      <c r="BH25" s="38"/>
      <c r="BI25" s="38"/>
      <c r="BJ25" s="38"/>
      <c r="BK25" s="38"/>
      <c r="BL25" s="38"/>
      <c r="BM25" s="38"/>
      <c r="BN25" s="38"/>
      <c r="BO25" s="20"/>
      <c r="BP25" s="17"/>
      <c r="BQ25" s="17"/>
      <c r="BR25" s="17"/>
      <c r="BS25" s="17"/>
      <c r="BT25" s="17"/>
      <c r="BU25" s="17"/>
      <c r="BV25" s="17"/>
      <c r="BW25" s="37"/>
      <c r="BX25" s="38"/>
      <c r="BY25" s="38"/>
      <c r="BZ25" s="38"/>
      <c r="CA25" s="38"/>
      <c r="CB25" s="38"/>
      <c r="CC25" s="38"/>
      <c r="CD25" s="38"/>
      <c r="CE25" s="20"/>
      <c r="CF25" s="17"/>
      <c r="CG25" s="17"/>
      <c r="CH25" s="17"/>
      <c r="CI25" s="17"/>
      <c r="CJ25" s="17"/>
      <c r="CK25" s="17"/>
      <c r="CL25" s="17"/>
      <c r="CM25" s="37"/>
      <c r="CN25" s="38"/>
      <c r="CO25" s="38"/>
      <c r="CP25" s="38"/>
      <c r="CQ25" s="38"/>
      <c r="CR25" s="38"/>
      <c r="CS25" s="38"/>
      <c r="CT25" s="38"/>
    </row>
    <row r="26" ht="25.05" customHeight="1" spans="1:98">
      <c r="A26" s="21"/>
      <c r="B26" s="22"/>
      <c r="C26" s="23"/>
      <c r="D26" s="24"/>
      <c r="E26" s="24"/>
      <c r="F26" s="24"/>
      <c r="G26" s="24"/>
      <c r="H26" s="24"/>
      <c r="I26" s="24"/>
      <c r="J26" s="24"/>
      <c r="K26" s="39"/>
      <c r="L26" s="40"/>
      <c r="M26" s="40"/>
      <c r="N26" s="40"/>
      <c r="O26" s="40"/>
      <c r="P26" s="40"/>
      <c r="Q26" s="40"/>
      <c r="R26" s="40"/>
      <c r="S26" s="23"/>
      <c r="T26" s="24"/>
      <c r="U26" s="24"/>
      <c r="V26" s="24"/>
      <c r="W26" s="24"/>
      <c r="X26" s="24"/>
      <c r="Y26" s="24"/>
      <c r="Z26" s="24"/>
      <c r="AA26" s="39"/>
      <c r="AB26" s="40"/>
      <c r="AC26" s="40"/>
      <c r="AD26" s="40"/>
      <c r="AE26" s="40"/>
      <c r="AF26" s="40"/>
      <c r="AG26" s="40"/>
      <c r="AH26" s="40"/>
      <c r="AI26" s="23"/>
      <c r="AJ26" s="24"/>
      <c r="AK26" s="24"/>
      <c r="AL26" s="24"/>
      <c r="AM26" s="24"/>
      <c r="AN26" s="24"/>
      <c r="AO26" s="24"/>
      <c r="AP26" s="24"/>
      <c r="AQ26" s="39"/>
      <c r="AR26" s="40"/>
      <c r="AS26" s="40"/>
      <c r="AT26" s="40"/>
      <c r="AU26" s="40"/>
      <c r="AV26" s="40"/>
      <c r="AW26" s="40"/>
      <c r="AX26" s="40"/>
      <c r="AY26" s="23"/>
      <c r="AZ26" s="24"/>
      <c r="BA26" s="24"/>
      <c r="BB26" s="24"/>
      <c r="BC26" s="24"/>
      <c r="BD26" s="24"/>
      <c r="BE26" s="24"/>
      <c r="BF26" s="24"/>
      <c r="BG26" s="39"/>
      <c r="BH26" s="40"/>
      <c r="BI26" s="40"/>
      <c r="BJ26" s="40"/>
      <c r="BK26" s="40"/>
      <c r="BL26" s="40"/>
      <c r="BM26" s="40"/>
      <c r="BN26" s="40"/>
      <c r="BO26" s="23"/>
      <c r="BP26" s="24"/>
      <c r="BQ26" s="24"/>
      <c r="BR26" s="24"/>
      <c r="BS26" s="24"/>
      <c r="BT26" s="24"/>
      <c r="BU26" s="24"/>
      <c r="BV26" s="24"/>
      <c r="BW26" s="39"/>
      <c r="BX26" s="40"/>
      <c r="BY26" s="40"/>
      <c r="BZ26" s="40"/>
      <c r="CA26" s="40"/>
      <c r="CB26" s="40"/>
      <c r="CC26" s="40"/>
      <c r="CD26" s="40"/>
      <c r="CE26" s="23"/>
      <c r="CF26" s="24"/>
      <c r="CG26" s="24"/>
      <c r="CH26" s="24"/>
      <c r="CI26" s="24"/>
      <c r="CJ26" s="24"/>
      <c r="CK26" s="24"/>
      <c r="CL26" s="24"/>
      <c r="CM26" s="39"/>
      <c r="CN26" s="40"/>
      <c r="CO26" s="40"/>
      <c r="CP26" s="40"/>
      <c r="CQ26" s="40"/>
      <c r="CR26" s="40"/>
      <c r="CS26" s="40"/>
      <c r="CT26" s="40"/>
    </row>
    <row r="27" ht="25.05" customHeight="1" spans="1:98">
      <c r="A27" s="14" t="s">
        <v>235</v>
      </c>
      <c r="B27" s="15" t="s">
        <v>236</v>
      </c>
      <c r="C27" s="26" t="s">
        <v>237</v>
      </c>
      <c r="D27" s="25" t="s">
        <v>238</v>
      </c>
      <c r="E27" s="17" t="s">
        <v>222</v>
      </c>
      <c r="F27" s="17" t="s">
        <v>222</v>
      </c>
      <c r="G27" s="25" t="s">
        <v>238</v>
      </c>
      <c r="H27" s="25" t="s">
        <v>238</v>
      </c>
      <c r="I27" s="25" t="s">
        <v>238</v>
      </c>
      <c r="J27" s="25" t="s">
        <v>239</v>
      </c>
      <c r="K27" s="35"/>
      <c r="L27" s="36"/>
      <c r="M27" s="36"/>
      <c r="N27" s="36"/>
      <c r="O27" s="36"/>
      <c r="P27" s="36"/>
      <c r="Q27" s="36"/>
      <c r="R27" s="36"/>
      <c r="S27" s="16"/>
      <c r="T27" s="25"/>
      <c r="U27" s="25"/>
      <c r="V27" s="25"/>
      <c r="W27" s="25"/>
      <c r="X27" s="25"/>
      <c r="Y27" s="25"/>
      <c r="Z27" s="25"/>
      <c r="AA27" s="35"/>
      <c r="AB27" s="36"/>
      <c r="AC27" s="36"/>
      <c r="AD27" s="36"/>
      <c r="AE27" s="36"/>
      <c r="AF27" s="36"/>
      <c r="AG27" s="36"/>
      <c r="AH27" s="36"/>
      <c r="AI27" s="16"/>
      <c r="AJ27" s="25"/>
      <c r="AK27" s="25"/>
      <c r="AL27" s="25"/>
      <c r="AM27" s="25"/>
      <c r="AN27" s="25"/>
      <c r="AO27" s="25"/>
      <c r="AP27" s="25"/>
      <c r="AQ27" s="35"/>
      <c r="AR27" s="36"/>
      <c r="AS27" s="36"/>
      <c r="AT27" s="36"/>
      <c r="AU27" s="36"/>
      <c r="AV27" s="36"/>
      <c r="AW27" s="36"/>
      <c r="AX27" s="36"/>
      <c r="AY27" s="16"/>
      <c r="AZ27" s="25"/>
      <c r="BA27" s="25"/>
      <c r="BB27" s="25"/>
      <c r="BC27" s="25"/>
      <c r="BD27" s="25"/>
      <c r="BE27" s="25"/>
      <c r="BF27" s="25"/>
      <c r="BG27" s="35"/>
      <c r="BH27" s="36"/>
      <c r="BI27" s="36"/>
      <c r="BJ27" s="36"/>
      <c r="BK27" s="36"/>
      <c r="BL27" s="36"/>
      <c r="BM27" s="36"/>
      <c r="BN27" s="36"/>
      <c r="BO27" s="16"/>
      <c r="BP27" s="25"/>
      <c r="BQ27" s="25"/>
      <c r="BR27" s="25"/>
      <c r="BS27" s="25"/>
      <c r="BT27" s="25"/>
      <c r="BU27" s="25"/>
      <c r="BV27" s="25"/>
      <c r="BW27" s="35"/>
      <c r="BX27" s="36"/>
      <c r="BY27" s="36"/>
      <c r="BZ27" s="36"/>
      <c r="CA27" s="36"/>
      <c r="CB27" s="36"/>
      <c r="CC27" s="36"/>
      <c r="CD27" s="36"/>
      <c r="CE27" s="16"/>
      <c r="CF27" s="25"/>
      <c r="CG27" s="25"/>
      <c r="CH27" s="25"/>
      <c r="CI27" s="25"/>
      <c r="CJ27" s="25"/>
      <c r="CK27" s="25"/>
      <c r="CL27" s="25"/>
      <c r="CM27" s="35"/>
      <c r="CN27" s="36"/>
      <c r="CO27" s="36"/>
      <c r="CP27" s="36"/>
      <c r="CQ27" s="36"/>
      <c r="CR27" s="36"/>
      <c r="CS27" s="36"/>
      <c r="CT27" s="36"/>
    </row>
    <row r="28" ht="25.05" customHeight="1" spans="1:98">
      <c r="A28" s="18"/>
      <c r="B28" s="19" t="s">
        <v>240</v>
      </c>
      <c r="C28" s="27"/>
      <c r="D28" s="17" t="s">
        <v>238</v>
      </c>
      <c r="E28" s="17" t="s">
        <v>222</v>
      </c>
      <c r="F28" s="17" t="s">
        <v>222</v>
      </c>
      <c r="G28" s="17" t="s">
        <v>238</v>
      </c>
      <c r="H28" s="17" t="s">
        <v>239</v>
      </c>
      <c r="I28" s="17" t="s">
        <v>239</v>
      </c>
      <c r="J28" s="17" t="s">
        <v>239</v>
      </c>
      <c r="K28" s="37"/>
      <c r="L28" s="38"/>
      <c r="M28" s="38"/>
      <c r="N28" s="38"/>
      <c r="O28" s="38"/>
      <c r="P28" s="38"/>
      <c r="Q28" s="38"/>
      <c r="R28" s="38"/>
      <c r="S28" s="20"/>
      <c r="T28" s="17"/>
      <c r="U28" s="17"/>
      <c r="V28" s="17"/>
      <c r="W28" s="17"/>
      <c r="X28" s="17"/>
      <c r="Y28" s="17"/>
      <c r="Z28" s="17"/>
      <c r="AA28" s="37"/>
      <c r="AB28" s="38"/>
      <c r="AC28" s="38"/>
      <c r="AD28" s="38"/>
      <c r="AE28" s="38"/>
      <c r="AF28" s="38"/>
      <c r="AG28" s="38"/>
      <c r="AH28" s="38"/>
      <c r="AI28" s="20"/>
      <c r="AJ28" s="17"/>
      <c r="AK28" s="17"/>
      <c r="AL28" s="17"/>
      <c r="AM28" s="17"/>
      <c r="AN28" s="17"/>
      <c r="AO28" s="17"/>
      <c r="AP28" s="17"/>
      <c r="AQ28" s="37"/>
      <c r="AR28" s="38"/>
      <c r="AS28" s="38"/>
      <c r="AT28" s="38"/>
      <c r="AU28" s="38"/>
      <c r="AV28" s="38"/>
      <c r="AW28" s="38"/>
      <c r="AX28" s="38"/>
      <c r="AY28" s="20"/>
      <c r="AZ28" s="17"/>
      <c r="BA28" s="17"/>
      <c r="BB28" s="17"/>
      <c r="BC28" s="17"/>
      <c r="BD28" s="17"/>
      <c r="BE28" s="17"/>
      <c r="BF28" s="17"/>
      <c r="BG28" s="37"/>
      <c r="BH28" s="38"/>
      <c r="BI28" s="38"/>
      <c r="BJ28" s="38"/>
      <c r="BK28" s="38"/>
      <c r="BL28" s="38"/>
      <c r="BM28" s="38"/>
      <c r="BN28" s="38"/>
      <c r="BO28" s="20"/>
      <c r="BP28" s="17"/>
      <c r="BQ28" s="17"/>
      <c r="BR28" s="17"/>
      <c r="BS28" s="17"/>
      <c r="BT28" s="17"/>
      <c r="BU28" s="17"/>
      <c r="BV28" s="17"/>
      <c r="BW28" s="37"/>
      <c r="BX28" s="38"/>
      <c r="BY28" s="38"/>
      <c r="BZ28" s="38"/>
      <c r="CA28" s="38"/>
      <c r="CB28" s="38"/>
      <c r="CC28" s="38"/>
      <c r="CD28" s="38"/>
      <c r="CE28" s="20"/>
      <c r="CF28" s="17"/>
      <c r="CG28" s="17"/>
      <c r="CH28" s="17"/>
      <c r="CI28" s="17"/>
      <c r="CJ28" s="17"/>
      <c r="CK28" s="17"/>
      <c r="CL28" s="17"/>
      <c r="CM28" s="37"/>
      <c r="CN28" s="38"/>
      <c r="CO28" s="38"/>
      <c r="CP28" s="38"/>
      <c r="CQ28" s="38"/>
      <c r="CR28" s="38"/>
      <c r="CS28" s="38"/>
      <c r="CT28" s="38"/>
    </row>
    <row r="29" ht="25.05" customHeight="1" spans="1:98">
      <c r="A29" s="18"/>
      <c r="B29" s="19" t="s">
        <v>241</v>
      </c>
      <c r="C29" s="27"/>
      <c r="D29" s="17" t="s">
        <v>238</v>
      </c>
      <c r="E29" s="17" t="s">
        <v>222</v>
      </c>
      <c r="F29" s="17" t="s">
        <v>222</v>
      </c>
      <c r="G29" s="17" t="s">
        <v>238</v>
      </c>
      <c r="H29" s="17"/>
      <c r="I29" s="17"/>
      <c r="J29" s="17"/>
      <c r="K29" s="37"/>
      <c r="L29" s="38"/>
      <c r="M29" s="38"/>
      <c r="N29" s="38"/>
      <c r="O29" s="38"/>
      <c r="P29" s="38"/>
      <c r="Q29" s="38"/>
      <c r="R29" s="38"/>
      <c r="S29" s="20"/>
      <c r="T29" s="17"/>
      <c r="U29" s="17"/>
      <c r="V29" s="17"/>
      <c r="W29" s="17"/>
      <c r="X29" s="17"/>
      <c r="Y29" s="17"/>
      <c r="Z29" s="17"/>
      <c r="AA29" s="37"/>
      <c r="AB29" s="38"/>
      <c r="AC29" s="38"/>
      <c r="AD29" s="38"/>
      <c r="AE29" s="38"/>
      <c r="AF29" s="38"/>
      <c r="AG29" s="38"/>
      <c r="AH29" s="38"/>
      <c r="AI29" s="20"/>
      <c r="AJ29" s="17"/>
      <c r="AK29" s="17"/>
      <c r="AL29" s="17"/>
      <c r="AM29" s="17"/>
      <c r="AN29" s="17"/>
      <c r="AO29" s="17"/>
      <c r="AP29" s="17"/>
      <c r="AQ29" s="37"/>
      <c r="AR29" s="38"/>
      <c r="AS29" s="38"/>
      <c r="AT29" s="38"/>
      <c r="AU29" s="38"/>
      <c r="AV29" s="38"/>
      <c r="AW29" s="38"/>
      <c r="AX29" s="38"/>
      <c r="AY29" s="20"/>
      <c r="AZ29" s="17"/>
      <c r="BA29" s="17"/>
      <c r="BB29" s="17"/>
      <c r="BC29" s="17"/>
      <c r="BD29" s="17"/>
      <c r="BE29" s="17"/>
      <c r="BF29" s="17"/>
      <c r="BG29" s="37"/>
      <c r="BH29" s="38"/>
      <c r="BI29" s="38"/>
      <c r="BJ29" s="38"/>
      <c r="BK29" s="38"/>
      <c r="BL29" s="38"/>
      <c r="BM29" s="38"/>
      <c r="BN29" s="38"/>
      <c r="BO29" s="20"/>
      <c r="BP29" s="17"/>
      <c r="BQ29" s="17"/>
      <c r="BR29" s="17"/>
      <c r="BS29" s="17"/>
      <c r="BT29" s="17"/>
      <c r="BU29" s="17"/>
      <c r="BV29" s="17"/>
      <c r="BW29" s="37"/>
      <c r="BX29" s="38"/>
      <c r="BY29" s="38"/>
      <c r="BZ29" s="38"/>
      <c r="CA29" s="38"/>
      <c r="CB29" s="38"/>
      <c r="CC29" s="38"/>
      <c r="CD29" s="38"/>
      <c r="CE29" s="20"/>
      <c r="CF29" s="17"/>
      <c r="CG29" s="17"/>
      <c r="CH29" s="17"/>
      <c r="CI29" s="17"/>
      <c r="CJ29" s="17"/>
      <c r="CK29" s="17"/>
      <c r="CL29" s="17"/>
      <c r="CM29" s="37"/>
      <c r="CN29" s="38"/>
      <c r="CO29" s="38"/>
      <c r="CP29" s="38"/>
      <c r="CQ29" s="38"/>
      <c r="CR29" s="38"/>
      <c r="CS29" s="38"/>
      <c r="CT29" s="38"/>
    </row>
    <row r="30" ht="25.05" customHeight="1" spans="1:98">
      <c r="A30" s="18"/>
      <c r="B30" s="19" t="s">
        <v>242</v>
      </c>
      <c r="C30" s="27"/>
      <c r="D30" s="17" t="s">
        <v>238</v>
      </c>
      <c r="E30" s="17" t="s">
        <v>222</v>
      </c>
      <c r="F30" s="17" t="s">
        <v>222</v>
      </c>
      <c r="G30" s="17" t="s">
        <v>238</v>
      </c>
      <c r="H30" s="17"/>
      <c r="I30" s="17"/>
      <c r="J30" s="17"/>
      <c r="K30" s="37"/>
      <c r="L30" s="38"/>
      <c r="M30" s="38"/>
      <c r="N30" s="38"/>
      <c r="O30" s="38"/>
      <c r="P30" s="38"/>
      <c r="Q30" s="38"/>
      <c r="R30" s="38"/>
      <c r="S30" s="20"/>
      <c r="T30" s="17"/>
      <c r="U30" s="17"/>
      <c r="V30" s="17"/>
      <c r="W30" s="17"/>
      <c r="X30" s="17"/>
      <c r="Y30" s="17"/>
      <c r="Z30" s="17"/>
      <c r="AA30" s="37"/>
      <c r="AB30" s="38"/>
      <c r="AC30" s="38"/>
      <c r="AD30" s="38"/>
      <c r="AE30" s="38"/>
      <c r="AF30" s="38"/>
      <c r="AG30" s="38"/>
      <c r="AH30" s="38"/>
      <c r="AI30" s="20"/>
      <c r="AJ30" s="17"/>
      <c r="AK30" s="17"/>
      <c r="AL30" s="17"/>
      <c r="AM30" s="17"/>
      <c r="AN30" s="17"/>
      <c r="AO30" s="17"/>
      <c r="AP30" s="17"/>
      <c r="AQ30" s="37"/>
      <c r="AR30" s="38"/>
      <c r="AS30" s="38"/>
      <c r="AT30" s="38"/>
      <c r="AU30" s="38"/>
      <c r="AV30" s="38"/>
      <c r="AW30" s="38"/>
      <c r="AX30" s="38"/>
      <c r="AY30" s="20"/>
      <c r="AZ30" s="17"/>
      <c r="BA30" s="17"/>
      <c r="BB30" s="17"/>
      <c r="BC30" s="17"/>
      <c r="BD30" s="17"/>
      <c r="BE30" s="17"/>
      <c r="BF30" s="17"/>
      <c r="BG30" s="37"/>
      <c r="BH30" s="38"/>
      <c r="BI30" s="38"/>
      <c r="BJ30" s="38"/>
      <c r="BK30" s="38"/>
      <c r="BL30" s="38"/>
      <c r="BM30" s="38"/>
      <c r="BN30" s="38"/>
      <c r="BO30" s="20"/>
      <c r="BP30" s="17"/>
      <c r="BQ30" s="17"/>
      <c r="BR30" s="17"/>
      <c r="BS30" s="17"/>
      <c r="BT30" s="17"/>
      <c r="BU30" s="17"/>
      <c r="BV30" s="17"/>
      <c r="BW30" s="37"/>
      <c r="BX30" s="38"/>
      <c r="BY30" s="38"/>
      <c r="BZ30" s="38"/>
      <c r="CA30" s="38"/>
      <c r="CB30" s="38"/>
      <c r="CC30" s="38"/>
      <c r="CD30" s="38"/>
      <c r="CE30" s="20"/>
      <c r="CF30" s="17"/>
      <c r="CG30" s="17"/>
      <c r="CH30" s="17"/>
      <c r="CI30" s="17"/>
      <c r="CJ30" s="17"/>
      <c r="CK30" s="17"/>
      <c r="CL30" s="17"/>
      <c r="CM30" s="37"/>
      <c r="CN30" s="38"/>
      <c r="CO30" s="38"/>
      <c r="CP30" s="38"/>
      <c r="CQ30" s="38"/>
      <c r="CR30" s="38"/>
      <c r="CS30" s="38"/>
      <c r="CT30" s="38"/>
    </row>
    <row r="31" ht="25.05" customHeight="1" spans="1:98">
      <c r="A31" s="18"/>
      <c r="B31" s="3" t="s">
        <v>243</v>
      </c>
      <c r="C31" s="27"/>
      <c r="D31" s="17" t="s">
        <v>238</v>
      </c>
      <c r="E31" s="17" t="s">
        <v>222</v>
      </c>
      <c r="F31" s="17" t="s">
        <v>222</v>
      </c>
      <c r="G31" s="17" t="s">
        <v>238</v>
      </c>
      <c r="H31" s="17"/>
      <c r="I31" s="17"/>
      <c r="J31" s="17"/>
      <c r="K31" s="37"/>
      <c r="L31" s="38"/>
      <c r="M31" s="38"/>
      <c r="N31" s="38"/>
      <c r="O31" s="38"/>
      <c r="P31" s="38"/>
      <c r="Q31" s="38"/>
      <c r="R31" s="38"/>
      <c r="S31" s="20"/>
      <c r="T31" s="17"/>
      <c r="U31" s="17"/>
      <c r="V31" s="17"/>
      <c r="W31" s="17"/>
      <c r="X31" s="17"/>
      <c r="Y31" s="17"/>
      <c r="Z31" s="17"/>
      <c r="AA31" s="37"/>
      <c r="AB31" s="38"/>
      <c r="AC31" s="38"/>
      <c r="AD31" s="38"/>
      <c r="AE31" s="38"/>
      <c r="AF31" s="38"/>
      <c r="AG31" s="38"/>
      <c r="AH31" s="38"/>
      <c r="AI31" s="20"/>
      <c r="AJ31" s="17"/>
      <c r="AK31" s="17"/>
      <c r="AL31" s="17"/>
      <c r="AM31" s="17"/>
      <c r="AN31" s="17"/>
      <c r="AO31" s="17"/>
      <c r="AP31" s="17"/>
      <c r="AQ31" s="37"/>
      <c r="AR31" s="38"/>
      <c r="AS31" s="38"/>
      <c r="AT31" s="38"/>
      <c r="AU31" s="38"/>
      <c r="AV31" s="38"/>
      <c r="AW31" s="38"/>
      <c r="AX31" s="38"/>
      <c r="AY31" s="20"/>
      <c r="AZ31" s="17"/>
      <c r="BA31" s="17"/>
      <c r="BB31" s="17"/>
      <c r="BC31" s="17"/>
      <c r="BD31" s="17"/>
      <c r="BE31" s="17"/>
      <c r="BF31" s="17"/>
      <c r="BG31" s="37"/>
      <c r="BH31" s="38"/>
      <c r="BI31" s="38"/>
      <c r="BJ31" s="38"/>
      <c r="BK31" s="38"/>
      <c r="BL31" s="38"/>
      <c r="BM31" s="38"/>
      <c r="BN31" s="38"/>
      <c r="BO31" s="20"/>
      <c r="BP31" s="17"/>
      <c r="BQ31" s="17"/>
      <c r="BR31" s="17"/>
      <c r="BS31" s="17"/>
      <c r="BT31" s="17"/>
      <c r="BU31" s="17"/>
      <c r="BV31" s="17"/>
      <c r="BW31" s="37"/>
      <c r="BX31" s="38"/>
      <c r="BY31" s="38"/>
      <c r="BZ31" s="38"/>
      <c r="CA31" s="38"/>
      <c r="CB31" s="38"/>
      <c r="CC31" s="38"/>
      <c r="CD31" s="38"/>
      <c r="CE31" s="20"/>
      <c r="CF31" s="17"/>
      <c r="CG31" s="17"/>
      <c r="CH31" s="17"/>
      <c r="CI31" s="17"/>
      <c r="CJ31" s="17"/>
      <c r="CK31" s="17"/>
      <c r="CL31" s="17"/>
      <c r="CM31" s="37"/>
      <c r="CN31" s="38"/>
      <c r="CO31" s="38"/>
      <c r="CP31" s="38"/>
      <c r="CQ31" s="38"/>
      <c r="CR31" s="38"/>
      <c r="CS31" s="38"/>
      <c r="CT31" s="38"/>
    </row>
    <row r="32" ht="25.05" customHeight="1" spans="1:98">
      <c r="A32" s="18"/>
      <c r="B32" s="19" t="s">
        <v>244</v>
      </c>
      <c r="C32" s="27"/>
      <c r="D32" s="17" t="s">
        <v>238</v>
      </c>
      <c r="E32" s="17" t="s">
        <v>222</v>
      </c>
      <c r="F32" s="17" t="s">
        <v>222</v>
      </c>
      <c r="G32" s="17" t="s">
        <v>238</v>
      </c>
      <c r="H32" s="17"/>
      <c r="I32" s="17"/>
      <c r="J32" s="17"/>
      <c r="K32" s="37"/>
      <c r="L32" s="38"/>
      <c r="M32" s="38"/>
      <c r="N32" s="38"/>
      <c r="O32" s="38"/>
      <c r="P32" s="38"/>
      <c r="Q32" s="38"/>
      <c r="R32" s="38"/>
      <c r="S32" s="20"/>
      <c r="T32" s="17"/>
      <c r="U32" s="17"/>
      <c r="V32" s="17"/>
      <c r="W32" s="17"/>
      <c r="X32" s="17"/>
      <c r="Y32" s="17"/>
      <c r="Z32" s="17"/>
      <c r="AA32" s="37"/>
      <c r="AB32" s="38"/>
      <c r="AC32" s="38"/>
      <c r="AD32" s="38"/>
      <c r="AE32" s="38"/>
      <c r="AF32" s="38"/>
      <c r="AG32" s="38"/>
      <c r="AH32" s="38"/>
      <c r="AI32" s="20"/>
      <c r="AJ32" s="17"/>
      <c r="AK32" s="17"/>
      <c r="AL32" s="17"/>
      <c r="AM32" s="17"/>
      <c r="AN32" s="17"/>
      <c r="AO32" s="17"/>
      <c r="AP32" s="17"/>
      <c r="AQ32" s="37"/>
      <c r="AR32" s="38"/>
      <c r="AS32" s="38"/>
      <c r="AT32" s="38"/>
      <c r="AU32" s="38"/>
      <c r="AV32" s="38"/>
      <c r="AW32" s="38"/>
      <c r="AX32" s="38"/>
      <c r="AY32" s="20"/>
      <c r="AZ32" s="17"/>
      <c r="BA32" s="17"/>
      <c r="BB32" s="17"/>
      <c r="BC32" s="17"/>
      <c r="BD32" s="17"/>
      <c r="BE32" s="17"/>
      <c r="BF32" s="17"/>
      <c r="BG32" s="37"/>
      <c r="BH32" s="38"/>
      <c r="BI32" s="38"/>
      <c r="BJ32" s="38"/>
      <c r="BK32" s="38"/>
      <c r="BL32" s="38"/>
      <c r="BM32" s="38"/>
      <c r="BN32" s="38"/>
      <c r="BO32" s="20"/>
      <c r="BP32" s="17"/>
      <c r="BQ32" s="17"/>
      <c r="BR32" s="17"/>
      <c r="BS32" s="17"/>
      <c r="BT32" s="17"/>
      <c r="BU32" s="17"/>
      <c r="BV32" s="17"/>
      <c r="BW32" s="37"/>
      <c r="BX32" s="38"/>
      <c r="BY32" s="38"/>
      <c r="BZ32" s="38"/>
      <c r="CA32" s="38"/>
      <c r="CB32" s="38"/>
      <c r="CC32" s="38"/>
      <c r="CD32" s="38"/>
      <c r="CE32" s="20"/>
      <c r="CF32" s="17"/>
      <c r="CG32" s="17"/>
      <c r="CH32" s="17"/>
      <c r="CI32" s="17"/>
      <c r="CJ32" s="17"/>
      <c r="CK32" s="17"/>
      <c r="CL32" s="17"/>
      <c r="CM32" s="37"/>
      <c r="CN32" s="38"/>
      <c r="CO32" s="38"/>
      <c r="CP32" s="38"/>
      <c r="CQ32" s="38"/>
      <c r="CR32" s="38"/>
      <c r="CS32" s="38"/>
      <c r="CT32" s="38"/>
    </row>
    <row r="33" ht="25.05" customHeight="1" spans="1:98">
      <c r="A33" s="18"/>
      <c r="B33" s="19" t="s">
        <v>245</v>
      </c>
      <c r="C33" s="27"/>
      <c r="D33" s="17" t="s">
        <v>239</v>
      </c>
      <c r="E33" s="17" t="s">
        <v>222</v>
      </c>
      <c r="F33" s="17" t="s">
        <v>222</v>
      </c>
      <c r="G33" s="17" t="s">
        <v>239</v>
      </c>
      <c r="H33" s="17"/>
      <c r="I33" s="17"/>
      <c r="J33" s="17"/>
      <c r="K33" s="37"/>
      <c r="L33" s="38"/>
      <c r="M33" s="38"/>
      <c r="N33" s="38"/>
      <c r="O33" s="38"/>
      <c r="P33" s="38"/>
      <c r="Q33" s="38"/>
      <c r="R33" s="38"/>
      <c r="S33" s="20"/>
      <c r="T33" s="17"/>
      <c r="U33" s="17"/>
      <c r="V33" s="17"/>
      <c r="W33" s="17"/>
      <c r="X33" s="17"/>
      <c r="Y33" s="17"/>
      <c r="Z33" s="17"/>
      <c r="AA33" s="37"/>
      <c r="AB33" s="38"/>
      <c r="AC33" s="38"/>
      <c r="AD33" s="38"/>
      <c r="AE33" s="38"/>
      <c r="AF33" s="38"/>
      <c r="AG33" s="38"/>
      <c r="AH33" s="38"/>
      <c r="AI33" s="20"/>
      <c r="AJ33" s="17"/>
      <c r="AK33" s="17"/>
      <c r="AL33" s="17"/>
      <c r="AM33" s="17"/>
      <c r="AN33" s="17"/>
      <c r="AO33" s="17"/>
      <c r="AP33" s="17"/>
      <c r="AQ33" s="37"/>
      <c r="AR33" s="38"/>
      <c r="AS33" s="38"/>
      <c r="AT33" s="38"/>
      <c r="AU33" s="38"/>
      <c r="AV33" s="38"/>
      <c r="AW33" s="38"/>
      <c r="AX33" s="38"/>
      <c r="AY33" s="20"/>
      <c r="AZ33" s="17"/>
      <c r="BA33" s="17"/>
      <c r="BB33" s="17"/>
      <c r="BC33" s="17"/>
      <c r="BD33" s="17"/>
      <c r="BE33" s="17"/>
      <c r="BF33" s="17"/>
      <c r="BG33" s="37"/>
      <c r="BH33" s="38"/>
      <c r="BI33" s="38"/>
      <c r="BJ33" s="38"/>
      <c r="BK33" s="38"/>
      <c r="BL33" s="38"/>
      <c r="BM33" s="38"/>
      <c r="BN33" s="38"/>
      <c r="BO33" s="20"/>
      <c r="BP33" s="17"/>
      <c r="BQ33" s="17"/>
      <c r="BR33" s="17"/>
      <c r="BS33" s="17"/>
      <c r="BT33" s="17"/>
      <c r="BU33" s="17"/>
      <c r="BV33" s="17"/>
      <c r="BW33" s="37"/>
      <c r="BX33" s="38"/>
      <c r="BY33" s="38"/>
      <c r="BZ33" s="38"/>
      <c r="CA33" s="38"/>
      <c r="CB33" s="38"/>
      <c r="CC33" s="38"/>
      <c r="CD33" s="38"/>
      <c r="CE33" s="20"/>
      <c r="CF33" s="17"/>
      <c r="CG33" s="17"/>
      <c r="CH33" s="17"/>
      <c r="CI33" s="17"/>
      <c r="CJ33" s="17"/>
      <c r="CK33" s="17"/>
      <c r="CL33" s="17"/>
      <c r="CM33" s="37"/>
      <c r="CN33" s="38"/>
      <c r="CO33" s="38"/>
      <c r="CP33" s="38"/>
      <c r="CQ33" s="38"/>
      <c r="CR33" s="38"/>
      <c r="CS33" s="38"/>
      <c r="CT33" s="38"/>
    </row>
    <row r="34" ht="25.05" customHeight="1" spans="1:98">
      <c r="A34" s="28"/>
      <c r="B34" s="29" t="s">
        <v>246</v>
      </c>
      <c r="C34" s="27"/>
      <c r="D34" s="17" t="s">
        <v>238</v>
      </c>
      <c r="E34" s="17" t="s">
        <v>222</v>
      </c>
      <c r="F34" s="17" t="s">
        <v>222</v>
      </c>
      <c r="G34" s="17" t="s">
        <v>238</v>
      </c>
      <c r="H34" s="30"/>
      <c r="I34" s="30"/>
      <c r="J34" s="30"/>
      <c r="K34" s="41"/>
      <c r="L34" s="42"/>
      <c r="M34" s="42"/>
      <c r="N34" s="42"/>
      <c r="O34" s="42"/>
      <c r="P34" s="42"/>
      <c r="Q34" s="42"/>
      <c r="R34" s="42"/>
      <c r="S34" s="43"/>
      <c r="T34" s="30"/>
      <c r="U34" s="30"/>
      <c r="V34" s="30"/>
      <c r="W34" s="30"/>
      <c r="X34" s="30"/>
      <c r="Y34" s="30"/>
      <c r="Z34" s="30"/>
      <c r="AA34" s="41"/>
      <c r="AB34" s="42"/>
      <c r="AC34" s="42"/>
      <c r="AD34" s="42"/>
      <c r="AE34" s="42"/>
      <c r="AF34" s="42"/>
      <c r="AG34" s="42"/>
      <c r="AH34" s="42"/>
      <c r="AI34" s="43"/>
      <c r="AJ34" s="30"/>
      <c r="AK34" s="30"/>
      <c r="AL34" s="30"/>
      <c r="AM34" s="30"/>
      <c r="AN34" s="30"/>
      <c r="AO34" s="30"/>
      <c r="AP34" s="30"/>
      <c r="AQ34" s="41"/>
      <c r="AR34" s="42"/>
      <c r="AS34" s="42"/>
      <c r="AT34" s="42"/>
      <c r="AU34" s="42"/>
      <c r="AV34" s="42"/>
      <c r="AW34" s="42"/>
      <c r="AX34" s="42"/>
      <c r="AY34" s="43"/>
      <c r="AZ34" s="30"/>
      <c r="BA34" s="30"/>
      <c r="BB34" s="30"/>
      <c r="BC34" s="30"/>
      <c r="BD34" s="30"/>
      <c r="BE34" s="30"/>
      <c r="BF34" s="30"/>
      <c r="BG34" s="41"/>
      <c r="BH34" s="42"/>
      <c r="BI34" s="42"/>
      <c r="BJ34" s="42"/>
      <c r="BK34" s="42"/>
      <c r="BL34" s="42"/>
      <c r="BM34" s="42"/>
      <c r="BN34" s="42"/>
      <c r="BO34" s="43"/>
      <c r="BP34" s="30"/>
      <c r="BQ34" s="30"/>
      <c r="BR34" s="30"/>
      <c r="BS34" s="30"/>
      <c r="BT34" s="30"/>
      <c r="BU34" s="30"/>
      <c r="BV34" s="30"/>
      <c r="BW34" s="41"/>
      <c r="BX34" s="42"/>
      <c r="BY34" s="42"/>
      <c r="BZ34" s="42"/>
      <c r="CA34" s="42"/>
      <c r="CB34" s="42"/>
      <c r="CC34" s="42"/>
      <c r="CD34" s="42"/>
      <c r="CE34" s="43"/>
      <c r="CF34" s="30"/>
      <c r="CG34" s="30"/>
      <c r="CH34" s="30"/>
      <c r="CI34" s="30"/>
      <c r="CJ34" s="30"/>
      <c r="CK34" s="30"/>
      <c r="CL34" s="30"/>
      <c r="CM34" s="41"/>
      <c r="CN34" s="42"/>
      <c r="CO34" s="42"/>
      <c r="CP34" s="42"/>
      <c r="CQ34" s="42"/>
      <c r="CR34" s="42"/>
      <c r="CS34" s="42"/>
      <c r="CT34" s="42"/>
    </row>
    <row r="35" ht="25.05" customHeight="1" spans="1:98">
      <c r="A35" s="28"/>
      <c r="B35" s="29" t="s">
        <v>247</v>
      </c>
      <c r="C35" s="27"/>
      <c r="D35" s="17" t="s">
        <v>238</v>
      </c>
      <c r="E35" s="17" t="s">
        <v>222</v>
      </c>
      <c r="F35" s="17" t="s">
        <v>222</v>
      </c>
      <c r="G35" s="17" t="s">
        <v>238</v>
      </c>
      <c r="H35" s="30"/>
      <c r="I35" s="30"/>
      <c r="J35" s="30"/>
      <c r="K35" s="41"/>
      <c r="L35" s="42"/>
      <c r="M35" s="42"/>
      <c r="N35" s="42"/>
      <c r="O35" s="42"/>
      <c r="P35" s="42"/>
      <c r="Q35" s="42"/>
      <c r="R35" s="42"/>
      <c r="S35" s="43"/>
      <c r="T35" s="30"/>
      <c r="U35" s="30"/>
      <c r="V35" s="30"/>
      <c r="W35" s="30"/>
      <c r="X35" s="30"/>
      <c r="Y35" s="30"/>
      <c r="Z35" s="30"/>
      <c r="AA35" s="41"/>
      <c r="AB35" s="42"/>
      <c r="AC35" s="42"/>
      <c r="AD35" s="42"/>
      <c r="AE35" s="42"/>
      <c r="AF35" s="42"/>
      <c r="AG35" s="42"/>
      <c r="AH35" s="42"/>
      <c r="AI35" s="43"/>
      <c r="AJ35" s="30"/>
      <c r="AK35" s="30"/>
      <c r="AL35" s="30"/>
      <c r="AM35" s="30"/>
      <c r="AN35" s="30"/>
      <c r="AO35" s="30"/>
      <c r="AP35" s="30"/>
      <c r="AQ35" s="41"/>
      <c r="AR35" s="42"/>
      <c r="AS35" s="42"/>
      <c r="AT35" s="42"/>
      <c r="AU35" s="42"/>
      <c r="AV35" s="42"/>
      <c r="AW35" s="42"/>
      <c r="AX35" s="42"/>
      <c r="AY35" s="43"/>
      <c r="AZ35" s="30"/>
      <c r="BA35" s="30"/>
      <c r="BB35" s="30"/>
      <c r="BC35" s="30"/>
      <c r="BD35" s="30"/>
      <c r="BE35" s="30"/>
      <c r="BF35" s="30"/>
      <c r="BG35" s="41"/>
      <c r="BH35" s="42"/>
      <c r="BI35" s="42"/>
      <c r="BJ35" s="42"/>
      <c r="BK35" s="42"/>
      <c r="BL35" s="42"/>
      <c r="BM35" s="42"/>
      <c r="BN35" s="42"/>
      <c r="BO35" s="43"/>
      <c r="BP35" s="30"/>
      <c r="BQ35" s="30"/>
      <c r="BR35" s="30"/>
      <c r="BS35" s="30"/>
      <c r="BT35" s="30"/>
      <c r="BU35" s="30"/>
      <c r="BV35" s="30"/>
      <c r="BW35" s="41"/>
      <c r="BX35" s="42"/>
      <c r="BY35" s="42"/>
      <c r="BZ35" s="42"/>
      <c r="CA35" s="42"/>
      <c r="CB35" s="42"/>
      <c r="CC35" s="42"/>
      <c r="CD35" s="42"/>
      <c r="CE35" s="43"/>
      <c r="CF35" s="30"/>
      <c r="CG35" s="30"/>
      <c r="CH35" s="30"/>
      <c r="CI35" s="30"/>
      <c r="CJ35" s="30"/>
      <c r="CK35" s="30"/>
      <c r="CL35" s="30"/>
      <c r="CM35" s="41"/>
      <c r="CN35" s="42"/>
      <c r="CO35" s="42"/>
      <c r="CP35" s="42"/>
      <c r="CQ35" s="42"/>
      <c r="CR35" s="42"/>
      <c r="CS35" s="42"/>
      <c r="CT35" s="42"/>
    </row>
    <row r="36" ht="25.05" customHeight="1" spans="1:98">
      <c r="A36" s="28"/>
      <c r="B36" s="29" t="s">
        <v>248</v>
      </c>
      <c r="C36" s="27"/>
      <c r="D36" s="17" t="s">
        <v>238</v>
      </c>
      <c r="E36" s="17" t="s">
        <v>222</v>
      </c>
      <c r="F36" s="17" t="s">
        <v>222</v>
      </c>
      <c r="G36" s="17" t="s">
        <v>238</v>
      </c>
      <c r="H36" s="30"/>
      <c r="I36" s="30"/>
      <c r="J36" s="30"/>
      <c r="K36" s="41"/>
      <c r="L36" s="42"/>
      <c r="M36" s="42"/>
      <c r="N36" s="42"/>
      <c r="O36" s="42"/>
      <c r="P36" s="42"/>
      <c r="Q36" s="42"/>
      <c r="R36" s="42"/>
      <c r="S36" s="43"/>
      <c r="T36" s="30"/>
      <c r="U36" s="30"/>
      <c r="V36" s="30"/>
      <c r="W36" s="30"/>
      <c r="X36" s="30"/>
      <c r="Y36" s="30"/>
      <c r="Z36" s="30"/>
      <c r="AA36" s="41"/>
      <c r="AB36" s="42"/>
      <c r="AC36" s="42"/>
      <c r="AD36" s="42"/>
      <c r="AE36" s="42"/>
      <c r="AF36" s="42"/>
      <c r="AG36" s="42"/>
      <c r="AH36" s="42"/>
      <c r="AI36" s="43"/>
      <c r="AJ36" s="30"/>
      <c r="AK36" s="30"/>
      <c r="AL36" s="30"/>
      <c r="AM36" s="30"/>
      <c r="AN36" s="30"/>
      <c r="AO36" s="30"/>
      <c r="AP36" s="30"/>
      <c r="AQ36" s="41"/>
      <c r="AR36" s="42"/>
      <c r="AS36" s="42"/>
      <c r="AT36" s="42"/>
      <c r="AU36" s="42"/>
      <c r="AV36" s="42"/>
      <c r="AW36" s="42"/>
      <c r="AX36" s="42"/>
      <c r="AY36" s="43"/>
      <c r="AZ36" s="30"/>
      <c r="BA36" s="30"/>
      <c r="BB36" s="30"/>
      <c r="BC36" s="30"/>
      <c r="BD36" s="30"/>
      <c r="BE36" s="30"/>
      <c r="BF36" s="30"/>
      <c r="BG36" s="41"/>
      <c r="BH36" s="42"/>
      <c r="BI36" s="42"/>
      <c r="BJ36" s="42"/>
      <c r="BK36" s="42"/>
      <c r="BL36" s="42"/>
      <c r="BM36" s="42"/>
      <c r="BN36" s="42"/>
      <c r="BO36" s="43"/>
      <c r="BP36" s="30"/>
      <c r="BQ36" s="30"/>
      <c r="BR36" s="30"/>
      <c r="BS36" s="30"/>
      <c r="BT36" s="30"/>
      <c r="BU36" s="30"/>
      <c r="BV36" s="30"/>
      <c r="BW36" s="41"/>
      <c r="BX36" s="42"/>
      <c r="BY36" s="42"/>
      <c r="BZ36" s="42"/>
      <c r="CA36" s="42"/>
      <c r="CB36" s="42"/>
      <c r="CC36" s="42"/>
      <c r="CD36" s="42"/>
      <c r="CE36" s="43"/>
      <c r="CF36" s="30"/>
      <c r="CG36" s="30"/>
      <c r="CH36" s="30"/>
      <c r="CI36" s="30"/>
      <c r="CJ36" s="30"/>
      <c r="CK36" s="30"/>
      <c r="CL36" s="30"/>
      <c r="CM36" s="41"/>
      <c r="CN36" s="42"/>
      <c r="CO36" s="42"/>
      <c r="CP36" s="42"/>
      <c r="CQ36" s="42"/>
      <c r="CR36" s="42"/>
      <c r="CS36" s="42"/>
      <c r="CT36" s="42"/>
    </row>
    <row r="37" ht="25.05" customHeight="1" spans="1:98">
      <c r="A37" s="28"/>
      <c r="B37" s="29" t="s">
        <v>249</v>
      </c>
      <c r="C37" s="27"/>
      <c r="D37" s="17" t="s">
        <v>238</v>
      </c>
      <c r="E37" s="17" t="s">
        <v>222</v>
      </c>
      <c r="F37" s="17" t="s">
        <v>222</v>
      </c>
      <c r="G37" s="17" t="s">
        <v>239</v>
      </c>
      <c r="H37" s="30"/>
      <c r="I37" s="30"/>
      <c r="J37" s="30"/>
      <c r="K37" s="41"/>
      <c r="L37" s="42"/>
      <c r="M37" s="42"/>
      <c r="N37" s="42"/>
      <c r="O37" s="42"/>
      <c r="P37" s="42"/>
      <c r="Q37" s="42"/>
      <c r="R37" s="42"/>
      <c r="S37" s="43"/>
      <c r="T37" s="30"/>
      <c r="U37" s="30"/>
      <c r="V37" s="30"/>
      <c r="W37" s="30"/>
      <c r="X37" s="30"/>
      <c r="Y37" s="30"/>
      <c r="Z37" s="30"/>
      <c r="AA37" s="41"/>
      <c r="AB37" s="42"/>
      <c r="AC37" s="42"/>
      <c r="AD37" s="42"/>
      <c r="AE37" s="42"/>
      <c r="AF37" s="42"/>
      <c r="AG37" s="42"/>
      <c r="AH37" s="42"/>
      <c r="AI37" s="43"/>
      <c r="AJ37" s="30"/>
      <c r="AK37" s="30"/>
      <c r="AL37" s="30"/>
      <c r="AM37" s="30"/>
      <c r="AN37" s="30"/>
      <c r="AO37" s="30"/>
      <c r="AP37" s="30"/>
      <c r="AQ37" s="41"/>
      <c r="AR37" s="42"/>
      <c r="AS37" s="42"/>
      <c r="AT37" s="42"/>
      <c r="AU37" s="42"/>
      <c r="AV37" s="42"/>
      <c r="AW37" s="42"/>
      <c r="AX37" s="42"/>
      <c r="AY37" s="43"/>
      <c r="AZ37" s="30"/>
      <c r="BA37" s="30"/>
      <c r="BB37" s="30"/>
      <c r="BC37" s="30"/>
      <c r="BD37" s="30"/>
      <c r="BE37" s="30"/>
      <c r="BF37" s="30"/>
      <c r="BG37" s="41"/>
      <c r="BH37" s="42"/>
      <c r="BI37" s="42"/>
      <c r="BJ37" s="42"/>
      <c r="BK37" s="42"/>
      <c r="BL37" s="42"/>
      <c r="BM37" s="42"/>
      <c r="BN37" s="42"/>
      <c r="BO37" s="43"/>
      <c r="BP37" s="30"/>
      <c r="BQ37" s="30"/>
      <c r="BR37" s="30"/>
      <c r="BS37" s="30"/>
      <c r="BT37" s="30"/>
      <c r="BU37" s="30"/>
      <c r="BV37" s="30"/>
      <c r="BW37" s="41"/>
      <c r="BX37" s="42"/>
      <c r="BY37" s="42"/>
      <c r="BZ37" s="42"/>
      <c r="CA37" s="42"/>
      <c r="CB37" s="42"/>
      <c r="CC37" s="42"/>
      <c r="CD37" s="42"/>
      <c r="CE37" s="43"/>
      <c r="CF37" s="30"/>
      <c r="CG37" s="30"/>
      <c r="CH37" s="30"/>
      <c r="CI37" s="30"/>
      <c r="CJ37" s="30"/>
      <c r="CK37" s="30"/>
      <c r="CL37" s="30"/>
      <c r="CM37" s="41"/>
      <c r="CN37" s="42"/>
      <c r="CO37" s="42"/>
      <c r="CP37" s="42"/>
      <c r="CQ37" s="42"/>
      <c r="CR37" s="42"/>
      <c r="CS37" s="42"/>
      <c r="CT37" s="42"/>
    </row>
    <row r="38" ht="25.05" customHeight="1" spans="1:98">
      <c r="A38" s="28"/>
      <c r="B38" s="29" t="s">
        <v>250</v>
      </c>
      <c r="C38" s="27"/>
      <c r="D38" s="17" t="s">
        <v>238</v>
      </c>
      <c r="E38" s="17" t="s">
        <v>222</v>
      </c>
      <c r="F38" s="17" t="s">
        <v>222</v>
      </c>
      <c r="G38" s="17" t="s">
        <v>238</v>
      </c>
      <c r="H38" s="30"/>
      <c r="I38" s="30"/>
      <c r="J38" s="30"/>
      <c r="K38" s="41"/>
      <c r="L38" s="42"/>
      <c r="M38" s="42"/>
      <c r="N38" s="42"/>
      <c r="O38" s="42"/>
      <c r="P38" s="42"/>
      <c r="Q38" s="42"/>
      <c r="R38" s="42"/>
      <c r="S38" s="43"/>
      <c r="T38" s="30"/>
      <c r="U38" s="30"/>
      <c r="V38" s="30"/>
      <c r="W38" s="30"/>
      <c r="X38" s="30"/>
      <c r="Y38" s="30"/>
      <c r="Z38" s="30"/>
      <c r="AA38" s="41"/>
      <c r="AB38" s="42"/>
      <c r="AC38" s="42"/>
      <c r="AD38" s="42"/>
      <c r="AE38" s="42"/>
      <c r="AF38" s="42"/>
      <c r="AG38" s="42"/>
      <c r="AH38" s="42"/>
      <c r="AI38" s="43"/>
      <c r="AJ38" s="30"/>
      <c r="AK38" s="30"/>
      <c r="AL38" s="30"/>
      <c r="AM38" s="30"/>
      <c r="AN38" s="30"/>
      <c r="AO38" s="30"/>
      <c r="AP38" s="30"/>
      <c r="AQ38" s="41"/>
      <c r="AR38" s="42"/>
      <c r="AS38" s="42"/>
      <c r="AT38" s="42"/>
      <c r="AU38" s="42"/>
      <c r="AV38" s="42"/>
      <c r="AW38" s="42"/>
      <c r="AX38" s="42"/>
      <c r="AY38" s="43"/>
      <c r="AZ38" s="30"/>
      <c r="BA38" s="30"/>
      <c r="BB38" s="30"/>
      <c r="BC38" s="30"/>
      <c r="BD38" s="30"/>
      <c r="BE38" s="30"/>
      <c r="BF38" s="30"/>
      <c r="BG38" s="41"/>
      <c r="BH38" s="42"/>
      <c r="BI38" s="42"/>
      <c r="BJ38" s="42"/>
      <c r="BK38" s="42"/>
      <c r="BL38" s="42"/>
      <c r="BM38" s="42"/>
      <c r="BN38" s="42"/>
      <c r="BO38" s="43"/>
      <c r="BP38" s="30"/>
      <c r="BQ38" s="30"/>
      <c r="BR38" s="30"/>
      <c r="BS38" s="30"/>
      <c r="BT38" s="30"/>
      <c r="BU38" s="30"/>
      <c r="BV38" s="30"/>
      <c r="BW38" s="41"/>
      <c r="BX38" s="42"/>
      <c r="BY38" s="42"/>
      <c r="BZ38" s="42"/>
      <c r="CA38" s="42"/>
      <c r="CB38" s="42"/>
      <c r="CC38" s="42"/>
      <c r="CD38" s="42"/>
      <c r="CE38" s="43"/>
      <c r="CF38" s="30"/>
      <c r="CG38" s="30"/>
      <c r="CH38" s="30"/>
      <c r="CI38" s="30"/>
      <c r="CJ38" s="30"/>
      <c r="CK38" s="30"/>
      <c r="CL38" s="30"/>
      <c r="CM38" s="41"/>
      <c r="CN38" s="42"/>
      <c r="CO38" s="42"/>
      <c r="CP38" s="42"/>
      <c r="CQ38" s="42"/>
      <c r="CR38" s="42"/>
      <c r="CS38" s="42"/>
      <c r="CT38" s="42"/>
    </row>
    <row r="39" ht="25.05" customHeight="1" spans="1:98">
      <c r="A39" s="28"/>
      <c r="B39" s="29" t="s">
        <v>251</v>
      </c>
      <c r="C39" s="27"/>
      <c r="D39" s="17" t="s">
        <v>238</v>
      </c>
      <c r="E39" s="17" t="s">
        <v>222</v>
      </c>
      <c r="F39" s="17" t="s">
        <v>222</v>
      </c>
      <c r="G39" s="17" t="s">
        <v>238</v>
      </c>
      <c r="H39" s="30"/>
      <c r="I39" s="30"/>
      <c r="J39" s="30"/>
      <c r="K39" s="41"/>
      <c r="L39" s="42"/>
      <c r="M39" s="42"/>
      <c r="N39" s="42"/>
      <c r="O39" s="42"/>
      <c r="P39" s="42"/>
      <c r="Q39" s="42"/>
      <c r="R39" s="42"/>
      <c r="S39" s="43"/>
      <c r="T39" s="30"/>
      <c r="U39" s="30"/>
      <c r="V39" s="30"/>
      <c r="W39" s="30"/>
      <c r="X39" s="30"/>
      <c r="Y39" s="30"/>
      <c r="Z39" s="30"/>
      <c r="AA39" s="41"/>
      <c r="AB39" s="42"/>
      <c r="AC39" s="42"/>
      <c r="AD39" s="42"/>
      <c r="AE39" s="42"/>
      <c r="AF39" s="42"/>
      <c r="AG39" s="42"/>
      <c r="AH39" s="42"/>
      <c r="AI39" s="43"/>
      <c r="AJ39" s="30"/>
      <c r="AK39" s="30"/>
      <c r="AL39" s="30"/>
      <c r="AM39" s="30"/>
      <c r="AN39" s="30"/>
      <c r="AO39" s="30"/>
      <c r="AP39" s="30"/>
      <c r="AQ39" s="41"/>
      <c r="AR39" s="42"/>
      <c r="AS39" s="42"/>
      <c r="AT39" s="42"/>
      <c r="AU39" s="42"/>
      <c r="AV39" s="42"/>
      <c r="AW39" s="42"/>
      <c r="AX39" s="42"/>
      <c r="AY39" s="43"/>
      <c r="AZ39" s="30"/>
      <c r="BA39" s="30"/>
      <c r="BB39" s="30"/>
      <c r="BC39" s="30"/>
      <c r="BD39" s="30"/>
      <c r="BE39" s="30"/>
      <c r="BF39" s="30"/>
      <c r="BG39" s="41"/>
      <c r="BH39" s="42"/>
      <c r="BI39" s="42"/>
      <c r="BJ39" s="42"/>
      <c r="BK39" s="42"/>
      <c r="BL39" s="42"/>
      <c r="BM39" s="42"/>
      <c r="BN39" s="42"/>
      <c r="BO39" s="43"/>
      <c r="BP39" s="30"/>
      <c r="BQ39" s="30"/>
      <c r="BR39" s="30"/>
      <c r="BS39" s="30"/>
      <c r="BT39" s="30"/>
      <c r="BU39" s="30"/>
      <c r="BV39" s="30"/>
      <c r="BW39" s="41"/>
      <c r="BX39" s="42"/>
      <c r="BY39" s="42"/>
      <c r="BZ39" s="42"/>
      <c r="CA39" s="42"/>
      <c r="CB39" s="42"/>
      <c r="CC39" s="42"/>
      <c r="CD39" s="42"/>
      <c r="CE39" s="43"/>
      <c r="CF39" s="30"/>
      <c r="CG39" s="30"/>
      <c r="CH39" s="30"/>
      <c r="CI39" s="30"/>
      <c r="CJ39" s="30"/>
      <c r="CK39" s="30"/>
      <c r="CL39" s="30"/>
      <c r="CM39" s="41"/>
      <c r="CN39" s="42"/>
      <c r="CO39" s="42"/>
      <c r="CP39" s="42"/>
      <c r="CQ39" s="42"/>
      <c r="CR39" s="42"/>
      <c r="CS39" s="42"/>
      <c r="CT39" s="42"/>
    </row>
    <row r="40" ht="25.05" customHeight="1" spans="1:98">
      <c r="A40" s="28"/>
      <c r="B40" s="29" t="s">
        <v>252</v>
      </c>
      <c r="C40" s="27"/>
      <c r="D40" s="17" t="s">
        <v>238</v>
      </c>
      <c r="E40" s="17" t="s">
        <v>222</v>
      </c>
      <c r="F40" s="17" t="s">
        <v>222</v>
      </c>
      <c r="G40" s="17" t="s">
        <v>238</v>
      </c>
      <c r="H40" s="30"/>
      <c r="I40" s="30"/>
      <c r="J40" s="30"/>
      <c r="K40" s="41"/>
      <c r="L40" s="42"/>
      <c r="M40" s="42"/>
      <c r="N40" s="42"/>
      <c r="O40" s="42"/>
      <c r="P40" s="42"/>
      <c r="Q40" s="42"/>
      <c r="R40" s="42"/>
      <c r="S40" s="43"/>
      <c r="T40" s="30"/>
      <c r="U40" s="30"/>
      <c r="V40" s="30"/>
      <c r="W40" s="30"/>
      <c r="X40" s="30"/>
      <c r="Y40" s="30"/>
      <c r="Z40" s="30"/>
      <c r="AA40" s="41"/>
      <c r="AB40" s="42"/>
      <c r="AC40" s="42"/>
      <c r="AD40" s="42"/>
      <c r="AE40" s="42"/>
      <c r="AF40" s="42"/>
      <c r="AG40" s="42"/>
      <c r="AH40" s="42"/>
      <c r="AI40" s="43"/>
      <c r="AJ40" s="30"/>
      <c r="AK40" s="30"/>
      <c r="AL40" s="30"/>
      <c r="AM40" s="30"/>
      <c r="AN40" s="30"/>
      <c r="AO40" s="30"/>
      <c r="AP40" s="30"/>
      <c r="AQ40" s="41"/>
      <c r="AR40" s="42"/>
      <c r="AS40" s="42"/>
      <c r="AT40" s="42"/>
      <c r="AU40" s="42"/>
      <c r="AV40" s="42"/>
      <c r="AW40" s="42"/>
      <c r="AX40" s="42"/>
      <c r="AY40" s="43"/>
      <c r="AZ40" s="30"/>
      <c r="BA40" s="30"/>
      <c r="BB40" s="30"/>
      <c r="BC40" s="30"/>
      <c r="BD40" s="30"/>
      <c r="BE40" s="30"/>
      <c r="BF40" s="30"/>
      <c r="BG40" s="41"/>
      <c r="BH40" s="42"/>
      <c r="BI40" s="42"/>
      <c r="BJ40" s="42"/>
      <c r="BK40" s="42"/>
      <c r="BL40" s="42"/>
      <c r="BM40" s="42"/>
      <c r="BN40" s="42"/>
      <c r="BO40" s="43"/>
      <c r="BP40" s="30"/>
      <c r="BQ40" s="30"/>
      <c r="BR40" s="30"/>
      <c r="BS40" s="30"/>
      <c r="BT40" s="30"/>
      <c r="BU40" s="30"/>
      <c r="BV40" s="30"/>
      <c r="BW40" s="41"/>
      <c r="BX40" s="42"/>
      <c r="BY40" s="42"/>
      <c r="BZ40" s="42"/>
      <c r="CA40" s="42"/>
      <c r="CB40" s="42"/>
      <c r="CC40" s="42"/>
      <c r="CD40" s="42"/>
      <c r="CE40" s="43"/>
      <c r="CF40" s="30"/>
      <c r="CG40" s="30"/>
      <c r="CH40" s="30"/>
      <c r="CI40" s="30"/>
      <c r="CJ40" s="30"/>
      <c r="CK40" s="30"/>
      <c r="CL40" s="30"/>
      <c r="CM40" s="41"/>
      <c r="CN40" s="42"/>
      <c r="CO40" s="42"/>
      <c r="CP40" s="42"/>
      <c r="CQ40" s="42"/>
      <c r="CR40" s="42"/>
      <c r="CS40" s="42"/>
      <c r="CT40" s="42"/>
    </row>
    <row r="41" ht="25.05" customHeight="1" spans="1:98">
      <c r="A41" s="28"/>
      <c r="B41" s="29" t="s">
        <v>253</v>
      </c>
      <c r="C41" s="27"/>
      <c r="D41" s="17" t="s">
        <v>238</v>
      </c>
      <c r="E41" s="17" t="s">
        <v>222</v>
      </c>
      <c r="F41" s="17" t="s">
        <v>222</v>
      </c>
      <c r="G41" s="17" t="s">
        <v>238</v>
      </c>
      <c r="H41" s="30"/>
      <c r="I41" s="30"/>
      <c r="J41" s="30"/>
      <c r="K41" s="41"/>
      <c r="L41" s="42"/>
      <c r="M41" s="42"/>
      <c r="N41" s="42"/>
      <c r="O41" s="42"/>
      <c r="P41" s="42"/>
      <c r="Q41" s="42"/>
      <c r="R41" s="42"/>
      <c r="S41" s="43"/>
      <c r="T41" s="30"/>
      <c r="U41" s="30"/>
      <c r="V41" s="30"/>
      <c r="W41" s="30"/>
      <c r="X41" s="30"/>
      <c r="Y41" s="30"/>
      <c r="Z41" s="30"/>
      <c r="AA41" s="41"/>
      <c r="AB41" s="42"/>
      <c r="AC41" s="42"/>
      <c r="AD41" s="42"/>
      <c r="AE41" s="42"/>
      <c r="AF41" s="42"/>
      <c r="AG41" s="42"/>
      <c r="AH41" s="42"/>
      <c r="AI41" s="43"/>
      <c r="AJ41" s="30"/>
      <c r="AK41" s="30"/>
      <c r="AL41" s="30"/>
      <c r="AM41" s="30"/>
      <c r="AN41" s="30"/>
      <c r="AO41" s="30"/>
      <c r="AP41" s="30"/>
      <c r="AQ41" s="41"/>
      <c r="AR41" s="42"/>
      <c r="AS41" s="42"/>
      <c r="AT41" s="42"/>
      <c r="AU41" s="42"/>
      <c r="AV41" s="42"/>
      <c r="AW41" s="42"/>
      <c r="AX41" s="42"/>
      <c r="AY41" s="43"/>
      <c r="AZ41" s="30"/>
      <c r="BA41" s="30"/>
      <c r="BB41" s="30"/>
      <c r="BC41" s="30"/>
      <c r="BD41" s="30"/>
      <c r="BE41" s="30"/>
      <c r="BF41" s="30"/>
      <c r="BG41" s="41"/>
      <c r="BH41" s="42"/>
      <c r="BI41" s="42"/>
      <c r="BJ41" s="42"/>
      <c r="BK41" s="42"/>
      <c r="BL41" s="42"/>
      <c r="BM41" s="42"/>
      <c r="BN41" s="42"/>
      <c r="BO41" s="43"/>
      <c r="BP41" s="30"/>
      <c r="BQ41" s="30"/>
      <c r="BR41" s="30"/>
      <c r="BS41" s="30"/>
      <c r="BT41" s="30"/>
      <c r="BU41" s="30"/>
      <c r="BV41" s="30"/>
      <c r="BW41" s="41"/>
      <c r="BX41" s="42"/>
      <c r="BY41" s="42"/>
      <c r="BZ41" s="42"/>
      <c r="CA41" s="42"/>
      <c r="CB41" s="42"/>
      <c r="CC41" s="42"/>
      <c r="CD41" s="42"/>
      <c r="CE41" s="43"/>
      <c r="CF41" s="30"/>
      <c r="CG41" s="30"/>
      <c r="CH41" s="30"/>
      <c r="CI41" s="30"/>
      <c r="CJ41" s="30"/>
      <c r="CK41" s="30"/>
      <c r="CL41" s="30"/>
      <c r="CM41" s="41"/>
      <c r="CN41" s="42"/>
      <c r="CO41" s="42"/>
      <c r="CP41" s="42"/>
      <c r="CQ41" s="42"/>
      <c r="CR41" s="42"/>
      <c r="CS41" s="42"/>
      <c r="CT41" s="42"/>
    </row>
    <row r="42" ht="25.05" customHeight="1" spans="1:98">
      <c r="A42" s="28"/>
      <c r="B42" s="29" t="s">
        <v>254</v>
      </c>
      <c r="C42" s="27"/>
      <c r="D42" s="17" t="s">
        <v>238</v>
      </c>
      <c r="E42" s="17" t="s">
        <v>222</v>
      </c>
      <c r="F42" s="17" t="s">
        <v>222</v>
      </c>
      <c r="G42" s="17" t="s">
        <v>238</v>
      </c>
      <c r="H42" s="30"/>
      <c r="I42" s="30"/>
      <c r="J42" s="30"/>
      <c r="K42" s="41"/>
      <c r="L42" s="42"/>
      <c r="M42" s="42"/>
      <c r="N42" s="42"/>
      <c r="O42" s="42"/>
      <c r="P42" s="42"/>
      <c r="Q42" s="42"/>
      <c r="R42" s="42"/>
      <c r="S42" s="43"/>
      <c r="T42" s="30"/>
      <c r="U42" s="30"/>
      <c r="V42" s="30"/>
      <c r="W42" s="30"/>
      <c r="X42" s="30"/>
      <c r="Y42" s="30"/>
      <c r="Z42" s="30"/>
      <c r="AA42" s="41"/>
      <c r="AB42" s="42"/>
      <c r="AC42" s="42"/>
      <c r="AD42" s="42"/>
      <c r="AE42" s="42"/>
      <c r="AF42" s="42"/>
      <c r="AG42" s="42"/>
      <c r="AH42" s="42"/>
      <c r="AI42" s="43"/>
      <c r="AJ42" s="30"/>
      <c r="AK42" s="30"/>
      <c r="AL42" s="30"/>
      <c r="AM42" s="30"/>
      <c r="AN42" s="30"/>
      <c r="AO42" s="30"/>
      <c r="AP42" s="30"/>
      <c r="AQ42" s="41"/>
      <c r="AR42" s="42"/>
      <c r="AS42" s="42"/>
      <c r="AT42" s="42"/>
      <c r="AU42" s="42"/>
      <c r="AV42" s="42"/>
      <c r="AW42" s="42"/>
      <c r="AX42" s="42"/>
      <c r="AY42" s="43"/>
      <c r="AZ42" s="30"/>
      <c r="BA42" s="30"/>
      <c r="BB42" s="30"/>
      <c r="BC42" s="30"/>
      <c r="BD42" s="30"/>
      <c r="BE42" s="30"/>
      <c r="BF42" s="30"/>
      <c r="BG42" s="41"/>
      <c r="BH42" s="42"/>
      <c r="BI42" s="42"/>
      <c r="BJ42" s="42"/>
      <c r="BK42" s="42"/>
      <c r="BL42" s="42"/>
      <c r="BM42" s="42"/>
      <c r="BN42" s="42"/>
      <c r="BO42" s="43"/>
      <c r="BP42" s="30"/>
      <c r="BQ42" s="30"/>
      <c r="BR42" s="30"/>
      <c r="BS42" s="30"/>
      <c r="BT42" s="30"/>
      <c r="BU42" s="30"/>
      <c r="BV42" s="30"/>
      <c r="BW42" s="41"/>
      <c r="BX42" s="42"/>
      <c r="BY42" s="42"/>
      <c r="BZ42" s="42"/>
      <c r="CA42" s="42"/>
      <c r="CB42" s="42"/>
      <c r="CC42" s="42"/>
      <c r="CD42" s="42"/>
      <c r="CE42" s="43"/>
      <c r="CF42" s="30"/>
      <c r="CG42" s="30"/>
      <c r="CH42" s="30"/>
      <c r="CI42" s="30"/>
      <c r="CJ42" s="30"/>
      <c r="CK42" s="30"/>
      <c r="CL42" s="30"/>
      <c r="CM42" s="41"/>
      <c r="CN42" s="42"/>
      <c r="CO42" s="42"/>
      <c r="CP42" s="42"/>
      <c r="CQ42" s="42"/>
      <c r="CR42" s="42"/>
      <c r="CS42" s="42"/>
      <c r="CT42" s="42"/>
    </row>
    <row r="43" ht="25.05" customHeight="1" spans="1:98">
      <c r="A43" s="28"/>
      <c r="B43" s="29" t="s">
        <v>255</v>
      </c>
      <c r="C43" s="27"/>
      <c r="D43" s="17" t="s">
        <v>238</v>
      </c>
      <c r="E43" s="17" t="s">
        <v>222</v>
      </c>
      <c r="F43" s="17" t="s">
        <v>222</v>
      </c>
      <c r="G43" s="17" t="s">
        <v>238</v>
      </c>
      <c r="H43" s="30"/>
      <c r="I43" s="30"/>
      <c r="J43" s="30"/>
      <c r="K43" s="41"/>
      <c r="L43" s="42"/>
      <c r="M43" s="42"/>
      <c r="N43" s="42"/>
      <c r="O43" s="42"/>
      <c r="P43" s="42"/>
      <c r="Q43" s="42"/>
      <c r="R43" s="42"/>
      <c r="S43" s="43"/>
      <c r="T43" s="30"/>
      <c r="U43" s="30"/>
      <c r="V43" s="30"/>
      <c r="W43" s="30"/>
      <c r="X43" s="30"/>
      <c r="Y43" s="30"/>
      <c r="Z43" s="30"/>
      <c r="AA43" s="41"/>
      <c r="AB43" s="42"/>
      <c r="AC43" s="42"/>
      <c r="AD43" s="42"/>
      <c r="AE43" s="42"/>
      <c r="AF43" s="42"/>
      <c r="AG43" s="42"/>
      <c r="AH43" s="42"/>
      <c r="AI43" s="43"/>
      <c r="AJ43" s="30"/>
      <c r="AK43" s="30"/>
      <c r="AL43" s="30"/>
      <c r="AM43" s="30"/>
      <c r="AN43" s="30"/>
      <c r="AO43" s="30"/>
      <c r="AP43" s="30"/>
      <c r="AQ43" s="41"/>
      <c r="AR43" s="42"/>
      <c r="AS43" s="42"/>
      <c r="AT43" s="42"/>
      <c r="AU43" s="42"/>
      <c r="AV43" s="42"/>
      <c r="AW43" s="42"/>
      <c r="AX43" s="42"/>
      <c r="AY43" s="43"/>
      <c r="AZ43" s="30"/>
      <c r="BA43" s="30"/>
      <c r="BB43" s="30"/>
      <c r="BC43" s="30"/>
      <c r="BD43" s="30"/>
      <c r="BE43" s="30"/>
      <c r="BF43" s="30"/>
      <c r="BG43" s="41"/>
      <c r="BH43" s="42"/>
      <c r="BI43" s="42"/>
      <c r="BJ43" s="42"/>
      <c r="BK43" s="42"/>
      <c r="BL43" s="42"/>
      <c r="BM43" s="42"/>
      <c r="BN43" s="42"/>
      <c r="BO43" s="43"/>
      <c r="BP43" s="30"/>
      <c r="BQ43" s="30"/>
      <c r="BR43" s="30"/>
      <c r="BS43" s="30"/>
      <c r="BT43" s="30"/>
      <c r="BU43" s="30"/>
      <c r="BV43" s="30"/>
      <c r="BW43" s="41"/>
      <c r="BX43" s="42"/>
      <c r="BY43" s="42"/>
      <c r="BZ43" s="42"/>
      <c r="CA43" s="42"/>
      <c r="CB43" s="42"/>
      <c r="CC43" s="42"/>
      <c r="CD43" s="42"/>
      <c r="CE43" s="43"/>
      <c r="CF43" s="30"/>
      <c r="CG43" s="30"/>
      <c r="CH43" s="30"/>
      <c r="CI43" s="30"/>
      <c r="CJ43" s="30"/>
      <c r="CK43" s="30"/>
      <c r="CL43" s="30"/>
      <c r="CM43" s="41"/>
      <c r="CN43" s="42"/>
      <c r="CO43" s="42"/>
      <c r="CP43" s="42"/>
      <c r="CQ43" s="42"/>
      <c r="CR43" s="42"/>
      <c r="CS43" s="42"/>
      <c r="CT43" s="42"/>
    </row>
    <row r="44" ht="25.05" customHeight="1" spans="1:98">
      <c r="A44" s="21"/>
      <c r="B44" s="22" t="s">
        <v>256</v>
      </c>
      <c r="C44" s="31"/>
      <c r="D44" s="17" t="s">
        <v>238</v>
      </c>
      <c r="E44" s="17" t="s">
        <v>222</v>
      </c>
      <c r="F44" s="17" t="s">
        <v>222</v>
      </c>
      <c r="G44" s="17" t="s">
        <v>238</v>
      </c>
      <c r="H44" s="24"/>
      <c r="I44" s="24"/>
      <c r="J44" s="24"/>
      <c r="K44" s="39"/>
      <c r="L44" s="40"/>
      <c r="M44" s="40"/>
      <c r="N44" s="40"/>
      <c r="O44" s="40"/>
      <c r="P44" s="40"/>
      <c r="Q44" s="40"/>
      <c r="R44" s="40"/>
      <c r="S44" s="23"/>
      <c r="T44" s="24"/>
      <c r="U44" s="24"/>
      <c r="V44" s="24"/>
      <c r="W44" s="24"/>
      <c r="X44" s="24"/>
      <c r="Y44" s="24"/>
      <c r="Z44" s="24"/>
      <c r="AA44" s="39"/>
      <c r="AB44" s="40"/>
      <c r="AC44" s="40"/>
      <c r="AD44" s="40"/>
      <c r="AE44" s="40"/>
      <c r="AF44" s="40"/>
      <c r="AG44" s="40"/>
      <c r="AH44" s="40"/>
      <c r="AI44" s="23"/>
      <c r="AJ44" s="24"/>
      <c r="AK44" s="24"/>
      <c r="AL44" s="24"/>
      <c r="AM44" s="24"/>
      <c r="AN44" s="24"/>
      <c r="AO44" s="24"/>
      <c r="AP44" s="24"/>
      <c r="AQ44" s="39"/>
      <c r="AR44" s="40"/>
      <c r="AS44" s="40"/>
      <c r="AT44" s="40"/>
      <c r="AU44" s="40"/>
      <c r="AV44" s="40"/>
      <c r="AW44" s="40"/>
      <c r="AX44" s="40"/>
      <c r="AY44" s="23"/>
      <c r="AZ44" s="24"/>
      <c r="BA44" s="24"/>
      <c r="BB44" s="24"/>
      <c r="BC44" s="24"/>
      <c r="BD44" s="24"/>
      <c r="BE44" s="24"/>
      <c r="BF44" s="24"/>
      <c r="BG44" s="39"/>
      <c r="BH44" s="40"/>
      <c r="BI44" s="40"/>
      <c r="BJ44" s="40"/>
      <c r="BK44" s="40"/>
      <c r="BL44" s="40"/>
      <c r="BM44" s="40"/>
      <c r="BN44" s="40"/>
      <c r="BO44" s="23"/>
      <c r="BP44" s="24"/>
      <c r="BQ44" s="24"/>
      <c r="BR44" s="24"/>
      <c r="BS44" s="24"/>
      <c r="BT44" s="24"/>
      <c r="BU44" s="24"/>
      <c r="BV44" s="24"/>
      <c r="BW44" s="39"/>
      <c r="BX44" s="40"/>
      <c r="BY44" s="40"/>
      <c r="BZ44" s="40"/>
      <c r="CA44" s="40"/>
      <c r="CB44" s="40"/>
      <c r="CC44" s="40"/>
      <c r="CD44" s="40"/>
      <c r="CE44" s="23"/>
      <c r="CF44" s="24"/>
      <c r="CG44" s="24"/>
      <c r="CH44" s="24"/>
      <c r="CI44" s="24"/>
      <c r="CJ44" s="24"/>
      <c r="CK44" s="24"/>
      <c r="CL44" s="24"/>
      <c r="CM44" s="39"/>
      <c r="CN44" s="40"/>
      <c r="CO44" s="40"/>
      <c r="CP44" s="40"/>
      <c r="CQ44" s="40"/>
      <c r="CR44" s="40"/>
      <c r="CS44" s="40"/>
      <c r="CT44" s="40"/>
    </row>
    <row r="45" ht="25.05" customHeight="1" spans="1:98">
      <c r="A45" s="14" t="s">
        <v>257</v>
      </c>
      <c r="B45" s="15" t="s">
        <v>236</v>
      </c>
      <c r="C45" s="26" t="s">
        <v>258</v>
      </c>
      <c r="D45" s="25" t="s">
        <v>238</v>
      </c>
      <c r="E45" s="17" t="s">
        <v>222</v>
      </c>
      <c r="F45" s="17" t="s">
        <v>222</v>
      </c>
      <c r="G45" s="25" t="s">
        <v>238</v>
      </c>
      <c r="H45" s="25" t="s">
        <v>238</v>
      </c>
      <c r="I45" s="25" t="s">
        <v>238</v>
      </c>
      <c r="J45" s="25" t="s">
        <v>239</v>
      </c>
      <c r="K45" s="35"/>
      <c r="L45" s="36"/>
      <c r="M45" s="36"/>
      <c r="N45" s="36"/>
      <c r="O45" s="36"/>
      <c r="P45" s="36"/>
      <c r="Q45" s="36"/>
      <c r="R45" s="36"/>
      <c r="S45" s="16"/>
      <c r="T45" s="25"/>
      <c r="U45" s="25"/>
      <c r="V45" s="25"/>
      <c r="W45" s="25"/>
      <c r="X45" s="25"/>
      <c r="Y45" s="25"/>
      <c r="Z45" s="25"/>
      <c r="AA45" s="35"/>
      <c r="AB45" s="36"/>
      <c r="AC45" s="36"/>
      <c r="AD45" s="36"/>
      <c r="AE45" s="36"/>
      <c r="AF45" s="36"/>
      <c r="AG45" s="36"/>
      <c r="AH45" s="36"/>
      <c r="AI45" s="16"/>
      <c r="AJ45" s="25"/>
      <c r="AK45" s="25"/>
      <c r="AL45" s="25"/>
      <c r="AM45" s="25"/>
      <c r="AN45" s="25"/>
      <c r="AO45" s="25"/>
      <c r="AP45" s="25"/>
      <c r="AQ45" s="35"/>
      <c r="AR45" s="36"/>
      <c r="AS45" s="36"/>
      <c r="AT45" s="36"/>
      <c r="AU45" s="36"/>
      <c r="AV45" s="36"/>
      <c r="AW45" s="36"/>
      <c r="AX45" s="36"/>
      <c r="AY45" s="16"/>
      <c r="AZ45" s="25"/>
      <c r="BA45" s="25"/>
      <c r="BB45" s="25"/>
      <c r="BC45" s="25"/>
      <c r="BD45" s="25"/>
      <c r="BE45" s="25"/>
      <c r="BF45" s="25"/>
      <c r="BG45" s="35"/>
      <c r="BH45" s="36"/>
      <c r="BI45" s="36"/>
      <c r="BJ45" s="36"/>
      <c r="BK45" s="36"/>
      <c r="BL45" s="36"/>
      <c r="BM45" s="36"/>
      <c r="BN45" s="36"/>
      <c r="BO45" s="16"/>
      <c r="BP45" s="25"/>
      <c r="BQ45" s="25"/>
      <c r="BR45" s="25"/>
      <c r="BS45" s="25"/>
      <c r="BT45" s="25"/>
      <c r="BU45" s="25"/>
      <c r="BV45" s="25"/>
      <c r="BW45" s="35"/>
      <c r="BX45" s="36"/>
      <c r="BY45" s="36"/>
      <c r="BZ45" s="36"/>
      <c r="CA45" s="36"/>
      <c r="CB45" s="36"/>
      <c r="CC45" s="36"/>
      <c r="CD45" s="36"/>
      <c r="CE45" s="16"/>
      <c r="CF45" s="25"/>
      <c r="CG45" s="25"/>
      <c r="CH45" s="25"/>
      <c r="CI45" s="25"/>
      <c r="CJ45" s="25"/>
      <c r="CK45" s="25"/>
      <c r="CL45" s="25"/>
      <c r="CM45" s="35"/>
      <c r="CN45" s="36"/>
      <c r="CO45" s="36"/>
      <c r="CP45" s="36"/>
      <c r="CQ45" s="36"/>
      <c r="CR45" s="36"/>
      <c r="CS45" s="36"/>
      <c r="CT45" s="36"/>
    </row>
    <row r="46" ht="25.05" customHeight="1" spans="1:98">
      <c r="A46" s="18"/>
      <c r="B46" s="19" t="s">
        <v>240</v>
      </c>
      <c r="C46" s="27"/>
      <c r="D46" s="17" t="s">
        <v>238</v>
      </c>
      <c r="E46" s="17" t="s">
        <v>222</v>
      </c>
      <c r="F46" s="17" t="s">
        <v>222</v>
      </c>
      <c r="G46" s="17" t="s">
        <v>238</v>
      </c>
      <c r="H46" s="17" t="s">
        <v>239</v>
      </c>
      <c r="I46" s="17" t="s">
        <v>239</v>
      </c>
      <c r="J46" s="17" t="s">
        <v>239</v>
      </c>
      <c r="K46" s="37"/>
      <c r="L46" s="38"/>
      <c r="M46" s="38"/>
      <c r="N46" s="38"/>
      <c r="O46" s="38"/>
      <c r="P46" s="38"/>
      <c r="Q46" s="38"/>
      <c r="R46" s="38"/>
      <c r="S46" s="20"/>
      <c r="T46" s="17"/>
      <c r="U46" s="17"/>
      <c r="V46" s="17"/>
      <c r="W46" s="17"/>
      <c r="X46" s="17"/>
      <c r="Y46" s="17"/>
      <c r="Z46" s="17"/>
      <c r="AA46" s="37"/>
      <c r="AB46" s="38"/>
      <c r="AC46" s="38"/>
      <c r="AD46" s="38"/>
      <c r="AE46" s="38"/>
      <c r="AF46" s="38"/>
      <c r="AG46" s="38"/>
      <c r="AH46" s="38"/>
      <c r="AI46" s="20"/>
      <c r="AJ46" s="17"/>
      <c r="AK46" s="17"/>
      <c r="AL46" s="17"/>
      <c r="AM46" s="17"/>
      <c r="AN46" s="17"/>
      <c r="AO46" s="17"/>
      <c r="AP46" s="17"/>
      <c r="AQ46" s="37"/>
      <c r="AR46" s="38"/>
      <c r="AS46" s="38"/>
      <c r="AT46" s="38"/>
      <c r="AU46" s="38"/>
      <c r="AV46" s="38"/>
      <c r="AW46" s="38"/>
      <c r="AX46" s="38"/>
      <c r="AY46" s="20"/>
      <c r="AZ46" s="17"/>
      <c r="BA46" s="17"/>
      <c r="BB46" s="17"/>
      <c r="BC46" s="17"/>
      <c r="BD46" s="17"/>
      <c r="BE46" s="17"/>
      <c r="BF46" s="17"/>
      <c r="BG46" s="37"/>
      <c r="BH46" s="38"/>
      <c r="BI46" s="38"/>
      <c r="BJ46" s="38"/>
      <c r="BK46" s="38"/>
      <c r="BL46" s="38"/>
      <c r="BM46" s="38"/>
      <c r="BN46" s="38"/>
      <c r="BO46" s="20"/>
      <c r="BP46" s="17"/>
      <c r="BQ46" s="17"/>
      <c r="BR46" s="17"/>
      <c r="BS46" s="17"/>
      <c r="BT46" s="17"/>
      <c r="BU46" s="17"/>
      <c r="BV46" s="17"/>
      <c r="BW46" s="37"/>
      <c r="BX46" s="38"/>
      <c r="BY46" s="38"/>
      <c r="BZ46" s="38"/>
      <c r="CA46" s="38"/>
      <c r="CB46" s="38"/>
      <c r="CC46" s="38"/>
      <c r="CD46" s="38"/>
      <c r="CE46" s="20"/>
      <c r="CF46" s="17"/>
      <c r="CG46" s="17"/>
      <c r="CH46" s="17"/>
      <c r="CI46" s="17"/>
      <c r="CJ46" s="17"/>
      <c r="CK46" s="17"/>
      <c r="CL46" s="17"/>
      <c r="CM46" s="37"/>
      <c r="CN46" s="38"/>
      <c r="CO46" s="38"/>
      <c r="CP46" s="38"/>
      <c r="CQ46" s="38"/>
      <c r="CR46" s="38"/>
      <c r="CS46" s="38"/>
      <c r="CT46" s="38"/>
    </row>
    <row r="47" ht="25.05" customHeight="1" spans="1:98">
      <c r="A47" s="18"/>
      <c r="B47" s="19" t="s">
        <v>241</v>
      </c>
      <c r="C47" s="27"/>
      <c r="D47" s="17" t="s">
        <v>238</v>
      </c>
      <c r="E47" s="17" t="s">
        <v>222</v>
      </c>
      <c r="F47" s="17" t="s">
        <v>222</v>
      </c>
      <c r="G47" s="17" t="s">
        <v>238</v>
      </c>
      <c r="H47" s="17"/>
      <c r="I47" s="17"/>
      <c r="J47" s="17"/>
      <c r="K47" s="37"/>
      <c r="L47" s="38"/>
      <c r="M47" s="38"/>
      <c r="N47" s="38"/>
      <c r="O47" s="38"/>
      <c r="P47" s="38"/>
      <c r="Q47" s="38"/>
      <c r="R47" s="38"/>
      <c r="S47" s="20"/>
      <c r="T47" s="17"/>
      <c r="U47" s="17"/>
      <c r="V47" s="17"/>
      <c r="W47" s="17"/>
      <c r="X47" s="17"/>
      <c r="Y47" s="17"/>
      <c r="Z47" s="17"/>
      <c r="AA47" s="37"/>
      <c r="AB47" s="38"/>
      <c r="AC47" s="38"/>
      <c r="AD47" s="38"/>
      <c r="AE47" s="38"/>
      <c r="AF47" s="38"/>
      <c r="AG47" s="38"/>
      <c r="AH47" s="38"/>
      <c r="AI47" s="20"/>
      <c r="AJ47" s="17"/>
      <c r="AK47" s="17"/>
      <c r="AL47" s="17"/>
      <c r="AM47" s="17"/>
      <c r="AN47" s="17"/>
      <c r="AO47" s="17"/>
      <c r="AP47" s="17"/>
      <c r="AQ47" s="37"/>
      <c r="AR47" s="38"/>
      <c r="AS47" s="38"/>
      <c r="AT47" s="38"/>
      <c r="AU47" s="38"/>
      <c r="AV47" s="38"/>
      <c r="AW47" s="38"/>
      <c r="AX47" s="38"/>
      <c r="AY47" s="20"/>
      <c r="AZ47" s="17"/>
      <c r="BA47" s="17"/>
      <c r="BB47" s="17"/>
      <c r="BC47" s="17"/>
      <c r="BD47" s="17"/>
      <c r="BE47" s="17"/>
      <c r="BF47" s="17"/>
      <c r="BG47" s="37"/>
      <c r="BH47" s="38"/>
      <c r="BI47" s="38"/>
      <c r="BJ47" s="38"/>
      <c r="BK47" s="38"/>
      <c r="BL47" s="38"/>
      <c r="BM47" s="38"/>
      <c r="BN47" s="38"/>
      <c r="BO47" s="20"/>
      <c r="BP47" s="17"/>
      <c r="BQ47" s="17"/>
      <c r="BR47" s="17"/>
      <c r="BS47" s="17"/>
      <c r="BT47" s="17"/>
      <c r="BU47" s="17"/>
      <c r="BV47" s="17"/>
      <c r="BW47" s="37"/>
      <c r="BX47" s="38"/>
      <c r="BY47" s="38"/>
      <c r="BZ47" s="38"/>
      <c r="CA47" s="38"/>
      <c r="CB47" s="38"/>
      <c r="CC47" s="38"/>
      <c r="CD47" s="38"/>
      <c r="CE47" s="20"/>
      <c r="CF47" s="17"/>
      <c r="CG47" s="17"/>
      <c r="CH47" s="17"/>
      <c r="CI47" s="17"/>
      <c r="CJ47" s="17"/>
      <c r="CK47" s="17"/>
      <c r="CL47" s="17"/>
      <c r="CM47" s="37"/>
      <c r="CN47" s="38"/>
      <c r="CO47" s="38"/>
      <c r="CP47" s="38"/>
      <c r="CQ47" s="38"/>
      <c r="CR47" s="38"/>
      <c r="CS47" s="38"/>
      <c r="CT47" s="38"/>
    </row>
    <row r="48" ht="25.05" customHeight="1" spans="1:98">
      <c r="A48" s="18"/>
      <c r="B48" s="19" t="s">
        <v>242</v>
      </c>
      <c r="C48" s="27"/>
      <c r="D48" s="17" t="s">
        <v>238</v>
      </c>
      <c r="E48" s="17" t="s">
        <v>222</v>
      </c>
      <c r="F48" s="17" t="s">
        <v>222</v>
      </c>
      <c r="G48" s="17" t="s">
        <v>238</v>
      </c>
      <c r="H48" s="17"/>
      <c r="I48" s="17"/>
      <c r="J48" s="17"/>
      <c r="K48" s="37"/>
      <c r="L48" s="38"/>
      <c r="M48" s="38"/>
      <c r="N48" s="38"/>
      <c r="O48" s="38"/>
      <c r="P48" s="38"/>
      <c r="Q48" s="38"/>
      <c r="R48" s="38"/>
      <c r="S48" s="20"/>
      <c r="T48" s="17"/>
      <c r="U48" s="17"/>
      <c r="V48" s="17"/>
      <c r="W48" s="17"/>
      <c r="X48" s="17"/>
      <c r="Y48" s="17"/>
      <c r="Z48" s="17"/>
      <c r="AA48" s="37"/>
      <c r="AB48" s="38"/>
      <c r="AC48" s="38"/>
      <c r="AD48" s="38"/>
      <c r="AE48" s="38"/>
      <c r="AF48" s="38"/>
      <c r="AG48" s="38"/>
      <c r="AH48" s="38"/>
      <c r="AI48" s="20"/>
      <c r="AJ48" s="17"/>
      <c r="AK48" s="17"/>
      <c r="AL48" s="17"/>
      <c r="AM48" s="17"/>
      <c r="AN48" s="17"/>
      <c r="AO48" s="17"/>
      <c r="AP48" s="17"/>
      <c r="AQ48" s="37"/>
      <c r="AR48" s="38"/>
      <c r="AS48" s="38"/>
      <c r="AT48" s="38"/>
      <c r="AU48" s="38"/>
      <c r="AV48" s="38"/>
      <c r="AW48" s="38"/>
      <c r="AX48" s="38"/>
      <c r="AY48" s="20"/>
      <c r="AZ48" s="17"/>
      <c r="BA48" s="17"/>
      <c r="BB48" s="17"/>
      <c r="BC48" s="17"/>
      <c r="BD48" s="17"/>
      <c r="BE48" s="17"/>
      <c r="BF48" s="17"/>
      <c r="BG48" s="37"/>
      <c r="BH48" s="38"/>
      <c r="BI48" s="38"/>
      <c r="BJ48" s="38"/>
      <c r="BK48" s="38"/>
      <c r="BL48" s="38"/>
      <c r="BM48" s="38"/>
      <c r="BN48" s="38"/>
      <c r="BO48" s="20"/>
      <c r="BP48" s="17"/>
      <c r="BQ48" s="17"/>
      <c r="BR48" s="17"/>
      <c r="BS48" s="17"/>
      <c r="BT48" s="17"/>
      <c r="BU48" s="17"/>
      <c r="BV48" s="17"/>
      <c r="BW48" s="37"/>
      <c r="BX48" s="38"/>
      <c r="BY48" s="38"/>
      <c r="BZ48" s="38"/>
      <c r="CA48" s="38"/>
      <c r="CB48" s="38"/>
      <c r="CC48" s="38"/>
      <c r="CD48" s="38"/>
      <c r="CE48" s="20"/>
      <c r="CF48" s="17"/>
      <c r="CG48" s="17"/>
      <c r="CH48" s="17"/>
      <c r="CI48" s="17"/>
      <c r="CJ48" s="17"/>
      <c r="CK48" s="17"/>
      <c r="CL48" s="17"/>
      <c r="CM48" s="37"/>
      <c r="CN48" s="38"/>
      <c r="CO48" s="38"/>
      <c r="CP48" s="38"/>
      <c r="CQ48" s="38"/>
      <c r="CR48" s="38"/>
      <c r="CS48" s="38"/>
      <c r="CT48" s="38"/>
    </row>
    <row r="49" ht="25.05" customHeight="1" spans="1:98">
      <c r="A49" s="18"/>
      <c r="B49" s="3" t="s">
        <v>243</v>
      </c>
      <c r="C49" s="27"/>
      <c r="D49" s="17" t="s">
        <v>238</v>
      </c>
      <c r="E49" s="17" t="s">
        <v>222</v>
      </c>
      <c r="F49" s="17" t="s">
        <v>222</v>
      </c>
      <c r="G49" s="17" t="s">
        <v>238</v>
      </c>
      <c r="H49" s="17"/>
      <c r="I49" s="17"/>
      <c r="J49" s="17"/>
      <c r="K49" s="37"/>
      <c r="L49" s="38"/>
      <c r="M49" s="38"/>
      <c r="N49" s="38"/>
      <c r="O49" s="38"/>
      <c r="P49" s="38"/>
      <c r="Q49" s="38"/>
      <c r="R49" s="38"/>
      <c r="S49" s="20"/>
      <c r="T49" s="17"/>
      <c r="U49" s="17"/>
      <c r="V49" s="17"/>
      <c r="W49" s="17"/>
      <c r="X49" s="17"/>
      <c r="Y49" s="17"/>
      <c r="Z49" s="17"/>
      <c r="AA49" s="37"/>
      <c r="AB49" s="38"/>
      <c r="AC49" s="38"/>
      <c r="AD49" s="38"/>
      <c r="AE49" s="38"/>
      <c r="AF49" s="38"/>
      <c r="AG49" s="38"/>
      <c r="AH49" s="38"/>
      <c r="AI49" s="20"/>
      <c r="AJ49" s="17"/>
      <c r="AK49" s="17"/>
      <c r="AL49" s="17"/>
      <c r="AM49" s="17"/>
      <c r="AN49" s="17"/>
      <c r="AO49" s="17"/>
      <c r="AP49" s="17"/>
      <c r="AQ49" s="37"/>
      <c r="AR49" s="38"/>
      <c r="AS49" s="38"/>
      <c r="AT49" s="38"/>
      <c r="AU49" s="38"/>
      <c r="AV49" s="38"/>
      <c r="AW49" s="38"/>
      <c r="AX49" s="38"/>
      <c r="AY49" s="20"/>
      <c r="AZ49" s="17"/>
      <c r="BA49" s="17"/>
      <c r="BB49" s="17"/>
      <c r="BC49" s="17"/>
      <c r="BD49" s="17"/>
      <c r="BE49" s="17"/>
      <c r="BF49" s="17"/>
      <c r="BG49" s="37"/>
      <c r="BH49" s="38"/>
      <c r="BI49" s="38"/>
      <c r="BJ49" s="38"/>
      <c r="BK49" s="38"/>
      <c r="BL49" s="38"/>
      <c r="BM49" s="38"/>
      <c r="BN49" s="38"/>
      <c r="BO49" s="20"/>
      <c r="BP49" s="17"/>
      <c r="BQ49" s="17"/>
      <c r="BR49" s="17"/>
      <c r="BS49" s="17"/>
      <c r="BT49" s="17"/>
      <c r="BU49" s="17"/>
      <c r="BV49" s="17"/>
      <c r="BW49" s="37"/>
      <c r="BX49" s="38"/>
      <c r="BY49" s="38"/>
      <c r="BZ49" s="38"/>
      <c r="CA49" s="38"/>
      <c r="CB49" s="38"/>
      <c r="CC49" s="38"/>
      <c r="CD49" s="38"/>
      <c r="CE49" s="20"/>
      <c r="CF49" s="17"/>
      <c r="CG49" s="17"/>
      <c r="CH49" s="17"/>
      <c r="CI49" s="17"/>
      <c r="CJ49" s="17"/>
      <c r="CK49" s="17"/>
      <c r="CL49" s="17"/>
      <c r="CM49" s="37"/>
      <c r="CN49" s="38"/>
      <c r="CO49" s="38"/>
      <c r="CP49" s="38"/>
      <c r="CQ49" s="38"/>
      <c r="CR49" s="38"/>
      <c r="CS49" s="38"/>
      <c r="CT49" s="38"/>
    </row>
    <row r="50" ht="25.05" customHeight="1" spans="1:98">
      <c r="A50" s="18"/>
      <c r="B50" s="19" t="s">
        <v>244</v>
      </c>
      <c r="C50" s="27"/>
      <c r="D50" s="17" t="s">
        <v>238</v>
      </c>
      <c r="E50" s="17" t="s">
        <v>222</v>
      </c>
      <c r="F50" s="17" t="s">
        <v>222</v>
      </c>
      <c r="G50" s="17" t="s">
        <v>238</v>
      </c>
      <c r="H50" s="17"/>
      <c r="I50" s="17"/>
      <c r="J50" s="17"/>
      <c r="K50" s="37"/>
      <c r="L50" s="38"/>
      <c r="M50" s="38"/>
      <c r="N50" s="38"/>
      <c r="O50" s="38"/>
      <c r="P50" s="38"/>
      <c r="Q50" s="38"/>
      <c r="R50" s="38"/>
      <c r="S50" s="20"/>
      <c r="T50" s="17"/>
      <c r="U50" s="17"/>
      <c r="V50" s="17"/>
      <c r="W50" s="17"/>
      <c r="X50" s="17"/>
      <c r="Y50" s="17"/>
      <c r="Z50" s="17"/>
      <c r="AA50" s="37"/>
      <c r="AB50" s="38"/>
      <c r="AC50" s="38"/>
      <c r="AD50" s="38"/>
      <c r="AE50" s="38"/>
      <c r="AF50" s="38"/>
      <c r="AG50" s="38"/>
      <c r="AH50" s="38"/>
      <c r="AI50" s="20"/>
      <c r="AJ50" s="17"/>
      <c r="AK50" s="17"/>
      <c r="AL50" s="17"/>
      <c r="AM50" s="17"/>
      <c r="AN50" s="17"/>
      <c r="AO50" s="17"/>
      <c r="AP50" s="17"/>
      <c r="AQ50" s="37"/>
      <c r="AR50" s="38"/>
      <c r="AS50" s="38"/>
      <c r="AT50" s="38"/>
      <c r="AU50" s="38"/>
      <c r="AV50" s="38"/>
      <c r="AW50" s="38"/>
      <c r="AX50" s="38"/>
      <c r="AY50" s="20"/>
      <c r="AZ50" s="17"/>
      <c r="BA50" s="17"/>
      <c r="BB50" s="17"/>
      <c r="BC50" s="17"/>
      <c r="BD50" s="17"/>
      <c r="BE50" s="17"/>
      <c r="BF50" s="17"/>
      <c r="BG50" s="37"/>
      <c r="BH50" s="38"/>
      <c r="BI50" s="38"/>
      <c r="BJ50" s="38"/>
      <c r="BK50" s="38"/>
      <c r="BL50" s="38"/>
      <c r="BM50" s="38"/>
      <c r="BN50" s="38"/>
      <c r="BO50" s="20"/>
      <c r="BP50" s="17"/>
      <c r="BQ50" s="17"/>
      <c r="BR50" s="17"/>
      <c r="BS50" s="17"/>
      <c r="BT50" s="17"/>
      <c r="BU50" s="17"/>
      <c r="BV50" s="17"/>
      <c r="BW50" s="37"/>
      <c r="BX50" s="38"/>
      <c r="BY50" s="38"/>
      <c r="BZ50" s="38"/>
      <c r="CA50" s="38"/>
      <c r="CB50" s="38"/>
      <c r="CC50" s="38"/>
      <c r="CD50" s="38"/>
      <c r="CE50" s="20"/>
      <c r="CF50" s="17"/>
      <c r="CG50" s="17"/>
      <c r="CH50" s="17"/>
      <c r="CI50" s="17"/>
      <c r="CJ50" s="17"/>
      <c r="CK50" s="17"/>
      <c r="CL50" s="17"/>
      <c r="CM50" s="37"/>
      <c r="CN50" s="38"/>
      <c r="CO50" s="38"/>
      <c r="CP50" s="38"/>
      <c r="CQ50" s="38"/>
      <c r="CR50" s="38"/>
      <c r="CS50" s="38"/>
      <c r="CT50" s="38"/>
    </row>
    <row r="51" ht="25.05" customHeight="1" spans="1:98">
      <c r="A51" s="18"/>
      <c r="B51" s="19" t="s">
        <v>245</v>
      </c>
      <c r="C51" s="27"/>
      <c r="D51" s="17" t="s">
        <v>239</v>
      </c>
      <c r="E51" s="17" t="s">
        <v>222</v>
      </c>
      <c r="F51" s="17" t="s">
        <v>222</v>
      </c>
      <c r="G51" s="17" t="s">
        <v>239</v>
      </c>
      <c r="H51" s="17"/>
      <c r="I51" s="17"/>
      <c r="J51" s="17"/>
      <c r="K51" s="37"/>
      <c r="L51" s="38"/>
      <c r="M51" s="38"/>
      <c r="N51" s="38"/>
      <c r="O51" s="38"/>
      <c r="P51" s="38"/>
      <c r="Q51" s="38"/>
      <c r="R51" s="38"/>
      <c r="S51" s="20"/>
      <c r="T51" s="17"/>
      <c r="U51" s="17"/>
      <c r="V51" s="17"/>
      <c r="W51" s="17"/>
      <c r="X51" s="17"/>
      <c r="Y51" s="17"/>
      <c r="Z51" s="17"/>
      <c r="AA51" s="37"/>
      <c r="AB51" s="38"/>
      <c r="AC51" s="38"/>
      <c r="AD51" s="38"/>
      <c r="AE51" s="38"/>
      <c r="AF51" s="38"/>
      <c r="AG51" s="38"/>
      <c r="AH51" s="38"/>
      <c r="AI51" s="20"/>
      <c r="AJ51" s="17"/>
      <c r="AK51" s="17"/>
      <c r="AL51" s="17"/>
      <c r="AM51" s="17"/>
      <c r="AN51" s="17"/>
      <c r="AO51" s="17"/>
      <c r="AP51" s="17"/>
      <c r="AQ51" s="37"/>
      <c r="AR51" s="38"/>
      <c r="AS51" s="38"/>
      <c r="AT51" s="38"/>
      <c r="AU51" s="38"/>
      <c r="AV51" s="38"/>
      <c r="AW51" s="38"/>
      <c r="AX51" s="38"/>
      <c r="AY51" s="20"/>
      <c r="AZ51" s="17"/>
      <c r="BA51" s="17"/>
      <c r="BB51" s="17"/>
      <c r="BC51" s="17"/>
      <c r="BD51" s="17"/>
      <c r="BE51" s="17"/>
      <c r="BF51" s="17"/>
      <c r="BG51" s="37"/>
      <c r="BH51" s="38"/>
      <c r="BI51" s="38"/>
      <c r="BJ51" s="38"/>
      <c r="BK51" s="38"/>
      <c r="BL51" s="38"/>
      <c r="BM51" s="38"/>
      <c r="BN51" s="38"/>
      <c r="BO51" s="20"/>
      <c r="BP51" s="17"/>
      <c r="BQ51" s="17"/>
      <c r="BR51" s="17"/>
      <c r="BS51" s="17"/>
      <c r="BT51" s="17"/>
      <c r="BU51" s="17"/>
      <c r="BV51" s="17"/>
      <c r="BW51" s="37"/>
      <c r="BX51" s="38"/>
      <c r="BY51" s="38"/>
      <c r="BZ51" s="38"/>
      <c r="CA51" s="38"/>
      <c r="CB51" s="38"/>
      <c r="CC51" s="38"/>
      <c r="CD51" s="38"/>
      <c r="CE51" s="20"/>
      <c r="CF51" s="17"/>
      <c r="CG51" s="17"/>
      <c r="CH51" s="17"/>
      <c r="CI51" s="17"/>
      <c r="CJ51" s="17"/>
      <c r="CK51" s="17"/>
      <c r="CL51" s="17"/>
      <c r="CM51" s="37"/>
      <c r="CN51" s="38"/>
      <c r="CO51" s="38"/>
      <c r="CP51" s="38"/>
      <c r="CQ51" s="38"/>
      <c r="CR51" s="38"/>
      <c r="CS51" s="38"/>
      <c r="CT51" s="38"/>
    </row>
    <row r="52" ht="25.05" customHeight="1" spans="1:98">
      <c r="A52" s="28"/>
      <c r="B52" s="29" t="s">
        <v>246</v>
      </c>
      <c r="C52" s="27"/>
      <c r="D52" s="17" t="s">
        <v>238</v>
      </c>
      <c r="E52" s="17" t="s">
        <v>222</v>
      </c>
      <c r="F52" s="17" t="s">
        <v>222</v>
      </c>
      <c r="G52" s="17" t="s">
        <v>238</v>
      </c>
      <c r="H52" s="30"/>
      <c r="I52" s="30"/>
      <c r="J52" s="30"/>
      <c r="K52" s="41"/>
      <c r="L52" s="42"/>
      <c r="M52" s="42"/>
      <c r="N52" s="42"/>
      <c r="O52" s="42"/>
      <c r="P52" s="42"/>
      <c r="Q52" s="42"/>
      <c r="R52" s="42"/>
      <c r="S52" s="43"/>
      <c r="T52" s="30"/>
      <c r="U52" s="30"/>
      <c r="V52" s="30"/>
      <c r="W52" s="30"/>
      <c r="X52" s="30"/>
      <c r="Y52" s="30"/>
      <c r="Z52" s="30"/>
      <c r="AA52" s="41"/>
      <c r="AB52" s="42"/>
      <c r="AC52" s="42"/>
      <c r="AD52" s="42"/>
      <c r="AE52" s="42"/>
      <c r="AF52" s="42"/>
      <c r="AG52" s="42"/>
      <c r="AH52" s="42"/>
      <c r="AI52" s="43"/>
      <c r="AJ52" s="30"/>
      <c r="AK52" s="30"/>
      <c r="AL52" s="30"/>
      <c r="AM52" s="30"/>
      <c r="AN52" s="30"/>
      <c r="AO52" s="30"/>
      <c r="AP52" s="30"/>
      <c r="AQ52" s="41"/>
      <c r="AR52" s="42"/>
      <c r="AS52" s="42"/>
      <c r="AT52" s="42"/>
      <c r="AU52" s="42"/>
      <c r="AV52" s="42"/>
      <c r="AW52" s="42"/>
      <c r="AX52" s="42"/>
      <c r="AY52" s="43"/>
      <c r="AZ52" s="30"/>
      <c r="BA52" s="30"/>
      <c r="BB52" s="30"/>
      <c r="BC52" s="30"/>
      <c r="BD52" s="30"/>
      <c r="BE52" s="30"/>
      <c r="BF52" s="30"/>
      <c r="BG52" s="41"/>
      <c r="BH52" s="42"/>
      <c r="BI52" s="42"/>
      <c r="BJ52" s="42"/>
      <c r="BK52" s="42"/>
      <c r="BL52" s="42"/>
      <c r="BM52" s="42"/>
      <c r="BN52" s="42"/>
      <c r="BO52" s="43"/>
      <c r="BP52" s="30"/>
      <c r="BQ52" s="30"/>
      <c r="BR52" s="30"/>
      <c r="BS52" s="30"/>
      <c r="BT52" s="30"/>
      <c r="BU52" s="30"/>
      <c r="BV52" s="30"/>
      <c r="BW52" s="41"/>
      <c r="BX52" s="42"/>
      <c r="BY52" s="42"/>
      <c r="BZ52" s="42"/>
      <c r="CA52" s="42"/>
      <c r="CB52" s="42"/>
      <c r="CC52" s="42"/>
      <c r="CD52" s="42"/>
      <c r="CE52" s="43"/>
      <c r="CF52" s="30"/>
      <c r="CG52" s="30"/>
      <c r="CH52" s="30"/>
      <c r="CI52" s="30"/>
      <c r="CJ52" s="30"/>
      <c r="CK52" s="30"/>
      <c r="CL52" s="30"/>
      <c r="CM52" s="41"/>
      <c r="CN52" s="42"/>
      <c r="CO52" s="42"/>
      <c r="CP52" s="42"/>
      <c r="CQ52" s="42"/>
      <c r="CR52" s="42"/>
      <c r="CS52" s="42"/>
      <c r="CT52" s="42"/>
    </row>
    <row r="53" ht="25.05" customHeight="1" spans="1:98">
      <c r="A53" s="28"/>
      <c r="B53" s="29" t="s">
        <v>247</v>
      </c>
      <c r="C53" s="27"/>
      <c r="D53" s="17" t="s">
        <v>238</v>
      </c>
      <c r="E53" s="17" t="s">
        <v>222</v>
      </c>
      <c r="F53" s="17" t="s">
        <v>222</v>
      </c>
      <c r="G53" s="17" t="s">
        <v>238</v>
      </c>
      <c r="H53" s="30"/>
      <c r="I53" s="30"/>
      <c r="J53" s="30"/>
      <c r="K53" s="41"/>
      <c r="L53" s="42"/>
      <c r="M53" s="42"/>
      <c r="N53" s="42"/>
      <c r="O53" s="42"/>
      <c r="P53" s="42"/>
      <c r="Q53" s="42"/>
      <c r="R53" s="42"/>
      <c r="S53" s="43"/>
      <c r="T53" s="30"/>
      <c r="U53" s="30"/>
      <c r="V53" s="30"/>
      <c r="W53" s="30"/>
      <c r="X53" s="30"/>
      <c r="Y53" s="30"/>
      <c r="Z53" s="30"/>
      <c r="AA53" s="41"/>
      <c r="AB53" s="42"/>
      <c r="AC53" s="42"/>
      <c r="AD53" s="42"/>
      <c r="AE53" s="42"/>
      <c r="AF53" s="42"/>
      <c r="AG53" s="42"/>
      <c r="AH53" s="42"/>
      <c r="AI53" s="43"/>
      <c r="AJ53" s="30"/>
      <c r="AK53" s="30"/>
      <c r="AL53" s="30"/>
      <c r="AM53" s="30"/>
      <c r="AN53" s="30"/>
      <c r="AO53" s="30"/>
      <c r="AP53" s="30"/>
      <c r="AQ53" s="41"/>
      <c r="AR53" s="42"/>
      <c r="AS53" s="42"/>
      <c r="AT53" s="42"/>
      <c r="AU53" s="42"/>
      <c r="AV53" s="42"/>
      <c r="AW53" s="42"/>
      <c r="AX53" s="42"/>
      <c r="AY53" s="43"/>
      <c r="AZ53" s="30"/>
      <c r="BA53" s="30"/>
      <c r="BB53" s="30"/>
      <c r="BC53" s="30"/>
      <c r="BD53" s="30"/>
      <c r="BE53" s="30"/>
      <c r="BF53" s="30"/>
      <c r="BG53" s="41"/>
      <c r="BH53" s="42"/>
      <c r="BI53" s="42"/>
      <c r="BJ53" s="42"/>
      <c r="BK53" s="42"/>
      <c r="BL53" s="42"/>
      <c r="BM53" s="42"/>
      <c r="BN53" s="42"/>
      <c r="BO53" s="43"/>
      <c r="BP53" s="30"/>
      <c r="BQ53" s="30"/>
      <c r="BR53" s="30"/>
      <c r="BS53" s="30"/>
      <c r="BT53" s="30"/>
      <c r="BU53" s="30"/>
      <c r="BV53" s="30"/>
      <c r="BW53" s="41"/>
      <c r="BX53" s="42"/>
      <c r="BY53" s="42"/>
      <c r="BZ53" s="42"/>
      <c r="CA53" s="42"/>
      <c r="CB53" s="42"/>
      <c r="CC53" s="42"/>
      <c r="CD53" s="42"/>
      <c r="CE53" s="43"/>
      <c r="CF53" s="30"/>
      <c r="CG53" s="30"/>
      <c r="CH53" s="30"/>
      <c r="CI53" s="30"/>
      <c r="CJ53" s="30"/>
      <c r="CK53" s="30"/>
      <c r="CL53" s="30"/>
      <c r="CM53" s="41"/>
      <c r="CN53" s="42"/>
      <c r="CO53" s="42"/>
      <c r="CP53" s="42"/>
      <c r="CQ53" s="42"/>
      <c r="CR53" s="42"/>
      <c r="CS53" s="42"/>
      <c r="CT53" s="42"/>
    </row>
    <row r="54" ht="25.05" customHeight="1" spans="1:98">
      <c r="A54" s="28"/>
      <c r="B54" s="29" t="s">
        <v>248</v>
      </c>
      <c r="C54" s="27"/>
      <c r="D54" s="17" t="s">
        <v>238</v>
      </c>
      <c r="E54" s="17" t="s">
        <v>222</v>
      </c>
      <c r="F54" s="17" t="s">
        <v>222</v>
      </c>
      <c r="G54" s="17" t="s">
        <v>238</v>
      </c>
      <c r="H54" s="30"/>
      <c r="I54" s="30"/>
      <c r="J54" s="30"/>
      <c r="K54" s="41"/>
      <c r="L54" s="42"/>
      <c r="M54" s="42"/>
      <c r="N54" s="42"/>
      <c r="O54" s="42"/>
      <c r="P54" s="42"/>
      <c r="Q54" s="42"/>
      <c r="R54" s="42"/>
      <c r="S54" s="43"/>
      <c r="T54" s="30"/>
      <c r="U54" s="30"/>
      <c r="V54" s="30"/>
      <c r="W54" s="30"/>
      <c r="X54" s="30"/>
      <c r="Y54" s="30"/>
      <c r="Z54" s="30"/>
      <c r="AA54" s="41"/>
      <c r="AB54" s="42"/>
      <c r="AC54" s="42"/>
      <c r="AD54" s="42"/>
      <c r="AE54" s="42"/>
      <c r="AF54" s="42"/>
      <c r="AG54" s="42"/>
      <c r="AH54" s="42"/>
      <c r="AI54" s="43"/>
      <c r="AJ54" s="30"/>
      <c r="AK54" s="30"/>
      <c r="AL54" s="30"/>
      <c r="AM54" s="30"/>
      <c r="AN54" s="30"/>
      <c r="AO54" s="30"/>
      <c r="AP54" s="30"/>
      <c r="AQ54" s="41"/>
      <c r="AR54" s="42"/>
      <c r="AS54" s="42"/>
      <c r="AT54" s="42"/>
      <c r="AU54" s="42"/>
      <c r="AV54" s="42"/>
      <c r="AW54" s="42"/>
      <c r="AX54" s="42"/>
      <c r="AY54" s="43"/>
      <c r="AZ54" s="30"/>
      <c r="BA54" s="30"/>
      <c r="BB54" s="30"/>
      <c r="BC54" s="30"/>
      <c r="BD54" s="30"/>
      <c r="BE54" s="30"/>
      <c r="BF54" s="30"/>
      <c r="BG54" s="41"/>
      <c r="BH54" s="42"/>
      <c r="BI54" s="42"/>
      <c r="BJ54" s="42"/>
      <c r="BK54" s="42"/>
      <c r="BL54" s="42"/>
      <c r="BM54" s="42"/>
      <c r="BN54" s="42"/>
      <c r="BO54" s="43"/>
      <c r="BP54" s="30"/>
      <c r="BQ54" s="30"/>
      <c r="BR54" s="30"/>
      <c r="BS54" s="30"/>
      <c r="BT54" s="30"/>
      <c r="BU54" s="30"/>
      <c r="BV54" s="30"/>
      <c r="BW54" s="41"/>
      <c r="BX54" s="42"/>
      <c r="BY54" s="42"/>
      <c r="BZ54" s="42"/>
      <c r="CA54" s="42"/>
      <c r="CB54" s="42"/>
      <c r="CC54" s="42"/>
      <c r="CD54" s="42"/>
      <c r="CE54" s="43"/>
      <c r="CF54" s="30"/>
      <c r="CG54" s="30"/>
      <c r="CH54" s="30"/>
      <c r="CI54" s="30"/>
      <c r="CJ54" s="30"/>
      <c r="CK54" s="30"/>
      <c r="CL54" s="30"/>
      <c r="CM54" s="41"/>
      <c r="CN54" s="42"/>
      <c r="CO54" s="42"/>
      <c r="CP54" s="42"/>
      <c r="CQ54" s="42"/>
      <c r="CR54" s="42"/>
      <c r="CS54" s="42"/>
      <c r="CT54" s="42"/>
    </row>
    <row r="55" ht="25.05" customHeight="1" spans="1:98">
      <c r="A55" s="28"/>
      <c r="B55" s="29" t="s">
        <v>249</v>
      </c>
      <c r="C55" s="27"/>
      <c r="D55" s="17" t="s">
        <v>239</v>
      </c>
      <c r="E55" s="17" t="s">
        <v>222</v>
      </c>
      <c r="F55" s="17" t="s">
        <v>222</v>
      </c>
      <c r="G55" s="17" t="s">
        <v>239</v>
      </c>
      <c r="H55" s="30"/>
      <c r="I55" s="30"/>
      <c r="J55" s="30"/>
      <c r="K55" s="41"/>
      <c r="L55" s="42"/>
      <c r="M55" s="42"/>
      <c r="N55" s="42"/>
      <c r="O55" s="42"/>
      <c r="P55" s="42"/>
      <c r="Q55" s="42"/>
      <c r="R55" s="42"/>
      <c r="S55" s="43"/>
      <c r="T55" s="30"/>
      <c r="U55" s="30"/>
      <c r="V55" s="30"/>
      <c r="W55" s="30"/>
      <c r="X55" s="30"/>
      <c r="Y55" s="30"/>
      <c r="Z55" s="30"/>
      <c r="AA55" s="41"/>
      <c r="AB55" s="42"/>
      <c r="AC55" s="42"/>
      <c r="AD55" s="42"/>
      <c r="AE55" s="42"/>
      <c r="AF55" s="42"/>
      <c r="AG55" s="42"/>
      <c r="AH55" s="42"/>
      <c r="AI55" s="43"/>
      <c r="AJ55" s="30"/>
      <c r="AK55" s="30"/>
      <c r="AL55" s="30"/>
      <c r="AM55" s="30"/>
      <c r="AN55" s="30"/>
      <c r="AO55" s="30"/>
      <c r="AP55" s="30"/>
      <c r="AQ55" s="41"/>
      <c r="AR55" s="42"/>
      <c r="AS55" s="42"/>
      <c r="AT55" s="42"/>
      <c r="AU55" s="42"/>
      <c r="AV55" s="42"/>
      <c r="AW55" s="42"/>
      <c r="AX55" s="42"/>
      <c r="AY55" s="43"/>
      <c r="AZ55" s="30"/>
      <c r="BA55" s="30"/>
      <c r="BB55" s="30"/>
      <c r="BC55" s="30"/>
      <c r="BD55" s="30"/>
      <c r="BE55" s="30"/>
      <c r="BF55" s="30"/>
      <c r="BG55" s="41"/>
      <c r="BH55" s="42"/>
      <c r="BI55" s="42"/>
      <c r="BJ55" s="42"/>
      <c r="BK55" s="42"/>
      <c r="BL55" s="42"/>
      <c r="BM55" s="42"/>
      <c r="BN55" s="42"/>
      <c r="BO55" s="43"/>
      <c r="BP55" s="30"/>
      <c r="BQ55" s="30"/>
      <c r="BR55" s="30"/>
      <c r="BS55" s="30"/>
      <c r="BT55" s="30"/>
      <c r="BU55" s="30"/>
      <c r="BV55" s="30"/>
      <c r="BW55" s="41"/>
      <c r="BX55" s="42"/>
      <c r="BY55" s="42"/>
      <c r="BZ55" s="42"/>
      <c r="CA55" s="42"/>
      <c r="CB55" s="42"/>
      <c r="CC55" s="42"/>
      <c r="CD55" s="42"/>
      <c r="CE55" s="43"/>
      <c r="CF55" s="30"/>
      <c r="CG55" s="30"/>
      <c r="CH55" s="30"/>
      <c r="CI55" s="30"/>
      <c r="CJ55" s="30"/>
      <c r="CK55" s="30"/>
      <c r="CL55" s="30"/>
      <c r="CM55" s="41"/>
      <c r="CN55" s="42"/>
      <c r="CO55" s="42"/>
      <c r="CP55" s="42"/>
      <c r="CQ55" s="42"/>
      <c r="CR55" s="42"/>
      <c r="CS55" s="42"/>
      <c r="CT55" s="42"/>
    </row>
    <row r="56" ht="25.05" customHeight="1" spans="1:98">
      <c r="A56" s="28"/>
      <c r="B56" s="29" t="s">
        <v>250</v>
      </c>
      <c r="C56" s="27"/>
      <c r="D56" s="17" t="s">
        <v>238</v>
      </c>
      <c r="E56" s="17" t="s">
        <v>222</v>
      </c>
      <c r="F56" s="17" t="s">
        <v>222</v>
      </c>
      <c r="G56" s="17" t="s">
        <v>238</v>
      </c>
      <c r="H56" s="30"/>
      <c r="I56" s="30"/>
      <c r="J56" s="30"/>
      <c r="K56" s="41"/>
      <c r="L56" s="42"/>
      <c r="M56" s="42"/>
      <c r="N56" s="42"/>
      <c r="O56" s="42"/>
      <c r="P56" s="42"/>
      <c r="Q56" s="42"/>
      <c r="R56" s="42"/>
      <c r="S56" s="43"/>
      <c r="T56" s="30"/>
      <c r="U56" s="30"/>
      <c r="V56" s="30"/>
      <c r="W56" s="30"/>
      <c r="X56" s="30"/>
      <c r="Y56" s="30"/>
      <c r="Z56" s="30"/>
      <c r="AA56" s="41"/>
      <c r="AB56" s="42"/>
      <c r="AC56" s="42"/>
      <c r="AD56" s="42"/>
      <c r="AE56" s="42"/>
      <c r="AF56" s="42"/>
      <c r="AG56" s="42"/>
      <c r="AH56" s="42"/>
      <c r="AI56" s="43"/>
      <c r="AJ56" s="30"/>
      <c r="AK56" s="30"/>
      <c r="AL56" s="30"/>
      <c r="AM56" s="30"/>
      <c r="AN56" s="30"/>
      <c r="AO56" s="30"/>
      <c r="AP56" s="30"/>
      <c r="AQ56" s="41"/>
      <c r="AR56" s="42"/>
      <c r="AS56" s="42"/>
      <c r="AT56" s="42"/>
      <c r="AU56" s="42"/>
      <c r="AV56" s="42"/>
      <c r="AW56" s="42"/>
      <c r="AX56" s="42"/>
      <c r="AY56" s="43"/>
      <c r="AZ56" s="30"/>
      <c r="BA56" s="30"/>
      <c r="BB56" s="30"/>
      <c r="BC56" s="30"/>
      <c r="BD56" s="30"/>
      <c r="BE56" s="30"/>
      <c r="BF56" s="30"/>
      <c r="BG56" s="41"/>
      <c r="BH56" s="42"/>
      <c r="BI56" s="42"/>
      <c r="BJ56" s="42"/>
      <c r="BK56" s="42"/>
      <c r="BL56" s="42"/>
      <c r="BM56" s="42"/>
      <c r="BN56" s="42"/>
      <c r="BO56" s="43"/>
      <c r="BP56" s="30"/>
      <c r="BQ56" s="30"/>
      <c r="BR56" s="30"/>
      <c r="BS56" s="30"/>
      <c r="BT56" s="30"/>
      <c r="BU56" s="30"/>
      <c r="BV56" s="30"/>
      <c r="BW56" s="41"/>
      <c r="BX56" s="42"/>
      <c r="BY56" s="42"/>
      <c r="BZ56" s="42"/>
      <c r="CA56" s="42"/>
      <c r="CB56" s="42"/>
      <c r="CC56" s="42"/>
      <c r="CD56" s="42"/>
      <c r="CE56" s="43"/>
      <c r="CF56" s="30"/>
      <c r="CG56" s="30"/>
      <c r="CH56" s="30"/>
      <c r="CI56" s="30"/>
      <c r="CJ56" s="30"/>
      <c r="CK56" s="30"/>
      <c r="CL56" s="30"/>
      <c r="CM56" s="41"/>
      <c r="CN56" s="42"/>
      <c r="CO56" s="42"/>
      <c r="CP56" s="42"/>
      <c r="CQ56" s="42"/>
      <c r="CR56" s="42"/>
      <c r="CS56" s="42"/>
      <c r="CT56" s="42"/>
    </row>
    <row r="57" ht="25.05" customHeight="1" spans="1:98">
      <c r="A57" s="28"/>
      <c r="B57" s="29" t="s">
        <v>251</v>
      </c>
      <c r="C57" s="27"/>
      <c r="D57" s="17" t="s">
        <v>238</v>
      </c>
      <c r="E57" s="17" t="s">
        <v>222</v>
      </c>
      <c r="F57" s="17" t="s">
        <v>222</v>
      </c>
      <c r="G57" s="17" t="s">
        <v>238</v>
      </c>
      <c r="H57" s="30"/>
      <c r="I57" s="30"/>
      <c r="J57" s="30"/>
      <c r="K57" s="41"/>
      <c r="L57" s="42"/>
      <c r="M57" s="42"/>
      <c r="N57" s="42"/>
      <c r="O57" s="42"/>
      <c r="P57" s="42"/>
      <c r="Q57" s="42"/>
      <c r="R57" s="42"/>
      <c r="S57" s="43"/>
      <c r="T57" s="30"/>
      <c r="U57" s="30"/>
      <c r="V57" s="30"/>
      <c r="W57" s="30"/>
      <c r="X57" s="30"/>
      <c r="Y57" s="30"/>
      <c r="Z57" s="30"/>
      <c r="AA57" s="41"/>
      <c r="AB57" s="42"/>
      <c r="AC57" s="42"/>
      <c r="AD57" s="42"/>
      <c r="AE57" s="42"/>
      <c r="AF57" s="42"/>
      <c r="AG57" s="42"/>
      <c r="AH57" s="42"/>
      <c r="AI57" s="43"/>
      <c r="AJ57" s="30"/>
      <c r="AK57" s="30"/>
      <c r="AL57" s="30"/>
      <c r="AM57" s="30"/>
      <c r="AN57" s="30"/>
      <c r="AO57" s="30"/>
      <c r="AP57" s="30"/>
      <c r="AQ57" s="41"/>
      <c r="AR57" s="42"/>
      <c r="AS57" s="42"/>
      <c r="AT57" s="42"/>
      <c r="AU57" s="42"/>
      <c r="AV57" s="42"/>
      <c r="AW57" s="42"/>
      <c r="AX57" s="42"/>
      <c r="AY57" s="43"/>
      <c r="AZ57" s="30"/>
      <c r="BA57" s="30"/>
      <c r="BB57" s="30"/>
      <c r="BC57" s="30"/>
      <c r="BD57" s="30"/>
      <c r="BE57" s="30"/>
      <c r="BF57" s="30"/>
      <c r="BG57" s="41"/>
      <c r="BH57" s="42"/>
      <c r="BI57" s="42"/>
      <c r="BJ57" s="42"/>
      <c r="BK57" s="42"/>
      <c r="BL57" s="42"/>
      <c r="BM57" s="42"/>
      <c r="BN57" s="42"/>
      <c r="BO57" s="43"/>
      <c r="BP57" s="30"/>
      <c r="BQ57" s="30"/>
      <c r="BR57" s="30"/>
      <c r="BS57" s="30"/>
      <c r="BT57" s="30"/>
      <c r="BU57" s="30"/>
      <c r="BV57" s="30"/>
      <c r="BW57" s="41"/>
      <c r="BX57" s="42"/>
      <c r="BY57" s="42"/>
      <c r="BZ57" s="42"/>
      <c r="CA57" s="42"/>
      <c r="CB57" s="42"/>
      <c r="CC57" s="42"/>
      <c r="CD57" s="42"/>
      <c r="CE57" s="43"/>
      <c r="CF57" s="30"/>
      <c r="CG57" s="30"/>
      <c r="CH57" s="30"/>
      <c r="CI57" s="30"/>
      <c r="CJ57" s="30"/>
      <c r="CK57" s="30"/>
      <c r="CL57" s="30"/>
      <c r="CM57" s="41"/>
      <c r="CN57" s="42"/>
      <c r="CO57" s="42"/>
      <c r="CP57" s="42"/>
      <c r="CQ57" s="42"/>
      <c r="CR57" s="42"/>
      <c r="CS57" s="42"/>
      <c r="CT57" s="42"/>
    </row>
    <row r="58" ht="25.05" customHeight="1" spans="1:98">
      <c r="A58" s="28"/>
      <c r="B58" s="29" t="s">
        <v>252</v>
      </c>
      <c r="C58" s="27"/>
      <c r="D58" s="17" t="s">
        <v>238</v>
      </c>
      <c r="E58" s="17" t="s">
        <v>222</v>
      </c>
      <c r="F58" s="17" t="s">
        <v>222</v>
      </c>
      <c r="G58" s="17" t="s">
        <v>238</v>
      </c>
      <c r="H58" s="30"/>
      <c r="I58" s="30"/>
      <c r="J58" s="30"/>
      <c r="K58" s="41"/>
      <c r="L58" s="42"/>
      <c r="M58" s="42"/>
      <c r="N58" s="42"/>
      <c r="O58" s="42"/>
      <c r="P58" s="42"/>
      <c r="Q58" s="42"/>
      <c r="R58" s="42"/>
      <c r="S58" s="43"/>
      <c r="T58" s="30"/>
      <c r="U58" s="30"/>
      <c r="V58" s="30"/>
      <c r="W58" s="30"/>
      <c r="X58" s="30"/>
      <c r="Y58" s="30"/>
      <c r="Z58" s="30"/>
      <c r="AA58" s="41"/>
      <c r="AB58" s="42"/>
      <c r="AC58" s="42"/>
      <c r="AD58" s="42"/>
      <c r="AE58" s="42"/>
      <c r="AF58" s="42"/>
      <c r="AG58" s="42"/>
      <c r="AH58" s="42"/>
      <c r="AI58" s="43"/>
      <c r="AJ58" s="30"/>
      <c r="AK58" s="30"/>
      <c r="AL58" s="30"/>
      <c r="AM58" s="30"/>
      <c r="AN58" s="30"/>
      <c r="AO58" s="30"/>
      <c r="AP58" s="30"/>
      <c r="AQ58" s="41"/>
      <c r="AR58" s="42"/>
      <c r="AS58" s="42"/>
      <c r="AT58" s="42"/>
      <c r="AU58" s="42"/>
      <c r="AV58" s="42"/>
      <c r="AW58" s="42"/>
      <c r="AX58" s="42"/>
      <c r="AY58" s="43"/>
      <c r="AZ58" s="30"/>
      <c r="BA58" s="30"/>
      <c r="BB58" s="30"/>
      <c r="BC58" s="30"/>
      <c r="BD58" s="30"/>
      <c r="BE58" s="30"/>
      <c r="BF58" s="30"/>
      <c r="BG58" s="41"/>
      <c r="BH58" s="42"/>
      <c r="BI58" s="42"/>
      <c r="BJ58" s="42"/>
      <c r="BK58" s="42"/>
      <c r="BL58" s="42"/>
      <c r="BM58" s="42"/>
      <c r="BN58" s="42"/>
      <c r="BO58" s="43"/>
      <c r="BP58" s="30"/>
      <c r="BQ58" s="30"/>
      <c r="BR58" s="30"/>
      <c r="BS58" s="30"/>
      <c r="BT58" s="30"/>
      <c r="BU58" s="30"/>
      <c r="BV58" s="30"/>
      <c r="BW58" s="41"/>
      <c r="BX58" s="42"/>
      <c r="BY58" s="42"/>
      <c r="BZ58" s="42"/>
      <c r="CA58" s="42"/>
      <c r="CB58" s="42"/>
      <c r="CC58" s="42"/>
      <c r="CD58" s="42"/>
      <c r="CE58" s="43"/>
      <c r="CF58" s="30"/>
      <c r="CG58" s="30"/>
      <c r="CH58" s="30"/>
      <c r="CI58" s="30"/>
      <c r="CJ58" s="30"/>
      <c r="CK58" s="30"/>
      <c r="CL58" s="30"/>
      <c r="CM58" s="41"/>
      <c r="CN58" s="42"/>
      <c r="CO58" s="42"/>
      <c r="CP58" s="42"/>
      <c r="CQ58" s="42"/>
      <c r="CR58" s="42"/>
      <c r="CS58" s="42"/>
      <c r="CT58" s="42"/>
    </row>
    <row r="59" ht="25.05" customHeight="1" spans="1:98">
      <c r="A59" s="28"/>
      <c r="B59" s="29" t="s">
        <v>253</v>
      </c>
      <c r="C59" s="27"/>
      <c r="D59" s="17" t="s">
        <v>238</v>
      </c>
      <c r="E59" s="17" t="s">
        <v>222</v>
      </c>
      <c r="F59" s="17" t="s">
        <v>222</v>
      </c>
      <c r="G59" s="17" t="s">
        <v>238</v>
      </c>
      <c r="H59" s="30"/>
      <c r="I59" s="30"/>
      <c r="J59" s="30"/>
      <c r="K59" s="41"/>
      <c r="L59" s="42"/>
      <c r="M59" s="42"/>
      <c r="N59" s="42"/>
      <c r="O59" s="42"/>
      <c r="P59" s="42"/>
      <c r="Q59" s="42"/>
      <c r="R59" s="42"/>
      <c r="S59" s="43"/>
      <c r="T59" s="30"/>
      <c r="U59" s="30"/>
      <c r="V59" s="30"/>
      <c r="W59" s="30"/>
      <c r="X59" s="30"/>
      <c r="Y59" s="30"/>
      <c r="Z59" s="30"/>
      <c r="AA59" s="41"/>
      <c r="AB59" s="42"/>
      <c r="AC59" s="42"/>
      <c r="AD59" s="42"/>
      <c r="AE59" s="42"/>
      <c r="AF59" s="42"/>
      <c r="AG59" s="42"/>
      <c r="AH59" s="42"/>
      <c r="AI59" s="43"/>
      <c r="AJ59" s="30"/>
      <c r="AK59" s="30"/>
      <c r="AL59" s="30"/>
      <c r="AM59" s="30"/>
      <c r="AN59" s="30"/>
      <c r="AO59" s="30"/>
      <c r="AP59" s="30"/>
      <c r="AQ59" s="41"/>
      <c r="AR59" s="42"/>
      <c r="AS59" s="42"/>
      <c r="AT59" s="42"/>
      <c r="AU59" s="42"/>
      <c r="AV59" s="42"/>
      <c r="AW59" s="42"/>
      <c r="AX59" s="42"/>
      <c r="AY59" s="43"/>
      <c r="AZ59" s="30"/>
      <c r="BA59" s="30"/>
      <c r="BB59" s="30"/>
      <c r="BC59" s="30"/>
      <c r="BD59" s="30"/>
      <c r="BE59" s="30"/>
      <c r="BF59" s="30"/>
      <c r="BG59" s="41"/>
      <c r="BH59" s="42"/>
      <c r="BI59" s="42"/>
      <c r="BJ59" s="42"/>
      <c r="BK59" s="42"/>
      <c r="BL59" s="42"/>
      <c r="BM59" s="42"/>
      <c r="BN59" s="42"/>
      <c r="BO59" s="43"/>
      <c r="BP59" s="30"/>
      <c r="BQ59" s="30"/>
      <c r="BR59" s="30"/>
      <c r="BS59" s="30"/>
      <c r="BT59" s="30"/>
      <c r="BU59" s="30"/>
      <c r="BV59" s="30"/>
      <c r="BW59" s="41"/>
      <c r="BX59" s="42"/>
      <c r="BY59" s="42"/>
      <c r="BZ59" s="42"/>
      <c r="CA59" s="42"/>
      <c r="CB59" s="42"/>
      <c r="CC59" s="42"/>
      <c r="CD59" s="42"/>
      <c r="CE59" s="43"/>
      <c r="CF59" s="30"/>
      <c r="CG59" s="30"/>
      <c r="CH59" s="30"/>
      <c r="CI59" s="30"/>
      <c r="CJ59" s="30"/>
      <c r="CK59" s="30"/>
      <c r="CL59" s="30"/>
      <c r="CM59" s="41"/>
      <c r="CN59" s="42"/>
      <c r="CO59" s="42"/>
      <c r="CP59" s="42"/>
      <c r="CQ59" s="42"/>
      <c r="CR59" s="42"/>
      <c r="CS59" s="42"/>
      <c r="CT59" s="42"/>
    </row>
    <row r="60" ht="25.05" customHeight="1" spans="1:98">
      <c r="A60" s="28"/>
      <c r="B60" s="29" t="s">
        <v>254</v>
      </c>
      <c r="C60" s="27"/>
      <c r="D60" s="17" t="s">
        <v>238</v>
      </c>
      <c r="E60" s="17" t="s">
        <v>222</v>
      </c>
      <c r="F60" s="17" t="s">
        <v>222</v>
      </c>
      <c r="G60" s="17" t="s">
        <v>238</v>
      </c>
      <c r="H60" s="30"/>
      <c r="I60" s="30"/>
      <c r="J60" s="30"/>
      <c r="K60" s="41"/>
      <c r="L60" s="42"/>
      <c r="M60" s="42"/>
      <c r="N60" s="42"/>
      <c r="O60" s="42"/>
      <c r="P60" s="42"/>
      <c r="Q60" s="42"/>
      <c r="R60" s="42"/>
      <c r="S60" s="43"/>
      <c r="T60" s="30"/>
      <c r="U60" s="30"/>
      <c r="V60" s="30"/>
      <c r="W60" s="30"/>
      <c r="X60" s="30"/>
      <c r="Y60" s="30"/>
      <c r="Z60" s="30"/>
      <c r="AA60" s="41"/>
      <c r="AB60" s="42"/>
      <c r="AC60" s="42"/>
      <c r="AD60" s="42"/>
      <c r="AE60" s="42"/>
      <c r="AF60" s="42"/>
      <c r="AG60" s="42"/>
      <c r="AH60" s="42"/>
      <c r="AI60" s="43"/>
      <c r="AJ60" s="30"/>
      <c r="AK60" s="30"/>
      <c r="AL60" s="30"/>
      <c r="AM60" s="30"/>
      <c r="AN60" s="30"/>
      <c r="AO60" s="30"/>
      <c r="AP60" s="30"/>
      <c r="AQ60" s="41"/>
      <c r="AR60" s="42"/>
      <c r="AS60" s="42"/>
      <c r="AT60" s="42"/>
      <c r="AU60" s="42"/>
      <c r="AV60" s="42"/>
      <c r="AW60" s="42"/>
      <c r="AX60" s="42"/>
      <c r="AY60" s="43"/>
      <c r="AZ60" s="30"/>
      <c r="BA60" s="30"/>
      <c r="BB60" s="30"/>
      <c r="BC60" s="30"/>
      <c r="BD60" s="30"/>
      <c r="BE60" s="30"/>
      <c r="BF60" s="30"/>
      <c r="BG60" s="41"/>
      <c r="BH60" s="42"/>
      <c r="BI60" s="42"/>
      <c r="BJ60" s="42"/>
      <c r="BK60" s="42"/>
      <c r="BL60" s="42"/>
      <c r="BM60" s="42"/>
      <c r="BN60" s="42"/>
      <c r="BO60" s="43"/>
      <c r="BP60" s="30"/>
      <c r="BQ60" s="30"/>
      <c r="BR60" s="30"/>
      <c r="BS60" s="30"/>
      <c r="BT60" s="30"/>
      <c r="BU60" s="30"/>
      <c r="BV60" s="30"/>
      <c r="BW60" s="41"/>
      <c r="BX60" s="42"/>
      <c r="BY60" s="42"/>
      <c r="BZ60" s="42"/>
      <c r="CA60" s="42"/>
      <c r="CB60" s="42"/>
      <c r="CC60" s="42"/>
      <c r="CD60" s="42"/>
      <c r="CE60" s="43"/>
      <c r="CF60" s="30"/>
      <c r="CG60" s="30"/>
      <c r="CH60" s="30"/>
      <c r="CI60" s="30"/>
      <c r="CJ60" s="30"/>
      <c r="CK60" s="30"/>
      <c r="CL60" s="30"/>
      <c r="CM60" s="41"/>
      <c r="CN60" s="42"/>
      <c r="CO60" s="42"/>
      <c r="CP60" s="42"/>
      <c r="CQ60" s="42"/>
      <c r="CR60" s="42"/>
      <c r="CS60" s="42"/>
      <c r="CT60" s="42"/>
    </row>
    <row r="61" ht="25.05" customHeight="1" spans="1:98">
      <c r="A61" s="28"/>
      <c r="B61" s="29" t="s">
        <v>255</v>
      </c>
      <c r="C61" s="27"/>
      <c r="D61" s="17" t="s">
        <v>238</v>
      </c>
      <c r="E61" s="17" t="s">
        <v>222</v>
      </c>
      <c r="F61" s="17" t="s">
        <v>222</v>
      </c>
      <c r="G61" s="17" t="s">
        <v>238</v>
      </c>
      <c r="H61" s="30"/>
      <c r="I61" s="30"/>
      <c r="J61" s="30"/>
      <c r="K61" s="41"/>
      <c r="L61" s="42"/>
      <c r="M61" s="42"/>
      <c r="N61" s="42"/>
      <c r="O61" s="42"/>
      <c r="P61" s="42"/>
      <c r="Q61" s="42"/>
      <c r="R61" s="42"/>
      <c r="S61" s="43"/>
      <c r="T61" s="30"/>
      <c r="U61" s="30"/>
      <c r="V61" s="30"/>
      <c r="W61" s="30"/>
      <c r="X61" s="30"/>
      <c r="Y61" s="30"/>
      <c r="Z61" s="30"/>
      <c r="AA61" s="41"/>
      <c r="AB61" s="42"/>
      <c r="AC61" s="42"/>
      <c r="AD61" s="42"/>
      <c r="AE61" s="42"/>
      <c r="AF61" s="42"/>
      <c r="AG61" s="42"/>
      <c r="AH61" s="42"/>
      <c r="AI61" s="43"/>
      <c r="AJ61" s="30"/>
      <c r="AK61" s="30"/>
      <c r="AL61" s="30"/>
      <c r="AM61" s="30"/>
      <c r="AN61" s="30"/>
      <c r="AO61" s="30"/>
      <c r="AP61" s="30"/>
      <c r="AQ61" s="41"/>
      <c r="AR61" s="42"/>
      <c r="AS61" s="42"/>
      <c r="AT61" s="42"/>
      <c r="AU61" s="42"/>
      <c r="AV61" s="42"/>
      <c r="AW61" s="42"/>
      <c r="AX61" s="42"/>
      <c r="AY61" s="43"/>
      <c r="AZ61" s="30"/>
      <c r="BA61" s="30"/>
      <c r="BB61" s="30"/>
      <c r="BC61" s="30"/>
      <c r="BD61" s="30"/>
      <c r="BE61" s="30"/>
      <c r="BF61" s="30"/>
      <c r="BG61" s="41"/>
      <c r="BH61" s="42"/>
      <c r="BI61" s="42"/>
      <c r="BJ61" s="42"/>
      <c r="BK61" s="42"/>
      <c r="BL61" s="42"/>
      <c r="BM61" s="42"/>
      <c r="BN61" s="42"/>
      <c r="BO61" s="43"/>
      <c r="BP61" s="30"/>
      <c r="BQ61" s="30"/>
      <c r="BR61" s="30"/>
      <c r="BS61" s="30"/>
      <c r="BT61" s="30"/>
      <c r="BU61" s="30"/>
      <c r="BV61" s="30"/>
      <c r="BW61" s="41"/>
      <c r="BX61" s="42"/>
      <c r="BY61" s="42"/>
      <c r="BZ61" s="42"/>
      <c r="CA61" s="42"/>
      <c r="CB61" s="42"/>
      <c r="CC61" s="42"/>
      <c r="CD61" s="42"/>
      <c r="CE61" s="43"/>
      <c r="CF61" s="30"/>
      <c r="CG61" s="30"/>
      <c r="CH61" s="30"/>
      <c r="CI61" s="30"/>
      <c r="CJ61" s="30"/>
      <c r="CK61" s="30"/>
      <c r="CL61" s="30"/>
      <c r="CM61" s="41"/>
      <c r="CN61" s="42"/>
      <c r="CO61" s="42"/>
      <c r="CP61" s="42"/>
      <c r="CQ61" s="42"/>
      <c r="CR61" s="42"/>
      <c r="CS61" s="42"/>
      <c r="CT61" s="42"/>
    </row>
    <row r="62" ht="25.05" customHeight="1" spans="1:98">
      <c r="A62" s="21"/>
      <c r="B62" s="22" t="s">
        <v>256</v>
      </c>
      <c r="C62" s="31"/>
      <c r="D62" s="17" t="s">
        <v>238</v>
      </c>
      <c r="E62" s="17" t="s">
        <v>222</v>
      </c>
      <c r="F62" s="17" t="s">
        <v>222</v>
      </c>
      <c r="G62" s="17" t="s">
        <v>238</v>
      </c>
      <c r="H62" s="24"/>
      <c r="I62" s="24"/>
      <c r="J62" s="24"/>
      <c r="K62" s="39"/>
      <c r="L62" s="40"/>
      <c r="M62" s="40"/>
      <c r="N62" s="40"/>
      <c r="O62" s="40"/>
      <c r="P62" s="40"/>
      <c r="Q62" s="40"/>
      <c r="R62" s="40"/>
      <c r="S62" s="23"/>
      <c r="T62" s="24"/>
      <c r="U62" s="24"/>
      <c r="V62" s="24"/>
      <c r="W62" s="24"/>
      <c r="X62" s="24"/>
      <c r="Y62" s="24"/>
      <c r="Z62" s="24"/>
      <c r="AA62" s="39"/>
      <c r="AB62" s="40"/>
      <c r="AC62" s="40"/>
      <c r="AD62" s="40"/>
      <c r="AE62" s="40"/>
      <c r="AF62" s="40"/>
      <c r="AG62" s="40"/>
      <c r="AH62" s="40"/>
      <c r="AI62" s="23"/>
      <c r="AJ62" s="24"/>
      <c r="AK62" s="24"/>
      <c r="AL62" s="24"/>
      <c r="AM62" s="24"/>
      <c r="AN62" s="24"/>
      <c r="AO62" s="24"/>
      <c r="AP62" s="24"/>
      <c r="AQ62" s="39"/>
      <c r="AR62" s="40"/>
      <c r="AS62" s="40"/>
      <c r="AT62" s="40"/>
      <c r="AU62" s="40"/>
      <c r="AV62" s="40"/>
      <c r="AW62" s="40"/>
      <c r="AX62" s="40"/>
      <c r="AY62" s="23"/>
      <c r="AZ62" s="24"/>
      <c r="BA62" s="24"/>
      <c r="BB62" s="24"/>
      <c r="BC62" s="24"/>
      <c r="BD62" s="24"/>
      <c r="BE62" s="24"/>
      <c r="BF62" s="24"/>
      <c r="BG62" s="39"/>
      <c r="BH62" s="40"/>
      <c r="BI62" s="40"/>
      <c r="BJ62" s="40"/>
      <c r="BK62" s="40"/>
      <c r="BL62" s="40"/>
      <c r="BM62" s="40"/>
      <c r="BN62" s="40"/>
      <c r="BO62" s="23"/>
      <c r="BP62" s="24"/>
      <c r="BQ62" s="24"/>
      <c r="BR62" s="24"/>
      <c r="BS62" s="24"/>
      <c r="BT62" s="24"/>
      <c r="BU62" s="24"/>
      <c r="BV62" s="24"/>
      <c r="BW62" s="39"/>
      <c r="BX62" s="40"/>
      <c r="BY62" s="40"/>
      <c r="BZ62" s="40"/>
      <c r="CA62" s="40"/>
      <c r="CB62" s="40"/>
      <c r="CC62" s="40"/>
      <c r="CD62" s="40"/>
      <c r="CE62" s="23"/>
      <c r="CF62" s="24"/>
      <c r="CG62" s="24"/>
      <c r="CH62" s="24"/>
      <c r="CI62" s="24"/>
      <c r="CJ62" s="24"/>
      <c r="CK62" s="24"/>
      <c r="CL62" s="24"/>
      <c r="CM62" s="39"/>
      <c r="CN62" s="40"/>
      <c r="CO62" s="40"/>
      <c r="CP62" s="40"/>
      <c r="CQ62" s="40"/>
      <c r="CR62" s="40"/>
      <c r="CS62" s="40"/>
      <c r="CT62" s="40"/>
    </row>
    <row r="63" ht="25.05" customHeight="1" spans="1:98">
      <c r="A63" s="14" t="s">
        <v>259</v>
      </c>
      <c r="B63" s="15" t="s">
        <v>260</v>
      </c>
      <c r="C63" s="16" t="s">
        <v>222</v>
      </c>
      <c r="D63" s="25" t="s">
        <v>222</v>
      </c>
      <c r="E63" s="25" t="s">
        <v>222</v>
      </c>
      <c r="F63" s="25" t="s">
        <v>222</v>
      </c>
      <c r="G63" s="25" t="s">
        <v>222</v>
      </c>
      <c r="H63" s="25" t="s">
        <v>222</v>
      </c>
      <c r="I63" s="25" t="s">
        <v>222</v>
      </c>
      <c r="J63" s="25" t="s">
        <v>222</v>
      </c>
      <c r="K63" s="35"/>
      <c r="L63" s="36"/>
      <c r="M63" s="36"/>
      <c r="N63" s="36"/>
      <c r="O63" s="36"/>
      <c r="P63" s="36"/>
      <c r="Q63" s="36"/>
      <c r="R63" s="36"/>
      <c r="S63" s="16"/>
      <c r="T63" s="25"/>
      <c r="U63" s="25"/>
      <c r="V63" s="25"/>
      <c r="W63" s="25"/>
      <c r="X63" s="25"/>
      <c r="Y63" s="25"/>
      <c r="Z63" s="25"/>
      <c r="AA63" s="35"/>
      <c r="AB63" s="36"/>
      <c r="AC63" s="36"/>
      <c r="AD63" s="36"/>
      <c r="AE63" s="36"/>
      <c r="AF63" s="36"/>
      <c r="AG63" s="36"/>
      <c r="AH63" s="36"/>
      <c r="AI63" s="16"/>
      <c r="AJ63" s="25"/>
      <c r="AK63" s="25"/>
      <c r="AL63" s="25"/>
      <c r="AM63" s="25"/>
      <c r="AN63" s="25"/>
      <c r="AO63" s="25"/>
      <c r="AP63" s="25"/>
      <c r="AQ63" s="35"/>
      <c r="AR63" s="36"/>
      <c r="AS63" s="36"/>
      <c r="AT63" s="36"/>
      <c r="AU63" s="36"/>
      <c r="AV63" s="36"/>
      <c r="AW63" s="36"/>
      <c r="AX63" s="36"/>
      <c r="AY63" s="16"/>
      <c r="AZ63" s="25"/>
      <c r="BA63" s="25"/>
      <c r="BB63" s="25"/>
      <c r="BC63" s="25"/>
      <c r="BD63" s="25"/>
      <c r="BE63" s="25"/>
      <c r="BF63" s="25"/>
      <c r="BG63" s="35"/>
      <c r="BH63" s="36"/>
      <c r="BI63" s="36"/>
      <c r="BJ63" s="36"/>
      <c r="BK63" s="36"/>
      <c r="BL63" s="36"/>
      <c r="BM63" s="36"/>
      <c r="BN63" s="36"/>
      <c r="BO63" s="16"/>
      <c r="BP63" s="25"/>
      <c r="BQ63" s="25"/>
      <c r="BR63" s="25"/>
      <c r="BS63" s="25"/>
      <c r="BT63" s="25"/>
      <c r="BU63" s="25"/>
      <c r="BV63" s="25"/>
      <c r="BW63" s="35"/>
      <c r="BX63" s="36"/>
      <c r="BY63" s="36"/>
      <c r="BZ63" s="36"/>
      <c r="CA63" s="36"/>
      <c r="CB63" s="36"/>
      <c r="CC63" s="36"/>
      <c r="CD63" s="36"/>
      <c r="CE63" s="16"/>
      <c r="CF63" s="25"/>
      <c r="CG63" s="25"/>
      <c r="CH63" s="25"/>
      <c r="CI63" s="25"/>
      <c r="CJ63" s="25"/>
      <c r="CK63" s="25"/>
      <c r="CL63" s="25"/>
      <c r="CM63" s="35"/>
      <c r="CN63" s="36"/>
      <c r="CO63" s="36"/>
      <c r="CP63" s="36"/>
      <c r="CQ63" s="36"/>
      <c r="CR63" s="36"/>
      <c r="CS63" s="36"/>
      <c r="CT63" s="36"/>
    </row>
    <row r="64" ht="25.05" customHeight="1" spans="1:98">
      <c r="A64" s="18"/>
      <c r="B64" s="19" t="s">
        <v>261</v>
      </c>
      <c r="C64" s="20" t="s">
        <v>222</v>
      </c>
      <c r="D64" s="17" t="s">
        <v>222</v>
      </c>
      <c r="E64" s="17" t="s">
        <v>222</v>
      </c>
      <c r="F64" s="17" t="s">
        <v>222</v>
      </c>
      <c r="G64" s="17" t="s">
        <v>222</v>
      </c>
      <c r="H64" s="17" t="s">
        <v>222</v>
      </c>
      <c r="I64" s="17" t="s">
        <v>222</v>
      </c>
      <c r="J64" s="17" t="s">
        <v>222</v>
      </c>
      <c r="K64" s="37"/>
      <c r="L64" s="38"/>
      <c r="M64" s="38"/>
      <c r="N64" s="38"/>
      <c r="O64" s="38"/>
      <c r="P64" s="38"/>
      <c r="Q64" s="38"/>
      <c r="R64" s="38"/>
      <c r="S64" s="20"/>
      <c r="T64" s="17"/>
      <c r="U64" s="17"/>
      <c r="V64" s="17"/>
      <c r="W64" s="17"/>
      <c r="X64" s="17"/>
      <c r="Y64" s="17"/>
      <c r="Z64" s="17"/>
      <c r="AA64" s="37"/>
      <c r="AB64" s="38"/>
      <c r="AC64" s="38"/>
      <c r="AD64" s="38"/>
      <c r="AE64" s="38"/>
      <c r="AF64" s="38"/>
      <c r="AG64" s="38"/>
      <c r="AH64" s="38"/>
      <c r="AI64" s="20"/>
      <c r="AJ64" s="17"/>
      <c r="AK64" s="17"/>
      <c r="AL64" s="17"/>
      <c r="AM64" s="17"/>
      <c r="AN64" s="17"/>
      <c r="AO64" s="17"/>
      <c r="AP64" s="17"/>
      <c r="AQ64" s="37"/>
      <c r="AR64" s="38"/>
      <c r="AS64" s="38"/>
      <c r="AT64" s="38"/>
      <c r="AU64" s="38"/>
      <c r="AV64" s="38"/>
      <c r="AW64" s="38"/>
      <c r="AX64" s="38"/>
      <c r="AY64" s="20"/>
      <c r="AZ64" s="17"/>
      <c r="BA64" s="17"/>
      <c r="BB64" s="17"/>
      <c r="BC64" s="17"/>
      <c r="BD64" s="17"/>
      <c r="BE64" s="17"/>
      <c r="BF64" s="17"/>
      <c r="BG64" s="37"/>
      <c r="BH64" s="38"/>
      <c r="BI64" s="38"/>
      <c r="BJ64" s="38"/>
      <c r="BK64" s="38"/>
      <c r="BL64" s="38"/>
      <c r="BM64" s="38"/>
      <c r="BN64" s="38"/>
      <c r="BO64" s="20"/>
      <c r="BP64" s="17"/>
      <c r="BQ64" s="17"/>
      <c r="BR64" s="17"/>
      <c r="BS64" s="17"/>
      <c r="BT64" s="17"/>
      <c r="BU64" s="17"/>
      <c r="BV64" s="17"/>
      <c r="BW64" s="37"/>
      <c r="BX64" s="38"/>
      <c r="BY64" s="38"/>
      <c r="BZ64" s="38"/>
      <c r="CA64" s="38"/>
      <c r="CB64" s="38"/>
      <c r="CC64" s="38"/>
      <c r="CD64" s="38"/>
      <c r="CE64" s="20"/>
      <c r="CF64" s="17"/>
      <c r="CG64" s="17"/>
      <c r="CH64" s="17"/>
      <c r="CI64" s="17"/>
      <c r="CJ64" s="17"/>
      <c r="CK64" s="17"/>
      <c r="CL64" s="17"/>
      <c r="CM64" s="37"/>
      <c r="CN64" s="38"/>
      <c r="CO64" s="38"/>
      <c r="CP64" s="38"/>
      <c r="CQ64" s="38"/>
      <c r="CR64" s="38"/>
      <c r="CS64" s="38"/>
      <c r="CT64" s="38"/>
    </row>
    <row r="65" ht="25.05" customHeight="1" spans="1:98">
      <c r="A65" s="18"/>
      <c r="B65" s="19" t="s">
        <v>262</v>
      </c>
      <c r="C65" s="20" t="s">
        <v>222</v>
      </c>
      <c r="D65" s="17" t="s">
        <v>222</v>
      </c>
      <c r="E65" s="17" t="s">
        <v>222</v>
      </c>
      <c r="F65" s="17" t="s">
        <v>222</v>
      </c>
      <c r="G65" s="17" t="s">
        <v>222</v>
      </c>
      <c r="H65" s="17" t="s">
        <v>222</v>
      </c>
      <c r="I65" s="17" t="s">
        <v>222</v>
      </c>
      <c r="J65" s="17" t="s">
        <v>222</v>
      </c>
      <c r="K65" s="37"/>
      <c r="L65" s="38"/>
      <c r="M65" s="38"/>
      <c r="N65" s="38"/>
      <c r="O65" s="38"/>
      <c r="P65" s="38"/>
      <c r="Q65" s="38"/>
      <c r="R65" s="38"/>
      <c r="S65" s="20"/>
      <c r="T65" s="17"/>
      <c r="U65" s="17"/>
      <c r="V65" s="17"/>
      <c r="W65" s="17"/>
      <c r="X65" s="17"/>
      <c r="Y65" s="17"/>
      <c r="Z65" s="17"/>
      <c r="AA65" s="37"/>
      <c r="AB65" s="38"/>
      <c r="AC65" s="38"/>
      <c r="AD65" s="38"/>
      <c r="AE65" s="38"/>
      <c r="AF65" s="38"/>
      <c r="AG65" s="38"/>
      <c r="AH65" s="38"/>
      <c r="AI65" s="20"/>
      <c r="AJ65" s="17"/>
      <c r="AK65" s="17"/>
      <c r="AL65" s="17"/>
      <c r="AM65" s="17"/>
      <c r="AN65" s="17"/>
      <c r="AO65" s="17"/>
      <c r="AP65" s="17"/>
      <c r="AQ65" s="37"/>
      <c r="AR65" s="38"/>
      <c r="AS65" s="38"/>
      <c r="AT65" s="38"/>
      <c r="AU65" s="38"/>
      <c r="AV65" s="38"/>
      <c r="AW65" s="38"/>
      <c r="AX65" s="38"/>
      <c r="AY65" s="20"/>
      <c r="AZ65" s="17"/>
      <c r="BA65" s="17"/>
      <c r="BB65" s="17"/>
      <c r="BC65" s="17"/>
      <c r="BD65" s="17"/>
      <c r="BE65" s="17"/>
      <c r="BF65" s="17"/>
      <c r="BG65" s="37"/>
      <c r="BH65" s="38"/>
      <c r="BI65" s="38"/>
      <c r="BJ65" s="38"/>
      <c r="BK65" s="38"/>
      <c r="BL65" s="38"/>
      <c r="BM65" s="38"/>
      <c r="BN65" s="38"/>
      <c r="BO65" s="20"/>
      <c r="BP65" s="17"/>
      <c r="BQ65" s="17"/>
      <c r="BR65" s="17"/>
      <c r="BS65" s="17"/>
      <c r="BT65" s="17"/>
      <c r="BU65" s="17"/>
      <c r="BV65" s="17"/>
      <c r="BW65" s="37"/>
      <c r="BX65" s="38"/>
      <c r="BY65" s="38"/>
      <c r="BZ65" s="38"/>
      <c r="CA65" s="38"/>
      <c r="CB65" s="38"/>
      <c r="CC65" s="38"/>
      <c r="CD65" s="38"/>
      <c r="CE65" s="20"/>
      <c r="CF65" s="17"/>
      <c r="CG65" s="17"/>
      <c r="CH65" s="17"/>
      <c r="CI65" s="17"/>
      <c r="CJ65" s="17"/>
      <c r="CK65" s="17"/>
      <c r="CL65" s="17"/>
      <c r="CM65" s="37"/>
      <c r="CN65" s="38"/>
      <c r="CO65" s="38"/>
      <c r="CP65" s="38"/>
      <c r="CQ65" s="38"/>
      <c r="CR65" s="38"/>
      <c r="CS65" s="38"/>
      <c r="CT65" s="38"/>
    </row>
    <row r="66" ht="25.05" customHeight="1" spans="1:98">
      <c r="A66" s="18"/>
      <c r="B66" s="19" t="s">
        <v>263</v>
      </c>
      <c r="C66" s="20" t="s">
        <v>264</v>
      </c>
      <c r="D66" s="17" t="s">
        <v>222</v>
      </c>
      <c r="E66" s="17" t="s">
        <v>265</v>
      </c>
      <c r="F66" s="17" t="s">
        <v>222</v>
      </c>
      <c r="G66" s="17" t="s">
        <v>222</v>
      </c>
      <c r="H66" s="17" t="s">
        <v>265</v>
      </c>
      <c r="I66" s="17" t="s">
        <v>222</v>
      </c>
      <c r="J66" s="17" t="s">
        <v>265</v>
      </c>
      <c r="K66" s="37"/>
      <c r="L66" s="38"/>
      <c r="M66" s="38"/>
      <c r="N66" s="38"/>
      <c r="O66" s="38"/>
      <c r="P66" s="38"/>
      <c r="Q66" s="38"/>
      <c r="R66" s="38"/>
      <c r="S66" s="20"/>
      <c r="T66" s="17"/>
      <c r="U66" s="17"/>
      <c r="V66" s="17"/>
      <c r="W66" s="17"/>
      <c r="X66" s="17"/>
      <c r="Y66" s="17"/>
      <c r="Z66" s="17"/>
      <c r="AA66" s="37"/>
      <c r="AB66" s="38"/>
      <c r="AC66" s="38"/>
      <c r="AD66" s="38"/>
      <c r="AE66" s="38"/>
      <c r="AF66" s="38"/>
      <c r="AG66" s="38"/>
      <c r="AH66" s="38"/>
      <c r="AI66" s="20"/>
      <c r="AJ66" s="17"/>
      <c r="AK66" s="17"/>
      <c r="AL66" s="17"/>
      <c r="AM66" s="17"/>
      <c r="AN66" s="17"/>
      <c r="AO66" s="17"/>
      <c r="AP66" s="17"/>
      <c r="AQ66" s="37"/>
      <c r="AR66" s="38"/>
      <c r="AS66" s="38"/>
      <c r="AT66" s="38"/>
      <c r="AU66" s="38"/>
      <c r="AV66" s="38"/>
      <c r="AW66" s="38"/>
      <c r="AX66" s="38"/>
      <c r="AY66" s="20"/>
      <c r="AZ66" s="17"/>
      <c r="BA66" s="17"/>
      <c r="BB66" s="17"/>
      <c r="BC66" s="17"/>
      <c r="BD66" s="17"/>
      <c r="BE66" s="17"/>
      <c r="BF66" s="17"/>
      <c r="BG66" s="37"/>
      <c r="BH66" s="38"/>
      <c r="BI66" s="38"/>
      <c r="BJ66" s="38"/>
      <c r="BK66" s="38"/>
      <c r="BL66" s="38"/>
      <c r="BM66" s="38"/>
      <c r="BN66" s="38"/>
      <c r="BO66" s="20"/>
      <c r="BP66" s="17"/>
      <c r="BQ66" s="17"/>
      <c r="BR66" s="17"/>
      <c r="BS66" s="17"/>
      <c r="BT66" s="17"/>
      <c r="BU66" s="17"/>
      <c r="BV66" s="17"/>
      <c r="BW66" s="37"/>
      <c r="BX66" s="38"/>
      <c r="BY66" s="38"/>
      <c r="BZ66" s="38"/>
      <c r="CA66" s="38"/>
      <c r="CB66" s="38"/>
      <c r="CC66" s="38"/>
      <c r="CD66" s="38"/>
      <c r="CE66" s="20"/>
      <c r="CF66" s="17"/>
      <c r="CG66" s="17"/>
      <c r="CH66" s="17"/>
      <c r="CI66" s="17"/>
      <c r="CJ66" s="17"/>
      <c r="CK66" s="17"/>
      <c r="CL66" s="17"/>
      <c r="CM66" s="37"/>
      <c r="CN66" s="38"/>
      <c r="CO66" s="38"/>
      <c r="CP66" s="38"/>
      <c r="CQ66" s="38"/>
      <c r="CR66" s="38"/>
      <c r="CS66" s="38"/>
      <c r="CT66" s="38"/>
    </row>
    <row r="67" ht="25.05" customHeight="1" spans="1:98">
      <c r="A67" s="18"/>
      <c r="B67" s="19"/>
      <c r="C67" s="20"/>
      <c r="D67" s="17"/>
      <c r="E67" s="17"/>
      <c r="F67" s="17"/>
      <c r="G67" s="17"/>
      <c r="H67" s="17"/>
      <c r="I67" s="17"/>
      <c r="J67" s="17"/>
      <c r="K67" s="37"/>
      <c r="L67" s="38"/>
      <c r="M67" s="38"/>
      <c r="N67" s="38"/>
      <c r="O67" s="38"/>
      <c r="P67" s="38"/>
      <c r="Q67" s="38"/>
      <c r="R67" s="38"/>
      <c r="S67" s="20"/>
      <c r="T67" s="17"/>
      <c r="U67" s="17"/>
      <c r="V67" s="17"/>
      <c r="W67" s="17"/>
      <c r="X67" s="17"/>
      <c r="Y67" s="17"/>
      <c r="Z67" s="17"/>
      <c r="AA67" s="37"/>
      <c r="AB67" s="38"/>
      <c r="AC67" s="38"/>
      <c r="AD67" s="38"/>
      <c r="AE67" s="38"/>
      <c r="AF67" s="38"/>
      <c r="AG67" s="38"/>
      <c r="AH67" s="38"/>
      <c r="AI67" s="20"/>
      <c r="AJ67" s="17"/>
      <c r="AK67" s="17"/>
      <c r="AL67" s="17"/>
      <c r="AM67" s="17"/>
      <c r="AN67" s="17"/>
      <c r="AO67" s="17"/>
      <c r="AP67" s="17"/>
      <c r="AQ67" s="37"/>
      <c r="AR67" s="38"/>
      <c r="AS67" s="38"/>
      <c r="AT67" s="38"/>
      <c r="AU67" s="38"/>
      <c r="AV67" s="38"/>
      <c r="AW67" s="38"/>
      <c r="AX67" s="38"/>
      <c r="AY67" s="20"/>
      <c r="AZ67" s="17"/>
      <c r="BA67" s="17"/>
      <c r="BB67" s="17"/>
      <c r="BC67" s="17"/>
      <c r="BD67" s="17"/>
      <c r="BE67" s="17"/>
      <c r="BF67" s="17"/>
      <c r="BG67" s="37"/>
      <c r="BH67" s="38"/>
      <c r="BI67" s="38"/>
      <c r="BJ67" s="38"/>
      <c r="BK67" s="38"/>
      <c r="BL67" s="38"/>
      <c r="BM67" s="38"/>
      <c r="BN67" s="38"/>
      <c r="BO67" s="20"/>
      <c r="BP67" s="17"/>
      <c r="BQ67" s="17"/>
      <c r="BR67" s="17"/>
      <c r="BS67" s="17"/>
      <c r="BT67" s="17"/>
      <c r="BU67" s="17"/>
      <c r="BV67" s="17"/>
      <c r="BW67" s="37"/>
      <c r="BX67" s="38"/>
      <c r="BY67" s="38"/>
      <c r="BZ67" s="38"/>
      <c r="CA67" s="38"/>
      <c r="CB67" s="38"/>
      <c r="CC67" s="38"/>
      <c r="CD67" s="38"/>
      <c r="CE67" s="20"/>
      <c r="CF67" s="17"/>
      <c r="CG67" s="17"/>
      <c r="CH67" s="17"/>
      <c r="CI67" s="17"/>
      <c r="CJ67" s="17"/>
      <c r="CK67" s="17"/>
      <c r="CL67" s="17"/>
      <c r="CM67" s="37"/>
      <c r="CN67" s="38"/>
      <c r="CO67" s="38"/>
      <c r="CP67" s="38"/>
      <c r="CQ67" s="38"/>
      <c r="CR67" s="38"/>
      <c r="CS67" s="38"/>
      <c r="CT67" s="38"/>
    </row>
    <row r="68" ht="25.05" customHeight="1" spans="1:98">
      <c r="A68" s="18"/>
      <c r="B68" s="19"/>
      <c r="C68" s="20"/>
      <c r="D68" s="17"/>
      <c r="E68" s="17"/>
      <c r="F68" s="17"/>
      <c r="G68" s="17"/>
      <c r="H68" s="17"/>
      <c r="I68" s="17"/>
      <c r="J68" s="17"/>
      <c r="K68" s="37"/>
      <c r="L68" s="38"/>
      <c r="M68" s="38"/>
      <c r="N68" s="38"/>
      <c r="O68" s="38"/>
      <c r="P68" s="38"/>
      <c r="Q68" s="38"/>
      <c r="R68" s="38"/>
      <c r="S68" s="20"/>
      <c r="T68" s="17"/>
      <c r="U68" s="17"/>
      <c r="V68" s="17"/>
      <c r="W68" s="17"/>
      <c r="X68" s="17"/>
      <c r="Y68" s="17"/>
      <c r="Z68" s="17"/>
      <c r="AA68" s="37"/>
      <c r="AB68" s="38"/>
      <c r="AC68" s="38"/>
      <c r="AD68" s="38"/>
      <c r="AE68" s="38"/>
      <c r="AF68" s="38"/>
      <c r="AG68" s="38"/>
      <c r="AH68" s="38"/>
      <c r="AI68" s="20"/>
      <c r="AJ68" s="17"/>
      <c r="AK68" s="17"/>
      <c r="AL68" s="17"/>
      <c r="AM68" s="17"/>
      <c r="AN68" s="17"/>
      <c r="AO68" s="17"/>
      <c r="AP68" s="17"/>
      <c r="AQ68" s="37"/>
      <c r="AR68" s="38"/>
      <c r="AS68" s="38"/>
      <c r="AT68" s="38"/>
      <c r="AU68" s="38"/>
      <c r="AV68" s="38"/>
      <c r="AW68" s="38"/>
      <c r="AX68" s="38"/>
      <c r="AY68" s="20"/>
      <c r="AZ68" s="17"/>
      <c r="BA68" s="17"/>
      <c r="BB68" s="17"/>
      <c r="BC68" s="17"/>
      <c r="BD68" s="17"/>
      <c r="BE68" s="17"/>
      <c r="BF68" s="17"/>
      <c r="BG68" s="37"/>
      <c r="BH68" s="38"/>
      <c r="BI68" s="38"/>
      <c r="BJ68" s="38"/>
      <c r="BK68" s="38"/>
      <c r="BL68" s="38"/>
      <c r="BM68" s="38"/>
      <c r="BN68" s="38"/>
      <c r="BO68" s="20"/>
      <c r="BP68" s="17"/>
      <c r="BQ68" s="17"/>
      <c r="BR68" s="17"/>
      <c r="BS68" s="17"/>
      <c r="BT68" s="17"/>
      <c r="BU68" s="17"/>
      <c r="BV68" s="17"/>
      <c r="BW68" s="37"/>
      <c r="BX68" s="38"/>
      <c r="BY68" s="38"/>
      <c r="BZ68" s="38"/>
      <c r="CA68" s="38"/>
      <c r="CB68" s="38"/>
      <c r="CC68" s="38"/>
      <c r="CD68" s="38"/>
      <c r="CE68" s="20"/>
      <c r="CF68" s="17"/>
      <c r="CG68" s="17"/>
      <c r="CH68" s="17"/>
      <c r="CI68" s="17"/>
      <c r="CJ68" s="17"/>
      <c r="CK68" s="17"/>
      <c r="CL68" s="17"/>
      <c r="CM68" s="37"/>
      <c r="CN68" s="38"/>
      <c r="CO68" s="38"/>
      <c r="CP68" s="38"/>
      <c r="CQ68" s="38"/>
      <c r="CR68" s="38"/>
      <c r="CS68" s="38"/>
      <c r="CT68" s="38"/>
    </row>
    <row r="69" ht="25.05" customHeight="1" spans="1:98">
      <c r="A69" s="18"/>
      <c r="B69" s="19"/>
      <c r="C69" s="20"/>
      <c r="D69" s="17"/>
      <c r="E69" s="17"/>
      <c r="F69" s="17"/>
      <c r="G69" s="17"/>
      <c r="H69" s="17"/>
      <c r="I69" s="17"/>
      <c r="J69" s="17"/>
      <c r="K69" s="37"/>
      <c r="L69" s="38"/>
      <c r="M69" s="38"/>
      <c r="N69" s="38"/>
      <c r="O69" s="38"/>
      <c r="P69" s="38"/>
      <c r="Q69" s="38"/>
      <c r="R69" s="38"/>
      <c r="S69" s="20"/>
      <c r="T69" s="17"/>
      <c r="U69" s="17"/>
      <c r="V69" s="17"/>
      <c r="W69" s="17"/>
      <c r="X69" s="17"/>
      <c r="Y69" s="17"/>
      <c r="Z69" s="17"/>
      <c r="AA69" s="37"/>
      <c r="AB69" s="38"/>
      <c r="AC69" s="38"/>
      <c r="AD69" s="38"/>
      <c r="AE69" s="38"/>
      <c r="AF69" s="38"/>
      <c r="AG69" s="38"/>
      <c r="AH69" s="38"/>
      <c r="AI69" s="20"/>
      <c r="AJ69" s="17"/>
      <c r="AK69" s="17"/>
      <c r="AL69" s="17"/>
      <c r="AM69" s="17"/>
      <c r="AN69" s="17"/>
      <c r="AO69" s="17"/>
      <c r="AP69" s="17"/>
      <c r="AQ69" s="37"/>
      <c r="AR69" s="38"/>
      <c r="AS69" s="38"/>
      <c r="AT69" s="38"/>
      <c r="AU69" s="38"/>
      <c r="AV69" s="38"/>
      <c r="AW69" s="38"/>
      <c r="AX69" s="38"/>
      <c r="AY69" s="20"/>
      <c r="AZ69" s="17"/>
      <c r="BA69" s="17"/>
      <c r="BB69" s="17"/>
      <c r="BC69" s="17"/>
      <c r="BD69" s="17"/>
      <c r="BE69" s="17"/>
      <c r="BF69" s="17"/>
      <c r="BG69" s="37"/>
      <c r="BH69" s="38"/>
      <c r="BI69" s="38"/>
      <c r="BJ69" s="38"/>
      <c r="BK69" s="38"/>
      <c r="BL69" s="38"/>
      <c r="BM69" s="38"/>
      <c r="BN69" s="38"/>
      <c r="BO69" s="20"/>
      <c r="BP69" s="17"/>
      <c r="BQ69" s="17"/>
      <c r="BR69" s="17"/>
      <c r="BS69" s="17"/>
      <c r="BT69" s="17"/>
      <c r="BU69" s="17"/>
      <c r="BV69" s="17"/>
      <c r="BW69" s="37"/>
      <c r="BX69" s="38"/>
      <c r="BY69" s="38"/>
      <c r="BZ69" s="38"/>
      <c r="CA69" s="38"/>
      <c r="CB69" s="38"/>
      <c r="CC69" s="38"/>
      <c r="CD69" s="38"/>
      <c r="CE69" s="20"/>
      <c r="CF69" s="17"/>
      <c r="CG69" s="17"/>
      <c r="CH69" s="17"/>
      <c r="CI69" s="17"/>
      <c r="CJ69" s="17"/>
      <c r="CK69" s="17"/>
      <c r="CL69" s="17"/>
      <c r="CM69" s="37"/>
      <c r="CN69" s="38"/>
      <c r="CO69" s="38"/>
      <c r="CP69" s="38"/>
      <c r="CQ69" s="38"/>
      <c r="CR69" s="38"/>
      <c r="CS69" s="38"/>
      <c r="CT69" s="38"/>
    </row>
    <row r="70" ht="25.05" customHeight="1" spans="1:98">
      <c r="A70" s="21"/>
      <c r="B70" s="22"/>
      <c r="C70" s="23"/>
      <c r="D70" s="24"/>
      <c r="E70" s="24"/>
      <c r="F70" s="24"/>
      <c r="G70" s="24"/>
      <c r="H70" s="24"/>
      <c r="I70" s="24"/>
      <c r="J70" s="24"/>
      <c r="K70" s="39"/>
      <c r="L70" s="40"/>
      <c r="M70" s="40"/>
      <c r="N70" s="40"/>
      <c r="O70" s="40"/>
      <c r="P70" s="40"/>
      <c r="Q70" s="40"/>
      <c r="R70" s="40"/>
      <c r="S70" s="23"/>
      <c r="T70" s="24"/>
      <c r="U70" s="24"/>
      <c r="V70" s="24"/>
      <c r="W70" s="24"/>
      <c r="X70" s="24"/>
      <c r="Y70" s="24"/>
      <c r="Z70" s="24"/>
      <c r="AA70" s="39"/>
      <c r="AB70" s="40"/>
      <c r="AC70" s="40"/>
      <c r="AD70" s="40"/>
      <c r="AE70" s="40"/>
      <c r="AF70" s="40"/>
      <c r="AG70" s="40"/>
      <c r="AH70" s="40"/>
      <c r="AI70" s="23"/>
      <c r="AJ70" s="24"/>
      <c r="AK70" s="24"/>
      <c r="AL70" s="24"/>
      <c r="AM70" s="24"/>
      <c r="AN70" s="24"/>
      <c r="AO70" s="24"/>
      <c r="AP70" s="24"/>
      <c r="AQ70" s="39"/>
      <c r="AR70" s="40"/>
      <c r="AS70" s="40"/>
      <c r="AT70" s="40"/>
      <c r="AU70" s="40"/>
      <c r="AV70" s="40"/>
      <c r="AW70" s="40"/>
      <c r="AX70" s="40"/>
      <c r="AY70" s="23"/>
      <c r="AZ70" s="24"/>
      <c r="BA70" s="24"/>
      <c r="BB70" s="24"/>
      <c r="BC70" s="24"/>
      <c r="BD70" s="24"/>
      <c r="BE70" s="24"/>
      <c r="BF70" s="24"/>
      <c r="BG70" s="39"/>
      <c r="BH70" s="40"/>
      <c r="BI70" s="40"/>
      <c r="BJ70" s="40"/>
      <c r="BK70" s="40"/>
      <c r="BL70" s="40"/>
      <c r="BM70" s="40"/>
      <c r="BN70" s="40"/>
      <c r="BO70" s="23"/>
      <c r="BP70" s="24"/>
      <c r="BQ70" s="24"/>
      <c r="BR70" s="24"/>
      <c r="BS70" s="24"/>
      <c r="BT70" s="24"/>
      <c r="BU70" s="24"/>
      <c r="BV70" s="24"/>
      <c r="BW70" s="39"/>
      <c r="BX70" s="40"/>
      <c r="BY70" s="40"/>
      <c r="BZ70" s="40"/>
      <c r="CA70" s="40"/>
      <c r="CB70" s="40"/>
      <c r="CC70" s="40"/>
      <c r="CD70" s="40"/>
      <c r="CE70" s="23"/>
      <c r="CF70" s="24"/>
      <c r="CG70" s="24"/>
      <c r="CH70" s="24"/>
      <c r="CI70" s="24"/>
      <c r="CJ70" s="24"/>
      <c r="CK70" s="24"/>
      <c r="CL70" s="24"/>
      <c r="CM70" s="39"/>
      <c r="CN70" s="40"/>
      <c r="CO70" s="40"/>
      <c r="CP70" s="40"/>
      <c r="CQ70" s="40"/>
      <c r="CR70" s="40"/>
      <c r="CS70" s="40"/>
      <c r="CT70" s="40"/>
    </row>
    <row r="71" ht="25.05" customHeight="1" spans="1:98">
      <c r="A71" s="14" t="s">
        <v>266</v>
      </c>
      <c r="B71" s="15" t="s">
        <v>267</v>
      </c>
      <c r="C71" s="16" t="s">
        <v>268</v>
      </c>
      <c r="D71" s="25" t="s">
        <v>222</v>
      </c>
      <c r="E71" s="25" t="s">
        <v>222</v>
      </c>
      <c r="F71" s="25" t="s">
        <v>222</v>
      </c>
      <c r="G71" s="44">
        <v>75</v>
      </c>
      <c r="H71" s="25" t="s">
        <v>222</v>
      </c>
      <c r="I71" s="25">
        <v>100</v>
      </c>
      <c r="J71" s="25">
        <v>98</v>
      </c>
      <c r="K71" s="35"/>
      <c r="L71" s="36"/>
      <c r="M71" s="36"/>
      <c r="N71" s="36"/>
      <c r="O71" s="36"/>
      <c r="P71" s="36"/>
      <c r="Q71" s="36"/>
      <c r="R71" s="36"/>
      <c r="S71" s="16"/>
      <c r="T71" s="25"/>
      <c r="U71" s="25"/>
      <c r="V71" s="25"/>
      <c r="W71" s="25"/>
      <c r="X71" s="25"/>
      <c r="Y71" s="25"/>
      <c r="Z71" s="25"/>
      <c r="AA71" s="35"/>
      <c r="AB71" s="36"/>
      <c r="AC71" s="36"/>
      <c r="AD71" s="36"/>
      <c r="AE71" s="36"/>
      <c r="AF71" s="36"/>
      <c r="AG71" s="36"/>
      <c r="AH71" s="36"/>
      <c r="AI71" s="16"/>
      <c r="AJ71" s="25"/>
      <c r="AK71" s="25"/>
      <c r="AL71" s="25"/>
      <c r="AM71" s="25"/>
      <c r="AN71" s="25"/>
      <c r="AO71" s="25"/>
      <c r="AP71" s="25"/>
      <c r="AQ71" s="35"/>
      <c r="AR71" s="36"/>
      <c r="AS71" s="36"/>
      <c r="AT71" s="36"/>
      <c r="AU71" s="36"/>
      <c r="AV71" s="36"/>
      <c r="AW71" s="36"/>
      <c r="AX71" s="36"/>
      <c r="AY71" s="16"/>
      <c r="AZ71" s="25"/>
      <c r="BA71" s="25"/>
      <c r="BB71" s="25"/>
      <c r="BC71" s="25"/>
      <c r="BD71" s="25"/>
      <c r="BE71" s="25"/>
      <c r="BF71" s="25"/>
      <c r="BG71" s="35"/>
      <c r="BH71" s="36"/>
      <c r="BI71" s="36"/>
      <c r="BJ71" s="36"/>
      <c r="BK71" s="36"/>
      <c r="BL71" s="36"/>
      <c r="BM71" s="36"/>
      <c r="BN71" s="36"/>
      <c r="BO71" s="16"/>
      <c r="BP71" s="25"/>
      <c r="BQ71" s="25"/>
      <c r="BR71" s="25"/>
      <c r="BS71" s="25"/>
      <c r="BT71" s="25"/>
      <c r="BU71" s="25"/>
      <c r="BV71" s="25"/>
      <c r="BW71" s="35"/>
      <c r="BX71" s="36"/>
      <c r="BY71" s="36"/>
      <c r="BZ71" s="36"/>
      <c r="CA71" s="36"/>
      <c r="CB71" s="36"/>
      <c r="CC71" s="36"/>
      <c r="CD71" s="36"/>
      <c r="CE71" s="16"/>
      <c r="CF71" s="25"/>
      <c r="CG71" s="25"/>
      <c r="CH71" s="25"/>
      <c r="CI71" s="25"/>
      <c r="CJ71" s="25"/>
      <c r="CK71" s="25"/>
      <c r="CL71" s="25"/>
      <c r="CM71" s="35"/>
      <c r="CN71" s="36"/>
      <c r="CO71" s="36"/>
      <c r="CP71" s="36"/>
      <c r="CQ71" s="36"/>
      <c r="CR71" s="36"/>
      <c r="CS71" s="36"/>
      <c r="CT71" s="36"/>
    </row>
    <row r="72" ht="25.05" customHeight="1" spans="1:98">
      <c r="A72" s="18"/>
      <c r="B72" s="19" t="s">
        <v>269</v>
      </c>
      <c r="C72" s="20" t="s">
        <v>270</v>
      </c>
      <c r="D72" s="17">
        <v>13</v>
      </c>
      <c r="E72" s="17" t="s">
        <v>222</v>
      </c>
      <c r="F72" s="17" t="s">
        <v>222</v>
      </c>
      <c r="G72" s="17">
        <v>3</v>
      </c>
      <c r="H72" s="17">
        <v>30</v>
      </c>
      <c r="I72" s="17">
        <v>15</v>
      </c>
      <c r="J72" s="17">
        <v>5</v>
      </c>
      <c r="K72" s="37"/>
      <c r="L72" s="38"/>
      <c r="M72" s="38"/>
      <c r="N72" s="38"/>
      <c r="O72" s="38"/>
      <c r="P72" s="38"/>
      <c r="Q72" s="38"/>
      <c r="R72" s="38"/>
      <c r="S72" s="20"/>
      <c r="T72" s="17"/>
      <c r="U72" s="17"/>
      <c r="V72" s="17"/>
      <c r="W72" s="17"/>
      <c r="X72" s="17"/>
      <c r="Y72" s="17"/>
      <c r="Z72" s="17"/>
      <c r="AA72" s="37"/>
      <c r="AB72" s="38"/>
      <c r="AC72" s="38"/>
      <c r="AD72" s="38"/>
      <c r="AE72" s="38"/>
      <c r="AF72" s="38"/>
      <c r="AG72" s="38"/>
      <c r="AH72" s="38"/>
      <c r="AI72" s="20"/>
      <c r="AJ72" s="17"/>
      <c r="AK72" s="17"/>
      <c r="AL72" s="17"/>
      <c r="AM72" s="17"/>
      <c r="AN72" s="17"/>
      <c r="AO72" s="17"/>
      <c r="AP72" s="17"/>
      <c r="AQ72" s="37"/>
      <c r="AR72" s="38"/>
      <c r="AS72" s="38"/>
      <c r="AT72" s="38"/>
      <c r="AU72" s="38"/>
      <c r="AV72" s="38"/>
      <c r="AW72" s="38"/>
      <c r="AX72" s="38"/>
      <c r="AY72" s="20"/>
      <c r="AZ72" s="17"/>
      <c r="BA72" s="17"/>
      <c r="BB72" s="17"/>
      <c r="BC72" s="17"/>
      <c r="BD72" s="17"/>
      <c r="BE72" s="17"/>
      <c r="BF72" s="17"/>
      <c r="BG72" s="37"/>
      <c r="BH72" s="38"/>
      <c r="BI72" s="38"/>
      <c r="BJ72" s="38"/>
      <c r="BK72" s="38"/>
      <c r="BL72" s="38"/>
      <c r="BM72" s="38"/>
      <c r="BN72" s="38"/>
      <c r="BO72" s="20"/>
      <c r="BP72" s="17"/>
      <c r="BQ72" s="17"/>
      <c r="BR72" s="17"/>
      <c r="BS72" s="17"/>
      <c r="BT72" s="17"/>
      <c r="BU72" s="17"/>
      <c r="BV72" s="17"/>
      <c r="BW72" s="37"/>
      <c r="BX72" s="38"/>
      <c r="BY72" s="38"/>
      <c r="BZ72" s="38"/>
      <c r="CA72" s="38"/>
      <c r="CB72" s="38"/>
      <c r="CC72" s="38"/>
      <c r="CD72" s="38"/>
      <c r="CE72" s="20"/>
      <c r="CF72" s="17"/>
      <c r="CG72" s="17"/>
      <c r="CH72" s="17"/>
      <c r="CI72" s="17"/>
      <c r="CJ72" s="17"/>
      <c r="CK72" s="17"/>
      <c r="CL72" s="17"/>
      <c r="CM72" s="37"/>
      <c r="CN72" s="38"/>
      <c r="CO72" s="38"/>
      <c r="CP72" s="38"/>
      <c r="CQ72" s="38"/>
      <c r="CR72" s="38"/>
      <c r="CS72" s="38"/>
      <c r="CT72" s="38"/>
    </row>
    <row r="73" ht="25.05" customHeight="1" spans="1:98">
      <c r="A73" s="18"/>
      <c r="B73" s="19" t="s">
        <v>271</v>
      </c>
      <c r="C73" s="20"/>
      <c r="D73" s="17" t="s">
        <v>222</v>
      </c>
      <c r="E73" s="17" t="s">
        <v>222</v>
      </c>
      <c r="F73" s="17" t="s">
        <v>222</v>
      </c>
      <c r="G73" s="17" t="s">
        <v>222</v>
      </c>
      <c r="H73" s="17"/>
      <c r="I73" s="17"/>
      <c r="J73" s="17"/>
      <c r="K73" s="37"/>
      <c r="L73" s="38"/>
      <c r="M73" s="38"/>
      <c r="N73" s="38"/>
      <c r="O73" s="38"/>
      <c r="P73" s="38"/>
      <c r="Q73" s="38"/>
      <c r="R73" s="38"/>
      <c r="S73" s="20"/>
      <c r="T73" s="17"/>
      <c r="U73" s="17"/>
      <c r="V73" s="17"/>
      <c r="W73" s="17"/>
      <c r="X73" s="17"/>
      <c r="Y73" s="17"/>
      <c r="Z73" s="17"/>
      <c r="AA73" s="37"/>
      <c r="AB73" s="38"/>
      <c r="AC73" s="38"/>
      <c r="AD73" s="38"/>
      <c r="AE73" s="38"/>
      <c r="AF73" s="38"/>
      <c r="AG73" s="38"/>
      <c r="AH73" s="38"/>
      <c r="AI73" s="20"/>
      <c r="AJ73" s="17"/>
      <c r="AK73" s="17"/>
      <c r="AL73" s="17"/>
      <c r="AM73" s="17"/>
      <c r="AN73" s="17"/>
      <c r="AO73" s="17"/>
      <c r="AP73" s="17"/>
      <c r="AQ73" s="37"/>
      <c r="AR73" s="38"/>
      <c r="AS73" s="38"/>
      <c r="AT73" s="38"/>
      <c r="AU73" s="38"/>
      <c r="AV73" s="38"/>
      <c r="AW73" s="38"/>
      <c r="AX73" s="38"/>
      <c r="AY73" s="20"/>
      <c r="AZ73" s="17"/>
      <c r="BA73" s="17"/>
      <c r="BB73" s="17"/>
      <c r="BC73" s="17"/>
      <c r="BD73" s="17"/>
      <c r="BE73" s="17"/>
      <c r="BF73" s="17"/>
      <c r="BG73" s="37"/>
      <c r="BH73" s="38"/>
      <c r="BI73" s="38"/>
      <c r="BJ73" s="38"/>
      <c r="BK73" s="38"/>
      <c r="BL73" s="38"/>
      <c r="BM73" s="38"/>
      <c r="BN73" s="38"/>
      <c r="BO73" s="20"/>
      <c r="BP73" s="17"/>
      <c r="BQ73" s="17"/>
      <c r="BR73" s="17"/>
      <c r="BS73" s="17"/>
      <c r="BT73" s="17"/>
      <c r="BU73" s="17"/>
      <c r="BV73" s="17"/>
      <c r="BW73" s="37"/>
      <c r="BX73" s="38"/>
      <c r="BY73" s="38"/>
      <c r="BZ73" s="38"/>
      <c r="CA73" s="38"/>
      <c r="CB73" s="38"/>
      <c r="CC73" s="38"/>
      <c r="CD73" s="38"/>
      <c r="CE73" s="20"/>
      <c r="CF73" s="17"/>
      <c r="CG73" s="17"/>
      <c r="CH73" s="17"/>
      <c r="CI73" s="17"/>
      <c r="CJ73" s="17"/>
      <c r="CK73" s="17"/>
      <c r="CL73" s="17"/>
      <c r="CM73" s="37"/>
      <c r="CN73" s="38"/>
      <c r="CO73" s="38"/>
      <c r="CP73" s="38"/>
      <c r="CQ73" s="38"/>
      <c r="CR73" s="38"/>
      <c r="CS73" s="38"/>
      <c r="CT73" s="38"/>
    </row>
    <row r="74" ht="25.05" customHeight="1" spans="1:98">
      <c r="A74" s="18"/>
      <c r="B74" s="19" t="s">
        <v>272</v>
      </c>
      <c r="C74" s="20"/>
      <c r="D74" s="17" t="s">
        <v>222</v>
      </c>
      <c r="E74" s="17" t="s">
        <v>222</v>
      </c>
      <c r="F74" s="17" t="s">
        <v>222</v>
      </c>
      <c r="G74" s="17" t="s">
        <v>222</v>
      </c>
      <c r="H74" s="17"/>
      <c r="I74" s="17"/>
      <c r="J74" s="17"/>
      <c r="K74" s="37"/>
      <c r="L74" s="38"/>
      <c r="M74" s="38"/>
      <c r="N74" s="38"/>
      <c r="O74" s="38"/>
      <c r="P74" s="38"/>
      <c r="Q74" s="38"/>
      <c r="R74" s="38"/>
      <c r="S74" s="20"/>
      <c r="T74" s="17"/>
      <c r="U74" s="17"/>
      <c r="V74" s="17"/>
      <c r="W74" s="17"/>
      <c r="X74" s="17"/>
      <c r="Y74" s="17"/>
      <c r="Z74" s="17"/>
      <c r="AA74" s="37"/>
      <c r="AB74" s="38"/>
      <c r="AC74" s="38"/>
      <c r="AD74" s="38"/>
      <c r="AE74" s="38"/>
      <c r="AF74" s="38"/>
      <c r="AG74" s="38"/>
      <c r="AH74" s="38"/>
      <c r="AI74" s="20"/>
      <c r="AJ74" s="17"/>
      <c r="AK74" s="17"/>
      <c r="AL74" s="17"/>
      <c r="AM74" s="17"/>
      <c r="AN74" s="17"/>
      <c r="AO74" s="17"/>
      <c r="AP74" s="17"/>
      <c r="AQ74" s="37"/>
      <c r="AR74" s="38"/>
      <c r="AS74" s="38"/>
      <c r="AT74" s="38"/>
      <c r="AU74" s="38"/>
      <c r="AV74" s="38"/>
      <c r="AW74" s="38"/>
      <c r="AX74" s="38"/>
      <c r="AY74" s="20"/>
      <c r="AZ74" s="17"/>
      <c r="BA74" s="17"/>
      <c r="BB74" s="17"/>
      <c r="BC74" s="17"/>
      <c r="BD74" s="17"/>
      <c r="BE74" s="17"/>
      <c r="BF74" s="17"/>
      <c r="BG74" s="37"/>
      <c r="BH74" s="38"/>
      <c r="BI74" s="38"/>
      <c r="BJ74" s="38"/>
      <c r="BK74" s="38"/>
      <c r="BL74" s="38"/>
      <c r="BM74" s="38"/>
      <c r="BN74" s="38"/>
      <c r="BO74" s="20"/>
      <c r="BP74" s="17"/>
      <c r="BQ74" s="17"/>
      <c r="BR74" s="17"/>
      <c r="BS74" s="17"/>
      <c r="BT74" s="17"/>
      <c r="BU74" s="17"/>
      <c r="BV74" s="17"/>
      <c r="BW74" s="37"/>
      <c r="BX74" s="38"/>
      <c r="BY74" s="38"/>
      <c r="BZ74" s="38"/>
      <c r="CA74" s="38"/>
      <c r="CB74" s="38"/>
      <c r="CC74" s="38"/>
      <c r="CD74" s="38"/>
      <c r="CE74" s="20"/>
      <c r="CF74" s="17"/>
      <c r="CG74" s="17"/>
      <c r="CH74" s="17"/>
      <c r="CI74" s="17"/>
      <c r="CJ74" s="17"/>
      <c r="CK74" s="17"/>
      <c r="CL74" s="17"/>
      <c r="CM74" s="37"/>
      <c r="CN74" s="38"/>
      <c r="CO74" s="38"/>
      <c r="CP74" s="38"/>
      <c r="CQ74" s="38"/>
      <c r="CR74" s="38"/>
      <c r="CS74" s="38"/>
      <c r="CT74" s="38"/>
    </row>
    <row r="75" ht="25.05" customHeight="1" spans="1:98">
      <c r="A75" s="18"/>
      <c r="B75" s="19" t="s">
        <v>273</v>
      </c>
      <c r="C75" s="20"/>
      <c r="D75" s="17" t="s">
        <v>222</v>
      </c>
      <c r="E75" s="17" t="s">
        <v>222</v>
      </c>
      <c r="F75" s="17" t="s">
        <v>222</v>
      </c>
      <c r="G75" s="17" t="s">
        <v>222</v>
      </c>
      <c r="H75" s="17"/>
      <c r="I75" s="17"/>
      <c r="J75" s="17"/>
      <c r="K75" s="37"/>
      <c r="L75" s="38"/>
      <c r="M75" s="38"/>
      <c r="N75" s="38"/>
      <c r="O75" s="38"/>
      <c r="P75" s="38"/>
      <c r="Q75" s="38"/>
      <c r="R75" s="38"/>
      <c r="S75" s="20"/>
      <c r="T75" s="17"/>
      <c r="U75" s="17"/>
      <c r="V75" s="17"/>
      <c r="W75" s="17"/>
      <c r="X75" s="17"/>
      <c r="Y75" s="17"/>
      <c r="Z75" s="17"/>
      <c r="AA75" s="37"/>
      <c r="AB75" s="38"/>
      <c r="AC75" s="38"/>
      <c r="AD75" s="38"/>
      <c r="AE75" s="38"/>
      <c r="AF75" s="38"/>
      <c r="AG75" s="38"/>
      <c r="AH75" s="38"/>
      <c r="AI75" s="20"/>
      <c r="AJ75" s="17"/>
      <c r="AK75" s="17"/>
      <c r="AL75" s="17"/>
      <c r="AM75" s="17"/>
      <c r="AN75" s="17"/>
      <c r="AO75" s="17"/>
      <c r="AP75" s="17"/>
      <c r="AQ75" s="37"/>
      <c r="AR75" s="38"/>
      <c r="AS75" s="38"/>
      <c r="AT75" s="38"/>
      <c r="AU75" s="38"/>
      <c r="AV75" s="38"/>
      <c r="AW75" s="38"/>
      <c r="AX75" s="38"/>
      <c r="AY75" s="20"/>
      <c r="AZ75" s="17"/>
      <c r="BA75" s="17"/>
      <c r="BB75" s="17"/>
      <c r="BC75" s="17"/>
      <c r="BD75" s="17"/>
      <c r="BE75" s="17"/>
      <c r="BF75" s="17"/>
      <c r="BG75" s="37"/>
      <c r="BH75" s="38"/>
      <c r="BI75" s="38"/>
      <c r="BJ75" s="38"/>
      <c r="BK75" s="38"/>
      <c r="BL75" s="38"/>
      <c r="BM75" s="38"/>
      <c r="BN75" s="38"/>
      <c r="BO75" s="20"/>
      <c r="BP75" s="17"/>
      <c r="BQ75" s="17"/>
      <c r="BR75" s="17"/>
      <c r="BS75" s="17"/>
      <c r="BT75" s="17"/>
      <c r="BU75" s="17"/>
      <c r="BV75" s="17"/>
      <c r="BW75" s="37"/>
      <c r="BX75" s="38"/>
      <c r="BY75" s="38"/>
      <c r="BZ75" s="38"/>
      <c r="CA75" s="38"/>
      <c r="CB75" s="38"/>
      <c r="CC75" s="38"/>
      <c r="CD75" s="38"/>
      <c r="CE75" s="20"/>
      <c r="CF75" s="17"/>
      <c r="CG75" s="17"/>
      <c r="CH75" s="17"/>
      <c r="CI75" s="17"/>
      <c r="CJ75" s="17"/>
      <c r="CK75" s="17"/>
      <c r="CL75" s="17"/>
      <c r="CM75" s="37"/>
      <c r="CN75" s="38"/>
      <c r="CO75" s="38"/>
      <c r="CP75" s="38"/>
      <c r="CQ75" s="38"/>
      <c r="CR75" s="38"/>
      <c r="CS75" s="38"/>
      <c r="CT75" s="38"/>
    </row>
    <row r="76" ht="25.05" customHeight="1" spans="1:98">
      <c r="A76" s="18"/>
      <c r="B76" s="19"/>
      <c r="C76" s="20"/>
      <c r="D76" s="17"/>
      <c r="E76" s="17"/>
      <c r="F76" s="17"/>
      <c r="G76" s="17"/>
      <c r="H76" s="17"/>
      <c r="I76" s="17"/>
      <c r="J76" s="17"/>
      <c r="K76" s="37"/>
      <c r="L76" s="38"/>
      <c r="M76" s="38"/>
      <c r="N76" s="38"/>
      <c r="O76" s="38"/>
      <c r="P76" s="38"/>
      <c r="Q76" s="38"/>
      <c r="R76" s="38"/>
      <c r="S76" s="20"/>
      <c r="T76" s="17"/>
      <c r="U76" s="17"/>
      <c r="V76" s="17"/>
      <c r="W76" s="17"/>
      <c r="X76" s="17"/>
      <c r="Y76" s="17"/>
      <c r="Z76" s="17"/>
      <c r="AA76" s="37"/>
      <c r="AB76" s="38"/>
      <c r="AC76" s="38"/>
      <c r="AD76" s="38"/>
      <c r="AE76" s="38"/>
      <c r="AF76" s="38"/>
      <c r="AG76" s="38"/>
      <c r="AH76" s="38"/>
      <c r="AI76" s="20"/>
      <c r="AJ76" s="17"/>
      <c r="AK76" s="17"/>
      <c r="AL76" s="17"/>
      <c r="AM76" s="17"/>
      <c r="AN76" s="17"/>
      <c r="AO76" s="17"/>
      <c r="AP76" s="17"/>
      <c r="AQ76" s="37"/>
      <c r="AR76" s="38"/>
      <c r="AS76" s="38"/>
      <c r="AT76" s="38"/>
      <c r="AU76" s="38"/>
      <c r="AV76" s="38"/>
      <c r="AW76" s="38"/>
      <c r="AX76" s="38"/>
      <c r="AY76" s="20"/>
      <c r="AZ76" s="17"/>
      <c r="BA76" s="17"/>
      <c r="BB76" s="17"/>
      <c r="BC76" s="17"/>
      <c r="BD76" s="17"/>
      <c r="BE76" s="17"/>
      <c r="BF76" s="17"/>
      <c r="BG76" s="37"/>
      <c r="BH76" s="38"/>
      <c r="BI76" s="38"/>
      <c r="BJ76" s="38"/>
      <c r="BK76" s="38"/>
      <c r="BL76" s="38"/>
      <c r="BM76" s="38"/>
      <c r="BN76" s="38"/>
      <c r="BO76" s="20"/>
      <c r="BP76" s="17"/>
      <c r="BQ76" s="17"/>
      <c r="BR76" s="17"/>
      <c r="BS76" s="17"/>
      <c r="BT76" s="17"/>
      <c r="BU76" s="17"/>
      <c r="BV76" s="17"/>
      <c r="BW76" s="37"/>
      <c r="BX76" s="38"/>
      <c r="BY76" s="38"/>
      <c r="BZ76" s="38"/>
      <c r="CA76" s="38"/>
      <c r="CB76" s="38"/>
      <c r="CC76" s="38"/>
      <c r="CD76" s="38"/>
      <c r="CE76" s="20"/>
      <c r="CF76" s="17"/>
      <c r="CG76" s="17"/>
      <c r="CH76" s="17"/>
      <c r="CI76" s="17"/>
      <c r="CJ76" s="17"/>
      <c r="CK76" s="17"/>
      <c r="CL76" s="17"/>
      <c r="CM76" s="37"/>
      <c r="CN76" s="38"/>
      <c r="CO76" s="38"/>
      <c r="CP76" s="38"/>
      <c r="CQ76" s="38"/>
      <c r="CR76" s="38"/>
      <c r="CS76" s="38"/>
      <c r="CT76" s="38"/>
    </row>
    <row r="77" ht="25.05" customHeight="1" spans="1:98">
      <c r="A77" s="18"/>
      <c r="B77" s="19"/>
      <c r="C77" s="20"/>
      <c r="D77" s="17"/>
      <c r="E77" s="17"/>
      <c r="F77" s="17"/>
      <c r="G77" s="17"/>
      <c r="H77" s="17"/>
      <c r="I77" s="17"/>
      <c r="J77" s="17"/>
      <c r="K77" s="37"/>
      <c r="L77" s="38"/>
      <c r="M77" s="38"/>
      <c r="N77" s="38"/>
      <c r="O77" s="38"/>
      <c r="P77" s="38"/>
      <c r="Q77" s="38"/>
      <c r="R77" s="38"/>
      <c r="S77" s="20"/>
      <c r="T77" s="17"/>
      <c r="U77" s="17"/>
      <c r="V77" s="17"/>
      <c r="W77" s="17"/>
      <c r="X77" s="17"/>
      <c r="Y77" s="17"/>
      <c r="Z77" s="17"/>
      <c r="AA77" s="37"/>
      <c r="AB77" s="38"/>
      <c r="AC77" s="38"/>
      <c r="AD77" s="38"/>
      <c r="AE77" s="38"/>
      <c r="AF77" s="38"/>
      <c r="AG77" s="38"/>
      <c r="AH77" s="38"/>
      <c r="AI77" s="20"/>
      <c r="AJ77" s="17"/>
      <c r="AK77" s="17"/>
      <c r="AL77" s="17"/>
      <c r="AM77" s="17"/>
      <c r="AN77" s="17"/>
      <c r="AO77" s="17"/>
      <c r="AP77" s="17"/>
      <c r="AQ77" s="37"/>
      <c r="AR77" s="38"/>
      <c r="AS77" s="38"/>
      <c r="AT77" s="38"/>
      <c r="AU77" s="38"/>
      <c r="AV77" s="38"/>
      <c r="AW77" s="38"/>
      <c r="AX77" s="38"/>
      <c r="AY77" s="20"/>
      <c r="AZ77" s="17"/>
      <c r="BA77" s="17"/>
      <c r="BB77" s="17"/>
      <c r="BC77" s="17"/>
      <c r="BD77" s="17"/>
      <c r="BE77" s="17"/>
      <c r="BF77" s="17"/>
      <c r="BG77" s="37"/>
      <c r="BH77" s="38"/>
      <c r="BI77" s="38"/>
      <c r="BJ77" s="38"/>
      <c r="BK77" s="38"/>
      <c r="BL77" s="38"/>
      <c r="BM77" s="38"/>
      <c r="BN77" s="38"/>
      <c r="BO77" s="20"/>
      <c r="BP77" s="17"/>
      <c r="BQ77" s="17"/>
      <c r="BR77" s="17"/>
      <c r="BS77" s="17"/>
      <c r="BT77" s="17"/>
      <c r="BU77" s="17"/>
      <c r="BV77" s="17"/>
      <c r="BW77" s="37"/>
      <c r="BX77" s="38"/>
      <c r="BY77" s="38"/>
      <c r="BZ77" s="38"/>
      <c r="CA77" s="38"/>
      <c r="CB77" s="38"/>
      <c r="CC77" s="38"/>
      <c r="CD77" s="38"/>
      <c r="CE77" s="20"/>
      <c r="CF77" s="17"/>
      <c r="CG77" s="17"/>
      <c r="CH77" s="17"/>
      <c r="CI77" s="17"/>
      <c r="CJ77" s="17"/>
      <c r="CK77" s="17"/>
      <c r="CL77" s="17"/>
      <c r="CM77" s="37"/>
      <c r="CN77" s="38"/>
      <c r="CO77" s="38"/>
      <c r="CP77" s="38"/>
      <c r="CQ77" s="38"/>
      <c r="CR77" s="38"/>
      <c r="CS77" s="38"/>
      <c r="CT77" s="38"/>
    </row>
    <row r="78" ht="25.05" customHeight="1" spans="1:98">
      <c r="A78" s="21"/>
      <c r="B78" s="22"/>
      <c r="C78" s="23"/>
      <c r="D78" s="24"/>
      <c r="E78" s="24"/>
      <c r="F78" s="24"/>
      <c r="G78" s="24"/>
      <c r="H78" s="24"/>
      <c r="I78" s="24"/>
      <c r="J78" s="24"/>
      <c r="K78" s="39"/>
      <c r="L78" s="40"/>
      <c r="M78" s="40"/>
      <c r="N78" s="40"/>
      <c r="O78" s="40"/>
      <c r="P78" s="40"/>
      <c r="Q78" s="40"/>
      <c r="R78" s="40"/>
      <c r="S78" s="23"/>
      <c r="T78" s="24"/>
      <c r="U78" s="24"/>
      <c r="V78" s="24"/>
      <c r="W78" s="24"/>
      <c r="X78" s="24"/>
      <c r="Y78" s="24"/>
      <c r="Z78" s="24"/>
      <c r="AA78" s="39"/>
      <c r="AB78" s="40"/>
      <c r="AC78" s="40"/>
      <c r="AD78" s="40"/>
      <c r="AE78" s="40"/>
      <c r="AF78" s="40"/>
      <c r="AG78" s="40"/>
      <c r="AH78" s="40"/>
      <c r="AI78" s="23"/>
      <c r="AJ78" s="24"/>
      <c r="AK78" s="24"/>
      <c r="AL78" s="24"/>
      <c r="AM78" s="24"/>
      <c r="AN78" s="24"/>
      <c r="AO78" s="24"/>
      <c r="AP78" s="24"/>
      <c r="AQ78" s="39"/>
      <c r="AR78" s="40"/>
      <c r="AS78" s="40"/>
      <c r="AT78" s="40"/>
      <c r="AU78" s="40"/>
      <c r="AV78" s="40"/>
      <c r="AW78" s="40"/>
      <c r="AX78" s="40"/>
      <c r="AY78" s="23"/>
      <c r="AZ78" s="24"/>
      <c r="BA78" s="24"/>
      <c r="BB78" s="24"/>
      <c r="BC78" s="24"/>
      <c r="BD78" s="24"/>
      <c r="BE78" s="24"/>
      <c r="BF78" s="24"/>
      <c r="BG78" s="39"/>
      <c r="BH78" s="40"/>
      <c r="BI78" s="40"/>
      <c r="BJ78" s="40"/>
      <c r="BK78" s="40"/>
      <c r="BL78" s="40"/>
      <c r="BM78" s="40"/>
      <c r="BN78" s="40"/>
      <c r="BO78" s="23"/>
      <c r="BP78" s="24"/>
      <c r="BQ78" s="24"/>
      <c r="BR78" s="24"/>
      <c r="BS78" s="24"/>
      <c r="BT78" s="24"/>
      <c r="BU78" s="24"/>
      <c r="BV78" s="24"/>
      <c r="BW78" s="39"/>
      <c r="BX78" s="40"/>
      <c r="BY78" s="40"/>
      <c r="BZ78" s="40"/>
      <c r="CA78" s="40"/>
      <c r="CB78" s="40"/>
      <c r="CC78" s="40"/>
      <c r="CD78" s="40"/>
      <c r="CE78" s="23"/>
      <c r="CF78" s="24"/>
      <c r="CG78" s="24"/>
      <c r="CH78" s="24"/>
      <c r="CI78" s="24"/>
      <c r="CJ78" s="24"/>
      <c r="CK78" s="24"/>
      <c r="CL78" s="24"/>
      <c r="CM78" s="39"/>
      <c r="CN78" s="40"/>
      <c r="CO78" s="40"/>
      <c r="CP78" s="40"/>
      <c r="CQ78" s="40"/>
      <c r="CR78" s="40"/>
      <c r="CS78" s="40"/>
      <c r="CT78" s="40"/>
    </row>
    <row r="79" ht="25.05" customHeight="1" spans="1:98">
      <c r="A79" s="14" t="s">
        <v>274</v>
      </c>
      <c r="B79" s="15" t="s">
        <v>275</v>
      </c>
      <c r="C79" s="16"/>
      <c r="D79" s="25"/>
      <c r="E79" s="25"/>
      <c r="F79" s="25"/>
      <c r="G79" s="25"/>
      <c r="H79" s="25"/>
      <c r="I79" s="25"/>
      <c r="J79" s="25"/>
      <c r="K79" s="35"/>
      <c r="L79" s="36"/>
      <c r="M79" s="36"/>
      <c r="N79" s="36"/>
      <c r="O79" s="36"/>
      <c r="P79" s="36"/>
      <c r="Q79" s="36"/>
      <c r="R79" s="36"/>
      <c r="S79" s="16"/>
      <c r="T79" s="25"/>
      <c r="U79" s="25"/>
      <c r="V79" s="25"/>
      <c r="W79" s="25"/>
      <c r="X79" s="25"/>
      <c r="Y79" s="25"/>
      <c r="Z79" s="25"/>
      <c r="AA79" s="35"/>
      <c r="AB79" s="36"/>
      <c r="AC79" s="36"/>
      <c r="AD79" s="36"/>
      <c r="AE79" s="36"/>
      <c r="AF79" s="36"/>
      <c r="AG79" s="36"/>
      <c r="AH79" s="36"/>
      <c r="AI79" s="16"/>
      <c r="AJ79" s="25"/>
      <c r="AK79" s="25"/>
      <c r="AL79" s="25"/>
      <c r="AM79" s="25"/>
      <c r="AN79" s="25"/>
      <c r="AO79" s="25"/>
      <c r="AP79" s="25"/>
      <c r="AQ79" s="35"/>
      <c r="AR79" s="36"/>
      <c r="AS79" s="36"/>
      <c r="AT79" s="36"/>
      <c r="AU79" s="36"/>
      <c r="AV79" s="36"/>
      <c r="AW79" s="36"/>
      <c r="AX79" s="36"/>
      <c r="AY79" s="16"/>
      <c r="AZ79" s="25"/>
      <c r="BA79" s="25"/>
      <c r="BB79" s="25"/>
      <c r="BC79" s="25"/>
      <c r="BD79" s="25"/>
      <c r="BE79" s="25"/>
      <c r="BF79" s="25"/>
      <c r="BG79" s="35"/>
      <c r="BH79" s="36"/>
      <c r="BI79" s="36"/>
      <c r="BJ79" s="36"/>
      <c r="BK79" s="36"/>
      <c r="BL79" s="36"/>
      <c r="BM79" s="36"/>
      <c r="BN79" s="36"/>
      <c r="BO79" s="16"/>
      <c r="BP79" s="25"/>
      <c r="BQ79" s="25"/>
      <c r="BR79" s="25"/>
      <c r="BS79" s="25"/>
      <c r="BT79" s="25"/>
      <c r="BU79" s="25"/>
      <c r="BV79" s="25"/>
      <c r="BW79" s="35"/>
      <c r="BX79" s="36"/>
      <c r="BY79" s="36"/>
      <c r="BZ79" s="36"/>
      <c r="CA79" s="36"/>
      <c r="CB79" s="36"/>
      <c r="CC79" s="36"/>
      <c r="CD79" s="36"/>
      <c r="CE79" s="16"/>
      <c r="CF79" s="25"/>
      <c r="CG79" s="25"/>
      <c r="CH79" s="25"/>
      <c r="CI79" s="25"/>
      <c r="CJ79" s="25"/>
      <c r="CK79" s="25"/>
      <c r="CL79" s="25"/>
      <c r="CM79" s="35"/>
      <c r="CN79" s="36"/>
      <c r="CO79" s="36"/>
      <c r="CP79" s="36"/>
      <c r="CQ79" s="36"/>
      <c r="CR79" s="36"/>
      <c r="CS79" s="36"/>
      <c r="CT79" s="36"/>
    </row>
    <row r="80" ht="25.05" customHeight="1" spans="1:98">
      <c r="A80" s="18"/>
      <c r="B80" s="19" t="s">
        <v>276</v>
      </c>
      <c r="C80" s="20"/>
      <c r="D80" s="17"/>
      <c r="E80" s="17"/>
      <c r="F80" s="17"/>
      <c r="G80" s="17"/>
      <c r="H80" s="17"/>
      <c r="I80" s="17"/>
      <c r="J80" s="17"/>
      <c r="K80" s="37"/>
      <c r="L80" s="38"/>
      <c r="M80" s="38"/>
      <c r="N80" s="38"/>
      <c r="O80" s="38"/>
      <c r="P80" s="38"/>
      <c r="Q80" s="38"/>
      <c r="R80" s="38"/>
      <c r="S80" s="20"/>
      <c r="T80" s="17"/>
      <c r="U80" s="17"/>
      <c r="V80" s="17"/>
      <c r="W80" s="17"/>
      <c r="X80" s="17"/>
      <c r="Y80" s="17"/>
      <c r="Z80" s="17"/>
      <c r="AA80" s="37"/>
      <c r="AB80" s="38"/>
      <c r="AC80" s="38"/>
      <c r="AD80" s="38"/>
      <c r="AE80" s="38"/>
      <c r="AF80" s="38"/>
      <c r="AG80" s="38"/>
      <c r="AH80" s="38"/>
      <c r="AI80" s="20"/>
      <c r="AJ80" s="17"/>
      <c r="AK80" s="17"/>
      <c r="AL80" s="17"/>
      <c r="AM80" s="17"/>
      <c r="AN80" s="17"/>
      <c r="AO80" s="17"/>
      <c r="AP80" s="17"/>
      <c r="AQ80" s="37"/>
      <c r="AR80" s="38"/>
      <c r="AS80" s="38"/>
      <c r="AT80" s="38"/>
      <c r="AU80" s="38"/>
      <c r="AV80" s="38"/>
      <c r="AW80" s="38"/>
      <c r="AX80" s="38"/>
      <c r="AY80" s="20"/>
      <c r="AZ80" s="17"/>
      <c r="BA80" s="17"/>
      <c r="BB80" s="17"/>
      <c r="BC80" s="17"/>
      <c r="BD80" s="17"/>
      <c r="BE80" s="17"/>
      <c r="BF80" s="17"/>
      <c r="BG80" s="37"/>
      <c r="BH80" s="38"/>
      <c r="BI80" s="38"/>
      <c r="BJ80" s="38"/>
      <c r="BK80" s="38"/>
      <c r="BL80" s="38"/>
      <c r="BM80" s="38"/>
      <c r="BN80" s="38"/>
      <c r="BO80" s="20"/>
      <c r="BP80" s="17"/>
      <c r="BQ80" s="17"/>
      <c r="BR80" s="17"/>
      <c r="BS80" s="17"/>
      <c r="BT80" s="17"/>
      <c r="BU80" s="17"/>
      <c r="BV80" s="17"/>
      <c r="BW80" s="37"/>
      <c r="BX80" s="38"/>
      <c r="BY80" s="38"/>
      <c r="BZ80" s="38"/>
      <c r="CA80" s="38"/>
      <c r="CB80" s="38"/>
      <c r="CC80" s="38"/>
      <c r="CD80" s="38"/>
      <c r="CE80" s="20"/>
      <c r="CF80" s="17"/>
      <c r="CG80" s="17"/>
      <c r="CH80" s="17"/>
      <c r="CI80" s="17"/>
      <c r="CJ80" s="17"/>
      <c r="CK80" s="17"/>
      <c r="CL80" s="17"/>
      <c r="CM80" s="37"/>
      <c r="CN80" s="38"/>
      <c r="CO80" s="38"/>
      <c r="CP80" s="38"/>
      <c r="CQ80" s="38"/>
      <c r="CR80" s="38"/>
      <c r="CS80" s="38"/>
      <c r="CT80" s="38"/>
    </row>
    <row r="81" ht="25.05" customHeight="1" spans="1:98">
      <c r="A81" s="18"/>
      <c r="B81" s="19" t="s">
        <v>277</v>
      </c>
      <c r="C81" s="20"/>
      <c r="D81" s="17"/>
      <c r="E81" s="17"/>
      <c r="F81" s="17"/>
      <c r="G81" s="17"/>
      <c r="H81" s="17"/>
      <c r="I81" s="17"/>
      <c r="J81" s="17"/>
      <c r="K81" s="37"/>
      <c r="L81" s="38"/>
      <c r="M81" s="38"/>
      <c r="N81" s="38"/>
      <c r="O81" s="38"/>
      <c r="P81" s="38"/>
      <c r="Q81" s="38"/>
      <c r="R81" s="38"/>
      <c r="S81" s="20"/>
      <c r="T81" s="17"/>
      <c r="U81" s="17"/>
      <c r="V81" s="17"/>
      <c r="W81" s="17"/>
      <c r="X81" s="17"/>
      <c r="Y81" s="17"/>
      <c r="Z81" s="17"/>
      <c r="AA81" s="37"/>
      <c r="AB81" s="38"/>
      <c r="AC81" s="38"/>
      <c r="AD81" s="38"/>
      <c r="AE81" s="38"/>
      <c r="AF81" s="38"/>
      <c r="AG81" s="38"/>
      <c r="AH81" s="38"/>
      <c r="AI81" s="20"/>
      <c r="AJ81" s="17"/>
      <c r="AK81" s="17"/>
      <c r="AL81" s="17"/>
      <c r="AM81" s="17"/>
      <c r="AN81" s="17"/>
      <c r="AO81" s="17"/>
      <c r="AP81" s="17"/>
      <c r="AQ81" s="37"/>
      <c r="AR81" s="38"/>
      <c r="AS81" s="38"/>
      <c r="AT81" s="38"/>
      <c r="AU81" s="38"/>
      <c r="AV81" s="38"/>
      <c r="AW81" s="38"/>
      <c r="AX81" s="38"/>
      <c r="AY81" s="20"/>
      <c r="AZ81" s="17"/>
      <c r="BA81" s="17"/>
      <c r="BB81" s="17"/>
      <c r="BC81" s="17"/>
      <c r="BD81" s="17"/>
      <c r="BE81" s="17"/>
      <c r="BF81" s="17"/>
      <c r="BG81" s="37"/>
      <c r="BH81" s="38"/>
      <c r="BI81" s="38"/>
      <c r="BJ81" s="38"/>
      <c r="BK81" s="38"/>
      <c r="BL81" s="38"/>
      <c r="BM81" s="38"/>
      <c r="BN81" s="38"/>
      <c r="BO81" s="20"/>
      <c r="BP81" s="17"/>
      <c r="BQ81" s="17"/>
      <c r="BR81" s="17"/>
      <c r="BS81" s="17"/>
      <c r="BT81" s="17"/>
      <c r="BU81" s="17"/>
      <c r="BV81" s="17"/>
      <c r="BW81" s="37"/>
      <c r="BX81" s="38"/>
      <c r="BY81" s="38"/>
      <c r="BZ81" s="38"/>
      <c r="CA81" s="38"/>
      <c r="CB81" s="38"/>
      <c r="CC81" s="38"/>
      <c r="CD81" s="38"/>
      <c r="CE81" s="20"/>
      <c r="CF81" s="17"/>
      <c r="CG81" s="17"/>
      <c r="CH81" s="17"/>
      <c r="CI81" s="17"/>
      <c r="CJ81" s="17"/>
      <c r="CK81" s="17"/>
      <c r="CL81" s="17"/>
      <c r="CM81" s="37"/>
      <c r="CN81" s="38"/>
      <c r="CO81" s="38"/>
      <c r="CP81" s="38"/>
      <c r="CQ81" s="38"/>
      <c r="CR81" s="38"/>
      <c r="CS81" s="38"/>
      <c r="CT81" s="38"/>
    </row>
    <row r="82" ht="25.05" customHeight="1" spans="1:98">
      <c r="A82" s="18"/>
      <c r="B82" s="19" t="s">
        <v>278</v>
      </c>
      <c r="C82" s="20"/>
      <c r="D82" s="17"/>
      <c r="E82" s="17"/>
      <c r="F82" s="17"/>
      <c r="G82" s="17"/>
      <c r="H82" s="17"/>
      <c r="I82" s="17"/>
      <c r="J82" s="17"/>
      <c r="K82" s="37"/>
      <c r="L82" s="38"/>
      <c r="M82" s="38"/>
      <c r="N82" s="38"/>
      <c r="O82" s="38"/>
      <c r="P82" s="38"/>
      <c r="Q82" s="38"/>
      <c r="R82" s="38"/>
      <c r="S82" s="20"/>
      <c r="T82" s="17"/>
      <c r="U82" s="17"/>
      <c r="V82" s="17"/>
      <c r="W82" s="17"/>
      <c r="X82" s="17"/>
      <c r="Y82" s="17"/>
      <c r="Z82" s="17"/>
      <c r="AA82" s="37"/>
      <c r="AB82" s="38"/>
      <c r="AC82" s="38"/>
      <c r="AD82" s="38"/>
      <c r="AE82" s="38"/>
      <c r="AF82" s="38"/>
      <c r="AG82" s="38"/>
      <c r="AH82" s="38"/>
      <c r="AI82" s="20"/>
      <c r="AJ82" s="17"/>
      <c r="AK82" s="17"/>
      <c r="AL82" s="17"/>
      <c r="AM82" s="17"/>
      <c r="AN82" s="17"/>
      <c r="AO82" s="17"/>
      <c r="AP82" s="17"/>
      <c r="AQ82" s="37"/>
      <c r="AR82" s="38"/>
      <c r="AS82" s="38"/>
      <c r="AT82" s="38"/>
      <c r="AU82" s="38"/>
      <c r="AV82" s="38"/>
      <c r="AW82" s="38"/>
      <c r="AX82" s="38"/>
      <c r="AY82" s="20"/>
      <c r="AZ82" s="17"/>
      <c r="BA82" s="17"/>
      <c r="BB82" s="17"/>
      <c r="BC82" s="17"/>
      <c r="BD82" s="17"/>
      <c r="BE82" s="17"/>
      <c r="BF82" s="17"/>
      <c r="BG82" s="37"/>
      <c r="BH82" s="38"/>
      <c r="BI82" s="38"/>
      <c r="BJ82" s="38"/>
      <c r="BK82" s="38"/>
      <c r="BL82" s="38"/>
      <c r="BM82" s="38"/>
      <c r="BN82" s="38"/>
      <c r="BO82" s="20"/>
      <c r="BP82" s="17"/>
      <c r="BQ82" s="17"/>
      <c r="BR82" s="17"/>
      <c r="BS82" s="17"/>
      <c r="BT82" s="17"/>
      <c r="BU82" s="17"/>
      <c r="BV82" s="17"/>
      <c r="BW82" s="37"/>
      <c r="BX82" s="38"/>
      <c r="BY82" s="38"/>
      <c r="BZ82" s="38"/>
      <c r="CA82" s="38"/>
      <c r="CB82" s="38"/>
      <c r="CC82" s="38"/>
      <c r="CD82" s="38"/>
      <c r="CE82" s="20"/>
      <c r="CF82" s="17"/>
      <c r="CG82" s="17"/>
      <c r="CH82" s="17"/>
      <c r="CI82" s="17"/>
      <c r="CJ82" s="17"/>
      <c r="CK82" s="17"/>
      <c r="CL82" s="17"/>
      <c r="CM82" s="37"/>
      <c r="CN82" s="38"/>
      <c r="CO82" s="38"/>
      <c r="CP82" s="38"/>
      <c r="CQ82" s="38"/>
      <c r="CR82" s="38"/>
      <c r="CS82" s="38"/>
      <c r="CT82" s="38"/>
    </row>
    <row r="83" ht="25.05" customHeight="1" spans="1:98">
      <c r="A83" s="18"/>
      <c r="B83" s="19" t="s">
        <v>279</v>
      </c>
      <c r="C83" s="20"/>
      <c r="D83" s="17"/>
      <c r="E83" s="17"/>
      <c r="F83" s="17"/>
      <c r="G83" s="17"/>
      <c r="H83" s="17"/>
      <c r="I83" s="17"/>
      <c r="J83" s="17"/>
      <c r="K83" s="37"/>
      <c r="L83" s="38"/>
      <c r="M83" s="38"/>
      <c r="N83" s="38"/>
      <c r="O83" s="38"/>
      <c r="P83" s="38"/>
      <c r="Q83" s="38"/>
      <c r="R83" s="38"/>
      <c r="S83" s="20"/>
      <c r="T83" s="17"/>
      <c r="U83" s="17"/>
      <c r="V83" s="17"/>
      <c r="W83" s="17"/>
      <c r="X83" s="17"/>
      <c r="Y83" s="17"/>
      <c r="Z83" s="17"/>
      <c r="AA83" s="37"/>
      <c r="AB83" s="38"/>
      <c r="AC83" s="38"/>
      <c r="AD83" s="38"/>
      <c r="AE83" s="38"/>
      <c r="AF83" s="38"/>
      <c r="AG83" s="38"/>
      <c r="AH83" s="38"/>
      <c r="AI83" s="20"/>
      <c r="AJ83" s="17"/>
      <c r="AK83" s="17"/>
      <c r="AL83" s="17"/>
      <c r="AM83" s="17"/>
      <c r="AN83" s="17"/>
      <c r="AO83" s="17"/>
      <c r="AP83" s="17"/>
      <c r="AQ83" s="37"/>
      <c r="AR83" s="38"/>
      <c r="AS83" s="38"/>
      <c r="AT83" s="38"/>
      <c r="AU83" s="38"/>
      <c r="AV83" s="38"/>
      <c r="AW83" s="38"/>
      <c r="AX83" s="38"/>
      <c r="AY83" s="20"/>
      <c r="AZ83" s="17"/>
      <c r="BA83" s="17"/>
      <c r="BB83" s="17"/>
      <c r="BC83" s="17"/>
      <c r="BD83" s="17"/>
      <c r="BE83" s="17"/>
      <c r="BF83" s="17"/>
      <c r="BG83" s="37"/>
      <c r="BH83" s="38"/>
      <c r="BI83" s="38"/>
      <c r="BJ83" s="38"/>
      <c r="BK83" s="38"/>
      <c r="BL83" s="38"/>
      <c r="BM83" s="38"/>
      <c r="BN83" s="38"/>
      <c r="BO83" s="20"/>
      <c r="BP83" s="17"/>
      <c r="BQ83" s="17"/>
      <c r="BR83" s="17"/>
      <c r="BS83" s="17"/>
      <c r="BT83" s="17"/>
      <c r="BU83" s="17"/>
      <c r="BV83" s="17"/>
      <c r="BW83" s="37"/>
      <c r="BX83" s="38"/>
      <c r="BY83" s="38"/>
      <c r="BZ83" s="38"/>
      <c r="CA83" s="38"/>
      <c r="CB83" s="38"/>
      <c r="CC83" s="38"/>
      <c r="CD83" s="38"/>
      <c r="CE83" s="20"/>
      <c r="CF83" s="17"/>
      <c r="CG83" s="17"/>
      <c r="CH83" s="17"/>
      <c r="CI83" s="17"/>
      <c r="CJ83" s="17"/>
      <c r="CK83" s="17"/>
      <c r="CL83" s="17"/>
      <c r="CM83" s="37"/>
      <c r="CN83" s="38"/>
      <c r="CO83" s="38"/>
      <c r="CP83" s="38"/>
      <c r="CQ83" s="38"/>
      <c r="CR83" s="38"/>
      <c r="CS83" s="38"/>
      <c r="CT83" s="38"/>
    </row>
    <row r="84" ht="25.05" customHeight="1" spans="1:98">
      <c r="A84" s="18"/>
      <c r="B84" s="19" t="s">
        <v>280</v>
      </c>
      <c r="C84" s="20"/>
      <c r="D84" s="17"/>
      <c r="E84" s="17"/>
      <c r="F84" s="17"/>
      <c r="G84" s="17"/>
      <c r="H84" s="17"/>
      <c r="I84" s="17"/>
      <c r="J84" s="17"/>
      <c r="K84" s="37"/>
      <c r="L84" s="38"/>
      <c r="M84" s="38"/>
      <c r="N84" s="38"/>
      <c r="O84" s="38"/>
      <c r="P84" s="38"/>
      <c r="Q84" s="38"/>
      <c r="R84" s="38"/>
      <c r="S84" s="20"/>
      <c r="T84" s="17"/>
      <c r="U84" s="17"/>
      <c r="V84" s="17"/>
      <c r="W84" s="17"/>
      <c r="X84" s="17"/>
      <c r="Y84" s="17"/>
      <c r="Z84" s="17"/>
      <c r="AA84" s="37"/>
      <c r="AB84" s="38"/>
      <c r="AC84" s="38"/>
      <c r="AD84" s="38"/>
      <c r="AE84" s="38"/>
      <c r="AF84" s="38"/>
      <c r="AG84" s="38"/>
      <c r="AH84" s="38"/>
      <c r="AI84" s="20"/>
      <c r="AJ84" s="17"/>
      <c r="AK84" s="17"/>
      <c r="AL84" s="17"/>
      <c r="AM84" s="17"/>
      <c r="AN84" s="17"/>
      <c r="AO84" s="17"/>
      <c r="AP84" s="17"/>
      <c r="AQ84" s="37"/>
      <c r="AR84" s="38"/>
      <c r="AS84" s="38"/>
      <c r="AT84" s="38"/>
      <c r="AU84" s="38"/>
      <c r="AV84" s="38"/>
      <c r="AW84" s="38"/>
      <c r="AX84" s="38"/>
      <c r="AY84" s="20"/>
      <c r="AZ84" s="17"/>
      <c r="BA84" s="17"/>
      <c r="BB84" s="17"/>
      <c r="BC84" s="17"/>
      <c r="BD84" s="17"/>
      <c r="BE84" s="17"/>
      <c r="BF84" s="17"/>
      <c r="BG84" s="37"/>
      <c r="BH84" s="38"/>
      <c r="BI84" s="38"/>
      <c r="BJ84" s="38"/>
      <c r="BK84" s="38"/>
      <c r="BL84" s="38"/>
      <c r="BM84" s="38"/>
      <c r="BN84" s="38"/>
      <c r="BO84" s="20"/>
      <c r="BP84" s="17"/>
      <c r="BQ84" s="17"/>
      <c r="BR84" s="17"/>
      <c r="BS84" s="17"/>
      <c r="BT84" s="17"/>
      <c r="BU84" s="17"/>
      <c r="BV84" s="17"/>
      <c r="BW84" s="37"/>
      <c r="BX84" s="38"/>
      <c r="BY84" s="38"/>
      <c r="BZ84" s="38"/>
      <c r="CA84" s="38"/>
      <c r="CB84" s="38"/>
      <c r="CC84" s="38"/>
      <c r="CD84" s="38"/>
      <c r="CE84" s="20"/>
      <c r="CF84" s="17"/>
      <c r="CG84" s="17"/>
      <c r="CH84" s="17"/>
      <c r="CI84" s="17"/>
      <c r="CJ84" s="17"/>
      <c r="CK84" s="17"/>
      <c r="CL84" s="17"/>
      <c r="CM84" s="37"/>
      <c r="CN84" s="38"/>
      <c r="CO84" s="38"/>
      <c r="CP84" s="38"/>
      <c r="CQ84" s="38"/>
      <c r="CR84" s="38"/>
      <c r="CS84" s="38"/>
      <c r="CT84" s="38"/>
    </row>
    <row r="85" ht="25.05" customHeight="1" spans="1:98">
      <c r="A85" s="18"/>
      <c r="B85" s="19" t="s">
        <v>281</v>
      </c>
      <c r="C85" s="20"/>
      <c r="D85" s="17"/>
      <c r="E85" s="17"/>
      <c r="F85" s="17"/>
      <c r="G85" s="17"/>
      <c r="H85" s="17"/>
      <c r="I85" s="17"/>
      <c r="J85" s="17"/>
      <c r="K85" s="37"/>
      <c r="L85" s="38"/>
      <c r="M85" s="38"/>
      <c r="N85" s="38"/>
      <c r="O85" s="38"/>
      <c r="P85" s="38"/>
      <c r="Q85" s="38"/>
      <c r="R85" s="38"/>
      <c r="S85" s="20"/>
      <c r="T85" s="17"/>
      <c r="U85" s="17"/>
      <c r="V85" s="17"/>
      <c r="W85" s="17"/>
      <c r="X85" s="17"/>
      <c r="Y85" s="17"/>
      <c r="Z85" s="17"/>
      <c r="AA85" s="37"/>
      <c r="AB85" s="38"/>
      <c r="AC85" s="38"/>
      <c r="AD85" s="38"/>
      <c r="AE85" s="38"/>
      <c r="AF85" s="38"/>
      <c r="AG85" s="38"/>
      <c r="AH85" s="38"/>
      <c r="AI85" s="20"/>
      <c r="AJ85" s="17"/>
      <c r="AK85" s="17"/>
      <c r="AL85" s="17"/>
      <c r="AM85" s="17"/>
      <c r="AN85" s="17"/>
      <c r="AO85" s="17"/>
      <c r="AP85" s="17"/>
      <c r="AQ85" s="37"/>
      <c r="AR85" s="38"/>
      <c r="AS85" s="38"/>
      <c r="AT85" s="38"/>
      <c r="AU85" s="38"/>
      <c r="AV85" s="38"/>
      <c r="AW85" s="38"/>
      <c r="AX85" s="38"/>
      <c r="AY85" s="20"/>
      <c r="AZ85" s="17"/>
      <c r="BA85" s="17"/>
      <c r="BB85" s="17"/>
      <c r="BC85" s="17"/>
      <c r="BD85" s="17"/>
      <c r="BE85" s="17"/>
      <c r="BF85" s="17"/>
      <c r="BG85" s="37"/>
      <c r="BH85" s="38"/>
      <c r="BI85" s="38"/>
      <c r="BJ85" s="38"/>
      <c r="BK85" s="38"/>
      <c r="BL85" s="38"/>
      <c r="BM85" s="38"/>
      <c r="BN85" s="38"/>
      <c r="BO85" s="20"/>
      <c r="BP85" s="17"/>
      <c r="BQ85" s="17"/>
      <c r="BR85" s="17"/>
      <c r="BS85" s="17"/>
      <c r="BT85" s="17"/>
      <c r="BU85" s="17"/>
      <c r="BV85" s="17"/>
      <c r="BW85" s="37"/>
      <c r="BX85" s="38"/>
      <c r="BY85" s="38"/>
      <c r="BZ85" s="38"/>
      <c r="CA85" s="38"/>
      <c r="CB85" s="38"/>
      <c r="CC85" s="38"/>
      <c r="CD85" s="38"/>
      <c r="CE85" s="20"/>
      <c r="CF85" s="17"/>
      <c r="CG85" s="17"/>
      <c r="CH85" s="17"/>
      <c r="CI85" s="17"/>
      <c r="CJ85" s="17"/>
      <c r="CK85" s="17"/>
      <c r="CL85" s="17"/>
      <c r="CM85" s="37"/>
      <c r="CN85" s="38"/>
      <c r="CO85" s="38"/>
      <c r="CP85" s="38"/>
      <c r="CQ85" s="38"/>
      <c r="CR85" s="38"/>
      <c r="CS85" s="38"/>
      <c r="CT85" s="38"/>
    </row>
    <row r="86" ht="25.05" customHeight="1" spans="1:98">
      <c r="A86" s="21"/>
      <c r="B86" s="22" t="s">
        <v>282</v>
      </c>
      <c r="C86" s="23"/>
      <c r="D86" s="24"/>
      <c r="E86" s="24"/>
      <c r="F86" s="24"/>
      <c r="G86" s="24"/>
      <c r="H86" s="24"/>
      <c r="I86" s="24"/>
      <c r="J86" s="24"/>
      <c r="K86" s="39"/>
      <c r="L86" s="40"/>
      <c r="M86" s="40"/>
      <c r="N86" s="40"/>
      <c r="O86" s="40"/>
      <c r="P86" s="40"/>
      <c r="Q86" s="40"/>
      <c r="R86" s="40"/>
      <c r="S86" s="23"/>
      <c r="T86" s="24"/>
      <c r="U86" s="24"/>
      <c r="V86" s="24"/>
      <c r="W86" s="24"/>
      <c r="X86" s="24"/>
      <c r="Y86" s="24"/>
      <c r="Z86" s="24"/>
      <c r="AA86" s="39"/>
      <c r="AB86" s="40"/>
      <c r="AC86" s="40"/>
      <c r="AD86" s="40"/>
      <c r="AE86" s="40"/>
      <c r="AF86" s="40"/>
      <c r="AG86" s="40"/>
      <c r="AH86" s="40"/>
      <c r="AI86" s="23"/>
      <c r="AJ86" s="24"/>
      <c r="AK86" s="24"/>
      <c r="AL86" s="24"/>
      <c r="AM86" s="24"/>
      <c r="AN86" s="24"/>
      <c r="AO86" s="24"/>
      <c r="AP86" s="24"/>
      <c r="AQ86" s="39"/>
      <c r="AR86" s="40"/>
      <c r="AS86" s="40"/>
      <c r="AT86" s="40"/>
      <c r="AU86" s="40"/>
      <c r="AV86" s="40"/>
      <c r="AW86" s="40"/>
      <c r="AX86" s="40"/>
      <c r="AY86" s="23"/>
      <c r="AZ86" s="24"/>
      <c r="BA86" s="24"/>
      <c r="BB86" s="24"/>
      <c r="BC86" s="24"/>
      <c r="BD86" s="24"/>
      <c r="BE86" s="24"/>
      <c r="BF86" s="24"/>
      <c r="BG86" s="39"/>
      <c r="BH86" s="40"/>
      <c r="BI86" s="40"/>
      <c r="BJ86" s="40"/>
      <c r="BK86" s="40"/>
      <c r="BL86" s="40"/>
      <c r="BM86" s="40"/>
      <c r="BN86" s="40"/>
      <c r="BO86" s="23"/>
      <c r="BP86" s="24"/>
      <c r="BQ86" s="24"/>
      <c r="BR86" s="24"/>
      <c r="BS86" s="24"/>
      <c r="BT86" s="24"/>
      <c r="BU86" s="24"/>
      <c r="BV86" s="24"/>
      <c r="BW86" s="39"/>
      <c r="BX86" s="40"/>
      <c r="BY86" s="40"/>
      <c r="BZ86" s="40"/>
      <c r="CA86" s="40"/>
      <c r="CB86" s="40"/>
      <c r="CC86" s="40"/>
      <c r="CD86" s="40"/>
      <c r="CE86" s="23"/>
      <c r="CF86" s="24"/>
      <c r="CG86" s="24"/>
      <c r="CH86" s="24"/>
      <c r="CI86" s="24"/>
      <c r="CJ86" s="24"/>
      <c r="CK86" s="24"/>
      <c r="CL86" s="24"/>
      <c r="CM86" s="39"/>
      <c r="CN86" s="40"/>
      <c r="CO86" s="40"/>
      <c r="CP86" s="40"/>
      <c r="CQ86" s="40"/>
      <c r="CR86" s="40"/>
      <c r="CS86" s="40"/>
      <c r="CT86" s="40"/>
    </row>
  </sheetData>
  <mergeCells count="23">
    <mergeCell ref="A1:B1"/>
    <mergeCell ref="C1:J1"/>
    <mergeCell ref="K1:R1"/>
    <mergeCell ref="S1:Z1"/>
    <mergeCell ref="AA1:AH1"/>
    <mergeCell ref="AI1:AP1"/>
    <mergeCell ref="AQ1:AX1"/>
    <mergeCell ref="AY1:BF1"/>
    <mergeCell ref="BG1:BN1"/>
    <mergeCell ref="BO1:BV1"/>
    <mergeCell ref="BW1:CD1"/>
    <mergeCell ref="CE1:CL1"/>
    <mergeCell ref="CM1:CT1"/>
    <mergeCell ref="A3:A10"/>
    <mergeCell ref="A11:A18"/>
    <mergeCell ref="A19:A26"/>
    <mergeCell ref="A27:A44"/>
    <mergeCell ref="A45:A62"/>
    <mergeCell ref="A63:A70"/>
    <mergeCell ref="A71:A78"/>
    <mergeCell ref="A79:A86"/>
    <mergeCell ref="C27:C44"/>
    <mergeCell ref="C45:C62"/>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1.广告数据指标定义</vt:lpstr>
      <vt:lpstr>2.广告框架树状图</vt:lpstr>
      <vt:lpstr>3.时间节点目录表</vt:lpstr>
      <vt:lpstr>4.关键词整理表</vt:lpstr>
      <vt:lpstr>5.广告框架表</vt:lpstr>
      <vt:lpstr>6.指标目标和优化建议表</vt:lpstr>
      <vt:lpstr>7.竟对关键词动态跟踪表</vt:lpstr>
      <vt:lpstr>8.流量入口布局跟踪表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Anywhere</cp:lastModifiedBy>
  <dcterms:created xsi:type="dcterms:W3CDTF">2020-04-25T01:15:00Z</dcterms:created>
  <dcterms:modified xsi:type="dcterms:W3CDTF">2025-07-11T01:16:32Z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51654775B7F8446A99F7774E90456008_13</vt:lpwstr>
  </property>
</Properties>
</file>