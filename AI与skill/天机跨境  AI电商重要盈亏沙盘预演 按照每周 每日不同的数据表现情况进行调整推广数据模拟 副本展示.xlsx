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media/image1.webp" ContentType="image/webp"/>
  <Override PartName="/xl/media/image2.webp" ContentType="image/webp"/>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ouyan\Downloads\"/>
    </mc:Choice>
  </mc:AlternateContent>
  <bookViews>
    <workbookView windowWidth="23040" windowHeight="10455"/>
  </bookViews>
  <sheets>
    <sheet name="阶段实际盈亏" sheetId="2" r:id="rId1"/>
    <sheet name="价格策略模拟" sheetId="3" r:id="rId2"/>
    <sheet name="总表（阶段盈亏）" sheetId="4" r:id="rId3"/>
    <sheet name="毛利盈亏" sheetId="5" r:id="rId4"/>
    <sheet name="总表（阶段盈亏） (调整后)" sheetId="6" r:id="rId5"/>
    <sheet name="CPC表格" sheetId="7" r:id="rId6"/>
    <sheet name="推广目标" sheetId="8" r:id="rId7"/>
    <sheet name="推广计划" sheetId="9" r:id="rId8"/>
    <sheet name="广告计划" sheetId="10" r:id="rId9"/>
    <sheet name="利润&amp;ROI测算" sheetId="11" r:id="rId10"/>
    <sheet name="2" sheetId="12" state="hidden" r:id="rId11"/>
    <sheet name="逮虾户上贴费用详情" sheetId="13" state="hidden" r:id="rId12"/>
    <sheet name="西柚找词垃圾词" sheetId="14" r:id="rId13"/>
    <sheet name="发补货模型" sheetId="15" r:id="rId14"/>
    <sheet name="关键词追踪表" sheetId="16" r:id="rId15"/>
    <sheet name="每日竞品追踪" sheetId="17" r:id="rId16"/>
  </sheets>
  <definedNames>
    <definedName name="_xlnm._FilterDatabase" localSheetId="10" hidden="1">'2'!$A$1:$AZ$13</definedName>
    <definedName name="_xlnm._FilterDatabase" localSheetId="11" hidden="1">逮虾户上贴费用详情!$A$1:$S$34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B5" authorId="0">
      <text>
        <r>
          <rPr>
            <sz val="10"/>
            <rFont val="宋体"/>
            <charset val="134"/>
          </rPr>
          <t>Administrator:
BSR
#204,431 in Küche, Haushalt &amp; Wohnen
#27 in Matratzensauger
#22 in handheld vacuum cleaner</t>
        </r>
      </text>
    </comment>
    <comment ref="A17" authorId="0">
      <text>
        <r>
          <rPr>
            <sz val="10"/>
            <rFont val="宋体"/>
            <charset val="134"/>
          </rPr>
          <t>Administrator:
核心关键词 选取，milbensauger，  milbenstaubsauger 
milbensauger für matratzen，
milbensauger mit uv licht  
 长尾词
milbenstaubsauger
handstaubsauger    手持吸尘器
milbensauger für matratzen testsieger
matratzenreiniger gerät</t>
        </r>
      </text>
    </comment>
  </commentList>
</comments>
</file>

<file path=xl/comments2.xml><?xml version="1.0" encoding="utf-8"?>
<comments xmlns="http://schemas.openxmlformats.org/spreadsheetml/2006/main">
  <authors>
    <author/>
  </authors>
  <commentList>
    <comment ref="P12" authorId="0">
      <text>
        <r>
          <rPr>
            <b/>
            <sz val="9"/>
            <color rgb="FF000000"/>
            <rFont val="宋体"/>
            <charset val="134"/>
          </rPr>
          <t>Administrator:</t>
        </r>
        <r>
          <rPr>
            <sz val="9"/>
            <color rgb="FF000000"/>
            <rFont val="宋体"/>
            <charset val="134"/>
          </rPr>
          <t xml:space="preserve">
关键词
milbensauger
milbensauger für matratzen
sofa reiniger
matratzenreiniger
milbensauger für matratzen testsieger
milbensauger mit uv licht
hoover milbensauger
milbenstaubsauger
polsterreiniger
teppichreiniger gerät
polsterreinigungsgerät
</t>
        </r>
      </text>
    </comment>
    <comment ref="Q12" authorId="0">
      <text>
        <r>
          <rPr>
            <b/>
            <sz val="9"/>
            <color rgb="FF000000"/>
            <rFont val="宋体"/>
            <charset val="134"/>
          </rPr>
          <t>Administrator:</t>
        </r>
        <r>
          <rPr>
            <sz val="9"/>
            <color rgb="FF000000"/>
            <rFont val="宋体"/>
            <charset val="134"/>
          </rPr>
          <t xml:space="preserve">
</t>
        </r>
      </text>
    </comment>
  </commentList>
</comments>
</file>

<file path=xl/comments3.xml><?xml version="1.0" encoding="utf-8"?>
<comments xmlns="http://schemas.openxmlformats.org/spreadsheetml/2006/main">
  <authors>
    <author/>
  </authors>
  <commentList>
    <comment ref="F2" authorId="0">
      <text>
        <r>
          <rPr>
            <sz val="10"/>
            <rFont val="宋体"/>
            <charset val="134"/>
          </rPr>
          <t xml:space="preserve">作者:退款率
</t>
        </r>
      </text>
    </comment>
    <comment ref="H2" authorId="0">
      <text>
        <r>
          <rPr>
            <sz val="10"/>
            <rFont val="宋体"/>
            <charset val="134"/>
          </rPr>
          <t>作者:采购成本 货币
币种：EU</t>
        </r>
      </text>
    </comment>
    <comment ref="V2" authorId="0">
      <text>
        <r>
          <rPr>
            <b/>
            <sz val="9"/>
            <color rgb="FF000000"/>
            <rFont val="宋体"/>
            <charset val="134"/>
          </rPr>
          <t>作者:</t>
        </r>
        <r>
          <rPr>
            <sz val="9"/>
            <color rgb="FF000000"/>
            <rFont val="宋体"/>
            <charset val="134"/>
          </rPr>
          <t xml:space="preserve">
按照10% coupon计算</t>
        </r>
      </text>
    </comment>
    <comment ref="BB2" authorId="0">
      <text>
        <r>
          <rPr>
            <b/>
            <sz val="9"/>
            <color rgb="FF000000"/>
            <rFont val="宋体"/>
            <charset val="134"/>
          </rPr>
          <t>作者:</t>
        </r>
        <r>
          <rPr>
            <sz val="9"/>
            <color rgb="FF000000"/>
            <rFont val="宋体"/>
            <charset val="134"/>
          </rPr>
          <t xml:space="preserve">
增加礼品卡测评费
预计400*$8</t>
        </r>
      </text>
    </comment>
    <comment ref="BR2" authorId="0">
      <text>
        <r>
          <rPr>
            <b/>
            <sz val="9"/>
            <color rgb="FF000000"/>
            <rFont val="宋体"/>
            <charset val="134"/>
          </rPr>
          <t>作者:</t>
        </r>
        <r>
          <rPr>
            <sz val="9"/>
            <color rgb="FF000000"/>
            <rFont val="宋体"/>
            <charset val="134"/>
          </rPr>
          <t xml:space="preserve">
增加礼品卡测评费用400*$8</t>
        </r>
      </text>
    </comment>
  </commentList>
</comments>
</file>

<file path=xl/sharedStrings.xml><?xml version="1.0" encoding="utf-8"?>
<sst xmlns="http://schemas.openxmlformats.org/spreadsheetml/2006/main" count="2746" uniqueCount="1317">
  <si>
    <t>时间</t>
  </si>
  <si>
    <t>实际</t>
  </si>
  <si>
    <t>价格</t>
  </si>
  <si>
    <t>站内
coupon</t>
  </si>
  <si>
    <t>站内
code</t>
  </si>
  <si>
    <t>站外
折扣</t>
  </si>
  <si>
    <t>站外
订单</t>
  </si>
  <si>
    <t>站内
自然单</t>
  </si>
  <si>
    <t>站内
广告单</t>
  </si>
  <si>
    <t>阶段
销售
订单</t>
  </si>
  <si>
    <t>时间
/天</t>
  </si>
  <si>
    <t>阶段广告费
（出1单广告单预估）</t>
  </si>
  <si>
    <t>阶段站外费用
（5美金/单）</t>
  </si>
  <si>
    <t>阶段订单
盈亏</t>
  </si>
  <si>
    <t>阶段亏损
/美金</t>
  </si>
  <si>
    <t>六阶段
总亏损</t>
  </si>
  <si>
    <t>资金ROI</t>
  </si>
  <si>
    <t>阶段日均
订单</t>
  </si>
  <si>
    <t>阶段日均
广告订单</t>
  </si>
  <si>
    <t>阶段日均
自然订单</t>
  </si>
  <si>
    <t>新品
排行榜</t>
  </si>
  <si>
    <t>小类目
排名</t>
  </si>
  <si>
    <t>9月7-9月12</t>
  </si>
  <si>
    <t>第一阶段</t>
  </si>
  <si>
    <t>9月13-9月21</t>
  </si>
  <si>
    <t>第二阶段</t>
  </si>
  <si>
    <t>9月22-10月1</t>
  </si>
  <si>
    <t>第三阶段</t>
  </si>
  <si>
    <t>10月2-10月11</t>
  </si>
  <si>
    <t>第四阶段</t>
  </si>
  <si>
    <t>10月12-10月21</t>
  </si>
  <si>
    <t>第五阶段</t>
  </si>
  <si>
    <t>10月22-10月31</t>
  </si>
  <si>
    <t>第六阶段</t>
  </si>
  <si>
    <t>稳定期</t>
  </si>
  <si>
    <t>11月1-11月30</t>
  </si>
  <si>
    <t>十一月份</t>
  </si>
  <si>
    <t>12月1-12月31</t>
  </si>
  <si>
    <t>十二月份</t>
  </si>
  <si>
    <t>1月1-1月31</t>
  </si>
  <si>
    <t>一月份</t>
  </si>
  <si>
    <t>2月1-2月28</t>
  </si>
  <si>
    <t>二月份</t>
  </si>
  <si>
    <t>新品迭代期</t>
  </si>
  <si>
    <t>3月1-3月28</t>
  </si>
  <si>
    <t>4月1-4月28</t>
  </si>
  <si>
    <t>5月1-5月28</t>
  </si>
  <si>
    <t>字段</t>
  </si>
  <si>
    <t>价格策略模拟</t>
  </si>
  <si>
    <t>阶段</t>
  </si>
  <si>
    <t>定价</t>
  </si>
  <si>
    <t>coupon</t>
  </si>
  <si>
    <t>code</t>
  </si>
  <si>
    <t>折后价</t>
  </si>
  <si>
    <t>FBA    
配送费</t>
  </si>
  <si>
    <t>亚马逊
佣金</t>
  </si>
  <si>
    <t>账号
回款</t>
  </si>
  <si>
    <t>仓储费+入库配置费</t>
  </si>
  <si>
    <t>coupon
费用</t>
  </si>
  <si>
    <t>产品成本</t>
  </si>
  <si>
    <t>物流费</t>
  </si>
  <si>
    <t>退货成本(公式后面加的是单套产品的移除费）</t>
  </si>
  <si>
    <t>退货率</t>
  </si>
  <si>
    <t>每单平摊
退货成本</t>
  </si>
  <si>
    <t>每单
毛利</t>
  </si>
  <si>
    <t>毛利率</t>
  </si>
  <si>
    <t>订单
数量</t>
  </si>
  <si>
    <t>阶段
订单
亏损</t>
  </si>
  <si>
    <t>阶段
订单
总盈亏</t>
  </si>
  <si>
    <t>第七阶段</t>
  </si>
  <si>
    <t>竞品日常价格</t>
  </si>
  <si>
    <t>竞品活动价格</t>
  </si>
  <si>
    <t>竞品链接</t>
  </si>
  <si>
    <t>竞品链接所在类目</t>
  </si>
  <si>
    <r>
      <rPr>
        <u/>
        <sz val="10"/>
        <color theme="10"/>
        <rFont val="宋体"/>
        <charset val="134"/>
      </rPr>
      <t>https://www.amazon.com/gp/bestsellers/pet-supplies/3024205011</t>
    </r>
  </si>
  <si>
    <t>型号</t>
  </si>
  <si>
    <t>采购成本（手写）</t>
  </si>
  <si>
    <t>头程
（手写）</t>
  </si>
  <si>
    <t>FBA费用
（手写）</t>
  </si>
  <si>
    <t>平台佣金（8%）</t>
  </si>
  <si>
    <r>
      <rPr>
        <sz val="12"/>
        <color rgb="FF000000"/>
        <rFont val="宋体"/>
        <charset val="134"/>
      </rPr>
      <t>退货</t>
    </r>
    <r>
      <rPr>
        <sz val="10"/>
        <color rgb="FF000000"/>
        <rFont val="宋体"/>
        <charset val="134"/>
      </rPr>
      <t>（2%）</t>
    </r>
  </si>
  <si>
    <t>优惠卷兑（2.5%）</t>
  </si>
  <si>
    <t>在库成本</t>
  </si>
  <si>
    <t>展示售价
（手写）</t>
  </si>
  <si>
    <t>折扣券
（手写）</t>
  </si>
  <si>
    <t>实际售价
（手写）</t>
  </si>
  <si>
    <r>
      <rPr>
        <sz val="12"/>
        <color rgb="FF000000"/>
        <rFont val="宋体"/>
        <charset val="134"/>
      </rPr>
      <t>毛利</t>
    </r>
    <r>
      <rPr>
        <sz val="8"/>
        <color rgb="FF000000"/>
        <rFont val="宋体"/>
        <charset val="134"/>
      </rPr>
      <t>（不含人工、测评、推广等）</t>
    </r>
  </si>
  <si>
    <t>毛利/人民币</t>
  </si>
  <si>
    <t>汇率</t>
  </si>
  <si>
    <t>备注</t>
  </si>
  <si>
    <t>RD01</t>
  </si>
  <si>
    <t>RD02</t>
  </si>
  <si>
    <t>RD03</t>
  </si>
  <si>
    <t>JP01</t>
  </si>
  <si>
    <t>-</t>
  </si>
  <si>
    <t>阶段盈亏模拟数据</t>
  </si>
  <si>
    <t>日期</t>
  </si>
  <si>
    <t>cou
pon</t>
  </si>
  <si>
    <t>CPA</t>
  </si>
  <si>
    <t>阶段
广告费</t>
  </si>
  <si>
    <t>毛利
盈亏</t>
  </si>
  <si>
    <t>阶段盈亏
/美金</t>
  </si>
  <si>
    <t>评论
数量</t>
  </si>
  <si>
    <t>阶段
日均
订单</t>
  </si>
  <si>
    <t>阶段
日均
广告单</t>
  </si>
  <si>
    <t>阶段
日均
自然单</t>
  </si>
  <si>
    <t>日均
广告费</t>
  </si>
  <si>
    <t>种子评论费/（开3条VINE，预计来70条评论）,视觉化费用预估3000美金</t>
  </si>
  <si>
    <t>前期亏损/美金</t>
  </si>
  <si>
    <t>人民币</t>
  </si>
  <si>
    <t>WEEK1</t>
  </si>
  <si>
    <t>前300名</t>
  </si>
  <si>
    <t>一开售投放广告</t>
  </si>
  <si>
    <t>WEEK2</t>
  </si>
  <si>
    <t>WEEK3</t>
  </si>
  <si>
    <t>前250名</t>
  </si>
  <si>
    <t>WEEK4</t>
  </si>
  <si>
    <t>WEEK5</t>
  </si>
  <si>
    <t>前200名</t>
  </si>
  <si>
    <t>WEEK6</t>
  </si>
  <si>
    <t>WEEK7</t>
  </si>
  <si>
    <t>前150名</t>
  </si>
  <si>
    <t>WEEK8</t>
  </si>
  <si>
    <t>WEEK9</t>
  </si>
  <si>
    <t>前100名</t>
  </si>
  <si>
    <t>WEEK10</t>
  </si>
  <si>
    <t>WEEK11</t>
  </si>
  <si>
    <t>前80名</t>
  </si>
  <si>
    <t>WEEK12</t>
  </si>
  <si>
    <t>WEEK13</t>
  </si>
  <si>
    <t>前50名</t>
  </si>
  <si>
    <t>WEEK14</t>
  </si>
  <si>
    <t>WEEK15</t>
  </si>
  <si>
    <t>前20名</t>
  </si>
  <si>
    <t>WEEK16</t>
  </si>
  <si>
    <t>WEEK17</t>
  </si>
  <si>
    <t>WEEK18</t>
  </si>
  <si>
    <t>WEEK19</t>
  </si>
  <si>
    <t>WEEK20</t>
  </si>
  <si>
    <t>WEEK21</t>
  </si>
  <si>
    <t>前10名</t>
  </si>
  <si>
    <t>WEEK22</t>
  </si>
  <si>
    <t>WEEK23</t>
  </si>
  <si>
    <t>WEEK24</t>
  </si>
  <si>
    <t>前5名</t>
  </si>
  <si>
    <t>阶段盈亏真实数据</t>
  </si>
  <si>
    <t>第1周</t>
  </si>
  <si>
    <t>第2周</t>
  </si>
  <si>
    <t>第3周</t>
  </si>
  <si>
    <t>第4周</t>
  </si>
  <si>
    <t>第5周</t>
  </si>
  <si>
    <t>第6周</t>
  </si>
  <si>
    <t>第7周</t>
  </si>
  <si>
    <t>第8周</t>
  </si>
  <si>
    <t>第9周</t>
  </si>
  <si>
    <t>第10周</t>
  </si>
  <si>
    <t>第11周</t>
  </si>
  <si>
    <t>第12周</t>
  </si>
  <si>
    <t>第13周</t>
  </si>
  <si>
    <t>第14周</t>
  </si>
  <si>
    <t>第15周</t>
  </si>
  <si>
    <t>第16周</t>
  </si>
  <si>
    <t>第17周</t>
  </si>
  <si>
    <t>第18周</t>
  </si>
  <si>
    <t>第19周</t>
  </si>
  <si>
    <t>第20周</t>
  </si>
  <si>
    <t>第21周</t>
  </si>
  <si>
    <t>第22周</t>
  </si>
  <si>
    <t>第23周</t>
  </si>
  <si>
    <t>第24周</t>
  </si>
  <si>
    <t>每日盈亏数据预估</t>
  </si>
  <si>
    <t>产品
成本</t>
  </si>
  <si>
    <t>week01</t>
  </si>
  <si>
    <t>week02</t>
  </si>
  <si>
    <t>week03</t>
  </si>
  <si>
    <t>week04</t>
  </si>
  <si>
    <t>week05</t>
  </si>
  <si>
    <t>week06</t>
  </si>
  <si>
    <t>week07</t>
  </si>
  <si>
    <t>week08</t>
  </si>
  <si>
    <t>week09</t>
  </si>
  <si>
    <t>week10</t>
  </si>
  <si>
    <t>week11</t>
  </si>
  <si>
    <t>week12</t>
  </si>
  <si>
    <t>week13</t>
  </si>
  <si>
    <t>week14</t>
  </si>
  <si>
    <t>week15</t>
  </si>
  <si>
    <t>week16</t>
  </si>
  <si>
    <t>week17</t>
  </si>
  <si>
    <t>week18</t>
  </si>
  <si>
    <t>week19</t>
  </si>
  <si>
    <t>week20</t>
  </si>
  <si>
    <t>week21</t>
  </si>
  <si>
    <t>week22</t>
  </si>
  <si>
    <t>week23</t>
  </si>
  <si>
    <t>week24</t>
  </si>
  <si>
    <t>每日盈亏真实数据</t>
  </si>
  <si>
    <t>按照每周/每日不同的数据表现情况进行调整：</t>
  </si>
  <si>
    <r>
      <rPr>
        <u/>
        <sz val="10"/>
        <color theme="10"/>
        <rFont val="宋体"/>
        <charset val="134"/>
      </rPr>
      <t>https://mp.weixin.qq.com/s/hJXWLb-KpYE6J5aK37fUqA?poc_token=HER7cGijba2sEL_p1d8TCVeaPrsbMxX-Mtg-J8JD</t>
    </r>
  </si>
  <si>
    <t>周</t>
  </si>
  <si>
    <t>星期</t>
  </si>
  <si>
    <t>名称</t>
  </si>
  <si>
    <t>店铺SKU</t>
  </si>
  <si>
    <t>ASIN</t>
  </si>
  <si>
    <t>Rating数</t>
  </si>
  <si>
    <t>星级</t>
  </si>
  <si>
    <t>QA数量</t>
  </si>
  <si>
    <t>操作</t>
  </si>
  <si>
    <t>flashlihte</t>
  </si>
  <si>
    <t>访问IP数</t>
  </si>
  <si>
    <t>自然流量</t>
  </si>
  <si>
    <t>浏览量</t>
  </si>
  <si>
    <t>转化率</t>
  </si>
  <si>
    <t>总订单</t>
  </si>
  <si>
    <t>总销售额</t>
  </si>
  <si>
    <t>总销量</t>
  </si>
  <si>
    <t>曝光量</t>
  </si>
  <si>
    <t>点击</t>
  </si>
  <si>
    <t>广告订单</t>
  </si>
  <si>
    <t>CTR</t>
  </si>
  <si>
    <t>CVR</t>
  </si>
  <si>
    <t>总花费</t>
  </si>
  <si>
    <t>CPC</t>
  </si>
  <si>
    <t>广告销售额</t>
  </si>
  <si>
    <t>ACOS</t>
  </si>
  <si>
    <t>广告订单占比</t>
  </si>
  <si>
    <t>①周</t>
  </si>
  <si>
    <t>星期一</t>
  </si>
  <si>
    <t>Q&amp;A数   QA图片视频， 评论数，星级，评论的质量： 前台首页无差评 3星，以及点赞数量（前3个评论，首页）</t>
  </si>
  <si>
    <t>星期二</t>
  </si>
  <si>
    <t>星期三</t>
  </si>
  <si>
    <t>星期四</t>
  </si>
  <si>
    <t>星期五</t>
  </si>
  <si>
    <t>星期六</t>
  </si>
  <si>
    <t>星期日</t>
  </si>
  <si>
    <t>第一周</t>
  </si>
  <si>
    <t>②周</t>
  </si>
  <si>
    <t>第二周</t>
  </si>
  <si>
    <t>③周</t>
  </si>
  <si>
    <t>第三周</t>
  </si>
  <si>
    <t>④周</t>
  </si>
  <si>
    <t>第四周</t>
  </si>
  <si>
    <t>⑤周</t>
  </si>
  <si>
    <t>第五周</t>
  </si>
  <si>
    <t>⑥周</t>
  </si>
  <si>
    <t>第六周</t>
  </si>
  <si>
    <t>周盈亏真实数据</t>
  </si>
  <si>
    <t>广告数据模拟</t>
  </si>
  <si>
    <t>常规数据</t>
  </si>
  <si>
    <t xml:space="preserve">      广告数据</t>
  </si>
  <si>
    <t>实时更新</t>
  </si>
  <si>
    <t>操作备注</t>
  </si>
  <si>
    <t>新品
榜单</t>
  </si>
  <si>
    <t>总
销量</t>
  </si>
  <si>
    <t>总访
问量</t>
  </si>
  <si>
    <t>评分</t>
  </si>
  <si>
    <t>点击量</t>
  </si>
  <si>
    <t>广告单</t>
  </si>
  <si>
    <t>平均
CPC</t>
  </si>
  <si>
    <t>花费</t>
  </si>
  <si>
    <t>自然
访问</t>
  </si>
  <si>
    <t>自然
订单</t>
  </si>
  <si>
    <t>自然
单占比</t>
  </si>
  <si>
    <t>最终
盈亏</t>
  </si>
  <si>
    <t>Sif
质量分</t>
  </si>
  <si>
    <t>运营调整</t>
  </si>
  <si>
    <t>广告操作</t>
  </si>
  <si>
    <t>广告真实数据</t>
  </si>
  <si>
    <t xml:space="preserve">          广告数据</t>
  </si>
  <si>
    <t>SKU：skuR0001EU                            ASIN：Bxxxxxxxx3</t>
  </si>
  <si>
    <t>关键词</t>
  </si>
  <si>
    <t>上架销售时间：</t>
  </si>
  <si>
    <t>推广周期：</t>
  </si>
  <si>
    <t>4月20日-6月31日</t>
  </si>
  <si>
    <t>关键词翻译</t>
  </si>
  <si>
    <t>流量占比</t>
  </si>
  <si>
    <t>预估周曝光量</t>
  </si>
  <si>
    <t>关键词类型</t>
  </si>
  <si>
    <t>转化效果自然流量占比</t>
  </si>
  <si>
    <t>排名目标：</t>
  </si>
  <si>
    <t>Matratzensauger  #50</t>
  </si>
  <si>
    <t>milbensauger</t>
  </si>
  <si>
    <t>吸螨虫</t>
  </si>
  <si>
    <t>主要流量词</t>
  </si>
  <si>
    <t>目标销量：</t>
  </si>
  <si>
    <t>20-25pcs/天</t>
  </si>
  <si>
    <t>milbensauger für matratzen</t>
  </si>
  <si>
    <t>用于床垫的吸尘器</t>
  </si>
  <si>
    <t>sofa reiniger</t>
  </si>
  <si>
    <t>沙发清洁剂</t>
  </si>
  <si>
    <t>matratzenreiniger</t>
  </si>
  <si>
    <t>床垫清洁剂</t>
  </si>
  <si>
    <t>milbensauger für matratzen testsieger</t>
  </si>
  <si>
    <t>用于床垫测试的螨虫吸尘器测试获胜者</t>
  </si>
  <si>
    <t>目标管理</t>
  </si>
  <si>
    <t>目标</t>
  </si>
  <si>
    <t>ASIN 1</t>
  </si>
  <si>
    <t>milbensauger mit uv licht</t>
  </si>
  <si>
    <t>带紫外线灯的螨虫奶嘴</t>
  </si>
  <si>
    <t>对标竞品</t>
  </si>
  <si>
    <t>B0DKPGKSYS</t>
  </si>
  <si>
    <t>hoover milbensauger</t>
  </si>
  <si>
    <t>胡佛螨吸盘</t>
  </si>
  <si>
    <t>精准长尾词</t>
  </si>
  <si>
    <t>目标排名</t>
  </si>
  <si>
    <t>21-24</t>
  </si>
  <si>
    <t>milbenstaubsauger</t>
  </si>
  <si>
    <t>螨吸尘器</t>
  </si>
  <si>
    <t>目标日销</t>
  </si>
  <si>
    <t xml:space="preserve"> 20-25 日销</t>
  </si>
  <si>
    <t>polsterreiniger</t>
  </si>
  <si>
    <t>室内装饰品清洁剂</t>
  </si>
  <si>
    <t>109-129.99</t>
  </si>
  <si>
    <t>teppichreiniger gerät</t>
  </si>
  <si>
    <t>地毯清洁装置</t>
  </si>
  <si>
    <t>、</t>
  </si>
  <si>
    <t>rating</t>
  </si>
  <si>
    <t>polsterreinigungsgerät</t>
  </si>
  <si>
    <t>室内装潢清洗机</t>
  </si>
  <si>
    <t>主推词</t>
  </si>
  <si>
    <t>广泛</t>
  </si>
  <si>
    <t>词组</t>
  </si>
  <si>
    <t>精准</t>
  </si>
  <si>
    <t>核心关键词 选取，</t>
  </si>
  <si>
    <t>除螨仪</t>
  </si>
  <si>
    <t>床垫除螨仪</t>
  </si>
  <si>
    <t>带紫外除螨仪</t>
  </si>
  <si>
    <t>床垫除螨仪冠军</t>
  </si>
  <si>
    <t>Milbensauger</t>
  </si>
  <si>
    <t>jigoo milbensauger</t>
  </si>
  <si>
    <t>jigoo 除螨仪</t>
  </si>
  <si>
    <t>Hoover milbensauger</t>
  </si>
  <si>
    <t>Hoover除螨仪</t>
  </si>
  <si>
    <t>长尾词 选取</t>
  </si>
  <si>
    <t>handstaubsauger</t>
  </si>
  <si>
    <t>手持吸尘器</t>
  </si>
  <si>
    <t>matratzenreiniger gerät</t>
  </si>
  <si>
    <t>除螨仪冠军</t>
  </si>
  <si>
    <t>蓝海词</t>
  </si>
  <si>
    <t>polsterreiniger gerät</t>
  </si>
  <si>
    <t xml:space="preserve">  “沙发清洁器”“软家具清洁设备”</t>
  </si>
  <si>
    <t>其他品牌相关 品牌词词组</t>
  </si>
  <si>
    <t>brand name+keywords</t>
  </si>
  <si>
    <t>B0F1F7J8V3</t>
  </si>
  <si>
    <t>WEEK</t>
  </si>
  <si>
    <t>Date</t>
  </si>
  <si>
    <t>SKU</t>
  </si>
  <si>
    <t>售价</t>
  </si>
  <si>
    <t>COUPON</t>
  </si>
  <si>
    <t>Action</t>
  </si>
  <si>
    <t>目标平均日销</t>
  </si>
  <si>
    <t>周销</t>
  </si>
  <si>
    <t>Review星级/数量</t>
  </si>
  <si>
    <t>REVIEW计划</t>
  </si>
  <si>
    <t>周消耗库存</t>
  </si>
  <si>
    <t>销售额</t>
  </si>
  <si>
    <t>日均流量</t>
  </si>
  <si>
    <t>主关键词自然搜索排名</t>
  </si>
  <si>
    <t>广告计划</t>
  </si>
  <si>
    <t>库存计划</t>
  </si>
  <si>
    <t>送出数量</t>
  </si>
  <si>
    <t>措施</t>
  </si>
  <si>
    <t>广告日预算</t>
  </si>
  <si>
    <t>每日点击</t>
  </si>
  <si>
    <t>广告日订单</t>
  </si>
  <si>
    <t>LBS库存</t>
  </si>
  <si>
    <t>SZ</t>
  </si>
  <si>
    <t>LBS在途</t>
  </si>
  <si>
    <t>LBS发货</t>
  </si>
  <si>
    <t>采购计划</t>
  </si>
  <si>
    <t>4.18-4.25</t>
  </si>
  <si>
    <t>R0001EU</t>
  </si>
  <si>
    <t>10 coupon+广告</t>
  </si>
  <si>
    <t>首单测评1单5星</t>
  </si>
  <si>
    <t>直评 10个</t>
  </si>
  <si>
    <t>主推关键词：milbensauger,milbensauger für matratzen
目标：第5页</t>
  </si>
  <si>
    <t>2490海运</t>
  </si>
  <si>
    <t>4.26-5.2</t>
  </si>
  <si>
    <t>coupon+广告</t>
  </si>
  <si>
    <t>绿标10个</t>
  </si>
  <si>
    <t>直评补 3-5个</t>
  </si>
  <si>
    <t>主推关键词：milbensauger,milbensauger für matratzen
目标：第4页</t>
  </si>
  <si>
    <t>5.3-5.9</t>
  </si>
  <si>
    <t>测评</t>
  </si>
  <si>
    <t>主推关键词：milbensauger,milbensauger für matratzen
目标：第3页</t>
  </si>
  <si>
    <t>1310卡派</t>
  </si>
  <si>
    <t>720至TT
600至RUI备用</t>
  </si>
  <si>
    <t>5.10-5.16</t>
  </si>
  <si>
    <t>10 coupon+7DD+加大广告投放</t>
  </si>
  <si>
    <t>5.17-5.23</t>
  </si>
  <si>
    <t>主推关键词：milbensauger,milbensauger für matratzen
目标：第2页</t>
  </si>
  <si>
    <t>5.24-5.30</t>
  </si>
  <si>
    <t xml:space="preserve">900至TT
</t>
  </si>
  <si>
    <t>5.31-6.6</t>
  </si>
  <si>
    <t>7DD+加大广告投放</t>
  </si>
  <si>
    <t>1980(PD)</t>
  </si>
  <si>
    <t>6.7-6.13</t>
  </si>
  <si>
    <t>主推关键词：milbensauger,milbensauger für matratzen
目标：第1页</t>
  </si>
  <si>
    <t>900至TT</t>
  </si>
  <si>
    <t>6.14-6.20</t>
  </si>
  <si>
    <t>1500卡派</t>
  </si>
  <si>
    <t>6.21-6.27</t>
  </si>
  <si>
    <t>680至TT</t>
  </si>
  <si>
    <t>6.28-7.4</t>
  </si>
  <si>
    <t>7.5-7.11</t>
  </si>
  <si>
    <t>1980卡派</t>
  </si>
  <si>
    <t>切换到RUI卖</t>
  </si>
  <si>
    <t>7.12-7.18</t>
  </si>
  <si>
    <t>7.19-7.25</t>
  </si>
  <si>
    <t>7.26--8.2</t>
  </si>
  <si>
    <t>8.3-8.9</t>
  </si>
  <si>
    <t>8.10-8.16</t>
  </si>
  <si>
    <t>8.17-8.23</t>
  </si>
  <si>
    <t>8.24-8.30</t>
  </si>
  <si>
    <t>WEEK25</t>
  </si>
  <si>
    <t>WEEK26</t>
  </si>
  <si>
    <t>WEEK27</t>
  </si>
  <si>
    <t>WEEK28</t>
  </si>
  <si>
    <r>
      <rPr>
        <sz val="10"/>
        <color rgb="FFFF0000"/>
        <rFont val="宋体"/>
        <charset val="134"/>
      </rPr>
      <t>预估量说明：</t>
    </r>
    <r>
      <rPr>
        <sz val="10"/>
        <color rgb="FF000000"/>
        <rFont val="宋体"/>
        <charset val="134"/>
      </rPr>
      <t xml:space="preserve">
平均cpc和转化率的值的预估方法：
1.市场调研得到同行平均cpc的基础上适当上调；
2.正在做的同品类商品的历史cpc基础上适当上调；
平均cpc和转化率计划制定的说明：
新品期间波动大，采用梯度预估
eg:当cpc为2.5$,转化率为5%的时候，完成日销目标对应的广告费为105$/天；
当cpc为2.3$.转化率为7%的时候，完成日销目标对应的广告费为69$/天  B0F1F7J8V3</t>
    </r>
  </si>
  <si>
    <t>广告销量</t>
  </si>
  <si>
    <t>广告费</t>
  </si>
  <si>
    <t>预估量</t>
  </si>
  <si>
    <t>广告结构</t>
  </si>
  <si>
    <t>广告目标及关注指标</t>
  </si>
  <si>
    <t>广告关键词</t>
  </si>
  <si>
    <t>不同广告类型预算分配</t>
  </si>
  <si>
    <t>平均cpc</t>
  </si>
  <si>
    <t>广告转化率</t>
  </si>
  <si>
    <t xml:space="preserve">
4.28-5.6</t>
  </si>
  <si>
    <t>campaign1：自动广告
campaign2：手动广告测试组B
campaign3：SD-categories
campaign4：PT
campaign5：手动广告核心关键词E</t>
  </si>
  <si>
    <r>
      <rPr>
        <sz val="11"/>
        <color rgb="FF000000"/>
        <rFont val="宋体"/>
        <charset val="134"/>
      </rPr>
      <t xml:space="preserve">有效流量引入
</t>
    </r>
    <r>
      <rPr>
        <b/>
        <sz val="9"/>
        <color rgb="FF000000"/>
        <rFont val="宋体"/>
        <charset val="134"/>
      </rPr>
      <t>点击率；转化率；订单量</t>
    </r>
  </si>
  <si>
    <t xml:space="preserve">milbensauger（主推）
milbensauger für matratzen
核心词
milbensauger
milbenstaubsauger
milbensauger für matratzen
milbensauger mit uv licht
milbensauger für matratzen testsieger
Milbensauger
Hoover milbensauger
长尾词  
milbenstaubsauger
handstaubsauger
milbensauger für matratzen testsieger
matratzenreiniger gerät
polsterreiniger gerät   “沙发清洁器”“软家具清洁设备”
 milbensauger
milbenstaubsauger
milbensauger für matratzen testsieger
欧11531  jimmy jv35
12362   jigoo t600 milbensauger
44157   jigoo milbensauger
53568    hoover milbensauger
62790    milbensauger für matratzen testsieger
90467   jimmy jv35 milbensauger
125594  milbenstaubsauger
247901 milbensauger mit uv licht
2625420 milbensauger für matratzen
5657246 milbensauger
  关键词分析  milbensauger，
milbensauger für matratzen testsieger，
Milbenstaubsauger
milbensauger mit uv licht
milbensauger für matratzen 
 Milbensauger
 jigoo milbensauger 
 Hoover milbensauger
核心关键词 选取，milbensauger，  milbenstaubsauger 
milbensauger für matratzen，
milbensauger mit uv licht  
 长尾词
milbenstaubsauger
handstaubsauger手持吸尘器
milbensauger für matratzen testsieger
matratzenreiniger gerät
关键词竞价分析：除螨仪milbensauger 竞价CPC 1-1.54欧
Milbenstaubsauger 除螨仪 1.5-2.3欧
关键词竞价分析：床垫除螨仪milbensauger für matratzen 竞价CPC 1-2.4欧
带紫外线除螨仪   milbensauger mit uv licht 1.8-2.9欧
milbensauger für matratzen testsieger 1- 2.2欧
hoover milbensauger   1.8-2.8欧 
jimmy jv35 milbensauger  1.1-3欧
以词拓词
Milbensauger
</t>
  </si>
  <si>
    <t xml:space="preserve">
5.7-5.13</t>
  </si>
  <si>
    <t>campaign1：自动广告
campaign2：手动广告测试组B
campaign3：SD-categories
campaign4：PT
campaign5：手动广告核心关键词E
campaign6：SBV-PT / SBV-KT</t>
  </si>
  <si>
    <t>SP:70%
SD:15%
SB:15%</t>
  </si>
  <si>
    <t xml:space="preserve">
5.14-5.20</t>
  </si>
  <si>
    <t xml:space="preserve">
5.21-5.27</t>
  </si>
  <si>
    <t xml:space="preserve">
5.28-6.3</t>
  </si>
  <si>
    <t>campaign1：自动广告
campaign2：手动广告主推词BP
campaign3：SD-categories
campaign4：PT
campaign5：手动广告核心关键词E
campaign6：SBV-PT / SBV-KT</t>
  </si>
  <si>
    <r>
      <rPr>
        <sz val="11"/>
        <color rgb="FF000000"/>
        <rFont val="宋体"/>
        <charset val="134"/>
      </rPr>
      <t xml:space="preserve">推动销售
</t>
    </r>
    <r>
      <rPr>
        <b/>
        <sz val="9"/>
        <color rgb="FF000000"/>
        <rFont val="宋体"/>
        <charset val="134"/>
      </rPr>
      <t>点击率；转化率；订单量；Acos</t>
    </r>
  </si>
  <si>
    <t>6.4-6.10</t>
  </si>
  <si>
    <t>6.11-6.17</t>
  </si>
  <si>
    <t>6.18-6.24</t>
  </si>
  <si>
    <t>6.25-7.1</t>
  </si>
  <si>
    <t>7.2-7.8</t>
  </si>
  <si>
    <t>7.9-7.15</t>
  </si>
  <si>
    <t>7.16-7.22</t>
  </si>
  <si>
    <t>campaign1：自动广告
campaign2：手动广告主推词PE
campaign3：SD-categories
campaign4：PT
campaign5：手动广告核心关键词E
campaign6：SBV-PT / SBV-KT</t>
  </si>
  <si>
    <r>
      <rPr>
        <sz val="11"/>
        <color rgb="FF000000"/>
        <rFont val="宋体"/>
        <charset val="134"/>
      </rPr>
      <t xml:space="preserve">防守&amp;进攻
</t>
    </r>
    <r>
      <rPr>
        <b/>
        <sz val="9"/>
        <color rgb="FF000000"/>
        <rFont val="宋体"/>
        <charset val="134"/>
      </rPr>
      <t>转化率；订单量；Acos/Roas</t>
    </r>
  </si>
  <si>
    <t>SP:60%
SD:20%
SB:20%</t>
  </si>
  <si>
    <t>7.23-7.31</t>
  </si>
  <si>
    <r>
      <rPr>
        <sz val="11"/>
        <color rgb="FF000000"/>
        <rFont val="宋体"/>
        <charset val="134"/>
      </rPr>
      <t xml:space="preserve">防守&amp;进攻
</t>
    </r>
    <r>
      <rPr>
        <b/>
        <sz val="9"/>
        <color rgb="FF000000"/>
        <rFont val="宋体"/>
        <charset val="134"/>
      </rPr>
      <t xml:space="preserve">转化率；订单量；Acos/Roas 
</t>
    </r>
    <r>
      <rPr>
        <sz val="11"/>
        <color rgb="FF000000"/>
        <rFont val="宋体"/>
        <charset val="134"/>
      </rPr>
      <t>milbensauger</t>
    </r>
  </si>
  <si>
    <t>细分项</t>
  </si>
  <si>
    <t>4月</t>
  </si>
  <si>
    <t>5月</t>
  </si>
  <si>
    <t>6月</t>
  </si>
  <si>
    <t>达标后每月销售</t>
  </si>
  <si>
    <t>状态</t>
  </si>
  <si>
    <t>Asin</t>
  </si>
  <si>
    <t>Model#</t>
  </si>
  <si>
    <t>国家</t>
  </si>
  <si>
    <t>佣金比例</t>
  </si>
  <si>
    <t>RMA比例</t>
  </si>
  <si>
    <t>广告费占比</t>
  </si>
  <si>
    <r>
      <rPr>
        <b/>
        <sz val="10"/>
        <color rgb="FFFF0000"/>
        <rFont val="宋体"/>
        <charset val="134"/>
      </rPr>
      <t>MC/</t>
    </r>
    <r>
      <rPr>
        <b/>
        <sz val="10"/>
        <color rgb="FFFF0000"/>
        <rFont val="宋体"/>
        <charset val="134"/>
      </rPr>
      <t>个</t>
    </r>
  </si>
  <si>
    <r>
      <rPr>
        <b/>
        <sz val="10"/>
        <color rgb="FFFF0000"/>
        <rFont val="宋体"/>
        <charset val="134"/>
      </rPr>
      <t>FBA</t>
    </r>
    <r>
      <rPr>
        <b/>
        <sz val="10"/>
        <color rgb="FFFF0000"/>
        <rFont val="宋体"/>
        <charset val="134"/>
      </rPr>
      <t>配送费</t>
    </r>
  </si>
  <si>
    <r>
      <rPr>
        <b/>
        <sz val="10"/>
        <color rgb="FF000000"/>
        <rFont val="宋体"/>
        <charset val="134"/>
      </rPr>
      <t>退换货分摊</t>
    </r>
    <r>
      <rPr>
        <b/>
        <sz val="10"/>
        <color rgb="FF000000"/>
        <rFont val="宋体"/>
        <charset val="134"/>
      </rPr>
      <t xml:space="preserve">
/</t>
    </r>
    <r>
      <rPr>
        <b/>
        <sz val="10"/>
        <color rgb="FF000000"/>
        <rFont val="宋体"/>
        <charset val="134"/>
      </rPr>
      <t>个</t>
    </r>
  </si>
  <si>
    <t>VAT</t>
  </si>
  <si>
    <t>待办操作</t>
  </si>
  <si>
    <t>月销量</t>
  </si>
  <si>
    <t>销售总额</t>
  </si>
  <si>
    <t>MC</t>
  </si>
  <si>
    <t>佣金</t>
  </si>
  <si>
    <t>配送费</t>
  </si>
  <si>
    <r>
      <rPr>
        <b/>
        <sz val="10"/>
        <color rgb="FF000000"/>
        <rFont val="宋体"/>
        <charset val="134"/>
      </rPr>
      <t>RMA</t>
    </r>
    <r>
      <rPr>
        <b/>
        <sz val="10"/>
        <color rgb="FF000000"/>
        <rFont val="宋体"/>
        <charset val="134"/>
      </rPr>
      <t>扣减</t>
    </r>
  </si>
  <si>
    <t>促销费</t>
  </si>
  <si>
    <t>成本总计</t>
  </si>
  <si>
    <t>回款额
UK</t>
  </si>
  <si>
    <t>回款率</t>
  </si>
  <si>
    <r>
      <rPr>
        <b/>
        <sz val="10"/>
        <color rgb="FF000000"/>
        <rFont val="宋体"/>
        <charset val="134"/>
      </rPr>
      <t xml:space="preserve">净毛利 </t>
    </r>
    <r>
      <rPr>
        <b/>
        <sz val="10"/>
        <color rgb="FF000000"/>
        <rFont val="宋体"/>
        <charset val="134"/>
      </rPr>
      <t>US</t>
    </r>
  </si>
  <si>
    <t>净毛利率</t>
  </si>
  <si>
    <t xml:space="preserve">VAT
</t>
  </si>
  <si>
    <r>
      <rPr>
        <b/>
        <sz val="10"/>
        <color rgb="FF000000"/>
        <rFont val="宋体"/>
        <charset val="134"/>
      </rPr>
      <t>回款额
U</t>
    </r>
    <r>
      <rPr>
        <b/>
        <sz val="10"/>
        <color rgb="FF000000"/>
        <rFont val="宋体"/>
        <charset val="134"/>
      </rPr>
      <t>S</t>
    </r>
  </si>
  <si>
    <t>净毛利 US</t>
  </si>
  <si>
    <t>回款额
EU</t>
  </si>
  <si>
    <t>净毛利 EU</t>
  </si>
  <si>
    <t>卡航</t>
  </si>
  <si>
    <t>B0XXXXXXV3</t>
  </si>
  <si>
    <t>SK0001EU</t>
  </si>
  <si>
    <t>DE</t>
  </si>
  <si>
    <t>铁路</t>
  </si>
  <si>
    <t>海运</t>
  </si>
  <si>
    <t>空运</t>
  </si>
  <si>
    <t>价格利润测算</t>
  </si>
  <si>
    <t>Model</t>
  </si>
  <si>
    <t>Price</t>
  </si>
  <si>
    <t>All cost</t>
  </si>
  <si>
    <t>Profit</t>
  </si>
  <si>
    <t>Profit%</t>
  </si>
  <si>
    <t>退货均摊</t>
  </si>
  <si>
    <t>VAT税率</t>
  </si>
  <si>
    <t>佣金率</t>
  </si>
  <si>
    <t>折扣% off</t>
  </si>
  <si>
    <t>底价</t>
  </si>
  <si>
    <t>ROI测算</t>
  </si>
  <si>
    <t>月份</t>
  </si>
  <si>
    <t>累计净毛利</t>
  </si>
  <si>
    <t>3月</t>
  </si>
  <si>
    <t>7月</t>
  </si>
  <si>
    <t>8月</t>
  </si>
  <si>
    <t>9月</t>
  </si>
  <si>
    <t>10月</t>
  </si>
  <si>
    <t>11月</t>
  </si>
  <si>
    <t>12月</t>
  </si>
  <si>
    <t>1月</t>
  </si>
  <si>
    <t>ROI实际数据</t>
  </si>
  <si>
    <t>ROI差异数据</t>
  </si>
  <si>
    <t>amazon-order-id</t>
  </si>
  <si>
    <t>merchant-order-id</t>
  </si>
  <si>
    <t>purchase-date</t>
  </si>
  <si>
    <t>last-updated-date</t>
  </si>
  <si>
    <t>order-status</t>
  </si>
  <si>
    <t>fulfillment-channel</t>
  </si>
  <si>
    <t>sales-channel</t>
  </si>
  <si>
    <t>order-channel</t>
  </si>
  <si>
    <t>url</t>
  </si>
  <si>
    <t>ship-service-level</t>
  </si>
  <si>
    <t>product-name</t>
  </si>
  <si>
    <t>sku</t>
  </si>
  <si>
    <t>asin</t>
  </si>
  <si>
    <t>item-status</t>
  </si>
  <si>
    <t>quantity</t>
  </si>
  <si>
    <t>currency</t>
  </si>
  <si>
    <t>item-price</t>
  </si>
  <si>
    <t>item-tax</t>
  </si>
  <si>
    <t>shipping-price</t>
  </si>
  <si>
    <t>shipping-tax</t>
  </si>
  <si>
    <t>gift-wrap-price</t>
  </si>
  <si>
    <t>gift-wrap-tax</t>
  </si>
  <si>
    <t>item-promotion-discount</t>
  </si>
  <si>
    <t>ship-promotion-discount</t>
  </si>
  <si>
    <t>ship-city</t>
  </si>
  <si>
    <t>ship-state</t>
  </si>
  <si>
    <t>ship-postal-code</t>
  </si>
  <si>
    <t>ship-country</t>
  </si>
  <si>
    <t>promotion-ids</t>
  </si>
  <si>
    <t>is-business-order</t>
  </si>
  <si>
    <t>purchase-order-number</t>
  </si>
  <si>
    <t>price-designation</t>
  </si>
  <si>
    <t>default-ship-from-address-name</t>
  </si>
  <si>
    <t>default-ship-from-address-field-1</t>
  </si>
  <si>
    <t>default-ship-from-address-field-2</t>
  </si>
  <si>
    <t>default-ship-from-address-field-3</t>
  </si>
  <si>
    <t>default-ship-from-city</t>
  </si>
  <si>
    <t>default-ship-from-state</t>
  </si>
  <si>
    <t>default-ship-from-country</t>
  </si>
  <si>
    <t>default-ship-from-postal-code</t>
  </si>
  <si>
    <t>actual-ship-from-address-name</t>
  </si>
  <si>
    <t>actual-ship-from-address-field-1</t>
  </si>
  <si>
    <t>actual-ship-from-address-field-2</t>
  </si>
  <si>
    <t>actual-ship-from-address-field-3</t>
  </si>
  <si>
    <t>actual-ship-from-city</t>
  </si>
  <si>
    <t>actual-ship-from-state</t>
  </si>
  <si>
    <t>actual-ship-from-country</t>
  </si>
  <si>
    <t>actual-ship-from-postal-code</t>
  </si>
  <si>
    <t>is-buyer-requested-cancellation</t>
  </si>
  <si>
    <t>buyer-requested-cancel-reason</t>
  </si>
  <si>
    <t>serial-numbers</t>
  </si>
  <si>
    <t xml:space="preserve">signature-confirmation-recommended </t>
  </si>
  <si>
    <t>111-9858618-2103444</t>
  </si>
  <si>
    <t>2023-09-12T05:37:43+00:00</t>
  </si>
  <si>
    <t>2023-09-12T05:37:48+00:00</t>
  </si>
  <si>
    <t>Pending</t>
  </si>
  <si>
    <t>Amazon</t>
  </si>
  <si>
    <r>
      <rPr>
        <u/>
        <sz val="10"/>
        <color theme="10"/>
        <rFont val="宋体"/>
        <charset val="134"/>
      </rPr>
      <t>Amazon.com</t>
    </r>
  </si>
  <si>
    <t>Expedited</t>
  </si>
  <si>
    <t>Dash Cam Front with FHD 1080p, Wanlipo 2 Inch LCD Dashcam, Dashboard Camera for Cars with 24h Parking Monitor, G-Sensor, Loop Recording, Free 32GB SD</t>
  </si>
  <si>
    <t>J09-C1</t>
  </si>
  <si>
    <t>B0BG6WPM3W</t>
  </si>
  <si>
    <t>Unshipped</t>
  </si>
  <si>
    <t>USD</t>
  </si>
  <si>
    <t>BELLMAWR</t>
  </si>
  <si>
    <t>NJ</t>
  </si>
  <si>
    <t>08031-2115</t>
  </si>
  <si>
    <t>US</t>
  </si>
  <si>
    <t>MPC-S Percentage Off 2023/09/10 11-52-12-900</t>
  </si>
  <si>
    <t>114-5667916-6324215</t>
  </si>
  <si>
    <t>2023-09-12T03:37:05+00:00</t>
  </si>
  <si>
    <t>2023-09-12T09:02:46+00:00</t>
  </si>
  <si>
    <t>Shipped</t>
  </si>
  <si>
    <t>4K Dash Cam Front Built-in WiFi, WANLIPO Dash Camera for Cars with 64GB SD Card, Car Camera with 3" IPS Screen, 2160P Dashcam for Cars with App Contro</t>
  </si>
  <si>
    <t>Wanlipo M03-3</t>
  </si>
  <si>
    <t>B0CC8CHTTJ</t>
  </si>
  <si>
    <t>MONROE</t>
  </si>
  <si>
    <t>GA</t>
  </si>
  <si>
    <t>30656-4723</t>
  </si>
  <si>
    <t>MPC-S Percentage Off 2023/09/11 9-53-46-600</t>
  </si>
  <si>
    <t>111-1595396-9168227</t>
  </si>
  <si>
    <t>2023-09-11T23:55:05+00:00</t>
  </si>
  <si>
    <t>2023-09-11T23:55:11+00:00</t>
  </si>
  <si>
    <t>SILVER SPRING</t>
  </si>
  <si>
    <t>MD</t>
  </si>
  <si>
    <t>20906-4527</t>
  </si>
  <si>
    <t>MPC-S Percentage Off 2023/09/10 11-52-3-698</t>
  </si>
  <si>
    <t>112-7810040-2837843</t>
  </si>
  <si>
    <t>2023-09-11T19:41:13+00:00</t>
  </si>
  <si>
    <t>2023-09-12T01:35:23+00:00</t>
  </si>
  <si>
    <t>Nashville</t>
  </si>
  <si>
    <t>TN</t>
  </si>
  <si>
    <t>37208-1058</t>
  </si>
  <si>
    <t>MPC-S Percentage Off 2023/09/10 11-52-13-889</t>
  </si>
  <si>
    <t>111-4369826-2407442</t>
  </si>
  <si>
    <t>2023-09-11T18:52:15+00:00</t>
  </si>
  <si>
    <t>2023-09-11T18:52:21+00:00</t>
  </si>
  <si>
    <t>Standard</t>
  </si>
  <si>
    <t>4K Dash Cam Front with WiFi 2160P, VOFRTY Dash Camera for Cars with 3" IPS, Car Camera with App Control, Dashcam with G-Sensor, Loop Recording, 64GB S</t>
  </si>
  <si>
    <t>M03-3</t>
  </si>
  <si>
    <t>B0C1C9T9KP</t>
  </si>
  <si>
    <t>HUNTINGTON</t>
  </si>
  <si>
    <t>WV</t>
  </si>
  <si>
    <t>25704-1119</t>
  </si>
  <si>
    <t>US Core Free Shipping Promotion A3JU1FCINF5SD0,Percentage Off 2023/08/28 6-17-47-400</t>
  </si>
  <si>
    <t>114-0862837-0430606</t>
  </si>
  <si>
    <t>2023-09-11T17:17:31+00:00</t>
  </si>
  <si>
    <t>2023-09-11T17:17:37+00:00</t>
  </si>
  <si>
    <t>LOS ANGELES</t>
  </si>
  <si>
    <t>CA</t>
  </si>
  <si>
    <t>90016-2009</t>
  </si>
  <si>
    <t>114-2447819-7327466</t>
  </si>
  <si>
    <t>2023-09-11T15:45:23+00:00</t>
  </si>
  <si>
    <t>2023-09-11T15:45:29+00:00</t>
  </si>
  <si>
    <t>DES MOINES</t>
  </si>
  <si>
    <t>IA</t>
  </si>
  <si>
    <t>50317-6307</t>
  </si>
  <si>
    <t>MPC-S Percentage Off 2023/09/11 9-54-8-40</t>
  </si>
  <si>
    <t>114-3078544-2276207</t>
  </si>
  <si>
    <t>2023-09-11T15:21:19+00:00</t>
  </si>
  <si>
    <t>2023-09-12T04:25:37+00:00</t>
  </si>
  <si>
    <t>LA VERGNE</t>
  </si>
  <si>
    <t>37086-1439</t>
  </si>
  <si>
    <t>114-1356066-5534643</t>
  </si>
  <si>
    <t>2023-09-11T13:58:53+00:00</t>
  </si>
  <si>
    <t>2023-09-12T07:08:25+00:00</t>
  </si>
  <si>
    <t>BLACKSTONE</t>
  </si>
  <si>
    <t>MA</t>
  </si>
  <si>
    <t>01504-1408</t>
  </si>
  <si>
    <t>MPC-S Percentage Off 2023/09/10 5-41-22-292</t>
  </si>
  <si>
    <t>112-9726611-4879461</t>
  </si>
  <si>
    <t>2023-09-11T12:39:23+00:00</t>
  </si>
  <si>
    <t>2023-09-12T09:25:25+00:00</t>
  </si>
  <si>
    <t>Brooklyn</t>
  </si>
  <si>
    <t>NY</t>
  </si>
  <si>
    <t>MPC-S Percentage Off 2023/09/07 1-34-35-547</t>
  </si>
  <si>
    <t>113-6400382-4997016</t>
  </si>
  <si>
    <t>2023-09-11T11:06:47+00:00</t>
  </si>
  <si>
    <t>2023-09-11T11:06:52+00:00</t>
  </si>
  <si>
    <t>BRONX</t>
  </si>
  <si>
    <t>112-9947498-4884232</t>
  </si>
  <si>
    <t>2023-09-11T07:15:23+00:00</t>
  </si>
  <si>
    <t>2023-09-11T18:12:08+00:00</t>
  </si>
  <si>
    <t>WEST COVINA</t>
  </si>
  <si>
    <t>91792-1494</t>
  </si>
  <si>
    <t>Percentage Off 2023/08/28 6-17-47-400</t>
  </si>
  <si>
    <t>标题</t>
  </si>
  <si>
    <t>产品链接</t>
  </si>
  <si>
    <t>原价</t>
  </si>
  <si>
    <t>折扣码</t>
  </si>
  <si>
    <t>折扣力度</t>
  </si>
  <si>
    <t>其他叠加优惠</t>
  </si>
  <si>
    <t>资源名称</t>
  </si>
  <si>
    <t>资源链接</t>
  </si>
  <si>
    <t>费用</t>
  </si>
  <si>
    <t>帖子链接</t>
  </si>
  <si>
    <t>上帖图片</t>
  </si>
  <si>
    <t>失败原因</t>
  </si>
  <si>
    <t>下单时间</t>
  </si>
  <si>
    <t>接单时间</t>
  </si>
  <si>
    <t>上帖时间</t>
  </si>
  <si>
    <t>退款时间</t>
  </si>
  <si>
    <t>4K Dash Cam Front Built-in WiFi, WANLIPO Dash Camera for Cars with 64GB SD Card App Control</t>
  </si>
  <si>
    <t>https://www.amazon.com/promocode/A1DX8GZASC5MLT</t>
  </si>
  <si>
    <t>$99.99</t>
  </si>
  <si>
    <t>$31.99</t>
  </si>
  <si>
    <t>68WHPID3</t>
  </si>
  <si>
    <t>INSANE CHRISTMAS DEALS, Forking Good Deals</t>
  </si>
  <si>
    <r>
      <rPr>
        <u/>
        <sz val="10"/>
        <color theme="10"/>
        <rFont val="宋体"/>
        <charset val="134"/>
      </rPr>
      <t>查看链接</t>
    </r>
  </si>
  <si>
    <t>已完成</t>
  </si>
  <si>
    <r>
      <rPr>
        <u/>
        <sz val="10"/>
        <color theme="10"/>
        <rFont val="宋体"/>
        <charset val="134"/>
      </rPr>
      <t>查看帖子</t>
    </r>
  </si>
  <si>
    <t>2023-09-07 15:24:49</t>
  </si>
  <si>
    <t>2023-09-07 18:22:38</t>
  </si>
  <si>
    <t>2023-09-08 11:44:55</t>
  </si>
  <si>
    <t>Saving With Joy- Online Deals and Giveaways</t>
  </si>
  <si>
    <t>2023-09-07 16:49:59</t>
  </si>
  <si>
    <t>2023-09-08 13:42:22</t>
  </si>
  <si>
    <t>The Frugal SAHM | Deals &amp; Discounts for Moms + Babies</t>
  </si>
  <si>
    <t>2023-09-07 18:10:10</t>
  </si>
  <si>
    <t>2023-09-09 03:49:38</t>
  </si>
  <si>
    <t>Leave it on the Porch</t>
  </si>
  <si>
    <t>2023-09-07 15:34:15</t>
  </si>
  <si>
    <t>2023-09-08 09:11:21</t>
  </si>
  <si>
    <t>Nats daily deals and codes</t>
  </si>
  <si>
    <t>已取消/退款</t>
  </si>
  <si>
    <t>未入选</t>
  </si>
  <si>
    <t>2023-09-07 18:13:47</t>
  </si>
  <si>
    <t>2023-09-13 15:39:13</t>
  </si>
  <si>
    <t>Bomb Deals - Promo Codes - Coupons</t>
  </si>
  <si>
    <t>2023-09-07 22:32:59</t>
  </si>
  <si>
    <t>2023-09-08 10:43:22</t>
  </si>
  <si>
    <t>Oopsie Deals</t>
  </si>
  <si>
    <r>
      <rPr>
        <u/>
        <sz val="10"/>
        <color theme="10"/>
        <rFont val="宋体"/>
        <charset val="134"/>
      </rPr>
      <t>查看图片</t>
    </r>
  </si>
  <si>
    <t>2023-09-07 15:27:44</t>
  </si>
  <si>
    <t>2023-09-08 09:53:51</t>
  </si>
  <si>
    <t>Dysautomama Deals</t>
  </si>
  <si>
    <t>2023-09-07 16:25:17</t>
  </si>
  <si>
    <t>2023-09-08 15:28:24</t>
  </si>
  <si>
    <t>Gretchen's Adventures Deals</t>
  </si>
  <si>
    <t>2023-09-07 18:16:12</t>
  </si>
  <si>
    <t>2023-09-08 18:19:33</t>
  </si>
  <si>
    <t>Ohana Farmhouse 🌺 Daily Deals &amp; Steals</t>
  </si>
  <si>
    <t>2023-09-07 16:18:35</t>
  </si>
  <si>
    <t>2023-09-08 23:27:38</t>
  </si>
  <si>
    <t>https://www.amazon.com/promocode/A6V41M33IJCOY</t>
  </si>
  <si>
    <t>685AXW4O</t>
  </si>
  <si>
    <t>HarcarSisters - (Deals &amp; Steals)</t>
  </si>
  <si>
    <t>管理员超时不回复</t>
  </si>
  <si>
    <t>2023-09-08 12:05:34</t>
  </si>
  <si>
    <t>2023-09-10 18:13:38</t>
  </si>
  <si>
    <t>Compras toxicas con la patrona</t>
  </si>
  <si>
    <t>2023-09-08 23:37:45</t>
  </si>
  <si>
    <t>2023-09-09 10:11:14</t>
  </si>
  <si>
    <t>Kristen's Deals and Discounts</t>
  </si>
  <si>
    <t>2023-09-08 18:20:51</t>
  </si>
  <si>
    <t>2023-09-09 12:12:40</t>
  </si>
  <si>
    <t>Sales-aholic.com Deals, Glitches, &amp; Free Things</t>
  </si>
  <si>
    <t>2023-09-08 14:15:56</t>
  </si>
  <si>
    <t>2023-09-09 07:14:41</t>
  </si>
  <si>
    <t>Jackie's Fun Finds</t>
  </si>
  <si>
    <t>2023-09-08 18:18:53</t>
  </si>
  <si>
    <t>2023-09-09 14:09:58</t>
  </si>
  <si>
    <t>Coupon with Nada</t>
  </si>
  <si>
    <t>2023-09-08 19:25:02</t>
  </si>
  <si>
    <t>2023-09-11 09:06:26</t>
  </si>
  <si>
    <t>Thrifty Babes®: The Shop Society</t>
  </si>
  <si>
    <t>2023-09-08 12:49:48</t>
  </si>
  <si>
    <t>2023-09-12 22:29:32</t>
  </si>
  <si>
    <t>LaurenLovesDeals &amp; more!</t>
  </si>
  <si>
    <t>Reviews数量不足</t>
  </si>
  <si>
    <t>2023-09-08 13:09:33</t>
  </si>
  <si>
    <t>Amazing - Deals &amp; Codes</t>
  </si>
  <si>
    <t>拼帖人要求退款</t>
  </si>
  <si>
    <t>2023-09-08 19:24:03</t>
  </si>
  <si>
    <t>2023-09-13 20:13:33</t>
  </si>
  <si>
    <t>Bullseye🎯on the Bargain</t>
  </si>
  <si>
    <t>2023-09-08 18:10:20</t>
  </si>
  <si>
    <t>2023-09-11 14:06:40</t>
  </si>
  <si>
    <t>KB's Deals™</t>
  </si>
  <si>
    <t>2023-09-08 12:42:32</t>
  </si>
  <si>
    <t>2023-09-12 20:36:32</t>
  </si>
  <si>
    <t>🌷simply sales with Alyssa &amp; Sarah</t>
  </si>
  <si>
    <t>2023-09-08 14:57:17</t>
  </si>
  <si>
    <t>2023-09-09 18:48:42</t>
  </si>
  <si>
    <t>https://www.amazon.com/promocode/A3KI4FHP7QJ2RZ</t>
  </si>
  <si>
    <t>68Z5D8VU</t>
  </si>
  <si>
    <t>2023-09-09 11:16:31</t>
  </si>
  <si>
    <t>2023-09-09 17:18:41</t>
  </si>
  <si>
    <t>2023-09-10 22:43:33</t>
  </si>
  <si>
    <t>The Glitch Witch - A Snarky Deals Group</t>
  </si>
  <si>
    <t>2023-09-09 18:11:16</t>
  </si>
  <si>
    <t>2023-09-09 23:58:34</t>
  </si>
  <si>
    <t>2023-09-09 18:10:39</t>
  </si>
  <si>
    <t>2023-09-12 12:32:38</t>
  </si>
  <si>
    <t>2023-09-09 14:42:00</t>
  </si>
  <si>
    <t>2023-09-13 20:05:36</t>
  </si>
  <si>
    <t>2023-09-09 14:41:20</t>
  </si>
  <si>
    <t>2023-09-12 22:29:33</t>
  </si>
  <si>
    <t>BUT It Was On Sale..💥💥</t>
  </si>
  <si>
    <t>2023-09-09 18:06:35</t>
  </si>
  <si>
    <t>2023-09-10 20:05:36</t>
  </si>
  <si>
    <t>Mommy &amp; Me Deals</t>
  </si>
  <si>
    <t>2023-09-09 17:19:45</t>
  </si>
  <si>
    <t>2023-09-11 22:55:21</t>
  </si>
  <si>
    <t>Kouponing With Katie</t>
  </si>
  <si>
    <t>2023-09-09 18:12:13</t>
  </si>
  <si>
    <t>2023-09-10 09:36:07</t>
  </si>
  <si>
    <t>🍑 Peachy Keen Deals and Steals</t>
  </si>
  <si>
    <t>2023-09-09 14:43:07</t>
  </si>
  <si>
    <t>2023-09-11 19:40:40</t>
  </si>
  <si>
    <t>Savvy Money Saving Shopaholics Group</t>
  </si>
  <si>
    <t>进行中</t>
  </si>
  <si>
    <t>2023-09-11 18:20:47</t>
  </si>
  <si>
    <t>Crazy Discount Codes</t>
  </si>
  <si>
    <t>2023-09-11 10:40:36</t>
  </si>
  <si>
    <t>2023-09-11 11:59:28</t>
  </si>
  <si>
    <t>否定精准</t>
  </si>
  <si>
    <t>否定词组</t>
  </si>
  <si>
    <t>品牌词</t>
  </si>
  <si>
    <t>car screen</t>
  </si>
  <si>
    <t>monitor</t>
  </si>
  <si>
    <t>ring</t>
  </si>
  <si>
    <t>4k monitor</t>
  </si>
  <si>
    <t>digital</t>
  </si>
  <si>
    <t>VIOFO</t>
  </si>
  <si>
    <t>digital dash</t>
  </si>
  <si>
    <t>real</t>
  </si>
  <si>
    <t>VANTRUE</t>
  </si>
  <si>
    <t>car wifi</t>
  </si>
  <si>
    <t>blackvue</t>
  </si>
  <si>
    <t>Thinkware</t>
  </si>
  <si>
    <t>screen for car</t>
  </si>
  <si>
    <t>laser</t>
  </si>
  <si>
    <t>Blackvue</t>
  </si>
  <si>
    <t>wifi for car</t>
  </si>
  <si>
    <t>jammer</t>
  </si>
  <si>
    <t>Garmin</t>
  </si>
  <si>
    <t>parking sensor</t>
  </si>
  <si>
    <t>echo</t>
  </si>
  <si>
    <t>70mai</t>
  </si>
  <si>
    <t>real car</t>
  </si>
  <si>
    <t>auto</t>
  </si>
  <si>
    <t>NEXT BASE</t>
  </si>
  <si>
    <t>digital dashboard</t>
  </si>
  <si>
    <t>small</t>
  </si>
  <si>
    <t>REXING</t>
  </si>
  <si>
    <t>4k monitors</t>
  </si>
  <si>
    <t>battery</t>
  </si>
  <si>
    <t>Blueskysea</t>
  </si>
  <si>
    <t>car monitor</t>
  </si>
  <si>
    <t>filler</t>
  </si>
  <si>
    <t>IIWEY</t>
  </si>
  <si>
    <t>4k ips monitor</t>
  </si>
  <si>
    <t>sticky</t>
  </si>
  <si>
    <t>AZDOME</t>
  </si>
  <si>
    <t>thinkware</t>
  </si>
  <si>
    <t>fix</t>
  </si>
  <si>
    <t>ddpai</t>
  </si>
  <si>
    <t>thinkware thinkware u1000</t>
  </si>
  <si>
    <t>saver</t>
  </si>
  <si>
    <t>FITCAMX</t>
  </si>
  <si>
    <t>blackvue dr970x-2ch</t>
  </si>
  <si>
    <t>pack</t>
  </si>
  <si>
    <t>iZEEKER</t>
  </si>
  <si>
    <t>laser jammer</t>
  </si>
  <si>
    <t>password</t>
  </si>
  <si>
    <t>Nexar</t>
  </si>
  <si>
    <t>parking sensors for cars</t>
  </si>
  <si>
    <t>back</t>
  </si>
  <si>
    <t>Glucrean</t>
  </si>
  <si>
    <t>monitor 4k</t>
  </si>
  <si>
    <t>rear</t>
  </si>
  <si>
    <t>PRUVEEO</t>
  </si>
  <si>
    <t>control for</t>
  </si>
  <si>
    <t>front and rear</t>
  </si>
  <si>
    <t>REDTIGER</t>
  </si>
  <si>
    <t>blackvue dr900x</t>
  </si>
  <si>
    <t>dual</t>
  </si>
  <si>
    <t>Z Z-EDGE</t>
  </si>
  <si>
    <t>wifi card</t>
  </si>
  <si>
    <t>inside</t>
  </si>
  <si>
    <t>CHORTAU</t>
  </si>
  <si>
    <t>front parking camera</t>
  </si>
  <si>
    <t>backup</t>
  </si>
  <si>
    <t>GOODTS</t>
  </si>
  <si>
    <t>echo auto</t>
  </si>
  <si>
    <t>hidden</t>
  </si>
  <si>
    <t>Plozoe</t>
  </si>
  <si>
    <t>thinkware f200 pro</t>
  </si>
  <si>
    <t>mini</t>
  </si>
  <si>
    <t>VSYSTO</t>
  </si>
  <si>
    <t>dash cam sd card</t>
  </si>
  <si>
    <t>bluetooth</t>
  </si>
  <si>
    <t>Cobra</t>
  </si>
  <si>
    <t>real cars</t>
  </si>
  <si>
    <t>radar</t>
  </si>
  <si>
    <t>COOAU</t>
  </si>
  <si>
    <t>car front camera</t>
  </si>
  <si>
    <t>mirror</t>
  </si>
  <si>
    <t>navycrest</t>
  </si>
  <si>
    <t>vehicle electronics</t>
  </si>
  <si>
    <t>safety</t>
  </si>
  <si>
    <t>RISERO</t>
  </si>
  <si>
    <t>cordless dash cam</t>
  </si>
  <si>
    <t>security</t>
  </si>
  <si>
    <t>WOLFBOX</t>
  </si>
  <si>
    <t>camera monitor</t>
  </si>
  <si>
    <t>front and inside</t>
  </si>
  <si>
    <t>Zhrmghg</t>
  </si>
  <si>
    <t>small dash cam</t>
  </si>
  <si>
    <t>front and back</t>
  </si>
  <si>
    <t>vehicle</t>
  </si>
  <si>
    <t>front and backup</t>
  </si>
  <si>
    <t>ABASK</t>
  </si>
  <si>
    <t>blue car</t>
  </si>
  <si>
    <t>pruveeo</t>
  </si>
  <si>
    <t>Amazon Renewed</t>
  </si>
  <si>
    <t>dash cam battery pack</t>
  </si>
  <si>
    <r>
      <rPr>
        <sz val="11"/>
        <color rgb="FF000000"/>
        <rFont val="宋体"/>
        <charset val="134"/>
      </rPr>
      <t>3 channel</t>
    </r>
    <r>
      <rPr>
        <sz val="11"/>
        <color rgb="FF000000"/>
        <rFont val="宋体"/>
        <charset val="134"/>
      </rPr>
      <t xml:space="preserve"> </t>
    </r>
  </si>
  <si>
    <t>AXIL</t>
  </si>
  <si>
    <t>sticky dash fix</t>
  </si>
  <si>
    <t>Dongar Technologies</t>
  </si>
  <si>
    <t>memory saver for car battery</t>
  </si>
  <si>
    <r>
      <rPr>
        <sz val="11"/>
        <color rgb="FF000000"/>
        <rFont val="宋体"/>
        <charset val="134"/>
      </rPr>
      <t>luxi</t>
    </r>
    <r>
      <rPr>
        <sz val="11"/>
        <color rgb="FF000000"/>
        <rFont val="宋体"/>
        <charset val="134"/>
      </rPr>
      <t xml:space="preserve"> </t>
    </r>
  </si>
  <si>
    <t>dosili</t>
  </si>
  <si>
    <t>wifi battery monitor</t>
  </si>
  <si>
    <t>FocuWay</t>
  </si>
  <si>
    <t>wifi password</t>
  </si>
  <si>
    <r>
      <rPr>
        <sz val="11"/>
        <color rgb="FF000000"/>
        <rFont val="宋体"/>
        <charset val="134"/>
      </rPr>
      <t>nexar</t>
    </r>
    <r>
      <rPr>
        <sz val="11"/>
        <color rgb="FF000000"/>
        <rFont val="宋体"/>
        <charset val="134"/>
      </rPr>
      <t xml:space="preserve"> </t>
    </r>
  </si>
  <si>
    <t>Heaboli</t>
  </si>
  <si>
    <t>amazon auto</t>
  </si>
  <si>
    <r>
      <rPr>
        <sz val="11"/>
        <color rgb="FF000000"/>
        <rFont val="宋体"/>
        <charset val="134"/>
      </rPr>
      <t xml:space="preserve"> </t>
    </r>
    <r>
      <rPr>
        <sz val="11"/>
        <color rgb="FF000000"/>
        <rFont val="宋体"/>
        <charset val="134"/>
      </rPr>
      <t>link</t>
    </r>
  </si>
  <si>
    <t>LAMTTO</t>
  </si>
  <si>
    <t>battery filler</t>
  </si>
  <si>
    <r>
      <rPr>
        <sz val="11"/>
        <color rgb="FF000000"/>
        <rFont val="宋体"/>
        <charset val="134"/>
      </rPr>
      <t>rove</t>
    </r>
    <r>
      <rPr>
        <sz val="11"/>
        <color rgb="FF000000"/>
        <rFont val="宋体"/>
        <charset val="134"/>
      </rPr>
      <t xml:space="preserve"> </t>
    </r>
  </si>
  <si>
    <t>OBEST</t>
  </si>
  <si>
    <t>camas</t>
  </si>
  <si>
    <r>
      <rPr>
        <sz val="11"/>
        <color rgb="FF000000"/>
        <rFont val="宋体"/>
        <charset val="134"/>
      </rPr>
      <t xml:space="preserve"> </t>
    </r>
    <r>
      <rPr>
        <sz val="11"/>
        <color rgb="FF000000"/>
        <rFont val="宋体"/>
        <charset val="134"/>
      </rPr>
      <t>r2 4k</t>
    </r>
    <r>
      <rPr>
        <sz val="11"/>
        <color rgb="FF000000"/>
        <rFont val="宋体"/>
        <charset val="134"/>
      </rPr>
      <t xml:space="preserve"> </t>
    </r>
  </si>
  <si>
    <t>QSAEHLS</t>
  </si>
  <si>
    <t>dash</t>
  </si>
  <si>
    <r>
      <rPr>
        <sz val="11"/>
        <color rgb="FF000000"/>
        <rFont val="宋体"/>
        <charset val="134"/>
      </rPr>
      <t>pruveeo</t>
    </r>
    <r>
      <rPr>
        <sz val="11"/>
        <color rgb="FF000000"/>
        <rFont val="宋体"/>
        <charset val="134"/>
      </rPr>
      <t xml:space="preserve"> </t>
    </r>
  </si>
  <si>
    <t>QveeQ</t>
  </si>
  <si>
    <t>pruveeo 3 channel dash cam</t>
  </si>
  <si>
    <t>ROVE</t>
  </si>
  <si>
    <t>SoeKoa</t>
  </si>
  <si>
    <t>luxi drive dash cam</t>
  </si>
  <si>
    <r>
      <rPr>
        <sz val="11"/>
        <color rgb="FF000000"/>
        <rFont val="宋体"/>
        <charset val="134"/>
      </rPr>
      <t xml:space="preserve"> </t>
    </r>
    <r>
      <rPr>
        <sz val="11"/>
        <color rgb="FF000000"/>
        <rFont val="宋体"/>
        <charset val="134"/>
      </rPr>
      <t>rear</t>
    </r>
  </si>
  <si>
    <t>ssontong</t>
  </si>
  <si>
    <t>ring dash cam</t>
  </si>
  <si>
    <t>azdome</t>
  </si>
  <si>
    <t>AINAVIGO</t>
  </si>
  <si>
    <t>nexar dash cam</t>
  </si>
  <si>
    <t>ring car camera</t>
  </si>
  <si>
    <t>Biuone</t>
  </si>
  <si>
    <t>cam link</t>
  </si>
  <si>
    <t>cambase</t>
  </si>
  <si>
    <t>rove r2-4k car dash cam</t>
  </si>
  <si>
    <t>galphi</t>
  </si>
  <si>
    <r>
      <rPr>
        <sz val="11"/>
        <color rgb="FF000000"/>
        <rFont val="宋体"/>
        <charset val="134"/>
      </rPr>
      <t>4 channel</t>
    </r>
    <r>
      <rPr>
        <sz val="11"/>
        <color rgb="FF000000"/>
        <rFont val="宋体"/>
        <charset val="134"/>
      </rPr>
      <t xml:space="preserve"> </t>
    </r>
  </si>
  <si>
    <t>HaHoco</t>
  </si>
  <si>
    <t>pruveeo dash cam</t>
  </si>
  <si>
    <t>cordless</t>
  </si>
  <si>
    <t>Innosinpo</t>
  </si>
  <si>
    <t>iSaddle</t>
  </si>
  <si>
    <r>
      <rPr>
        <sz val="11"/>
        <color rgb="FF000000"/>
        <rFont val="宋体"/>
        <charset val="134"/>
      </rPr>
      <t>car camera</t>
    </r>
    <r>
      <rPr>
        <sz val="11"/>
        <color rgb="FF000000"/>
        <rFont val="宋体"/>
        <charset val="134"/>
      </rPr>
      <t xml:space="preserve">  </t>
    </r>
    <r>
      <rPr>
        <sz val="11"/>
        <color rgb="FF000000"/>
        <rFont val="宋体"/>
        <charset val="134"/>
      </rPr>
      <t>dash cam front and rear</t>
    </r>
  </si>
  <si>
    <t>screens</t>
  </si>
  <si>
    <t>Kenwood</t>
  </si>
  <si>
    <t>dash cam front and rear</t>
  </si>
  <si>
    <r>
      <rPr>
        <sz val="11"/>
        <color rgb="FF000000"/>
        <rFont val="宋体"/>
        <charset val="134"/>
      </rPr>
      <t>small</t>
    </r>
    <r>
      <rPr>
        <sz val="11"/>
        <color rgb="FF000000"/>
        <rFont val="宋体"/>
        <charset val="134"/>
      </rPr>
      <t xml:space="preserve"> </t>
    </r>
  </si>
  <si>
    <t>Kingslim</t>
  </si>
  <si>
    <t>4k dash cam front and rear</t>
  </si>
  <si>
    <r>
      <rPr>
        <sz val="11"/>
        <color rgb="FF000000"/>
        <rFont val="宋体"/>
        <charset val="134"/>
      </rPr>
      <t xml:space="preserve"> </t>
    </r>
    <r>
      <rPr>
        <sz val="11"/>
        <color rgb="FF000000"/>
        <rFont val="宋体"/>
        <charset val="134"/>
      </rPr>
      <t>front and rear wireless</t>
    </r>
  </si>
  <si>
    <t>LANMODO</t>
  </si>
  <si>
    <t>azdome 4k dash cam front and rear</t>
  </si>
  <si>
    <r>
      <rPr>
        <sz val="11"/>
        <color rgb="FF000000"/>
        <rFont val="宋体"/>
        <charset val="134"/>
      </rPr>
      <t>redtiger</t>
    </r>
    <r>
      <rPr>
        <sz val="11"/>
        <color rgb="FF000000"/>
        <rFont val="宋体"/>
        <charset val="134"/>
      </rPr>
      <t xml:space="preserve"> </t>
    </r>
  </si>
  <si>
    <t>MHCABSR</t>
  </si>
  <si>
    <r>
      <rPr>
        <sz val="11"/>
        <color rgb="FF000000"/>
        <rFont val="宋体"/>
        <charset val="134"/>
      </rPr>
      <t>ring car camera</t>
    </r>
    <r>
      <rPr>
        <sz val="11"/>
        <color rgb="FF000000"/>
        <rFont val="宋体"/>
        <charset val="134"/>
      </rPr>
      <t xml:space="preserve">  </t>
    </r>
    <r>
      <rPr>
        <sz val="11"/>
        <color rgb="FF000000"/>
        <rFont val="宋体"/>
        <charset val="134"/>
      </rPr>
      <t>dash cam</t>
    </r>
  </si>
  <si>
    <r>
      <rPr>
        <sz val="11"/>
        <color rgb="FF000000"/>
        <rFont val="宋体"/>
        <charset val="134"/>
      </rPr>
      <t xml:space="preserve"> </t>
    </r>
    <r>
      <rPr>
        <sz val="11"/>
        <color rgb="FF000000"/>
        <rFont val="宋体"/>
        <charset val="134"/>
      </rPr>
      <t>f7np</t>
    </r>
  </si>
  <si>
    <t>Milerong</t>
  </si>
  <si>
    <t>70mai dash cam</t>
  </si>
  <si>
    <t>vava</t>
  </si>
  <si>
    <t>moss wu Diane</t>
  </si>
  <si>
    <t>car desk</t>
  </si>
  <si>
    <t>holiday</t>
  </si>
  <si>
    <t>OctinPris</t>
  </si>
  <si>
    <t>4 channel dash cam</t>
  </si>
  <si>
    <t>Pathinglek</t>
  </si>
  <si>
    <t>toguard</t>
  </si>
  <si>
    <t>Rand McNally</t>
  </si>
  <si>
    <t>screens for cars</t>
  </si>
  <si>
    <t>no wires</t>
  </si>
  <si>
    <t>Rayfoto</t>
  </si>
  <si>
    <t>bluetooth dash cam</t>
  </si>
  <si>
    <t>REARMASTER</t>
  </si>
  <si>
    <t>desk for car</t>
  </si>
  <si>
    <t>Rhorawill</t>
  </si>
  <si>
    <t>dash cam front and rear wireless</t>
  </si>
  <si>
    <r>
      <rPr>
        <sz val="11"/>
        <color rgb="FF000000"/>
        <rFont val="宋体"/>
        <charset val="134"/>
      </rPr>
      <t>desk</t>
    </r>
    <r>
      <rPr>
        <sz val="11"/>
        <color rgb="FF000000"/>
        <rFont val="宋体"/>
        <charset val="134"/>
      </rPr>
      <t xml:space="preserve"> </t>
    </r>
  </si>
  <si>
    <t>ROAV</t>
  </si>
  <si>
    <t>wireless dash cam front and rear</t>
  </si>
  <si>
    <r>
      <rPr>
        <sz val="11"/>
        <color rgb="FF000000"/>
        <rFont val="宋体"/>
        <charset val="134"/>
      </rPr>
      <t>minolta</t>
    </r>
    <r>
      <rPr>
        <sz val="11"/>
        <color rgb="FF000000"/>
        <rFont val="宋体"/>
        <charset val="134"/>
      </rPr>
      <t xml:space="preserve"> </t>
    </r>
  </si>
  <si>
    <t>Scosche</t>
  </si>
  <si>
    <t>redtiger 4k dash cam</t>
  </si>
  <si>
    <r>
      <rPr>
        <sz val="11"/>
        <color rgb="FF000000"/>
        <rFont val="宋体"/>
        <charset val="134"/>
      </rPr>
      <t>seicane</t>
    </r>
    <r>
      <rPr>
        <sz val="11"/>
        <color rgb="FF000000"/>
        <rFont val="宋体"/>
        <charset val="134"/>
      </rPr>
      <t xml:space="preserve"> </t>
    </r>
  </si>
  <si>
    <t>Surfola</t>
  </si>
  <si>
    <t>red tiger f7np 4k dual dash cam</t>
  </si>
  <si>
    <t>carplay</t>
  </si>
  <si>
    <t>TOGUAD</t>
  </si>
  <si>
    <t>vava dash cam</t>
  </si>
  <si>
    <t>nexar</t>
  </si>
  <si>
    <t>TOGUARDVIDEO</t>
  </si>
  <si>
    <t>amazon holiday dash</t>
  </si>
  <si>
    <t>cooau</t>
  </si>
  <si>
    <t>Transcend</t>
  </si>
  <si>
    <t>front camera for car</t>
  </si>
  <si>
    <t>WonVon</t>
  </si>
  <si>
    <t>dash cam with 1080p dual cameras, fhd dvr 3.0 ips screen 170° wide angle g-sensor parking monitor lo</t>
  </si>
  <si>
    <t>wolfbox</t>
  </si>
  <si>
    <t>Abodost</t>
  </si>
  <si>
    <t>toguard dash cam</t>
  </si>
  <si>
    <t>AIPLUGER</t>
  </si>
  <si>
    <t>dash cam no wires</t>
  </si>
  <si>
    <r>
      <rPr>
        <sz val="11"/>
        <color rgb="FF000000"/>
        <rFont val="宋体"/>
        <charset val="134"/>
      </rPr>
      <t>apexview</t>
    </r>
    <r>
      <rPr>
        <sz val="11"/>
        <color rgb="FF000000"/>
        <rFont val="宋体"/>
        <charset val="134"/>
      </rPr>
      <t xml:space="preserve"> </t>
    </r>
  </si>
  <si>
    <t>AKKAHH</t>
  </si>
  <si>
    <t>solar</t>
  </si>
  <si>
    <t>AMORTEK</t>
  </si>
  <si>
    <t>dashcam front and rear camera wireless</t>
  </si>
  <si>
    <t>Anumit</t>
  </si>
  <si>
    <r>
      <rPr>
        <sz val="11"/>
        <color rgb="FF000000"/>
        <rFont val="宋体"/>
        <charset val="134"/>
      </rPr>
      <t>red tiger</t>
    </r>
    <r>
      <rPr>
        <sz val="11"/>
        <color rgb="FF000000"/>
        <rFont val="宋体"/>
        <charset val="134"/>
      </rPr>
      <t xml:space="preserve"> </t>
    </r>
  </si>
  <si>
    <t>Apexcam</t>
  </si>
  <si>
    <t>dash cam front and rear 4k</t>
  </si>
  <si>
    <t>car needs</t>
  </si>
  <si>
    <t>ARECORD</t>
  </si>
  <si>
    <t>minolta dash cam</t>
  </si>
  <si>
    <t>ASTSH</t>
  </si>
  <si>
    <t>seicane 10.26 carplay dash camera</t>
  </si>
  <si>
    <t>ATOTO</t>
  </si>
  <si>
    <t>nexar dash cam front and rear</t>
  </si>
  <si>
    <t>battery powered</t>
  </si>
  <si>
    <t>Avaett</t>
  </si>
  <si>
    <t>dashcams for cars front and rear</t>
  </si>
  <si>
    <t>stuff for car</t>
  </si>
  <si>
    <t>AVISIGHT</t>
  </si>
  <si>
    <t>cooau dash cam</t>
  </si>
  <si>
    <r>
      <rPr>
        <sz val="11"/>
        <color rgb="FF000000"/>
        <rFont val="宋体"/>
        <charset val="134"/>
      </rPr>
      <t>thinkware</t>
    </r>
    <r>
      <rPr>
        <sz val="11"/>
        <color rgb="FF000000"/>
        <rFont val="宋体"/>
        <charset val="134"/>
      </rPr>
      <t xml:space="preserve"> </t>
    </r>
  </si>
  <si>
    <t>BlackboxMyCar</t>
  </si>
  <si>
    <t>f70</t>
  </si>
  <si>
    <t>Bonvenon</t>
  </si>
  <si>
    <t>wolfbox dash cam</t>
  </si>
  <si>
    <t>luxidrive</t>
  </si>
  <si>
    <t>BOOGIIO</t>
  </si>
  <si>
    <t>ddpai dash cam</t>
  </si>
  <si>
    <r>
      <rPr>
        <sz val="11"/>
        <color rgb="FF000000"/>
        <rFont val="宋体"/>
        <charset val="134"/>
      </rPr>
      <t>viofo</t>
    </r>
    <r>
      <rPr>
        <sz val="11"/>
        <color rgb="FF000000"/>
        <rFont val="宋体"/>
        <charset val="134"/>
      </rPr>
      <t xml:space="preserve"> </t>
    </r>
  </si>
  <si>
    <t>Byakov</t>
  </si>
  <si>
    <t>cam</t>
  </si>
  <si>
    <t>a229</t>
  </si>
  <si>
    <t>CammPro</t>
  </si>
  <si>
    <t>car dash cam front and back</t>
  </si>
  <si>
    <r>
      <rPr>
        <sz val="11"/>
        <color rgb="FF000000"/>
        <rFont val="宋体"/>
        <charset val="134"/>
      </rPr>
      <t xml:space="preserve"> </t>
    </r>
    <r>
      <rPr>
        <sz val="11"/>
        <color rgb="FF000000"/>
        <rFont val="宋体"/>
        <charset val="134"/>
      </rPr>
      <t>pro</t>
    </r>
  </si>
  <si>
    <t>Cansonic</t>
  </si>
  <si>
    <t>apexview dash cam</t>
  </si>
  <si>
    <r>
      <rPr>
        <sz val="11"/>
        <color rgb="FF000000"/>
        <rFont val="宋体"/>
        <charset val="134"/>
      </rPr>
      <t>gopro</t>
    </r>
    <r>
      <rPr>
        <sz val="11"/>
        <color rgb="FF000000"/>
        <rFont val="宋体"/>
        <charset val="134"/>
      </rPr>
      <t xml:space="preserve"> </t>
    </r>
  </si>
  <si>
    <t>Car and Driver</t>
  </si>
  <si>
    <t>4k</t>
  </si>
  <si>
    <t>Carpuride</t>
  </si>
  <si>
    <t>aukey dash cam</t>
  </si>
  <si>
    <r>
      <rPr>
        <sz val="11"/>
        <color rgb="FF000000"/>
        <rFont val="宋体"/>
        <charset val="134"/>
      </rPr>
      <t>roav</t>
    </r>
    <r>
      <rPr>
        <sz val="11"/>
        <color rgb="FF000000"/>
        <rFont val="宋体"/>
        <charset val="134"/>
      </rPr>
      <t xml:space="preserve"> </t>
    </r>
  </si>
  <si>
    <t>ChargerCity</t>
  </si>
  <si>
    <t>solar dash cam</t>
  </si>
  <si>
    <r>
      <rPr>
        <sz val="11"/>
        <color rgb="FF000000"/>
        <rFont val="宋体"/>
        <charset val="134"/>
      </rPr>
      <t>car screen</t>
    </r>
    <r>
      <rPr>
        <sz val="11"/>
        <color rgb="FF000000"/>
        <rFont val="宋体"/>
        <charset val="134"/>
      </rPr>
      <t xml:space="preserve"> </t>
    </r>
  </si>
  <si>
    <t>D.DA.D</t>
  </si>
  <si>
    <t>3 channel dash cam</t>
  </si>
  <si>
    <t>bluetooth screen</t>
  </si>
  <si>
    <t>Digital Village</t>
  </si>
  <si>
    <t>red tiger dash cam</t>
  </si>
  <si>
    <t>cloud</t>
  </si>
  <si>
    <t>Dorman</t>
  </si>
  <si>
    <r>
      <rPr>
        <sz val="11"/>
        <color rgb="FF000000"/>
        <rFont val="宋体"/>
        <charset val="134"/>
      </rPr>
      <t xml:space="preserve"> </t>
    </r>
    <r>
      <rPr>
        <sz val="11"/>
        <color rgb="FF000000"/>
        <rFont val="宋体"/>
        <charset val="134"/>
      </rPr>
      <t>screen</t>
    </r>
  </si>
  <si>
    <t>Escort</t>
  </si>
  <si>
    <t>dashcam front and rear camera</t>
  </si>
  <si>
    <t>fitcamx</t>
  </si>
  <si>
    <t>E-SHOW TREE</t>
  </si>
  <si>
    <t>ring dash camera for cars</t>
  </si>
  <si>
    <r>
      <rPr>
        <sz val="11"/>
        <color rgb="FF000000"/>
        <rFont val="宋体"/>
        <charset val="134"/>
      </rPr>
      <t xml:space="preserve"> </t>
    </r>
    <r>
      <rPr>
        <sz val="11"/>
        <color rgb="FF000000"/>
        <rFont val="宋体"/>
        <charset val="134"/>
      </rPr>
      <t>speed</t>
    </r>
    <r>
      <rPr>
        <sz val="11"/>
        <color rgb="FF000000"/>
        <rFont val="宋体"/>
        <charset val="134"/>
      </rPr>
      <t xml:space="preserve"> </t>
    </r>
  </si>
  <si>
    <t>EYETOO</t>
  </si>
  <si>
    <t>viofo</t>
  </si>
  <si>
    <t>Frvesroe</t>
  </si>
  <si>
    <r>
      <rPr>
        <sz val="11"/>
        <color rgb="FF000000"/>
        <rFont val="宋体"/>
        <charset val="134"/>
      </rPr>
      <t>garmin</t>
    </r>
    <r>
      <rPr>
        <sz val="11"/>
        <color rgb="FF000000"/>
        <rFont val="宋体"/>
        <charset val="134"/>
      </rPr>
      <t xml:space="preserve"> </t>
    </r>
  </si>
  <si>
    <t>Gebildet</t>
  </si>
  <si>
    <t>thinkware f70</t>
  </si>
  <si>
    <t>car step</t>
  </si>
  <si>
    <t>Generic</t>
  </si>
  <si>
    <t>drive cam luxidrive</t>
  </si>
  <si>
    <t>mini 2</t>
  </si>
  <si>
    <t>GILAYGROW</t>
  </si>
  <si>
    <t>viofo a229 pro</t>
  </si>
  <si>
    <t>apex view</t>
  </si>
  <si>
    <t>HUBANFLY</t>
  </si>
  <si>
    <t>gopro dash cam</t>
  </si>
  <si>
    <r>
      <rPr>
        <sz val="11"/>
        <color rgb="FF000000"/>
        <rFont val="宋体"/>
        <charset val="134"/>
      </rPr>
      <t>apex</t>
    </r>
    <r>
      <rPr>
        <sz val="11"/>
        <color rgb="FF000000"/>
        <rFont val="宋体"/>
        <charset val="134"/>
      </rPr>
      <t xml:space="preserve"> </t>
    </r>
  </si>
  <si>
    <t>Hurra</t>
  </si>
  <si>
    <t>ring dash camera</t>
  </si>
  <si>
    <t>view</t>
  </si>
  <si>
    <t>Jansite</t>
  </si>
  <si>
    <t>360 car camera</t>
  </si>
  <si>
    <t>gps</t>
  </si>
  <si>
    <t>JOMISE</t>
  </si>
  <si>
    <t>roav dash cam</t>
  </si>
  <si>
    <t>ofertas</t>
  </si>
  <si>
    <t>Korlagh</t>
  </si>
  <si>
    <t>rove r2 4k</t>
  </si>
  <si>
    <t>LIDOFIGO</t>
  </si>
  <si>
    <t>bluetooth screen for car</t>
  </si>
  <si>
    <r>
      <rPr>
        <sz val="11"/>
        <color rgb="FF000000"/>
        <rFont val="宋体"/>
        <charset val="134"/>
      </rPr>
      <t>apeman</t>
    </r>
    <r>
      <rPr>
        <sz val="11"/>
        <color rgb="FF000000"/>
        <rFont val="宋体"/>
        <charset val="134"/>
      </rPr>
      <t xml:space="preserve"> </t>
    </r>
  </si>
  <si>
    <t>Losfom</t>
  </si>
  <si>
    <t>cloud cam</t>
  </si>
  <si>
    <r>
      <rPr>
        <sz val="11"/>
        <color rgb="FF000000"/>
        <rFont val="宋体"/>
        <charset val="134"/>
      </rPr>
      <t>sensors</t>
    </r>
    <r>
      <rPr>
        <sz val="11"/>
        <color rgb="FF000000"/>
        <rFont val="宋体"/>
        <charset val="134"/>
      </rPr>
      <t xml:space="preserve"> </t>
    </r>
  </si>
  <si>
    <t>MASO</t>
  </si>
  <si>
    <r>
      <rPr>
        <sz val="11"/>
        <color rgb="FF000000"/>
        <rFont val="宋体"/>
        <charset val="134"/>
      </rPr>
      <t>parking</t>
    </r>
    <r>
      <rPr>
        <sz val="11"/>
        <color rgb="FF000000"/>
        <rFont val="宋体"/>
        <charset val="134"/>
      </rPr>
      <t xml:space="preserve"> </t>
    </r>
  </si>
  <si>
    <t>MEKNIC</t>
  </si>
  <si>
    <t>dash cam with speed recording</t>
  </si>
  <si>
    <t>Minolta</t>
  </si>
  <si>
    <t>viofo dash cam</t>
  </si>
  <si>
    <t>car gadgets</t>
  </si>
  <si>
    <t>Miofive</t>
  </si>
  <si>
    <t>garmin dashcam mini 2</t>
  </si>
  <si>
    <t>car living</t>
  </si>
  <si>
    <t>Moplasz</t>
  </si>
  <si>
    <t>cobra sc 201</t>
  </si>
  <si>
    <t>MSAFF</t>
  </si>
  <si>
    <t>apex view dash cam</t>
  </si>
  <si>
    <t>car stuff</t>
  </si>
  <si>
    <t>N\C</t>
  </si>
  <si>
    <t>dash cam with gps</t>
  </si>
  <si>
    <t>car emergency</t>
  </si>
  <si>
    <t>nezini</t>
  </si>
  <si>
    <t>dash cam viofo</t>
  </si>
  <si>
    <r>
      <rPr>
        <sz val="11"/>
        <color rgb="FF000000"/>
        <rFont val="宋体"/>
        <charset val="134"/>
      </rPr>
      <t>star</t>
    </r>
    <r>
      <rPr>
        <sz val="11"/>
        <color rgb="FF000000"/>
        <rFont val="宋体"/>
        <charset val="134"/>
      </rPr>
      <t xml:space="preserve"> </t>
    </r>
  </si>
  <si>
    <t>NUNET</t>
  </si>
  <si>
    <r>
      <rPr>
        <sz val="11"/>
        <color rgb="FF000000"/>
        <rFont val="宋体"/>
        <charset val="134"/>
      </rPr>
      <t>truck</t>
    </r>
    <r>
      <rPr>
        <sz val="11"/>
        <color rgb="FF000000"/>
        <rFont val="宋体"/>
        <charset val="134"/>
      </rPr>
      <t xml:space="preserve"> </t>
    </r>
  </si>
  <si>
    <t>OldShark</t>
  </si>
  <si>
    <t>link</t>
  </si>
  <si>
    <t>Orgtoy</t>
  </si>
  <si>
    <t>apeman dash cam</t>
  </si>
  <si>
    <t>trucks</t>
  </si>
  <si>
    <t>PlayBetter</t>
  </si>
  <si>
    <t>car driving</t>
  </si>
  <si>
    <t>PORMIDO</t>
  </si>
  <si>
    <t>360 degree dash cam</t>
  </si>
  <si>
    <t>car engine</t>
  </si>
  <si>
    <t>Street Guardian</t>
  </si>
  <si>
    <t>garmin dash cam 57</t>
  </si>
  <si>
    <t>SYLVANIA</t>
  </si>
  <si>
    <t>car rear camera</t>
  </si>
  <si>
    <t>TiToeKi</t>
  </si>
  <si>
    <r>
      <rPr>
        <sz val="11"/>
        <color rgb="FF000000"/>
        <rFont val="宋体"/>
        <charset val="134"/>
      </rPr>
      <t>auto</t>
    </r>
    <r>
      <rPr>
        <sz val="11"/>
        <color rgb="FF000000"/>
        <rFont val="宋体"/>
        <charset val="134"/>
      </rPr>
      <t xml:space="preserve"> </t>
    </r>
  </si>
  <si>
    <t>TYPE S TOURING ITEMS</t>
  </si>
  <si>
    <t>cobra sc 201 dash cam</t>
  </si>
  <si>
    <t>rove</t>
  </si>
  <si>
    <t>Upgrow</t>
  </si>
  <si>
    <r>
      <rPr>
        <sz val="11"/>
        <color rgb="FF000000"/>
        <rFont val="宋体"/>
        <charset val="134"/>
      </rPr>
      <t xml:space="preserve"> </t>
    </r>
    <r>
      <rPr>
        <sz val="11"/>
        <color rgb="FF000000"/>
        <rFont val="宋体"/>
        <charset val="134"/>
      </rPr>
      <t>gps</t>
    </r>
  </si>
  <si>
    <t>VAVA</t>
  </si>
  <si>
    <t>dashcam front and inside</t>
  </si>
  <si>
    <t>gps and speed</t>
  </si>
  <si>
    <t>Verratek</t>
  </si>
  <si>
    <t>stuff for cars</t>
  </si>
  <si>
    <r>
      <rPr>
        <sz val="11"/>
        <color rgb="FF000000"/>
        <rFont val="宋体"/>
        <charset val="134"/>
      </rPr>
      <t xml:space="preserve"> </t>
    </r>
    <r>
      <rPr>
        <sz val="11"/>
        <color rgb="FF000000"/>
        <rFont val="宋体"/>
        <charset val="134"/>
      </rPr>
      <t>battery pack</t>
    </r>
  </si>
  <si>
    <t>VIKEWE</t>
  </si>
  <si>
    <r>
      <rPr>
        <sz val="11"/>
        <color rgb="FF000000"/>
        <rFont val="宋体"/>
        <charset val="134"/>
      </rPr>
      <t>battery</t>
    </r>
    <r>
      <rPr>
        <sz val="11"/>
        <color rgb="FF000000"/>
        <rFont val="宋体"/>
        <charset val="134"/>
      </rPr>
      <t xml:space="preserve"> </t>
    </r>
  </si>
  <si>
    <t>WheelWitness</t>
  </si>
  <si>
    <t>star link</t>
  </si>
  <si>
    <t>car auto accessories</t>
  </si>
  <si>
    <t>XDL-POWER</t>
  </si>
  <si>
    <t>truck dash cam</t>
  </si>
  <si>
    <t>gps car</t>
  </si>
  <si>
    <t>XIGETRAIL</t>
  </si>
  <si>
    <t>dashcams for trucks</t>
  </si>
  <si>
    <t>Yansoo</t>
  </si>
  <si>
    <t>baby</t>
  </si>
  <si>
    <t>YEECORE</t>
  </si>
  <si>
    <t>no wire</t>
  </si>
  <si>
    <t>YQMAJIM</t>
  </si>
  <si>
    <t>YYDGH</t>
  </si>
  <si>
    <t>front</t>
  </si>
  <si>
    <r>
      <rPr>
        <sz val="11"/>
        <color rgb="FF000000"/>
        <rFont val="宋体"/>
        <charset val="134"/>
      </rPr>
      <t xml:space="preserve"> </t>
    </r>
    <r>
      <rPr>
        <sz val="11"/>
        <color rgb="FF000000"/>
        <rFont val="宋体"/>
        <charset val="134"/>
      </rPr>
      <t>front and rear</t>
    </r>
    <r>
      <rPr>
        <sz val="11"/>
        <color rgb="FF000000"/>
        <rFont val="宋体"/>
        <charset val="134"/>
      </rPr>
      <t xml:space="preserve"> </t>
    </r>
  </si>
  <si>
    <t>zhiroad</t>
  </si>
  <si>
    <t>for car</t>
  </si>
  <si>
    <t>ZOMFOM</t>
  </si>
  <si>
    <t>auto camera dash cam front and rear</t>
  </si>
  <si>
    <r>
      <rPr>
        <sz val="11"/>
        <color rgb="FF000000"/>
        <rFont val="宋体"/>
        <charset val="134"/>
      </rPr>
      <t>car camera</t>
    </r>
    <r>
      <rPr>
        <sz val="11"/>
        <color rgb="FF000000"/>
        <rFont val="宋体"/>
        <charset val="134"/>
      </rPr>
      <t xml:space="preserve">  </t>
    </r>
    <r>
      <rPr>
        <sz val="11"/>
        <color rgb="FF000000"/>
        <rFont val="宋体"/>
        <charset val="134"/>
      </rPr>
      <t>dash cam front</t>
    </r>
  </si>
  <si>
    <t>ZWHT</t>
  </si>
  <si>
    <t>dash am</t>
  </si>
  <si>
    <t>dash cam gps</t>
  </si>
  <si>
    <t>dash cam with gps and speed</t>
  </si>
  <si>
    <t>cars accessories</t>
  </si>
  <si>
    <r>
      <rPr>
        <sz val="11"/>
        <color rgb="FF000000"/>
        <rFont val="宋体"/>
        <charset val="134"/>
      </rPr>
      <t xml:space="preserve"> </t>
    </r>
    <r>
      <rPr>
        <sz val="11"/>
        <color rgb="FF000000"/>
        <rFont val="宋体"/>
        <charset val="134"/>
      </rPr>
      <t>monitor</t>
    </r>
    <r>
      <rPr>
        <sz val="11"/>
        <color rgb="FF000000"/>
        <rFont val="宋体"/>
        <charset val="134"/>
      </rPr>
      <t xml:space="preserve"> </t>
    </r>
  </si>
  <si>
    <t>battery dash cam</t>
  </si>
  <si>
    <t>viofo a139 pro</t>
  </si>
  <si>
    <r>
      <rPr>
        <sz val="11"/>
        <color rgb="FF000000"/>
        <rFont val="宋体"/>
        <charset val="134"/>
      </rPr>
      <t xml:space="preserve"> </t>
    </r>
    <r>
      <rPr>
        <sz val="11"/>
        <color rgb="FF000000"/>
        <rFont val="宋体"/>
        <charset val="134"/>
      </rPr>
      <t>front and rear 4k</t>
    </r>
  </si>
  <si>
    <t>dadh cam</t>
  </si>
  <si>
    <r>
      <rPr>
        <sz val="11"/>
        <color rgb="FF000000"/>
        <rFont val="宋体"/>
        <charset val="134"/>
      </rPr>
      <t xml:space="preserve"> </t>
    </r>
    <r>
      <rPr>
        <sz val="11"/>
        <color rgb="FF000000"/>
        <rFont val="宋体"/>
        <charset val="134"/>
      </rPr>
      <t>3 channel</t>
    </r>
  </si>
  <si>
    <t>amazon renewed store</t>
  </si>
  <si>
    <t>car camera baby</t>
  </si>
  <si>
    <t>sd cars</t>
  </si>
  <si>
    <t>camaras para carros</t>
  </si>
  <si>
    <t>bodycam c</t>
  </si>
  <si>
    <t>garmin dash cam 47</t>
  </si>
  <si>
    <t>prime deals</t>
  </si>
  <si>
    <t>wireless dash cam front and rear no wire</t>
  </si>
  <si>
    <t>autos</t>
  </si>
  <si>
    <t>best car accessories</t>
  </si>
  <si>
    <t>door dash</t>
  </si>
  <si>
    <t>baby car camera</t>
  </si>
  <si>
    <t>carros</t>
  </si>
  <si>
    <t>car monitor camera</t>
  </si>
  <si>
    <t>3 channel dash cam front and rear inside</t>
  </si>
  <si>
    <t>rove dash cam</t>
  </si>
  <si>
    <t>red tiger dashcam</t>
  </si>
  <si>
    <t>car</t>
  </si>
  <si>
    <r>
      <rPr>
        <sz val="11"/>
        <color rgb="FF000000"/>
        <rFont val="宋体"/>
        <charset val="134"/>
      </rPr>
      <t>car camera</t>
    </r>
    <r>
      <rPr>
        <sz val="11"/>
        <color rgb="FF000000"/>
        <rFont val="宋体"/>
        <charset val="134"/>
      </rPr>
      <t xml:space="preserve">  </t>
    </r>
    <r>
      <rPr>
        <sz val="11"/>
        <color rgb="FF000000"/>
        <rFont val="宋体"/>
        <charset val="134"/>
      </rPr>
      <t>dash cam front and rear 4k</t>
    </r>
  </si>
  <si>
    <t>car wifi hotspot for vehicles</t>
  </si>
  <si>
    <t>dash cam 3 channel</t>
  </si>
  <si>
    <t>camara para carro</t>
  </si>
  <si>
    <t>deals</t>
  </si>
  <si>
    <t>www.amazon.com</t>
  </si>
  <si>
    <t>64 gb sd card</t>
  </si>
  <si>
    <t>bodycam camera with audio 4k</t>
  </si>
  <si>
    <t>car vehicle accessories</t>
  </si>
  <si>
    <t>men accessories</t>
  </si>
  <si>
    <t>kingslim d4 4k dual dash cam</t>
  </si>
  <si>
    <t>dash cam front and rear wireless recording</t>
  </si>
  <si>
    <t>kenwood dash cam</t>
  </si>
  <si>
    <t>best dash cam 2023 front and rear</t>
  </si>
  <si>
    <t>used cars</t>
  </si>
  <si>
    <t>amazon car</t>
  </si>
  <si>
    <t>it works</t>
  </si>
  <si>
    <t>amazon www com</t>
  </si>
  <si>
    <t>redtiger dash cam</t>
  </si>
  <si>
    <t>camara para auto</t>
  </si>
  <si>
    <r>
      <rPr>
        <sz val="11"/>
        <color rgb="FF000000"/>
        <rFont val="宋体"/>
        <charset val="134"/>
      </rPr>
      <t xml:space="preserve"> </t>
    </r>
    <r>
      <rPr>
        <sz val="11"/>
        <color rgb="FF000000"/>
        <rFont val="宋体"/>
        <charset val="134"/>
      </rPr>
      <t>a810</t>
    </r>
  </si>
  <si>
    <r>
      <rPr>
        <sz val="11"/>
        <color rgb="FF000000"/>
        <rFont val="宋体"/>
        <charset val="134"/>
      </rPr>
      <t>code</t>
    </r>
    <r>
      <rPr>
        <sz val="11"/>
        <color rgb="FF000000"/>
        <rFont val="宋体"/>
        <charset val="134"/>
      </rPr>
      <t xml:space="preserve"> </t>
    </r>
  </si>
  <si>
    <t>car computer</t>
  </si>
  <si>
    <t>cama</t>
  </si>
  <si>
    <t>dash cam without wires</t>
  </si>
  <si>
    <r>
      <rPr>
        <sz val="11"/>
        <color rgb="FF000000"/>
        <rFont val="宋体"/>
        <charset val="134"/>
      </rPr>
      <t xml:space="preserve"> </t>
    </r>
    <r>
      <rPr>
        <sz val="11"/>
        <color rgb="FF000000"/>
        <rFont val="宋体"/>
        <charset val="134"/>
      </rPr>
      <t>men</t>
    </r>
  </si>
  <si>
    <t>dash cam front and rear wireless 24 7 recording</t>
  </si>
  <si>
    <t>anti car theft device</t>
  </si>
  <si>
    <r>
      <rPr>
        <sz val="11"/>
        <color rgb="FF000000"/>
        <rFont val="宋体"/>
        <charset val="134"/>
      </rPr>
      <t>hidden</t>
    </r>
    <r>
      <rPr>
        <sz val="11"/>
        <color rgb="FF000000"/>
        <rFont val="宋体"/>
        <charset val="134"/>
      </rPr>
      <t xml:space="preserve"> </t>
    </r>
  </si>
  <si>
    <t>body cams</t>
  </si>
  <si>
    <r>
      <rPr>
        <sz val="11"/>
        <color rgb="FF000000"/>
        <rFont val="宋体"/>
        <charset val="134"/>
      </rPr>
      <t>discount</t>
    </r>
    <r>
      <rPr>
        <sz val="11"/>
        <color rgb="FF000000"/>
        <rFont val="宋体"/>
        <charset val="134"/>
      </rPr>
      <t xml:space="preserve">  </t>
    </r>
    <r>
      <rPr>
        <sz val="11"/>
        <color rgb="FF000000"/>
        <rFont val="宋体"/>
        <charset val="134"/>
      </rPr>
      <t>low to high</t>
    </r>
  </si>
  <si>
    <t>dash cam battery</t>
  </si>
  <si>
    <t>auto accessories</t>
  </si>
  <si>
    <t>cool car accessories</t>
  </si>
  <si>
    <t>truck accessories</t>
  </si>
  <si>
    <t>dash camera front and back</t>
  </si>
  <si>
    <t>car camera monitor</t>
  </si>
  <si>
    <t>azdome dash cam</t>
  </si>
  <si>
    <t>70mai dash cam 4k a810</t>
  </si>
  <si>
    <t>garmin dash cam mini 2</t>
  </si>
  <si>
    <t>amazon.com/code enter activation code</t>
  </si>
  <si>
    <t>3 channel dash cam 4k</t>
  </si>
  <si>
    <t>izeeker dash cam</t>
  </si>
  <si>
    <t>370z</t>
  </si>
  <si>
    <t>car accessories for men</t>
  </si>
  <si>
    <t>car door</t>
  </si>
  <si>
    <t>prime day deals 2023 electronics</t>
  </si>
  <si>
    <t>hidden dash cam</t>
  </si>
  <si>
    <t>car back support for driving</t>
  </si>
  <si>
    <t>drive cam</t>
  </si>
  <si>
    <t>f150</t>
  </si>
  <si>
    <t>front camera</t>
  </si>
  <si>
    <t>new car essentials for women</t>
  </si>
  <si>
    <t>dash cam front and inside</t>
  </si>
  <si>
    <t>car upgrades</t>
  </si>
  <si>
    <t>amazon warehouse sale clearance</t>
  </si>
  <si>
    <t>wearable camera</t>
  </si>
  <si>
    <t>car detailing accessories</t>
  </si>
  <si>
    <t>prime deals of the day clearance</t>
  </si>
  <si>
    <r>
      <rPr>
        <sz val="11"/>
        <color rgb="FF000000"/>
        <rFont val="宋体"/>
        <charset val="134"/>
      </rPr>
      <t>azdome</t>
    </r>
    <r>
      <rPr>
        <sz val="11"/>
        <color rgb="FF000000"/>
        <rFont val="宋体"/>
        <charset val="134"/>
      </rPr>
      <t xml:space="preserve"> </t>
    </r>
  </si>
  <si>
    <t>car alarm</t>
  </si>
  <si>
    <r>
      <rPr>
        <sz val="11"/>
        <color rgb="FF000000"/>
        <rFont val="宋体"/>
        <charset val="134"/>
      </rPr>
      <t>warehouse</t>
    </r>
    <r>
      <rPr>
        <sz val="11"/>
        <color rgb="FF000000"/>
        <rFont val="宋体"/>
        <charset val="134"/>
      </rPr>
      <t xml:space="preserve"> </t>
    </r>
  </si>
  <si>
    <t>car accessories men</t>
  </si>
  <si>
    <t>cami</t>
  </si>
  <si>
    <r>
      <rPr>
        <sz val="11"/>
        <color rgb="FF000000"/>
        <rFont val="宋体"/>
        <charset val="134"/>
      </rPr>
      <t xml:space="preserve"> </t>
    </r>
    <r>
      <rPr>
        <sz val="11"/>
        <color rgb="FF000000"/>
        <rFont val="宋体"/>
        <charset val="134"/>
      </rPr>
      <t>click</t>
    </r>
  </si>
  <si>
    <t>sale clearance</t>
  </si>
  <si>
    <t>m550</t>
  </si>
  <si>
    <t>accessories</t>
  </si>
  <si>
    <r>
      <rPr>
        <sz val="11"/>
        <color rgb="FF000000"/>
        <rFont val="宋体"/>
        <charset val="134"/>
      </rPr>
      <t>izeeker</t>
    </r>
    <r>
      <rPr>
        <sz val="11"/>
        <color rgb="FF000000"/>
        <rFont val="宋体"/>
        <charset val="134"/>
      </rPr>
      <t xml:space="preserve"> </t>
    </r>
  </si>
  <si>
    <t>azdome m550</t>
  </si>
  <si>
    <t>warehouse sale clearance</t>
  </si>
  <si>
    <t>link click</t>
  </si>
  <si>
    <t>warehouse amazon warehouse deals</t>
  </si>
  <si>
    <t>dash cam ring</t>
  </si>
  <si>
    <t>wifi dash cam front and rear</t>
  </si>
  <si>
    <t>dashcam front and rear</t>
  </si>
  <si>
    <t>JP补货模型</t>
  </si>
  <si>
    <t>可售月（发货值1.5）</t>
  </si>
  <si>
    <t>FBA库存</t>
  </si>
  <si>
    <t>未交订单</t>
  </si>
  <si>
    <t>工厂</t>
  </si>
  <si>
    <t>海外仓</t>
  </si>
  <si>
    <t>路上</t>
  </si>
  <si>
    <t>30天销量</t>
  </si>
  <si>
    <t>可售月（下单值2）</t>
  </si>
  <si>
    <t>D18</t>
  </si>
  <si>
    <t>D19</t>
  </si>
  <si>
    <t>D20</t>
  </si>
  <si>
    <t>D21</t>
  </si>
  <si>
    <t>US补货模型</t>
  </si>
  <si>
    <t>可售月（发货值2）</t>
  </si>
  <si>
    <t>可售月（下单值2.5）</t>
  </si>
  <si>
    <t>补货申请单</t>
  </si>
  <si>
    <t>采购填写</t>
  </si>
  <si>
    <t>申请人</t>
  </si>
  <si>
    <t>申请日期</t>
  </si>
  <si>
    <t>fnsku</t>
  </si>
  <si>
    <t>数量</t>
  </si>
  <si>
    <t>补货原因</t>
  </si>
  <si>
    <t>上级审核</t>
  </si>
  <si>
    <t>盒标</t>
  </si>
  <si>
    <t>箱标</t>
  </si>
  <si>
    <t>物流方式</t>
  </si>
  <si>
    <t>预计到达日期</t>
  </si>
  <si>
    <t>截图可售月份</t>
  </si>
  <si>
    <t>型号XXX</t>
  </si>
  <si>
    <t>#</t>
  </si>
  <si>
    <t>Keyword</t>
  </si>
  <si>
    <t>AD</t>
  </si>
  <si>
    <t>ORGANIC</t>
  </si>
  <si>
    <t>AD（广告位）</t>
  </si>
  <si>
    <t>ORGANIC（自然位）</t>
  </si>
  <si>
    <t>序号</t>
  </si>
  <si>
    <t>pic</t>
  </si>
  <si>
    <t>类目</t>
  </si>
  <si>
    <t>大类</t>
  </si>
  <si>
    <t>小类</t>
  </si>
  <si>
    <t>rating数</t>
  </si>
  <si>
    <t>review分</t>
  </si>
  <si>
    <t>运营观察与记录</t>
  </si>
  <si>
    <t>原因分析</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</si>
</sst>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Red]\(0\)"/>
    <numFmt numFmtId="178" formatCode="0.00_);[Red]\(0.00\)"/>
    <numFmt numFmtId="179" formatCode="0_);\(0\)"/>
    <numFmt numFmtId="180" formatCode="0_ "/>
    <numFmt numFmtId="181" formatCode="0.0%"/>
    <numFmt numFmtId="182" formatCode="#,##0_ "/>
    <numFmt numFmtId="183" formatCode="0.0_ "/>
    <numFmt numFmtId="184" formatCode="0.00;[Red]0.00"/>
  </numFmts>
  <fonts count="57">
    <font>
      <sz val="12"/>
      <color theme="1"/>
      <name val="等线"/>
      <charset val="134"/>
      <scheme val="minor"/>
    </font>
    <font>
      <b/>
      <sz val="10"/>
      <color rgb="FF000000"/>
      <name val="等线"/>
      <charset val="134"/>
      <scheme val="minor"/>
    </font>
    <font>
      <sz val="10"/>
      <color rgb="FF000000"/>
      <name val="等线"/>
      <charset val="134"/>
      <scheme val="minor"/>
    </font>
    <font>
      <b/>
      <sz val="11"/>
      <color rgb="FFFFFFFF"/>
      <name val="等线"/>
      <charset val="134"/>
      <scheme val="minor"/>
    </font>
    <font>
      <sz val="11"/>
      <color rgb="FF000000"/>
      <name val="等线"/>
      <charset val="134"/>
      <scheme val="minor"/>
    </font>
    <font>
      <sz val="12"/>
      <color rgb="FF000000"/>
      <name val="等线"/>
      <charset val="134"/>
      <scheme val="minor"/>
    </font>
    <font>
      <b/>
      <sz val="12"/>
      <color rgb="FF000000"/>
      <name val="等线"/>
      <charset val="134"/>
      <scheme val="minor"/>
    </font>
    <font>
      <u/>
      <sz val="10"/>
      <color rgb="FF0066CC"/>
      <name val="等线"/>
      <charset val="134"/>
      <scheme val="minor"/>
    </font>
    <font>
      <u/>
      <sz val="11"/>
      <color rgb="FF0000FF"/>
      <name val="等线"/>
      <charset val="134"/>
      <scheme val="minor"/>
    </font>
    <font>
      <b/>
      <sz val="12"/>
      <color rgb="FFFF0000"/>
      <name val="等线"/>
      <charset val="134"/>
      <scheme val="minor"/>
    </font>
    <font>
      <b/>
      <sz val="11"/>
      <color rgb="FF000000"/>
      <name val="等线"/>
      <charset val="134"/>
      <scheme val="minor"/>
    </font>
    <font>
      <b/>
      <sz val="11"/>
      <color rgb="FFFF0000"/>
      <name val="等线"/>
      <charset val="134"/>
      <scheme val="minor"/>
    </font>
    <font>
      <sz val="9"/>
      <color rgb="FF000000"/>
      <name val="等线"/>
      <charset val="134"/>
      <scheme val="minor"/>
    </font>
    <font>
      <b/>
      <i/>
      <sz val="11"/>
      <color rgb="FFFF0000"/>
      <name val="等线"/>
      <charset val="134"/>
      <scheme val="minor"/>
    </font>
    <font>
      <b/>
      <sz val="10"/>
      <color rgb="FFFF0000"/>
      <name val="等线"/>
      <charset val="134"/>
      <scheme val="minor"/>
    </font>
    <font>
      <b/>
      <i/>
      <sz val="11"/>
      <color rgb="FF000000"/>
      <name val="等线"/>
      <charset val="134"/>
      <scheme val="minor"/>
    </font>
    <font>
      <i/>
      <sz val="11"/>
      <color rgb="FF000000"/>
      <name val="等线"/>
      <charset val="134"/>
      <scheme val="minor"/>
    </font>
    <font>
      <sz val="10"/>
      <color rgb="FFFFFFFF"/>
      <name val="等线"/>
      <charset val="134"/>
      <scheme val="minor"/>
    </font>
    <font>
      <sz val="9"/>
      <color rgb="FFFF0000"/>
      <name val="等线"/>
      <charset val="134"/>
      <scheme val="minor"/>
    </font>
    <font>
      <sz val="11"/>
      <color rgb="FFFF0000"/>
      <name val="等线"/>
      <charset val="134"/>
      <scheme val="minor"/>
    </font>
    <font>
      <sz val="11"/>
      <color rgb="FF0000FF"/>
      <name val="等线"/>
      <charset val="134"/>
      <scheme val="minor"/>
    </font>
    <font>
      <b/>
      <sz val="14"/>
      <color rgb="FF000000"/>
      <name val="等线"/>
      <charset val="134"/>
      <scheme val="minor"/>
    </font>
    <font>
      <b/>
      <sz val="11"/>
      <color rgb="FF7030A0"/>
      <name val="等线"/>
      <charset val="134"/>
      <scheme val="minor"/>
    </font>
    <font>
      <u/>
      <sz val="11"/>
      <color rgb="FF0066CC"/>
      <name val="等线"/>
      <charset val="134"/>
      <scheme val="minor"/>
    </font>
    <font>
      <sz val="12"/>
      <color rgb="FFFF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000000"/>
      <name val="宋体"/>
      <charset val="134"/>
    </font>
    <font>
      <u/>
      <sz val="10"/>
      <color theme="10"/>
      <name val="宋体"/>
      <charset val="134"/>
    </font>
    <font>
      <b/>
      <sz val="10"/>
      <color rgb="FFFF0000"/>
      <name val="宋体"/>
      <charset val="134"/>
    </font>
    <font>
      <b/>
      <sz val="10"/>
      <color rgb="FF000000"/>
      <name val="宋体"/>
      <charset val="134"/>
    </font>
    <font>
      <sz val="12"/>
      <color rgb="FF000000"/>
      <name val="宋体"/>
      <charset val="134"/>
    </font>
    <font>
      <sz val="10"/>
      <color rgb="FF000000"/>
      <name val="宋体"/>
      <charset val="134"/>
    </font>
    <font>
      <b/>
      <sz val="9"/>
      <color rgb="FF000000"/>
      <name val="宋体"/>
      <charset val="134"/>
    </font>
    <font>
      <sz val="8"/>
      <color rgb="FF000000"/>
      <name val="宋体"/>
      <charset val="134"/>
    </font>
    <font>
      <sz val="10"/>
      <color rgb="FFFF0000"/>
      <name val="宋体"/>
      <charset val="134"/>
    </font>
    <font>
      <sz val="10"/>
      <name val="宋体"/>
      <charset val="134"/>
    </font>
    <font>
      <b/>
      <sz val="9"/>
      <color rgb="FF000000"/>
      <name val="宋体"/>
      <charset val="134"/>
    </font>
    <font>
      <sz val="9"/>
      <color rgb="FF000000"/>
      <name val="宋体"/>
      <charset val="134"/>
    </font>
  </fonts>
  <fills count="49">
    <fill>
      <patternFill patternType="none"/>
    </fill>
    <fill>
      <patternFill patternType="gray125"/>
    </fill>
    <fill>
      <patternFill patternType="solid">
        <fgColor rgb="FFFFFF00"/>
        <bgColor indexed="64"/>
      </patternFill>
    </fill>
    <fill>
      <patternFill patternType="solid">
        <fgColor rgb="FF595959"/>
        <bgColor indexed="64"/>
      </patternFill>
    </fill>
    <fill>
      <patternFill patternType="solid">
        <fgColor rgb="FF404040"/>
        <bgColor indexed="64"/>
      </patternFill>
    </fill>
    <fill>
      <patternFill patternType="solid">
        <fgColor rgb="FFFFC000"/>
        <bgColor indexed="64"/>
      </patternFill>
    </fill>
    <fill>
      <patternFill patternType="solid">
        <fgColor rgb="FFFF0000"/>
        <bgColor indexed="64"/>
      </patternFill>
    </fill>
    <fill>
      <patternFill patternType="solid">
        <fgColor rgb="FFB3D600"/>
        <bgColor indexed="64"/>
      </patternFill>
    </fill>
    <fill>
      <patternFill patternType="solid">
        <fgColor rgb="FFACB9CA"/>
        <bgColor indexed="64"/>
      </patternFill>
    </fill>
    <fill>
      <patternFill patternType="solid">
        <fgColor rgb="FFC5DEB5"/>
        <bgColor indexed="64"/>
      </patternFill>
    </fill>
    <fill>
      <patternFill patternType="solid">
        <fgColor rgb="FF92D050"/>
        <bgColor indexed="64"/>
      </patternFill>
    </fill>
    <fill>
      <patternFill patternType="solid">
        <fgColor rgb="FFFFF2CB"/>
        <bgColor indexed="64"/>
      </patternFill>
    </fill>
    <fill>
      <patternFill patternType="solid">
        <fgColor rgb="FF99CCFF"/>
        <bgColor indexed="64"/>
      </patternFill>
    </fill>
    <fill>
      <patternFill patternType="solid">
        <fgColor rgb="FFE98A00"/>
        <bgColor indexed="64"/>
      </patternFill>
    </fill>
    <fill>
      <patternFill patternType="solid">
        <fgColor rgb="FFFBE4D5"/>
        <bgColor indexed="64"/>
      </patternFill>
    </fill>
    <fill>
      <patternFill patternType="solid">
        <fgColor rgb="FF00B0F0"/>
        <bgColor indexed="64"/>
      </patternFill>
    </fill>
    <fill>
      <patternFill patternType="solid">
        <fgColor rgb="FFBDD7EE"/>
        <bgColor indexed="64"/>
      </patternFill>
    </fill>
    <fill>
      <patternFill patternType="solid">
        <fgColor rgb="FFD0CE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8">
    <border>
      <left/>
      <right/>
      <top/>
      <bottom/>
      <diagonal/>
    </border>
    <border>
      <left style="thin">
        <color rgb="FF1F2329"/>
      </left>
      <right style="thin">
        <color rgb="FF1F2329"/>
      </right>
      <top style="thin">
        <color rgb="FF1F2329"/>
      </top>
      <bottom style="thin">
        <color rgb="FF1F2329"/>
      </bottom>
      <diagonal/>
    </border>
    <border>
      <left/>
      <right/>
      <top/>
      <bottom style="thin">
        <color rgb="FF2B2B2B"/>
      </bottom>
      <diagonal/>
    </border>
    <border>
      <left style="thin">
        <color rgb="FF2B2B2B"/>
      </left>
      <right/>
      <top/>
      <bottom style="thin">
        <color rgb="FF2B2B2B"/>
      </bottom>
      <diagonal/>
    </border>
    <border>
      <left/>
      <right/>
      <top style="thin">
        <color rgb="FF2B2B2B"/>
      </top>
      <bottom style="thin">
        <color rgb="FF2B2B2B"/>
      </bottom>
      <diagonal/>
    </border>
    <border>
      <left style="thin">
        <color rgb="FF2B2B2B"/>
      </left>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style="thin">
        <color rgb="FF2B2B2B"/>
      </top>
      <bottom/>
      <diagonal/>
    </border>
    <border>
      <left style="thin">
        <color rgb="FF2B2B2B"/>
      </left>
      <right style="thin">
        <color rgb="FF2B2B2B"/>
      </right>
      <top/>
      <bottom/>
      <diagonal/>
    </border>
    <border>
      <left style="medium">
        <color rgb="FF2B2B2B"/>
      </left>
      <right style="thin">
        <color rgb="FF2B2B2B"/>
      </right>
      <top/>
      <bottom style="thin">
        <color rgb="FF2B2B2B"/>
      </bottom>
      <diagonal/>
    </border>
    <border>
      <left style="thin">
        <color rgb="FF2B2B2B"/>
      </left>
      <right style="thin">
        <color rgb="FF2B2B2B"/>
      </right>
      <top style="medium">
        <color rgb="FF2B2B2B"/>
      </top>
      <bottom style="thin">
        <color rgb="FF2B2B2B"/>
      </bottom>
      <diagonal/>
    </border>
    <border>
      <left style="thin">
        <color rgb="FF2B2B2B"/>
      </left>
      <right style="medium">
        <color rgb="FF2B2B2B"/>
      </right>
      <top/>
      <bottom style="thin">
        <color rgb="FF2B2B2B"/>
      </bottom>
      <diagonal/>
    </border>
    <border>
      <left style="medium">
        <color rgb="FF2B2B2B"/>
      </left>
      <right style="medium">
        <color rgb="FF2B2B2B"/>
      </right>
      <top/>
      <bottom/>
      <diagonal/>
    </border>
    <border>
      <left style="medium">
        <color rgb="FF2B2B2B"/>
      </left>
      <right style="medium">
        <color rgb="FF2B2B2B"/>
      </right>
      <top style="thin">
        <color rgb="FF2B2B2B"/>
      </top>
      <bottom style="thin">
        <color rgb="FF2B2B2B"/>
      </bottom>
      <diagonal/>
    </border>
    <border>
      <left style="medium">
        <color rgb="FF2B2B2B"/>
      </left>
      <right style="thin">
        <color rgb="FF2B2B2B"/>
      </right>
      <top style="thin">
        <color rgb="FF2B2B2B"/>
      </top>
      <bottom style="thin">
        <color rgb="FF2B2B2B"/>
      </bottom>
      <diagonal/>
    </border>
    <border>
      <left style="thin">
        <color rgb="FF2B2B2B"/>
      </left>
      <right style="medium">
        <color rgb="FF2B2B2B"/>
      </right>
      <top style="thin">
        <color rgb="FF2B2B2B"/>
      </top>
      <bottom style="thin">
        <color rgb="FF2B2B2B"/>
      </bottom>
      <diagonal/>
    </border>
    <border>
      <left style="medium">
        <color rgb="FF2B2B2B"/>
      </left>
      <right style="thin">
        <color rgb="FF2B2B2B"/>
      </right>
      <top style="thin">
        <color rgb="FF2B2B2B"/>
      </top>
      <bottom style="medium">
        <color rgb="FF2B2B2B"/>
      </bottom>
      <diagonal/>
    </border>
    <border>
      <left style="thin">
        <color rgb="FF2B2B2B"/>
      </left>
      <right style="thin">
        <color rgb="FF2B2B2B"/>
      </right>
      <top style="thin">
        <color rgb="FF2B2B2B"/>
      </top>
      <bottom style="medium">
        <color rgb="FF2B2B2B"/>
      </bottom>
      <diagonal/>
    </border>
    <border>
      <left style="thin">
        <color rgb="FF2B2B2B"/>
      </left>
      <right style="medium">
        <color rgb="FF2B2B2B"/>
      </right>
      <top style="thin">
        <color rgb="FF2B2B2B"/>
      </top>
      <bottom style="medium">
        <color rgb="FF2B2B2B"/>
      </bottom>
      <diagonal/>
    </border>
    <border>
      <left style="medium">
        <color rgb="FF2B2B2B"/>
      </left>
      <right style="medium">
        <color rgb="FF2B2B2B"/>
      </right>
      <top style="thin">
        <color rgb="FF2B2B2B"/>
      </top>
      <bottom style="medium">
        <color rgb="FF2B2B2B"/>
      </bottom>
      <diagonal/>
    </border>
    <border>
      <left style="medium">
        <color rgb="FF2B2B2B"/>
      </left>
      <right style="thin">
        <color rgb="FF2B2B2B"/>
      </right>
      <top style="medium">
        <color rgb="FF2B2B2B"/>
      </top>
      <bottom style="thin">
        <color rgb="FF2B2B2B"/>
      </bottom>
      <diagonal/>
    </border>
    <border>
      <left style="thin">
        <color rgb="FF2B2B2B"/>
      </left>
      <right style="thin">
        <color rgb="FF2B2B2B"/>
      </right>
      <top style="medium">
        <color rgb="FF2B2B2B"/>
      </top>
      <bottom/>
      <diagonal/>
    </border>
    <border>
      <left style="thin">
        <color rgb="FF2B2B2B"/>
      </left>
      <right style="medium">
        <color rgb="FF2B2B2B"/>
      </right>
      <top style="medium">
        <color rgb="FF2B2B2B"/>
      </top>
      <bottom style="thin">
        <color rgb="FF2B2B2B"/>
      </bottom>
      <diagonal/>
    </border>
    <border>
      <left style="medium">
        <color rgb="FF2B2B2B"/>
      </left>
      <right style="medium">
        <color rgb="FF2B2B2B"/>
      </right>
      <top style="medium">
        <color rgb="FF2B2B2B"/>
      </top>
      <bottom style="thin">
        <color rgb="FF2B2B2B"/>
      </bottom>
      <diagonal/>
    </border>
    <border>
      <left style="thin">
        <color rgb="FF2B2B2B"/>
      </left>
      <right style="thin">
        <color rgb="FF2B2B2B"/>
      </right>
      <top/>
      <bottom style="medium">
        <color rgb="FF2B2B2B"/>
      </bottom>
      <diagonal/>
    </border>
    <border>
      <left style="medium">
        <color rgb="FF2B2B2B"/>
      </left>
      <right style="medium">
        <color rgb="FF2B2B2B"/>
      </right>
      <top/>
      <bottom style="medium">
        <color rgb="FF2B2B2B"/>
      </bottom>
      <diagonal/>
    </border>
    <border>
      <left style="medium">
        <color rgb="FF2B2B2B"/>
      </left>
      <right style="medium">
        <color rgb="FF2B2B2B"/>
      </right>
      <top style="medium">
        <color rgb="FF2B2B2B"/>
      </top>
      <bottom/>
      <diagonal/>
    </border>
    <border>
      <left style="thin">
        <color rgb="FF808080"/>
      </left>
      <right style="thin">
        <color rgb="FF808080"/>
      </right>
      <top style="thin">
        <color rgb="FF808080"/>
      </top>
      <bottom/>
      <diagonal/>
    </border>
    <border>
      <left style="thin">
        <color rgb="FF808080"/>
      </left>
      <right/>
      <top style="thin">
        <color rgb="FF808080"/>
      </top>
      <bottom/>
      <diagonal/>
    </border>
    <border>
      <left/>
      <right style="thin">
        <color rgb="FF2B2B2B"/>
      </right>
      <top style="thin">
        <color rgb="FF2B2B2B"/>
      </top>
      <bottom style="thin">
        <color rgb="FF2B2B2B"/>
      </bottom>
      <diagonal/>
    </border>
    <border>
      <left style="medium">
        <color rgb="FF2B2B2B"/>
      </left>
      <right/>
      <top style="medium">
        <color rgb="FF2B2B2B"/>
      </top>
      <bottom style="medium">
        <color rgb="FF2B2B2B"/>
      </bottom>
      <diagonal/>
    </border>
    <border>
      <left/>
      <right/>
      <top style="medium">
        <color rgb="FF2B2B2B"/>
      </top>
      <bottom style="medium">
        <color rgb="FF2B2B2B"/>
      </bottom>
      <diagonal/>
    </border>
    <border>
      <left/>
      <right style="medium">
        <color rgb="FF2B2B2B"/>
      </right>
      <top style="medium">
        <color rgb="FF2B2B2B"/>
      </top>
      <bottom style="medium">
        <color rgb="FF2B2B2B"/>
      </bottom>
      <diagonal/>
    </border>
    <border>
      <left/>
      <right style="thin">
        <color rgb="FF2B2B2B"/>
      </right>
      <top/>
      <bottom style="thin">
        <color rgb="FF2B2B2B"/>
      </bottom>
      <diagonal/>
    </border>
    <border>
      <left/>
      <right/>
      <top style="thin">
        <color rgb="FF2B2B2B"/>
      </top>
      <bottom/>
      <diagonal/>
    </border>
    <border>
      <left/>
      <right style="thin">
        <color rgb="FF2B2B2B"/>
      </right>
      <top style="thin">
        <color rgb="FF2B2B2B"/>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1F2329"/>
      </left>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25" fillId="0" borderId="0" applyFont="0" applyFill="0" applyBorder="0" applyAlignment="0" applyProtection="0">
      <alignment vertical="center"/>
    </xf>
    <xf numFmtId="44" fontId="25" fillId="0" borderId="0" applyFont="0" applyFill="0" applyBorder="0" applyAlignment="0" applyProtection="0">
      <alignment vertical="center"/>
    </xf>
    <xf numFmtId="9" fontId="25" fillId="0" borderId="0" applyFont="0" applyFill="0" applyBorder="0" applyAlignment="0" applyProtection="0">
      <alignment vertical="center"/>
    </xf>
    <xf numFmtId="41" fontId="25" fillId="0" borderId="0" applyFont="0" applyFill="0" applyBorder="0" applyAlignment="0" applyProtection="0">
      <alignment vertical="center"/>
    </xf>
    <xf numFmtId="42" fontId="25"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18" borderId="40"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41" applyNumberFormat="0" applyFill="0" applyAlignment="0" applyProtection="0">
      <alignment vertical="center"/>
    </xf>
    <xf numFmtId="0" fontId="32" fillId="0" borderId="41" applyNumberFormat="0" applyFill="0" applyAlignment="0" applyProtection="0">
      <alignment vertical="center"/>
    </xf>
    <xf numFmtId="0" fontId="33" fillId="0" borderId="42" applyNumberFormat="0" applyFill="0" applyAlignment="0" applyProtection="0">
      <alignment vertical="center"/>
    </xf>
    <xf numFmtId="0" fontId="33" fillId="0" borderId="0" applyNumberFormat="0" applyFill="0" applyBorder="0" applyAlignment="0" applyProtection="0">
      <alignment vertical="center"/>
    </xf>
    <xf numFmtId="0" fontId="34" fillId="19" borderId="43" applyNumberFormat="0" applyAlignment="0" applyProtection="0">
      <alignment vertical="center"/>
    </xf>
    <xf numFmtId="0" fontId="35" fillId="20" borderId="44" applyNumberFormat="0" applyAlignment="0" applyProtection="0">
      <alignment vertical="center"/>
    </xf>
    <xf numFmtId="0" fontId="36" fillId="20" borderId="43" applyNumberFormat="0" applyAlignment="0" applyProtection="0">
      <alignment vertical="center"/>
    </xf>
    <xf numFmtId="0" fontId="37" fillId="21" borderId="45" applyNumberFormat="0" applyAlignment="0" applyProtection="0">
      <alignment vertical="center"/>
    </xf>
    <xf numFmtId="0" fontId="38" fillId="0" borderId="46" applyNumberFormat="0" applyFill="0" applyAlignment="0" applyProtection="0">
      <alignment vertical="center"/>
    </xf>
    <xf numFmtId="0" fontId="39" fillId="0" borderId="47" applyNumberFormat="0" applyFill="0" applyAlignment="0" applyProtection="0">
      <alignment vertical="center"/>
    </xf>
    <xf numFmtId="0" fontId="40" fillId="22" borderId="0" applyNumberFormat="0" applyBorder="0" applyAlignment="0" applyProtection="0">
      <alignment vertical="center"/>
    </xf>
    <xf numFmtId="0" fontId="41" fillId="23" borderId="0" applyNumberFormat="0" applyBorder="0" applyAlignment="0" applyProtection="0">
      <alignment vertical="center"/>
    </xf>
    <xf numFmtId="0" fontId="42" fillId="24" borderId="0" applyNumberFormat="0" applyBorder="0" applyAlignment="0" applyProtection="0">
      <alignment vertical="center"/>
    </xf>
    <xf numFmtId="0" fontId="43"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3" fillId="28" borderId="0" applyNumberFormat="0" applyBorder="0" applyAlignment="0" applyProtection="0">
      <alignment vertical="center"/>
    </xf>
    <xf numFmtId="0" fontId="43"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3" fillId="32" borderId="0" applyNumberFormat="0" applyBorder="0" applyAlignment="0" applyProtection="0">
      <alignment vertical="center"/>
    </xf>
    <xf numFmtId="0" fontId="43" fillId="33" borderId="0" applyNumberFormat="0" applyBorder="0" applyAlignment="0" applyProtection="0">
      <alignment vertical="center"/>
    </xf>
    <xf numFmtId="0" fontId="44" fillId="34" borderId="0" applyNumberFormat="0" applyBorder="0" applyAlignment="0" applyProtection="0">
      <alignment vertical="center"/>
    </xf>
    <xf numFmtId="0" fontId="44" fillId="35" borderId="0" applyNumberFormat="0" applyBorder="0" applyAlignment="0" applyProtection="0">
      <alignment vertical="center"/>
    </xf>
    <xf numFmtId="0" fontId="43" fillId="36" borderId="0" applyNumberFormat="0" applyBorder="0" applyAlignment="0" applyProtection="0">
      <alignment vertical="center"/>
    </xf>
    <xf numFmtId="0" fontId="43" fillId="37" borderId="0" applyNumberFormat="0" applyBorder="0" applyAlignment="0" applyProtection="0">
      <alignment vertical="center"/>
    </xf>
    <xf numFmtId="0" fontId="44" fillId="38" borderId="0" applyNumberFormat="0" applyBorder="0" applyAlignment="0" applyProtection="0">
      <alignment vertical="center"/>
    </xf>
    <xf numFmtId="0" fontId="44" fillId="39" borderId="0" applyNumberFormat="0" applyBorder="0" applyAlignment="0" applyProtection="0">
      <alignment vertical="center"/>
    </xf>
    <xf numFmtId="0" fontId="43" fillId="40" borderId="0" applyNumberFormat="0" applyBorder="0" applyAlignment="0" applyProtection="0">
      <alignment vertical="center"/>
    </xf>
    <xf numFmtId="0" fontId="43" fillId="41" borderId="0" applyNumberFormat="0" applyBorder="0" applyAlignment="0" applyProtection="0">
      <alignment vertical="center"/>
    </xf>
    <xf numFmtId="0" fontId="44" fillId="42" borderId="0" applyNumberFormat="0" applyBorder="0" applyAlignment="0" applyProtection="0">
      <alignment vertical="center"/>
    </xf>
    <xf numFmtId="0" fontId="44" fillId="43" borderId="0" applyNumberFormat="0" applyBorder="0" applyAlignment="0" applyProtection="0">
      <alignment vertical="center"/>
    </xf>
    <xf numFmtId="0" fontId="43" fillId="44" borderId="0" applyNumberFormat="0" applyBorder="0" applyAlignment="0" applyProtection="0">
      <alignment vertical="center"/>
    </xf>
    <xf numFmtId="0" fontId="43" fillId="45" borderId="0" applyNumberFormat="0" applyBorder="0" applyAlignment="0" applyProtection="0">
      <alignment vertical="center"/>
    </xf>
    <xf numFmtId="0" fontId="44" fillId="46" borderId="0" applyNumberFormat="0" applyBorder="0" applyAlignment="0" applyProtection="0">
      <alignment vertical="center"/>
    </xf>
    <xf numFmtId="0" fontId="44" fillId="47" borderId="0" applyNumberFormat="0" applyBorder="0" applyAlignment="0" applyProtection="0">
      <alignment vertical="center"/>
    </xf>
    <xf numFmtId="0" fontId="43" fillId="48" borderId="0" applyNumberFormat="0" applyBorder="0" applyAlignment="0" applyProtection="0">
      <alignment vertical="center"/>
    </xf>
  </cellStyleXfs>
  <cellXfs count="366">
    <xf numFmtId="0" fontId="0" fillId="0" borderId="0" xfId="0" applyAlignment="1">
      <alignment vertical="center"/>
    </xf>
    <xf numFmtId="0" fontId="1" fillId="0" borderId="0" xfId="0" applyFont="1" applyAlignment="1">
      <alignment horizontal="center" vertical="center"/>
    </xf>
    <xf numFmtId="0" fontId="2" fillId="0" borderId="0" xfId="0" applyFont="1" applyAlignment="1">
      <alignment horizontal="left" vertical="center"/>
    </xf>
    <xf numFmtId="14" fontId="2" fillId="0" borderId="0" xfId="0" applyNumberFormat="1" applyFont="1" applyAlignment="1">
      <alignment horizontal="left" vertical="center"/>
    </xf>
    <xf numFmtId="0" fontId="2" fillId="0" borderId="0" xfId="0" applyFont="1" applyAlignment="1">
      <alignment vertical="center"/>
    </xf>
    <xf numFmtId="0" fontId="2" fillId="0" borderId="0" xfId="0" applyFont="1" applyAlignment="1">
      <alignment horizontal="right" vertical="center"/>
    </xf>
    <xf numFmtId="0" fontId="1" fillId="0" borderId="0" xfId="0" applyFont="1" applyAlignment="1">
      <alignment horizontal="center" vertical="center" wrapText="1"/>
    </xf>
    <xf numFmtId="0" fontId="2" fillId="0" borderId="0" xfId="0" applyFont="1" applyAlignment="1">
      <alignment vertical="center" wrapText="1"/>
    </xf>
    <xf numFmtId="0" fontId="2" fillId="2" borderId="0" xfId="0" applyFont="1" applyFill="1" applyAlignment="1">
      <alignment horizontal="left" vertical="center" wrapText="1"/>
    </xf>
    <xf numFmtId="0" fontId="2" fillId="0" borderId="0" xfId="0" applyFont="1" applyAlignment="1">
      <alignment horizontal="left" vertical="center" wrapText="1"/>
    </xf>
    <xf numFmtId="0" fontId="2" fillId="2" borderId="0" xfId="0" applyFont="1" applyFill="1" applyAlignment="1">
      <alignment horizontal="left" vertical="center"/>
    </xf>
    <xf numFmtId="0" fontId="1" fillId="3" borderId="0" xfId="0" applyFont="1" applyFill="1" applyAlignment="1">
      <alignment horizontal="center" vertical="center"/>
    </xf>
    <xf numFmtId="0" fontId="2" fillId="3" borderId="0" xfId="0" applyFont="1" applyFill="1" applyAlignment="1">
      <alignment vertical="center"/>
    </xf>
    <xf numFmtId="0" fontId="2" fillId="0" borderId="0" xfId="0" applyFont="1" applyAlignment="1">
      <alignment horizontal="center" vertical="center"/>
    </xf>
    <xf numFmtId="0" fontId="2" fillId="2" borderId="1" xfId="0" applyFont="1" applyFill="1" applyBorder="1" applyAlignment="1">
      <alignment horizontal="left" vertical="center"/>
    </xf>
    <xf numFmtId="0" fontId="2" fillId="0" borderId="1" xfId="0" applyFont="1" applyBorder="1" applyAlignment="1">
      <alignment horizontal="center" vertical="center"/>
    </xf>
    <xf numFmtId="14" fontId="1" fillId="0" borderId="1" xfId="0" applyNumberFormat="1" applyFont="1" applyBorder="1" applyAlignment="1">
      <alignment horizontal="center" vertical="center"/>
    </xf>
    <xf numFmtId="0" fontId="3" fillId="4" borderId="1" xfId="0" applyFont="1" applyFill="1" applyBorder="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vertical="center"/>
    </xf>
    <xf numFmtId="0" fontId="4" fillId="0" borderId="1" xfId="0" applyFont="1" applyBorder="1" applyAlignment="1">
      <alignment horizontal="left" vertical="center"/>
    </xf>
    <xf numFmtId="0" fontId="5" fillId="5" borderId="0" xfId="0" applyFont="1" applyFill="1" applyAlignment="1">
      <alignment horizontal="left" vertical="center"/>
    </xf>
    <xf numFmtId="0" fontId="6" fillId="6" borderId="0" xfId="0" applyFont="1" applyFill="1" applyAlignment="1">
      <alignment horizontal="left" vertical="center"/>
    </xf>
    <xf numFmtId="0" fontId="5" fillId="5" borderId="0" xfId="0" applyFont="1" applyFill="1" applyAlignment="1">
      <alignment horizontal="center" vertical="center"/>
    </xf>
    <xf numFmtId="2" fontId="6" fillId="6" borderId="0" xfId="0" applyNumberFormat="1" applyFont="1" applyFill="1" applyAlignment="1">
      <alignment horizontal="left" vertical="center"/>
    </xf>
    <xf numFmtId="2" fontId="1" fillId="0" borderId="0" xfId="0" applyNumberFormat="1" applyFont="1" applyAlignment="1">
      <alignment horizontal="center" vertical="center"/>
    </xf>
    <xf numFmtId="0" fontId="1" fillId="7" borderId="0" xfId="0" applyFont="1" applyFill="1" applyAlignment="1">
      <alignment horizontal="center" vertical="center"/>
    </xf>
    <xf numFmtId="0" fontId="2" fillId="7" borderId="0" xfId="0" applyFont="1" applyFill="1" applyAlignment="1">
      <alignment horizontal="center" vertical="center"/>
    </xf>
    <xf numFmtId="2" fontId="2" fillId="0" borderId="0" xfId="0" applyNumberFormat="1" applyFont="1" applyAlignment="1">
      <alignment horizontal="center" vertical="center"/>
    </xf>
    <xf numFmtId="2" fontId="2" fillId="0" borderId="0" xfId="0" applyNumberFormat="1" applyFont="1" applyAlignment="1">
      <alignment vertical="center"/>
    </xf>
    <xf numFmtId="0" fontId="4"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left"/>
    </xf>
    <xf numFmtId="0" fontId="4" fillId="0" borderId="0" xfId="0" applyFont="1" applyAlignment="1"/>
    <xf numFmtId="0" fontId="4" fillId="2" borderId="0" xfId="0" applyFont="1" applyFill="1" applyAlignment="1">
      <alignment horizontal="left"/>
    </xf>
    <xf numFmtId="0" fontId="4" fillId="2" borderId="0" xfId="0" applyFont="1" applyFill="1" applyAlignment="1"/>
    <xf numFmtId="176" fontId="4" fillId="0" borderId="0" xfId="0" applyNumberFormat="1" applyFont="1" applyAlignment="1">
      <alignment vertical="center"/>
    </xf>
    <xf numFmtId="0" fontId="7" fillId="0" borderId="0" xfId="0" applyFont="1" applyAlignment="1">
      <alignment vertical="center"/>
    </xf>
    <xf numFmtId="0" fontId="8" fillId="0" borderId="0" xfId="0" applyFont="1" applyAlignment="1">
      <alignment vertical="center"/>
    </xf>
    <xf numFmtId="0" fontId="6" fillId="2" borderId="2" xfId="0" applyFont="1" applyFill="1" applyBorder="1" applyAlignment="1">
      <alignment horizontal="left" vertical="center" wrapText="1"/>
    </xf>
    <xf numFmtId="0" fontId="6" fillId="8" borderId="3" xfId="0" applyFont="1" applyFill="1" applyBorder="1" applyAlignment="1">
      <alignment horizontal="center" vertical="center" wrapText="1"/>
    </xf>
    <xf numFmtId="0" fontId="6" fillId="8" borderId="2" xfId="0" applyFont="1" applyFill="1" applyBorder="1" applyAlignment="1">
      <alignment horizontal="center" vertical="center" wrapText="1"/>
    </xf>
    <xf numFmtId="177" fontId="6" fillId="8" borderId="4" xfId="0" applyNumberFormat="1" applyFont="1" applyFill="1" applyBorder="1" applyAlignment="1">
      <alignment horizontal="center" vertical="center" wrapText="1"/>
    </xf>
    <xf numFmtId="178" fontId="6" fillId="8" borderId="4" xfId="0" applyNumberFormat="1" applyFont="1" applyFill="1" applyBorder="1" applyAlignment="1">
      <alignment horizontal="center" vertical="center" wrapText="1"/>
    </xf>
    <xf numFmtId="178" fontId="6" fillId="5" borderId="5" xfId="0" applyNumberFormat="1" applyFont="1" applyFill="1" applyBorder="1" applyAlignment="1">
      <alignment horizontal="center" vertical="center" wrapText="1"/>
    </xf>
    <xf numFmtId="178" fontId="6" fillId="5" borderId="4" xfId="0" applyNumberFormat="1" applyFont="1" applyFill="1" applyBorder="1" applyAlignment="1">
      <alignment horizontal="center" vertical="center" wrapText="1"/>
    </xf>
    <xf numFmtId="178" fontId="6" fillId="5" borderId="4" xfId="0" applyNumberFormat="1" applyFont="1" applyFill="1" applyBorder="1" applyAlignment="1">
      <alignment vertical="center" wrapText="1"/>
    </xf>
    <xf numFmtId="178" fontId="6" fillId="2" borderId="5" xfId="0" applyNumberFormat="1" applyFont="1" applyFill="1" applyBorder="1" applyAlignment="1">
      <alignment horizontal="center" vertical="center" wrapText="1"/>
    </xf>
    <xf numFmtId="178" fontId="6" fillId="2" borderId="4" xfId="0" applyNumberFormat="1" applyFont="1" applyFill="1" applyBorder="1" applyAlignment="1">
      <alignment horizontal="center" vertical="center" wrapText="1"/>
    </xf>
    <xf numFmtId="178" fontId="6" fillId="2" borderId="4" xfId="0" applyNumberFormat="1" applyFont="1" applyFill="1" applyBorder="1" applyAlignment="1">
      <alignment vertical="center" wrapText="1"/>
    </xf>
    <xf numFmtId="178" fontId="6" fillId="9" borderId="5" xfId="0" applyNumberFormat="1" applyFont="1" applyFill="1" applyBorder="1" applyAlignment="1">
      <alignment horizontal="center" vertical="center" wrapText="1"/>
    </xf>
    <xf numFmtId="178" fontId="6" fillId="9" borderId="4" xfId="0" applyNumberFormat="1" applyFont="1" applyFill="1" applyBorder="1" applyAlignment="1">
      <alignment horizontal="center" vertical="center" wrapText="1"/>
    </xf>
    <xf numFmtId="178" fontId="6" fillId="9" borderId="4" xfId="0" applyNumberFormat="1" applyFont="1" applyFill="1" applyBorder="1" applyAlignment="1">
      <alignment vertical="center" wrapText="1"/>
    </xf>
    <xf numFmtId="0" fontId="9" fillId="2" borderId="6" xfId="0" applyFont="1" applyFill="1" applyBorder="1" applyAlignment="1">
      <alignment horizontal="center" vertical="center" wrapText="1"/>
    </xf>
    <xf numFmtId="10" fontId="9" fillId="2" borderId="6" xfId="0" applyNumberFormat="1" applyFont="1" applyFill="1" applyBorder="1" applyAlignment="1">
      <alignment horizontal="center" vertical="center" wrapText="1"/>
    </xf>
    <xf numFmtId="0" fontId="6" fillId="2" borderId="6" xfId="0" applyFont="1" applyFill="1" applyBorder="1" applyAlignment="1">
      <alignment horizontal="center" vertical="center" wrapText="1"/>
    </xf>
    <xf numFmtId="178" fontId="6" fillId="8" borderId="6" xfId="0" applyNumberFormat="1" applyFont="1" applyFill="1" applyBorder="1" applyAlignment="1">
      <alignment horizontal="center" vertical="center" wrapText="1"/>
    </xf>
    <xf numFmtId="178" fontId="9" fillId="8" borderId="6" xfId="0" applyNumberFormat="1" applyFont="1" applyFill="1" applyBorder="1" applyAlignment="1">
      <alignment horizontal="center" vertical="center" wrapText="1"/>
    </xf>
    <xf numFmtId="177" fontId="6" fillId="8" borderId="6" xfId="0" applyNumberFormat="1" applyFont="1" applyFill="1" applyBorder="1" applyAlignment="1">
      <alignment horizontal="center" vertical="center" wrapText="1"/>
    </xf>
    <xf numFmtId="178" fontId="6" fillId="5" borderId="6" xfId="0" applyNumberFormat="1" applyFont="1" applyFill="1" applyBorder="1" applyAlignment="1">
      <alignment horizontal="center" vertical="center" wrapText="1"/>
    </xf>
    <xf numFmtId="178" fontId="6" fillId="2" borderId="6" xfId="0" applyNumberFormat="1" applyFont="1" applyFill="1" applyBorder="1" applyAlignment="1">
      <alignment horizontal="center" vertical="center" wrapText="1"/>
    </xf>
    <xf numFmtId="178" fontId="6" fillId="9" borderId="6" xfId="0" applyNumberFormat="1" applyFont="1" applyFill="1" applyBorder="1" applyAlignment="1">
      <alignment horizontal="center" vertical="center" wrapText="1"/>
    </xf>
    <xf numFmtId="0" fontId="5" fillId="0" borderId="6" xfId="0" applyFont="1" applyBorder="1" applyAlignment="1">
      <alignment horizontal="left" vertical="center"/>
    </xf>
    <xf numFmtId="0" fontId="4" fillId="0" borderId="6" xfId="0" applyFont="1" applyBorder="1" applyAlignment="1">
      <alignment horizontal="left" vertical="center"/>
    </xf>
    <xf numFmtId="0" fontId="5" fillId="0" borderId="6" xfId="0" applyFont="1" applyBorder="1" applyAlignment="1">
      <alignment horizontal="center" vertical="center"/>
    </xf>
    <xf numFmtId="9" fontId="5" fillId="0" borderId="6" xfId="0" applyNumberFormat="1" applyFont="1" applyBorder="1" applyAlignment="1">
      <alignment vertical="center" wrapText="1"/>
    </xf>
    <xf numFmtId="9" fontId="5" fillId="0" borderId="6" xfId="0" applyNumberFormat="1" applyFont="1" applyBorder="1" applyAlignment="1">
      <alignment horizontal="center" vertical="center" wrapText="1"/>
    </xf>
    <xf numFmtId="2" fontId="5" fillId="0" borderId="6" xfId="0" applyNumberFormat="1" applyFont="1" applyBorder="1" applyAlignment="1">
      <alignment horizontal="center" vertical="center" wrapText="1"/>
    </xf>
    <xf numFmtId="178" fontId="5" fillId="10" borderId="6" xfId="0" applyNumberFormat="1" applyFont="1" applyFill="1" applyBorder="1" applyAlignment="1">
      <alignment horizontal="center" vertical="center" wrapText="1"/>
    </xf>
    <xf numFmtId="177" fontId="5" fillId="10" borderId="6" xfId="0" applyNumberFormat="1" applyFont="1" applyFill="1" applyBorder="1" applyAlignment="1">
      <alignment horizontal="center" vertical="center" wrapText="1"/>
    </xf>
    <xf numFmtId="177" fontId="5" fillId="0" borderId="6" xfId="0" applyNumberFormat="1" applyFont="1" applyBorder="1" applyAlignment="1">
      <alignment horizontal="center" vertical="center" wrapText="1"/>
    </xf>
    <xf numFmtId="1" fontId="5" fillId="0" borderId="6" xfId="0" applyNumberFormat="1" applyFont="1" applyBorder="1" applyAlignment="1">
      <alignment horizontal="center" vertical="center" wrapText="1"/>
    </xf>
    <xf numFmtId="0" fontId="5" fillId="0" borderId="6" xfId="0" applyFont="1" applyBorder="1" applyAlignment="1">
      <alignment horizontal="center" vertical="center" wrapText="1"/>
    </xf>
    <xf numFmtId="178" fontId="5" fillId="0" borderId="6" xfId="0" applyNumberFormat="1" applyFont="1" applyBorder="1" applyAlignment="1">
      <alignment horizontal="center" vertical="center" wrapText="1"/>
    </xf>
    <xf numFmtId="179" fontId="5" fillId="0" borderId="6" xfId="0" applyNumberFormat="1" applyFont="1" applyBorder="1" applyAlignment="1">
      <alignment horizontal="center" vertical="center" wrapText="1"/>
    </xf>
    <xf numFmtId="9" fontId="5" fillId="5" borderId="0" xfId="0" applyNumberFormat="1" applyFont="1" applyFill="1" applyAlignment="1">
      <alignment vertical="center" wrapText="1"/>
    </xf>
    <xf numFmtId="9" fontId="5" fillId="5" borderId="0" xfId="0" applyNumberFormat="1" applyFont="1" applyFill="1" applyAlignment="1">
      <alignment horizontal="center" vertical="center" wrapText="1"/>
    </xf>
    <xf numFmtId="2" fontId="5" fillId="5" borderId="0" xfId="0" applyNumberFormat="1" applyFont="1" applyFill="1" applyAlignment="1">
      <alignment horizontal="center" vertical="center" wrapText="1"/>
    </xf>
    <xf numFmtId="178" fontId="5" fillId="5" borderId="0" xfId="0" applyNumberFormat="1" applyFont="1" applyFill="1" applyAlignment="1">
      <alignment horizontal="center" vertical="center" wrapText="1"/>
    </xf>
    <xf numFmtId="177" fontId="5" fillId="5" borderId="0" xfId="0" applyNumberFormat="1" applyFont="1" applyFill="1" applyAlignment="1">
      <alignment horizontal="center" vertical="center" wrapText="1"/>
    </xf>
    <xf numFmtId="0" fontId="5" fillId="5" borderId="0" xfId="0" applyFont="1" applyFill="1" applyAlignment="1">
      <alignment horizontal="center" vertical="center" wrapText="1"/>
    </xf>
    <xf numFmtId="0" fontId="5" fillId="0" borderId="0" xfId="0" applyFont="1" applyAlignment="1">
      <alignment horizontal="left" vertical="center"/>
    </xf>
    <xf numFmtId="0" fontId="5" fillId="0" borderId="0" xfId="0" applyFont="1" applyAlignment="1">
      <alignment horizontal="center" vertical="center"/>
    </xf>
    <xf numFmtId="9" fontId="5" fillId="0" borderId="0" xfId="0" applyNumberFormat="1" applyFont="1" applyAlignment="1">
      <alignment vertical="center" wrapText="1"/>
    </xf>
    <xf numFmtId="9" fontId="5" fillId="0" borderId="0" xfId="0" applyNumberFormat="1" applyFont="1" applyAlignment="1">
      <alignment horizontal="center" vertical="center" wrapText="1"/>
    </xf>
    <xf numFmtId="2" fontId="5" fillId="0" borderId="0" xfId="0" applyNumberFormat="1" applyFont="1" applyAlignment="1">
      <alignment horizontal="center" vertical="center" wrapText="1"/>
    </xf>
    <xf numFmtId="178" fontId="5" fillId="0" borderId="0" xfId="0" applyNumberFormat="1" applyFont="1" applyAlignment="1">
      <alignment horizontal="center" vertical="center" wrapText="1"/>
    </xf>
    <xf numFmtId="177" fontId="5" fillId="0" borderId="0" xfId="0" applyNumberFormat="1" applyFont="1" applyAlignment="1">
      <alignment horizontal="center" vertical="center" wrapText="1"/>
    </xf>
    <xf numFmtId="0" fontId="5" fillId="0" borderId="0" xfId="0" applyFont="1" applyAlignment="1">
      <alignment horizontal="center" vertical="center" wrapText="1"/>
    </xf>
    <xf numFmtId="1" fontId="5" fillId="0" borderId="0" xfId="0" applyNumberFormat="1" applyFont="1" applyAlignment="1">
      <alignment horizontal="center" vertical="center" wrapText="1"/>
    </xf>
    <xf numFmtId="177" fontId="6" fillId="0" borderId="0" xfId="0" applyNumberFormat="1" applyFont="1" applyAlignment="1">
      <alignment horizontal="center" vertical="center" wrapText="1"/>
    </xf>
    <xf numFmtId="0" fontId="10" fillId="10" borderId="6" xfId="0" applyFont="1" applyFill="1" applyBorder="1" applyAlignment="1">
      <alignment horizontal="left" vertical="center" wrapText="1"/>
    </xf>
    <xf numFmtId="10" fontId="10" fillId="10" borderId="6" xfId="0" applyNumberFormat="1" applyFont="1" applyFill="1" applyBorder="1" applyAlignment="1">
      <alignment horizontal="left" vertical="center" wrapText="1"/>
    </xf>
    <xf numFmtId="178" fontId="10" fillId="10" borderId="6" xfId="0" applyNumberFormat="1" applyFont="1" applyFill="1" applyBorder="1" applyAlignment="1">
      <alignment horizontal="left" vertical="center" wrapText="1"/>
    </xf>
    <xf numFmtId="0" fontId="11" fillId="10" borderId="6" xfId="0" applyFont="1" applyFill="1" applyBorder="1" applyAlignment="1">
      <alignment horizontal="left" vertical="center" wrapText="1"/>
    </xf>
    <xf numFmtId="0" fontId="12" fillId="10" borderId="6" xfId="0" applyFont="1" applyFill="1" applyBorder="1" applyAlignment="1">
      <alignment horizontal="left" vertical="center"/>
    </xf>
    <xf numFmtId="0" fontId="4" fillId="10" borderId="6" xfId="0" applyFont="1" applyFill="1" applyBorder="1" applyAlignment="1">
      <alignment horizontal="left" vertical="center"/>
    </xf>
    <xf numFmtId="178" fontId="4" fillId="10" borderId="6" xfId="0" applyNumberFormat="1" applyFont="1" applyFill="1" applyBorder="1" applyAlignment="1">
      <alignment horizontal="left" vertical="center"/>
    </xf>
    <xf numFmtId="178" fontId="11" fillId="10" borderId="6" xfId="0" applyNumberFormat="1" applyFont="1" applyFill="1" applyBorder="1" applyAlignment="1">
      <alignment horizontal="left" vertical="center"/>
    </xf>
    <xf numFmtId="10" fontId="4" fillId="10" borderId="6" xfId="0" applyNumberFormat="1" applyFont="1" applyFill="1" applyBorder="1" applyAlignment="1">
      <alignment horizontal="left" vertical="center" wrapText="1"/>
    </xf>
    <xf numFmtId="9" fontId="4" fillId="10" borderId="6" xfId="0" applyNumberFormat="1" applyFont="1" applyFill="1" applyBorder="1" applyAlignment="1">
      <alignment horizontal="left" vertical="center"/>
    </xf>
    <xf numFmtId="10" fontId="4" fillId="10" borderId="6" xfId="0" applyNumberFormat="1" applyFont="1" applyFill="1" applyBorder="1" applyAlignment="1">
      <alignment horizontal="left" vertical="center"/>
    </xf>
    <xf numFmtId="0" fontId="12" fillId="10" borderId="0" xfId="0" applyFont="1" applyFill="1" applyAlignment="1">
      <alignment horizontal="left" vertical="center"/>
    </xf>
    <xf numFmtId="0" fontId="4" fillId="10" borderId="0" xfId="0" applyFont="1" applyFill="1" applyAlignment="1">
      <alignment horizontal="left" vertical="center"/>
    </xf>
    <xf numFmtId="178" fontId="4" fillId="10" borderId="0" xfId="0" applyNumberFormat="1" applyFont="1" applyFill="1" applyAlignment="1">
      <alignment horizontal="left" vertical="center"/>
    </xf>
    <xf numFmtId="178" fontId="11" fillId="10" borderId="0" xfId="0" applyNumberFormat="1" applyFont="1" applyFill="1" applyAlignment="1">
      <alignment horizontal="left" vertical="center"/>
    </xf>
    <xf numFmtId="10" fontId="4" fillId="10" borderId="0" xfId="0" applyNumberFormat="1" applyFont="1" applyFill="1" applyAlignment="1">
      <alignment horizontal="left" vertical="center" wrapText="1"/>
    </xf>
    <xf numFmtId="9" fontId="4" fillId="10" borderId="0" xfId="0" applyNumberFormat="1" applyFont="1" applyFill="1" applyAlignment="1">
      <alignment horizontal="left" vertical="center"/>
    </xf>
    <xf numFmtId="10" fontId="4" fillId="10" borderId="0" xfId="0" applyNumberFormat="1" applyFont="1" applyFill="1" applyAlignment="1">
      <alignment horizontal="left" vertical="center"/>
    </xf>
    <xf numFmtId="0" fontId="12" fillId="0" borderId="0" xfId="0" applyFont="1" applyAlignment="1">
      <alignment vertical="center"/>
    </xf>
    <xf numFmtId="0" fontId="12" fillId="2" borderId="6" xfId="0" applyFont="1" applyFill="1" applyBorder="1" applyAlignment="1">
      <alignment horizontal="center" vertical="center"/>
    </xf>
    <xf numFmtId="178" fontId="6" fillId="0" borderId="0" xfId="0" applyNumberFormat="1" applyFont="1" applyAlignment="1">
      <alignment horizontal="center" vertical="center" wrapText="1"/>
    </xf>
    <xf numFmtId="0" fontId="4" fillId="0" borderId="0" xfId="0" applyFont="1" applyAlignment="1">
      <alignment wrapText="1"/>
    </xf>
    <xf numFmtId="0" fontId="12" fillId="11" borderId="6" xfId="0" applyFont="1" applyFill="1" applyBorder="1" applyAlignment="1">
      <alignment horizontal="center" vertical="center"/>
    </xf>
    <xf numFmtId="0" fontId="12" fillId="11" borderId="6" xfId="0" applyFont="1" applyFill="1" applyBorder="1" applyAlignment="1">
      <alignment horizontal="left" vertical="center"/>
    </xf>
    <xf numFmtId="177" fontId="12" fillId="11" borderId="6" xfId="0" applyNumberFormat="1" applyFont="1" applyFill="1" applyBorder="1" applyAlignment="1">
      <alignment horizontal="left" vertical="center"/>
    </xf>
    <xf numFmtId="1" fontId="12" fillId="11" borderId="6" xfId="0" applyNumberFormat="1" applyFont="1" applyFill="1" applyBorder="1" applyAlignment="1">
      <alignment horizontal="left" vertical="center"/>
    </xf>
    <xf numFmtId="178" fontId="12" fillId="11" borderId="6" xfId="0" applyNumberFormat="1" applyFont="1" applyFill="1" applyBorder="1" applyAlignment="1">
      <alignment horizontal="left" vertical="center"/>
    </xf>
    <xf numFmtId="9" fontId="12" fillId="11" borderId="6" xfId="0" applyNumberFormat="1" applyFont="1" applyFill="1" applyBorder="1" applyAlignment="1">
      <alignment horizontal="left" vertical="center"/>
    </xf>
    <xf numFmtId="9" fontId="12" fillId="11" borderId="5" xfId="0" applyNumberFormat="1" applyFont="1" applyFill="1" applyBorder="1" applyAlignment="1">
      <alignment horizontal="left" vertical="center"/>
    </xf>
    <xf numFmtId="177" fontId="4" fillId="0" borderId="6" xfId="0" applyNumberFormat="1" applyFont="1" applyBorder="1" applyAlignment="1"/>
    <xf numFmtId="177" fontId="12" fillId="0" borderId="0" xfId="0" applyNumberFormat="1" applyFont="1" applyAlignment="1">
      <alignment horizontal="left" vertical="center"/>
    </xf>
    <xf numFmtId="177" fontId="4" fillId="0" borderId="0" xfId="0" applyNumberFormat="1" applyFont="1" applyAlignment="1"/>
    <xf numFmtId="0" fontId="12" fillId="0" borderId="0" xfId="0" applyFont="1" applyAlignment="1">
      <alignment horizontal="left" vertical="center"/>
    </xf>
    <xf numFmtId="0" fontId="12" fillId="11" borderId="7" xfId="0" applyFont="1" applyFill="1" applyBorder="1" applyAlignment="1">
      <alignment horizontal="center" vertical="center"/>
    </xf>
    <xf numFmtId="0" fontId="13" fillId="11" borderId="0" xfId="0" applyFont="1" applyFill="1" applyAlignment="1">
      <alignment horizontal="left" vertical="top" wrapText="1"/>
    </xf>
    <xf numFmtId="0" fontId="4" fillId="11" borderId="0" xfId="0" applyFont="1" applyFill="1" applyAlignment="1">
      <alignment horizontal="center" vertical="top" wrapText="1"/>
    </xf>
    <xf numFmtId="0" fontId="4" fillId="11" borderId="0" xfId="0" applyFont="1" applyFill="1" applyAlignment="1">
      <alignment horizontal="left" vertical="top" wrapText="1"/>
    </xf>
    <xf numFmtId="0" fontId="4" fillId="0" borderId="0" xfId="0" applyFont="1" applyAlignment="1">
      <alignment vertical="top" wrapText="1"/>
    </xf>
    <xf numFmtId="0" fontId="4" fillId="11" borderId="2" xfId="0" applyFont="1" applyFill="1" applyBorder="1" applyAlignment="1">
      <alignment horizontal="left" vertical="top" wrapText="1"/>
    </xf>
    <xf numFmtId="0" fontId="4" fillId="11" borderId="2" xfId="0" applyFont="1" applyFill="1" applyBorder="1" applyAlignment="1">
      <alignment horizontal="center" vertical="top" wrapText="1"/>
    </xf>
    <xf numFmtId="0" fontId="4" fillId="0" borderId="2" xfId="0" applyFont="1" applyBorder="1" applyAlignment="1">
      <alignment vertical="top" wrapText="1"/>
    </xf>
    <xf numFmtId="0" fontId="1" fillId="12" borderId="6" xfId="0" applyFont="1" applyFill="1" applyBorder="1" applyAlignment="1">
      <alignment horizontal="center" vertical="center" wrapText="1"/>
    </xf>
    <xf numFmtId="0" fontId="1" fillId="11" borderId="6" xfId="0" applyFont="1" applyFill="1" applyBorder="1" applyAlignment="1">
      <alignment horizontal="center" vertical="center" wrapText="1"/>
    </xf>
    <xf numFmtId="180" fontId="1" fillId="11" borderId="6" xfId="0" applyNumberFormat="1" applyFont="1" applyFill="1" applyBorder="1" applyAlignment="1">
      <alignment horizontal="center" vertical="center" wrapText="1"/>
    </xf>
    <xf numFmtId="0" fontId="10" fillId="5" borderId="6" xfId="0" applyFont="1" applyFill="1" applyBorder="1" applyAlignment="1">
      <alignment horizontal="center" vertical="center" wrapText="1"/>
    </xf>
    <xf numFmtId="0" fontId="14" fillId="11" borderId="6" xfId="0" applyFont="1" applyFill="1" applyBorder="1" applyAlignment="1">
      <alignment horizontal="center" vertical="center" wrapText="1"/>
    </xf>
    <xf numFmtId="0" fontId="14" fillId="11" borderId="8" xfId="0" applyFont="1" applyFill="1" applyBorder="1" applyAlignment="1">
      <alignment horizontal="center" vertical="center" wrapText="1"/>
    </xf>
    <xf numFmtId="0" fontId="4" fillId="0" borderId="0" xfId="0" applyFont="1" applyAlignment="1">
      <alignment horizontal="center" vertical="center" wrapText="1"/>
    </xf>
    <xf numFmtId="0" fontId="1" fillId="12" borderId="8" xfId="0" applyFont="1" applyFill="1" applyBorder="1" applyAlignment="1">
      <alignment horizontal="center" vertical="center" wrapText="1"/>
    </xf>
    <xf numFmtId="0" fontId="1" fillId="11" borderId="8" xfId="0" applyFont="1" applyFill="1" applyBorder="1" applyAlignment="1">
      <alignment horizontal="center" vertical="center" wrapText="1"/>
    </xf>
    <xf numFmtId="180" fontId="1" fillId="11" borderId="8" xfId="0" applyNumberFormat="1" applyFont="1" applyFill="1" applyBorder="1" applyAlignment="1">
      <alignment horizontal="center" vertical="center" wrapText="1"/>
    </xf>
    <xf numFmtId="0" fontId="15" fillId="11" borderId="8" xfId="0" applyFont="1" applyFill="1" applyBorder="1" applyAlignment="1">
      <alignment horizontal="center" vertical="center" wrapText="1"/>
    </xf>
    <xf numFmtId="181" fontId="15" fillId="11" borderId="8" xfId="0" applyNumberFormat="1" applyFont="1" applyFill="1" applyBorder="1" applyAlignment="1">
      <alignment horizontal="center" vertical="center" wrapText="1"/>
    </xf>
    <xf numFmtId="0" fontId="14" fillId="11" borderId="9" xfId="0" applyFont="1" applyFill="1" applyBorder="1" applyAlignment="1">
      <alignment horizontal="center" vertical="center" wrapText="1"/>
    </xf>
    <xf numFmtId="0" fontId="12" fillId="0" borderId="10"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11" xfId="0" applyFont="1" applyBorder="1" applyAlignment="1">
      <alignment horizontal="center" vertical="center" wrapText="1"/>
    </xf>
    <xf numFmtId="9" fontId="12" fillId="0" borderId="11" xfId="0" applyNumberFormat="1" applyFont="1" applyBorder="1" applyAlignment="1">
      <alignment horizontal="center" vertical="center" wrapText="1"/>
    </xf>
    <xf numFmtId="1" fontId="12" fillId="0" borderId="11" xfId="0" applyNumberFormat="1" applyFont="1" applyBorder="1" applyAlignment="1">
      <alignment horizontal="center" vertical="center" wrapText="1"/>
    </xf>
    <xf numFmtId="180" fontId="4" fillId="0" borderId="7" xfId="0" applyNumberFormat="1" applyFont="1" applyBorder="1" applyAlignment="1">
      <alignment horizontal="center" vertical="center"/>
    </xf>
    <xf numFmtId="176" fontId="4" fillId="0" borderId="7" xfId="0" applyNumberFormat="1" applyFont="1" applyBorder="1" applyAlignment="1">
      <alignment horizontal="center" vertical="center"/>
    </xf>
    <xf numFmtId="9" fontId="4" fillId="0" borderId="7" xfId="0" applyNumberFormat="1" applyFont="1" applyBorder="1" applyAlignment="1">
      <alignment horizontal="center" vertical="center"/>
    </xf>
    <xf numFmtId="176" fontId="4" fillId="0" borderId="7" xfId="0" applyNumberFormat="1" applyFont="1" applyBorder="1" applyAlignment="1"/>
    <xf numFmtId="180" fontId="4" fillId="0" borderId="7" xfId="0" applyNumberFormat="1" applyFont="1" applyBorder="1" applyAlignment="1"/>
    <xf numFmtId="0" fontId="16" fillId="11" borderId="11" xfId="0" applyFont="1" applyFill="1" applyBorder="1" applyAlignment="1"/>
    <xf numFmtId="181" fontId="16" fillId="11" borderId="11" xfId="0" applyNumberFormat="1" applyFont="1" applyFill="1" applyBorder="1" applyAlignment="1"/>
    <xf numFmtId="0" fontId="4" fillId="0" borderId="12" xfId="0" applyFont="1" applyBorder="1" applyAlignment="1">
      <alignment horizontal="left" vertical="center" wrapText="1"/>
    </xf>
    <xf numFmtId="0" fontId="4" fillId="0" borderId="13" xfId="0" applyFont="1" applyBorder="1" applyAlignment="1">
      <alignment horizontal="center" vertical="center" wrapText="1"/>
    </xf>
    <xf numFmtId="0" fontId="4" fillId="0" borderId="14" xfId="0" applyFont="1" applyBorder="1" applyAlignment="1">
      <alignment horizontal="left" vertical="top" wrapText="1"/>
    </xf>
    <xf numFmtId="0" fontId="4" fillId="0" borderId="14" xfId="0" applyFont="1" applyBorder="1" applyAlignment="1">
      <alignment horizontal="center" vertical="center"/>
    </xf>
    <xf numFmtId="0" fontId="12" fillId="0" borderId="15" xfId="0" applyFont="1" applyBorder="1" applyAlignment="1">
      <alignment horizontal="center" vertical="center" wrapText="1"/>
    </xf>
    <xf numFmtId="0" fontId="12" fillId="0" borderId="6" xfId="0" applyFont="1" applyBorder="1" applyAlignment="1">
      <alignment horizontal="center" vertical="center" wrapText="1"/>
    </xf>
    <xf numFmtId="9" fontId="12" fillId="0" borderId="6" xfId="0" applyNumberFormat="1" applyFont="1" applyBorder="1" applyAlignment="1">
      <alignment horizontal="center" vertical="center" wrapText="1"/>
    </xf>
    <xf numFmtId="1" fontId="12" fillId="0" borderId="6" xfId="0" applyNumberFormat="1" applyFont="1" applyBorder="1" applyAlignment="1">
      <alignment horizontal="center" vertical="center" wrapText="1"/>
    </xf>
    <xf numFmtId="180" fontId="4" fillId="0" borderId="6" xfId="0" applyNumberFormat="1" applyFont="1" applyBorder="1" applyAlignment="1">
      <alignment horizontal="center" vertical="center"/>
    </xf>
    <xf numFmtId="176" fontId="4" fillId="0" borderId="6" xfId="0" applyNumberFormat="1" applyFont="1" applyBorder="1" applyAlignment="1">
      <alignment horizontal="center" vertical="center"/>
    </xf>
    <xf numFmtId="9" fontId="4" fillId="0" borderId="6" xfId="0" applyNumberFormat="1" applyFont="1" applyBorder="1" applyAlignment="1">
      <alignment horizontal="center" vertical="center"/>
    </xf>
    <xf numFmtId="176" fontId="4" fillId="0" borderId="6" xfId="0" applyNumberFormat="1" applyFont="1" applyBorder="1" applyAlignment="1"/>
    <xf numFmtId="180" fontId="4" fillId="0" borderId="6" xfId="0" applyNumberFormat="1" applyFont="1" applyBorder="1" applyAlignment="1"/>
    <xf numFmtId="0" fontId="4" fillId="0" borderId="16" xfId="0" applyFont="1" applyBorder="1" applyAlignment="1">
      <alignment horizontal="left" vertical="center" wrapText="1"/>
    </xf>
    <xf numFmtId="0" fontId="12" fillId="0" borderId="17" xfId="0" applyFont="1" applyBorder="1" applyAlignment="1">
      <alignment horizontal="center" vertical="center" wrapText="1"/>
    </xf>
    <xf numFmtId="0" fontId="12" fillId="0" borderId="18" xfId="0" applyFont="1" applyBorder="1" applyAlignment="1">
      <alignment horizontal="center" vertical="center" wrapText="1"/>
    </xf>
    <xf numFmtId="9" fontId="12" fillId="0" borderId="18" xfId="0" applyNumberFormat="1" applyFont="1" applyBorder="1" applyAlignment="1">
      <alignment horizontal="center" vertical="center" wrapText="1"/>
    </xf>
    <xf numFmtId="1" fontId="12" fillId="0" borderId="18" xfId="0" applyNumberFormat="1" applyFont="1" applyBorder="1" applyAlignment="1">
      <alignment horizontal="center" vertical="center" wrapText="1"/>
    </xf>
    <xf numFmtId="180" fontId="4" fillId="0" borderId="18" xfId="0" applyNumberFormat="1" applyFont="1" applyBorder="1" applyAlignment="1">
      <alignment horizontal="center" vertical="center"/>
    </xf>
    <xf numFmtId="176" fontId="4" fillId="0" borderId="18" xfId="0" applyNumberFormat="1" applyFont="1" applyBorder="1" applyAlignment="1">
      <alignment horizontal="center" vertical="center"/>
    </xf>
    <xf numFmtId="9" fontId="4" fillId="0" borderId="18" xfId="0" applyNumberFormat="1" applyFont="1" applyBorder="1" applyAlignment="1">
      <alignment horizontal="center" vertical="center"/>
    </xf>
    <xf numFmtId="176" fontId="4" fillId="0" borderId="18" xfId="0" applyNumberFormat="1" applyFont="1" applyBorder="1" applyAlignment="1"/>
    <xf numFmtId="180" fontId="4" fillId="0" borderId="18" xfId="0" applyNumberFormat="1" applyFont="1" applyBorder="1" applyAlignment="1"/>
    <xf numFmtId="0" fontId="4" fillId="0" borderId="19" xfId="0" applyFont="1" applyBorder="1" applyAlignment="1">
      <alignment horizontal="left" vertical="center" wrapText="1"/>
    </xf>
    <xf numFmtId="0" fontId="4" fillId="0" borderId="20" xfId="0" applyFont="1" applyBorder="1" applyAlignment="1">
      <alignment horizontal="center" vertical="center"/>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180" fontId="4" fillId="0" borderId="11" xfId="0" applyNumberFormat="1" applyFont="1" applyBorder="1" applyAlignment="1">
      <alignment horizontal="center" vertical="center"/>
    </xf>
    <xf numFmtId="176" fontId="4" fillId="0" borderId="11" xfId="0" applyNumberFormat="1" applyFont="1" applyBorder="1" applyAlignment="1">
      <alignment horizontal="center" vertical="center"/>
    </xf>
    <xf numFmtId="9" fontId="4" fillId="0" borderId="11" xfId="0" applyNumberFormat="1" applyFont="1" applyBorder="1" applyAlignment="1">
      <alignment horizontal="center" vertical="center"/>
    </xf>
    <xf numFmtId="176" fontId="4" fillId="0" borderId="11" xfId="0" applyNumberFormat="1" applyFont="1" applyBorder="1" applyAlignment="1"/>
    <xf numFmtId="180" fontId="4" fillId="0" borderId="11" xfId="0" applyNumberFormat="1" applyFont="1" applyBorder="1" applyAlignment="1"/>
    <xf numFmtId="0" fontId="4" fillId="0" borderId="23" xfId="0" applyFont="1" applyBorder="1" applyAlignment="1">
      <alignment horizontal="left" vertical="center" wrapText="1"/>
    </xf>
    <xf numFmtId="0" fontId="4" fillId="0" borderId="24" xfId="0" applyFont="1" applyBorder="1" applyAlignment="1">
      <alignment horizontal="center" vertical="center" wrapText="1"/>
    </xf>
    <xf numFmtId="0" fontId="17" fillId="13" borderId="0" xfId="0" applyFont="1" applyFill="1" applyAlignment="1">
      <alignment horizontal="center" vertical="center"/>
    </xf>
    <xf numFmtId="10" fontId="17" fillId="13" borderId="0" xfId="0" applyNumberFormat="1" applyFont="1" applyFill="1" applyAlignment="1">
      <alignment horizontal="center" vertical="center"/>
    </xf>
    <xf numFmtId="182" fontId="17" fillId="13" borderId="0" xfId="0" applyNumberFormat="1" applyFont="1" applyFill="1" applyAlignment="1">
      <alignment horizontal="center" vertical="center"/>
    </xf>
    <xf numFmtId="0" fontId="12" fillId="0" borderId="9" xfId="0" applyFont="1" applyBorder="1" applyAlignment="1">
      <alignment horizontal="center" vertical="center" wrapText="1"/>
    </xf>
    <xf numFmtId="10" fontId="2" fillId="0" borderId="0" xfId="0" applyNumberFormat="1" applyFont="1" applyAlignment="1">
      <alignment horizontal="right" vertical="center"/>
    </xf>
    <xf numFmtId="182" fontId="2" fillId="0" borderId="0" xfId="0" applyNumberFormat="1" applyFont="1" applyAlignment="1">
      <alignment horizontal="right" vertical="center"/>
    </xf>
    <xf numFmtId="9" fontId="2" fillId="0" borderId="0" xfId="0" applyNumberFormat="1" applyFont="1" applyAlignment="1">
      <alignment horizontal="right" vertical="center"/>
    </xf>
    <xf numFmtId="0" fontId="12"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0" xfId="0" applyFont="1" applyBorder="1" applyAlignment="1">
      <alignment horizontal="left" vertical="top" wrapText="1"/>
    </xf>
    <xf numFmtId="0" fontId="14" fillId="12" borderId="8" xfId="0" applyFont="1" applyFill="1" applyBorder="1" applyAlignment="1">
      <alignment horizontal="center" vertical="center" wrapText="1"/>
    </xf>
    <xf numFmtId="0" fontId="14" fillId="12" borderId="6" xfId="0" applyFont="1" applyFill="1" applyBorder="1" applyAlignment="1">
      <alignment horizontal="center" vertical="center" wrapText="1"/>
    </xf>
    <xf numFmtId="0" fontId="1" fillId="12" borderId="9" xfId="0" applyFont="1" applyFill="1" applyBorder="1" applyAlignment="1">
      <alignment horizontal="center" vertical="center" wrapText="1"/>
    </xf>
    <xf numFmtId="0" fontId="14" fillId="12" borderId="3" xfId="0" applyFont="1" applyFill="1" applyBorder="1" applyAlignment="1">
      <alignment horizontal="center" vertical="center" wrapText="1"/>
    </xf>
    <xf numFmtId="0" fontId="14" fillId="12" borderId="2" xfId="0" applyFont="1" applyFill="1" applyBorder="1" applyAlignment="1">
      <alignment horizontal="center" vertical="center" wrapText="1"/>
    </xf>
    <xf numFmtId="0" fontId="1" fillId="12" borderId="7" xfId="0" applyFont="1" applyFill="1" applyBorder="1" applyAlignment="1">
      <alignment horizontal="center" vertical="center" wrapText="1"/>
    </xf>
    <xf numFmtId="0" fontId="14" fillId="12" borderId="7" xfId="0" applyFont="1" applyFill="1" applyBorder="1" applyAlignment="1">
      <alignment horizontal="center" vertical="center" wrapText="1"/>
    </xf>
    <xf numFmtId="10" fontId="14" fillId="12" borderId="6" xfId="0" applyNumberFormat="1" applyFont="1" applyFill="1" applyBorder="1" applyAlignment="1">
      <alignment horizontal="center" vertical="center" wrapText="1"/>
    </xf>
    <xf numFmtId="9" fontId="14" fillId="12" borderId="6" xfId="0" applyNumberFormat="1" applyFont="1" applyFill="1" applyBorder="1" applyAlignment="1">
      <alignment horizontal="center" vertical="center" wrapText="1"/>
    </xf>
    <xf numFmtId="0" fontId="12" fillId="0" borderId="6" xfId="0" applyFont="1" applyBorder="1" applyAlignment="1">
      <alignment vertical="center" wrapText="1"/>
    </xf>
    <xf numFmtId="180" fontId="12" fillId="0" borderId="6" xfId="0" applyNumberFormat="1" applyFont="1" applyBorder="1" applyAlignment="1">
      <alignment horizontal="center" vertical="center" wrapText="1"/>
    </xf>
    <xf numFmtId="0" fontId="12" fillId="0" borderId="6" xfId="0" applyFont="1" applyBorder="1" applyAlignment="1">
      <alignment horizontal="left" vertical="center" wrapText="1"/>
    </xf>
    <xf numFmtId="178" fontId="12" fillId="0" borderId="6" xfId="0" applyNumberFormat="1" applyFont="1" applyBorder="1" applyAlignment="1">
      <alignment horizontal="center" vertical="center" wrapText="1"/>
    </xf>
    <xf numFmtId="10" fontId="12" fillId="0" borderId="6" xfId="0" applyNumberFormat="1" applyFont="1" applyBorder="1" applyAlignment="1">
      <alignment horizontal="center" vertical="center" wrapText="1"/>
    </xf>
    <xf numFmtId="9" fontId="4" fillId="0" borderId="6" xfId="0" applyNumberFormat="1" applyFont="1" applyBorder="1" applyAlignment="1">
      <alignment vertical="center"/>
    </xf>
    <xf numFmtId="0" fontId="12" fillId="0" borderId="0" xfId="0" applyFont="1" applyAlignment="1">
      <alignment horizontal="center" vertical="center" wrapText="1"/>
    </xf>
    <xf numFmtId="0" fontId="18" fillId="0" borderId="6" xfId="0" applyFont="1" applyBorder="1" applyAlignment="1">
      <alignment vertical="center" wrapText="1"/>
    </xf>
    <xf numFmtId="0" fontId="12" fillId="0" borderId="6" xfId="0" applyNumberFormat="1" applyFont="1" applyBorder="1" applyAlignment="1">
      <alignment horizontal="center" vertical="center" wrapText="1"/>
    </xf>
    <xf numFmtId="0" fontId="4" fillId="0" borderId="0" xfId="0" applyFont="1" applyAlignment="1">
      <alignment horizontal="center" vertical="center"/>
    </xf>
    <xf numFmtId="0" fontId="12" fillId="0" borderId="8" xfId="0" applyFont="1" applyBorder="1" applyAlignment="1">
      <alignment horizontal="center" vertical="center" wrapText="1"/>
    </xf>
    <xf numFmtId="0" fontId="12" fillId="0" borderId="8" xfId="0" applyFont="1" applyBorder="1" applyAlignment="1">
      <alignment vertical="center" wrapText="1"/>
    </xf>
    <xf numFmtId="9" fontId="12" fillId="0" borderId="8" xfId="0" applyNumberFormat="1" applyFont="1" applyBorder="1" applyAlignment="1">
      <alignment horizontal="center" vertical="center" wrapText="1"/>
    </xf>
    <xf numFmtId="0" fontId="18" fillId="0" borderId="8" xfId="0" applyFont="1" applyBorder="1" applyAlignment="1">
      <alignment vertical="center" wrapText="1"/>
    </xf>
    <xf numFmtId="180" fontId="12" fillId="0" borderId="8" xfId="0" applyNumberFormat="1" applyFont="1" applyBorder="1" applyAlignment="1">
      <alignment horizontal="center" vertical="center" wrapText="1"/>
    </xf>
    <xf numFmtId="1" fontId="12" fillId="0" borderId="8" xfId="0" applyNumberFormat="1" applyFont="1" applyBorder="1" applyAlignment="1">
      <alignment horizontal="center" vertical="center" wrapText="1"/>
    </xf>
    <xf numFmtId="178" fontId="12" fillId="0" borderId="8" xfId="0" applyNumberFormat="1" applyFont="1" applyBorder="1" applyAlignment="1">
      <alignment horizontal="center" vertical="center" wrapText="1"/>
    </xf>
    <xf numFmtId="10" fontId="12" fillId="0" borderId="8" xfId="0" applyNumberFormat="1" applyFont="1" applyBorder="1" applyAlignment="1">
      <alignment horizontal="center" vertical="center" wrapText="1"/>
    </xf>
    <xf numFmtId="9" fontId="4" fillId="0" borderId="8" xfId="0" applyNumberFormat="1" applyFont="1" applyBorder="1" applyAlignment="1">
      <alignment vertical="center"/>
    </xf>
    <xf numFmtId="0" fontId="4" fillId="0" borderId="6" xfId="0" applyFont="1" applyBorder="1" applyAlignment="1">
      <alignment horizontal="center" vertical="center"/>
    </xf>
    <xf numFmtId="0" fontId="4" fillId="0" borderId="6" xfId="0" applyFont="1" applyBorder="1" applyAlignment="1">
      <alignment vertical="center"/>
    </xf>
    <xf numFmtId="0" fontId="10" fillId="14" borderId="0" xfId="0" applyFont="1" applyFill="1" applyAlignment="1">
      <alignment horizontal="left"/>
    </xf>
    <xf numFmtId="0" fontId="12" fillId="0" borderId="0" xfId="0" applyFont="1" applyAlignment="1"/>
    <xf numFmtId="0" fontId="10" fillId="0" borderId="0" xfId="0" applyFont="1" applyAlignment="1"/>
    <xf numFmtId="31" fontId="11" fillId="0" borderId="0" xfId="0" applyNumberFormat="1" applyFont="1" applyAlignment="1">
      <alignment horizontal="right"/>
    </xf>
    <xf numFmtId="0" fontId="11" fillId="0" borderId="0" xfId="0" applyFont="1" applyAlignment="1">
      <alignment horizontal="right"/>
    </xf>
    <xf numFmtId="0" fontId="10" fillId="15" borderId="6" xfId="0" applyFont="1" applyFill="1" applyBorder="1" applyAlignment="1">
      <alignment horizontal="left" vertical="center"/>
    </xf>
    <xf numFmtId="0" fontId="10" fillId="14" borderId="6" xfId="0" applyFont="1" applyFill="1" applyBorder="1" applyAlignment="1">
      <alignment horizontal="left" vertical="center"/>
    </xf>
    <xf numFmtId="58" fontId="4" fillId="0" borderId="6" xfId="0" applyNumberFormat="1" applyFont="1" applyBorder="1" applyAlignment="1">
      <alignment horizontal="left" vertical="center"/>
    </xf>
    <xf numFmtId="0" fontId="4" fillId="0" borderId="6" xfId="0" applyFont="1" applyBorder="1" applyAlignment="1">
      <alignment horizontal="left" vertical="center" wrapText="1"/>
    </xf>
    <xf numFmtId="0" fontId="10" fillId="14" borderId="0" xfId="0" applyFont="1" applyFill="1" applyAlignment="1">
      <alignment horizontal="left" vertical="center"/>
    </xf>
    <xf numFmtId="0" fontId="4" fillId="0" borderId="0" xfId="0" applyFont="1" applyAlignment="1">
      <alignment horizontal="left" vertical="center" wrapText="1"/>
    </xf>
    <xf numFmtId="0" fontId="4" fillId="0" borderId="0" xfId="0" applyFont="1" applyAlignment="1">
      <alignment horizontal="center"/>
    </xf>
    <xf numFmtId="0" fontId="19" fillId="0" borderId="0" xfId="0" applyFont="1" applyAlignment="1"/>
    <xf numFmtId="0" fontId="12" fillId="0" borderId="0" xfId="0" applyFont="1" applyAlignment="1">
      <alignment horizontal="center"/>
    </xf>
    <xf numFmtId="179" fontId="5" fillId="0" borderId="0" xfId="0" applyNumberFormat="1" applyFont="1" applyAlignment="1">
      <alignment horizontal="center" vertical="center"/>
    </xf>
    <xf numFmtId="176" fontId="4" fillId="16" borderId="0" xfId="0" applyNumberFormat="1" applyFont="1" applyFill="1" applyAlignment="1">
      <alignment horizontal="center" vertical="center"/>
    </xf>
    <xf numFmtId="0" fontId="4" fillId="5" borderId="0" xfId="0" applyFont="1" applyFill="1" applyAlignment="1">
      <alignment horizontal="center" vertical="center"/>
    </xf>
    <xf numFmtId="179" fontId="4" fillId="5" borderId="0" xfId="0" applyNumberFormat="1" applyFont="1" applyFill="1" applyAlignment="1">
      <alignment horizontal="center" vertical="center"/>
    </xf>
    <xf numFmtId="0" fontId="4" fillId="10" borderId="0" xfId="0" applyFont="1" applyFill="1" applyAlignment="1">
      <alignment horizontal="center" vertical="center"/>
    </xf>
    <xf numFmtId="0" fontId="4" fillId="17" borderId="0" xfId="0" applyFont="1" applyFill="1" applyAlignment="1">
      <alignment horizontal="center" vertical="center"/>
    </xf>
    <xf numFmtId="176" fontId="10" fillId="16" borderId="28" xfId="0" applyNumberFormat="1" applyFont="1" applyFill="1" applyBorder="1" applyAlignment="1">
      <alignment horizontal="center" vertical="center" wrapText="1"/>
    </xf>
    <xf numFmtId="9" fontId="10" fillId="16" borderId="28" xfId="0" applyNumberFormat="1" applyFont="1" applyFill="1" applyBorder="1" applyAlignment="1">
      <alignment horizontal="center" vertical="center" wrapText="1"/>
    </xf>
    <xf numFmtId="0" fontId="10" fillId="16" borderId="28" xfId="0" applyFont="1" applyFill="1" applyBorder="1" applyAlignment="1">
      <alignment horizontal="center" vertical="center" wrapText="1"/>
    </xf>
    <xf numFmtId="0" fontId="10" fillId="16" borderId="28" xfId="0" applyFont="1" applyFill="1" applyBorder="1" applyAlignment="1">
      <alignment horizontal="center" vertical="center"/>
    </xf>
    <xf numFmtId="180" fontId="10" fillId="16" borderId="28" xfId="0" applyNumberFormat="1" applyFont="1" applyFill="1" applyBorder="1" applyAlignment="1">
      <alignment horizontal="center" vertical="center" wrapText="1"/>
    </xf>
    <xf numFmtId="183" fontId="10" fillId="16" borderId="28" xfId="0" applyNumberFormat="1" applyFont="1" applyFill="1" applyBorder="1" applyAlignment="1">
      <alignment horizontal="center" vertical="center"/>
    </xf>
    <xf numFmtId="0" fontId="10" fillId="5" borderId="28" xfId="0" applyFont="1" applyFill="1" applyBorder="1" applyAlignment="1">
      <alignment horizontal="center" vertical="center"/>
    </xf>
    <xf numFmtId="179" fontId="10" fillId="5" borderId="28" xfId="0" applyNumberFormat="1" applyFont="1" applyFill="1" applyBorder="1" applyAlignment="1">
      <alignment horizontal="center" vertical="center"/>
    </xf>
    <xf numFmtId="0" fontId="10" fillId="2" borderId="28" xfId="0" applyFont="1" applyFill="1" applyBorder="1" applyAlignment="1">
      <alignment horizontal="center" vertical="center"/>
    </xf>
    <xf numFmtId="10" fontId="10" fillId="5" borderId="28" xfId="0" applyNumberFormat="1" applyFont="1" applyFill="1" applyBorder="1" applyAlignment="1">
      <alignment horizontal="center" vertical="center"/>
    </xf>
    <xf numFmtId="176" fontId="10" fillId="5" borderId="28" xfId="0" applyNumberFormat="1" applyFont="1" applyFill="1" applyBorder="1" applyAlignment="1">
      <alignment horizontal="center" vertical="center" wrapText="1"/>
    </xf>
    <xf numFmtId="184" fontId="10" fillId="5" borderId="28" xfId="0" applyNumberFormat="1" applyFont="1" applyFill="1" applyBorder="1" applyAlignment="1">
      <alignment horizontal="center" vertical="center"/>
    </xf>
    <xf numFmtId="176" fontId="11" fillId="5" borderId="28" xfId="0" applyNumberFormat="1" applyFont="1" applyFill="1" applyBorder="1" applyAlignment="1">
      <alignment horizontal="center" vertical="center"/>
    </xf>
    <xf numFmtId="180" fontId="10" fillId="0" borderId="28" xfId="0" applyNumberFormat="1" applyFont="1" applyBorder="1" applyAlignment="1">
      <alignment horizontal="center" vertical="center" wrapText="1"/>
    </xf>
    <xf numFmtId="0" fontId="10" fillId="0" borderId="28" xfId="0" applyFont="1" applyBorder="1" applyAlignment="1">
      <alignment horizontal="center" vertical="center" wrapText="1"/>
    </xf>
    <xf numFmtId="10" fontId="10" fillId="0" borderId="28" xfId="0" applyNumberFormat="1" applyFont="1" applyBorder="1" applyAlignment="1">
      <alignment horizontal="center" vertical="center" wrapText="1"/>
    </xf>
    <xf numFmtId="176" fontId="10" fillId="0" borderId="29" xfId="0" applyNumberFormat="1" applyFont="1" applyBorder="1" applyAlignment="1">
      <alignment horizontal="center" vertical="center" wrapText="1"/>
    </xf>
    <xf numFmtId="0" fontId="10" fillId="10" borderId="8" xfId="0" applyFont="1" applyFill="1" applyBorder="1" applyAlignment="1">
      <alignment horizontal="center" vertical="center" wrapText="1"/>
    </xf>
    <xf numFmtId="0" fontId="4" fillId="17" borderId="8" xfId="0" applyFont="1" applyFill="1" applyBorder="1" applyAlignment="1">
      <alignment horizontal="center" vertical="center"/>
    </xf>
    <xf numFmtId="58" fontId="2" fillId="0" borderId="4" xfId="0" applyNumberFormat="1" applyFont="1" applyBorder="1" applyAlignment="1">
      <alignment horizontal="center" vertical="center"/>
    </xf>
    <xf numFmtId="9" fontId="4" fillId="0" borderId="30" xfId="0" applyNumberFormat="1" applyFont="1" applyBorder="1" applyAlignment="1">
      <alignment horizontal="center" vertical="center"/>
    </xf>
    <xf numFmtId="176" fontId="2" fillId="0" borderId="6" xfId="0" applyNumberFormat="1" applyFont="1" applyBorder="1" applyAlignment="1">
      <alignment horizontal="center" vertical="center"/>
    </xf>
    <xf numFmtId="10" fontId="4" fillId="0" borderId="6" xfId="0" applyNumberFormat="1" applyFont="1" applyBorder="1" applyAlignment="1">
      <alignment horizontal="center"/>
    </xf>
    <xf numFmtId="180" fontId="4" fillId="0" borderId="6" xfId="0" applyNumberFormat="1" applyFont="1" applyBorder="1" applyAlignment="1">
      <alignment horizontal="center"/>
    </xf>
    <xf numFmtId="183" fontId="4" fillId="0" borderId="6" xfId="0" applyNumberFormat="1" applyFont="1" applyBorder="1" applyAlignment="1">
      <alignment horizontal="center" vertical="center"/>
    </xf>
    <xf numFmtId="179" fontId="4" fillId="0" borderId="6" xfId="0" applyNumberFormat="1" applyFont="1" applyBorder="1" applyAlignment="1">
      <alignment horizontal="center" vertical="center"/>
    </xf>
    <xf numFmtId="10" fontId="4" fillId="0" borderId="6" xfId="0" applyNumberFormat="1" applyFont="1" applyBorder="1" applyAlignment="1">
      <alignment horizontal="center" vertical="center"/>
    </xf>
    <xf numFmtId="176" fontId="4" fillId="0" borderId="6" xfId="0" applyNumberFormat="1" applyFont="1" applyBorder="1" applyAlignment="1">
      <alignment horizontal="center"/>
    </xf>
    <xf numFmtId="179" fontId="4" fillId="0" borderId="0" xfId="0" applyNumberFormat="1" applyFont="1" applyAlignment="1">
      <alignment horizontal="center" vertical="center"/>
    </xf>
    <xf numFmtId="176" fontId="10" fillId="5" borderId="28" xfId="0" applyNumberFormat="1" applyFont="1" applyFill="1" applyBorder="1" applyAlignment="1">
      <alignment horizontal="center" vertical="center"/>
    </xf>
    <xf numFmtId="58" fontId="4" fillId="0" borderId="6" xfId="0" applyNumberFormat="1" applyFont="1" applyBorder="1" applyAlignment="1">
      <alignment horizontal="center" vertical="center"/>
    </xf>
    <xf numFmtId="0" fontId="10" fillId="0" borderId="31" xfId="0" applyFont="1" applyBorder="1" applyAlignment="1">
      <alignment horizontal="center" vertical="center"/>
    </xf>
    <xf numFmtId="0" fontId="10" fillId="0" borderId="32" xfId="0" applyFont="1" applyBorder="1" applyAlignment="1">
      <alignment horizontal="center" vertical="center"/>
    </xf>
    <xf numFmtId="176" fontId="10" fillId="0" borderId="32" xfId="0" applyNumberFormat="1" applyFont="1" applyBorder="1" applyAlignment="1">
      <alignment horizontal="center" vertical="center"/>
    </xf>
    <xf numFmtId="0" fontId="10" fillId="0" borderId="33" xfId="0" applyFont="1" applyBorder="1" applyAlignment="1">
      <alignment horizontal="center" vertical="center"/>
    </xf>
    <xf numFmtId="0" fontId="8" fillId="0" borderId="0" xfId="0" applyFont="1" applyAlignment="1">
      <alignment horizontal="center" vertical="center"/>
    </xf>
    <xf numFmtId="0" fontId="10" fillId="0" borderId="7" xfId="0" applyFont="1" applyBorder="1" applyAlignment="1">
      <alignment horizontal="center" vertical="center"/>
    </xf>
    <xf numFmtId="0" fontId="10" fillId="0" borderId="7" xfId="0" applyFont="1" applyBorder="1" applyAlignment="1">
      <alignment horizontal="center" vertical="center" wrapText="1"/>
    </xf>
    <xf numFmtId="10" fontId="10" fillId="0" borderId="7" xfId="0" applyNumberFormat="1" applyFont="1" applyBorder="1" applyAlignment="1">
      <alignment horizontal="center" vertical="center" wrapText="1"/>
    </xf>
    <xf numFmtId="176" fontId="10" fillId="0" borderId="7" xfId="0" applyNumberFormat="1" applyFont="1" applyBorder="1" applyAlignment="1">
      <alignment horizontal="center" vertical="center" wrapText="1"/>
    </xf>
    <xf numFmtId="0" fontId="4" fillId="0" borderId="7" xfId="0" applyFont="1" applyBorder="1" applyAlignment="1">
      <alignment horizontal="center" vertical="center" wrapText="1"/>
    </xf>
    <xf numFmtId="176" fontId="4" fillId="0" borderId="7" xfId="0" applyNumberFormat="1" applyFont="1" applyBorder="1" applyAlignment="1">
      <alignment horizontal="center" vertical="center" wrapText="1"/>
    </xf>
    <xf numFmtId="180" fontId="4" fillId="0" borderId="7" xfId="0" applyNumberFormat="1" applyFont="1" applyBorder="1" applyAlignment="1">
      <alignment horizontal="center" vertical="center" wrapText="1"/>
    </xf>
    <xf numFmtId="183" fontId="4" fillId="0" borderId="7" xfId="0" applyNumberFormat="1" applyFont="1" applyBorder="1" applyAlignment="1">
      <alignment horizontal="center" vertical="center" wrapText="1"/>
    </xf>
    <xf numFmtId="0" fontId="4" fillId="0" borderId="7" xfId="0" applyFont="1" applyBorder="1" applyAlignment="1">
      <alignment horizontal="center" vertical="center"/>
    </xf>
    <xf numFmtId="0" fontId="4" fillId="2" borderId="7" xfId="0" applyFont="1" applyFill="1" applyBorder="1" applyAlignment="1">
      <alignment horizontal="center" vertical="center" wrapText="1"/>
    </xf>
    <xf numFmtId="0" fontId="20" fillId="0" borderId="0" xfId="0" applyFont="1" applyAlignment="1">
      <alignment horizontal="center" vertical="center"/>
    </xf>
    <xf numFmtId="0" fontId="4" fillId="0" borderId="8" xfId="0" applyFont="1" applyBorder="1" applyAlignment="1">
      <alignment horizontal="center" vertical="center"/>
    </xf>
    <xf numFmtId="0" fontId="4" fillId="0" borderId="0" xfId="0" applyFont="1" applyAlignment="1">
      <alignment horizontal="left" vertical="center"/>
    </xf>
    <xf numFmtId="0" fontId="4" fillId="0" borderId="9" xfId="0" applyFont="1" applyBorder="1" applyAlignment="1">
      <alignment horizontal="center" vertical="center"/>
    </xf>
    <xf numFmtId="9" fontId="4" fillId="0" borderId="0" xfId="0" applyNumberFormat="1" applyFont="1" applyAlignment="1">
      <alignment horizontal="center" vertical="center"/>
    </xf>
    <xf numFmtId="176" fontId="4" fillId="0" borderId="0" xfId="0" applyNumberFormat="1" applyFont="1" applyAlignment="1">
      <alignment horizontal="center" vertical="center"/>
    </xf>
    <xf numFmtId="180" fontId="4" fillId="0" borderId="0" xfId="0" applyNumberFormat="1" applyFont="1" applyAlignment="1">
      <alignment horizontal="center" vertical="center"/>
    </xf>
    <xf numFmtId="183" fontId="4" fillId="0" borderId="0" xfId="0" applyNumberFormat="1" applyFont="1" applyAlignment="1">
      <alignment horizontal="center" vertical="center"/>
    </xf>
    <xf numFmtId="0" fontId="10" fillId="0" borderId="0" xfId="0" applyFont="1" applyAlignment="1">
      <alignment horizontal="center" vertical="center"/>
    </xf>
    <xf numFmtId="176" fontId="10" fillId="0" borderId="0" xfId="0" applyNumberFormat="1" applyFont="1" applyAlignment="1">
      <alignment horizontal="center" vertical="center"/>
    </xf>
    <xf numFmtId="0" fontId="10" fillId="0" borderId="6" xfId="0" applyFont="1" applyBorder="1" applyAlignment="1">
      <alignment horizontal="center" vertical="center"/>
    </xf>
    <xf numFmtId="176" fontId="10" fillId="0" borderId="6" xfId="0" applyNumberFormat="1" applyFont="1" applyBorder="1" applyAlignment="1">
      <alignment horizontal="center" vertical="center"/>
    </xf>
    <xf numFmtId="58" fontId="2" fillId="0" borderId="2" xfId="0" applyNumberFormat="1" applyFont="1" applyBorder="1" applyAlignment="1">
      <alignment horizontal="center" vertical="center"/>
    </xf>
    <xf numFmtId="9" fontId="4" fillId="0" borderId="34" xfId="0" applyNumberFormat="1" applyFont="1" applyBorder="1" applyAlignment="1">
      <alignment horizontal="center" vertical="center"/>
    </xf>
    <xf numFmtId="176" fontId="2" fillId="0" borderId="7" xfId="0" applyNumberFormat="1" applyFont="1" applyBorder="1" applyAlignment="1">
      <alignment horizontal="center" vertical="center"/>
    </xf>
    <xf numFmtId="183" fontId="4" fillId="0" borderId="7" xfId="0" applyNumberFormat="1" applyFont="1" applyBorder="1" applyAlignment="1">
      <alignment horizontal="center" vertical="center"/>
    </xf>
    <xf numFmtId="0" fontId="21" fillId="0" borderId="0" xfId="0" applyFont="1" applyAlignment="1">
      <alignment horizontal="center" vertical="center"/>
    </xf>
    <xf numFmtId="0" fontId="10" fillId="0" borderId="3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36" xfId="0" applyFont="1" applyBorder="1" applyAlignment="1">
      <alignment horizontal="center" vertical="center" wrapText="1"/>
    </xf>
    <xf numFmtId="10" fontId="10" fillId="0" borderId="8" xfId="0" applyNumberFormat="1" applyFont="1" applyBorder="1" applyAlignment="1">
      <alignment horizontal="center" vertical="center" wrapText="1"/>
    </xf>
    <xf numFmtId="176" fontId="10" fillId="0" borderId="8" xfId="0" applyNumberFormat="1" applyFont="1" applyBorder="1" applyAlignment="1">
      <alignment horizontal="center" vertical="center" wrapText="1"/>
    </xf>
    <xf numFmtId="0" fontId="10" fillId="0" borderId="8" xfId="0" applyFont="1" applyBorder="1" applyAlignment="1">
      <alignment horizontal="center" vertical="center" wrapText="1"/>
    </xf>
    <xf numFmtId="176" fontId="22" fillId="0" borderId="8" xfId="0" applyNumberFormat="1" applyFont="1" applyBorder="1" applyAlignment="1">
      <alignment horizontal="center" vertical="center" wrapText="1"/>
    </xf>
    <xf numFmtId="10" fontId="2" fillId="0" borderId="6" xfId="0" applyNumberFormat="1" applyFont="1" applyBorder="1" applyAlignment="1">
      <alignment horizontal="center" vertical="center"/>
    </xf>
    <xf numFmtId="0" fontId="2" fillId="0" borderId="6" xfId="0" applyFont="1" applyBorder="1" applyAlignment="1">
      <alignment horizontal="center" vertical="center"/>
    </xf>
    <xf numFmtId="176" fontId="1" fillId="2" borderId="6" xfId="0" applyNumberFormat="1" applyFont="1" applyFill="1" applyBorder="1" applyAlignment="1">
      <alignment horizontal="center" vertical="center"/>
    </xf>
    <xf numFmtId="176" fontId="1" fillId="0" borderId="6" xfId="0" applyNumberFormat="1" applyFont="1" applyBorder="1" applyAlignment="1">
      <alignment horizontal="center" vertical="center"/>
    </xf>
    <xf numFmtId="0" fontId="21" fillId="0" borderId="6" xfId="0" applyFont="1" applyBorder="1" applyAlignment="1">
      <alignment horizontal="center" vertical="center"/>
    </xf>
    <xf numFmtId="10" fontId="2" fillId="0" borderId="7" xfId="0" applyNumberFormat="1" applyFont="1" applyBorder="1" applyAlignment="1">
      <alignment horizontal="center" vertical="center"/>
    </xf>
    <xf numFmtId="0" fontId="2" fillId="0" borderId="7" xfId="0" applyFont="1" applyBorder="1" applyAlignment="1">
      <alignment horizontal="center" vertical="center"/>
    </xf>
    <xf numFmtId="176" fontId="1" fillId="0" borderId="7" xfId="0" applyNumberFormat="1" applyFont="1" applyBorder="1" applyAlignment="1">
      <alignment horizontal="center" vertical="center"/>
    </xf>
    <xf numFmtId="0" fontId="6" fillId="0" borderId="31" xfId="0" applyFont="1" applyBorder="1" applyAlignment="1">
      <alignment horizontal="center" vertical="center"/>
    </xf>
    <xf numFmtId="0" fontId="6" fillId="0" borderId="32" xfId="0" applyFont="1" applyBorder="1" applyAlignment="1">
      <alignment horizontal="center" vertical="center"/>
    </xf>
    <xf numFmtId="176" fontId="6" fillId="0" borderId="32" xfId="0" applyNumberFormat="1" applyFont="1" applyBorder="1" applyAlignment="1">
      <alignment horizontal="center" vertical="center"/>
    </xf>
    <xf numFmtId="0" fontId="6" fillId="0" borderId="33" xfId="0" applyFont="1" applyBorder="1" applyAlignment="1">
      <alignment horizontal="center" vertical="center"/>
    </xf>
    <xf numFmtId="176" fontId="4" fillId="6" borderId="7" xfId="0" applyNumberFormat="1" applyFont="1" applyFill="1" applyBorder="1" applyAlignment="1">
      <alignment horizontal="center" vertical="center" wrapText="1"/>
    </xf>
    <xf numFmtId="176" fontId="4" fillId="2" borderId="7" xfId="0" applyNumberFormat="1" applyFont="1" applyFill="1" applyBorder="1" applyAlignment="1">
      <alignment horizontal="center" vertical="center" wrapText="1"/>
    </xf>
    <xf numFmtId="0" fontId="6" fillId="0" borderId="6" xfId="0" applyFont="1" applyBorder="1" applyAlignment="1">
      <alignment horizontal="center" vertical="center"/>
    </xf>
    <xf numFmtId="176" fontId="6" fillId="0" borderId="6" xfId="0" applyNumberFormat="1" applyFont="1" applyBorder="1" applyAlignment="1">
      <alignment horizontal="center" vertical="center"/>
    </xf>
    <xf numFmtId="176" fontId="21" fillId="0" borderId="6" xfId="0" applyNumberFormat="1" applyFont="1" applyBorder="1" applyAlignment="1">
      <alignment horizontal="center" vertical="center"/>
    </xf>
    <xf numFmtId="0" fontId="10" fillId="16" borderId="6" xfId="0" applyFont="1" applyFill="1" applyBorder="1" applyAlignment="1">
      <alignment horizontal="center" vertical="center" wrapText="1"/>
    </xf>
    <xf numFmtId="10" fontId="10" fillId="16" borderId="6" xfId="0" applyNumberFormat="1" applyFont="1" applyFill="1" applyBorder="1" applyAlignment="1">
      <alignment horizontal="center" vertical="center" wrapText="1"/>
    </xf>
    <xf numFmtId="176" fontId="10" fillId="0" borderId="6" xfId="0" applyNumberFormat="1" applyFont="1" applyBorder="1" applyAlignment="1">
      <alignment horizontal="center" vertical="center" wrapText="1"/>
    </xf>
    <xf numFmtId="176" fontId="10" fillId="16" borderId="6" xfId="0" applyNumberFormat="1" applyFont="1" applyFill="1" applyBorder="1" applyAlignment="1">
      <alignment horizontal="center" vertical="center" wrapText="1"/>
    </xf>
    <xf numFmtId="10" fontId="10" fillId="0" borderId="6" xfId="0" applyNumberFormat="1" applyFont="1" applyBorder="1" applyAlignment="1">
      <alignment horizontal="center" vertical="center" wrapText="1"/>
    </xf>
    <xf numFmtId="176" fontId="22" fillId="0" borderId="6" xfId="0" applyNumberFormat="1" applyFont="1" applyBorder="1" applyAlignment="1">
      <alignment horizontal="center" vertical="center" wrapText="1"/>
    </xf>
    <xf numFmtId="0" fontId="4" fillId="6" borderId="0" xfId="0" applyFont="1" applyFill="1" applyAlignment="1">
      <alignment horizontal="center" vertical="center"/>
    </xf>
    <xf numFmtId="0" fontId="23" fillId="0" borderId="0" xfId="0" applyFont="1" applyAlignment="1">
      <alignment horizontal="center" vertical="center"/>
    </xf>
    <xf numFmtId="0" fontId="5" fillId="2" borderId="37" xfId="0" applyFont="1" applyFill="1" applyBorder="1" applyAlignment="1">
      <alignment horizontal="center" vertical="center" wrapText="1"/>
    </xf>
    <xf numFmtId="0" fontId="2" fillId="2" borderId="37" xfId="0" applyFont="1" applyFill="1" applyBorder="1" applyAlignment="1">
      <alignment horizontal="center" vertical="center" wrapText="1"/>
    </xf>
    <xf numFmtId="0" fontId="5" fillId="10" borderId="37" xfId="0" applyFont="1" applyFill="1" applyBorder="1" applyAlignment="1">
      <alignment horizontal="center" vertical="center" wrapText="1"/>
    </xf>
    <xf numFmtId="0" fontId="2" fillId="10" borderId="37" xfId="0" applyFont="1" applyFill="1" applyBorder="1" applyAlignment="1">
      <alignment horizontal="center" vertical="center" wrapText="1"/>
    </xf>
    <xf numFmtId="0" fontId="6" fillId="2" borderId="37" xfId="0" applyFont="1" applyFill="1" applyBorder="1" applyAlignment="1">
      <alignment horizontal="center" vertical="center" wrapText="1"/>
    </xf>
    <xf numFmtId="0" fontId="5" fillId="2" borderId="38" xfId="0" applyFont="1" applyFill="1" applyBorder="1" applyAlignment="1">
      <alignment horizontal="center" vertical="center" wrapText="1"/>
    </xf>
    <xf numFmtId="0" fontId="4" fillId="0" borderId="5" xfId="0" applyFont="1" applyBorder="1" applyAlignment="1">
      <alignment horizontal="center" vertical="center"/>
    </xf>
    <xf numFmtId="0" fontId="5" fillId="0" borderId="1" xfId="0" applyFont="1" applyBorder="1" applyAlignment="1">
      <alignment horizontal="center" vertical="center"/>
    </xf>
    <xf numFmtId="0" fontId="9" fillId="0" borderId="1" xfId="0" applyFont="1" applyBorder="1" applyAlignment="1">
      <alignment horizontal="center" vertical="center"/>
    </xf>
    <xf numFmtId="2" fontId="9" fillId="0" borderId="1" xfId="0" applyNumberFormat="1" applyFont="1" applyBorder="1" applyAlignment="1">
      <alignment horizontal="center" vertical="center"/>
    </xf>
    <xf numFmtId="0" fontId="6" fillId="0" borderId="1" xfId="0" applyFont="1" applyBorder="1" applyAlignment="1">
      <alignment horizontal="center" vertical="center"/>
    </xf>
    <xf numFmtId="10" fontId="9" fillId="0" borderId="1" xfId="0" applyNumberFormat="1" applyFont="1" applyBorder="1" applyAlignment="1">
      <alignment horizontal="center" vertical="center"/>
    </xf>
    <xf numFmtId="0" fontId="24" fillId="0" borderId="39" xfId="0" applyFont="1" applyBorder="1" applyAlignment="1">
      <alignment horizontal="center" vertical="center"/>
    </xf>
    <xf numFmtId="0" fontId="4" fillId="2" borderId="0" xfId="0" applyFont="1" applyFill="1" applyAlignment="1">
      <alignment horizontal="center" vertical="center"/>
    </xf>
    <xf numFmtId="0" fontId="10" fillId="6" borderId="0" xfId="0" applyFont="1" applyFill="1" applyAlignment="1">
      <alignment horizontal="center" vertical="center" wrapText="1"/>
    </xf>
    <xf numFmtId="176" fontId="4" fillId="0" borderId="0" xfId="0" applyNumberFormat="1" applyFont="1" applyAlignment="1">
      <alignment horizontal="center" vertical="center" wrapText="1"/>
    </xf>
    <xf numFmtId="183" fontId="4" fillId="0" borderId="0" xfId="0" applyNumberFormat="1" applyFont="1" applyAlignment="1">
      <alignment horizontal="center" vertical="center" wrapText="1"/>
    </xf>
    <xf numFmtId="0" fontId="4" fillId="15"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ebp"/><Relationship Id="rId1" Type="http://schemas.openxmlformats.org/officeDocument/2006/relationships/image" Target="../media/image1.webp"/></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29</xdr:col>
      <xdr:colOff>457200</xdr:colOff>
      <xdr:row>24</xdr:row>
      <xdr:rowOff>333375</xdr:rowOff>
    </xdr:from>
    <xdr:to>
      <xdr:col>42</xdr:col>
      <xdr:colOff>685800</xdr:colOff>
      <xdr:row>31</xdr:row>
      <xdr:rowOff>142875</xdr:rowOff>
    </xdr:to>
    <xdr:pic>
      <xdr:nvPicPr>
        <xdr:cNvPr id="2" name="Picture 2" descr="INcsuG"/>
        <xdr:cNvPicPr/>
      </xdr:nvPicPr>
      <xdr:blipFill>
        <a:blip r:embed="rId1"/>
        <a:stretch>
          <a:fillRect/>
        </a:stretch>
      </xdr:blipFill>
      <xdr:spPr>
        <a:xfrm>
          <a:off x="23147020" y="7576820"/>
          <a:ext cx="7508240" cy="1864995"/>
        </a:xfrm>
        <a:prstGeom prst="rect">
          <a:avLst/>
        </a:prstGeom>
      </xdr:spPr>
    </xdr:pic>
    <xdr:clientData fLocksWithSheet="0"/>
  </xdr:twoCellAnchor>
  <xdr:twoCellAnchor>
    <xdr:from>
      <xdr:col>27</xdr:col>
      <xdr:colOff>0</xdr:colOff>
      <xdr:row>10</xdr:row>
      <xdr:rowOff>0</xdr:rowOff>
    </xdr:from>
    <xdr:to>
      <xdr:col>39</xdr:col>
      <xdr:colOff>200025</xdr:colOff>
      <xdr:row>20</xdr:row>
      <xdr:rowOff>123825</xdr:rowOff>
    </xdr:to>
    <xdr:pic>
      <xdr:nvPicPr>
        <xdr:cNvPr id="3" name="Picture 3" descr="lBWXgS"/>
        <xdr:cNvPicPr/>
      </xdr:nvPicPr>
      <xdr:blipFill>
        <a:blip r:embed="rId2"/>
        <a:stretch>
          <a:fillRect/>
        </a:stretch>
      </xdr:blipFill>
      <xdr:spPr>
        <a:xfrm>
          <a:off x="20963890" y="3271520"/>
          <a:ext cx="7552055" cy="2994025"/>
        </a:xfrm>
        <a:prstGeom prst="rect">
          <a:avLst/>
        </a:prstGeom>
      </xdr:spPr>
    </xdr:pic>
    <xdr:clientData fLocksWithSheet="0"/>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5</xdr:col>
      <xdr:colOff>57150</xdr:colOff>
      <xdr:row>40</xdr:row>
      <xdr:rowOff>19050</xdr:rowOff>
    </xdr:from>
    <xdr:to>
      <xdr:col>13</xdr:col>
      <xdr:colOff>876300</xdr:colOff>
      <xdr:row>60</xdr:row>
      <xdr:rowOff>57150</xdr:rowOff>
    </xdr:to>
    <xdr:pic>
      <xdr:nvPicPr>
        <xdr:cNvPr id="2" name="Picture 2" descr="EXWktJ"/>
        <xdr:cNvPicPr/>
      </xdr:nvPicPr>
      <xdr:blipFill>
        <a:blip r:embed="rId1"/>
        <a:stretch>
          <a:fillRect/>
        </a:stretch>
      </xdr:blipFill>
      <xdr:spPr>
        <a:xfrm>
          <a:off x="7908290" y="6549390"/>
          <a:ext cx="8308340" cy="2755900"/>
        </a:xfrm>
        <a:prstGeom prst="rect">
          <a:avLst/>
        </a:prstGeom>
      </xdr:spPr>
    </xdr:pic>
    <xdr:clientData fLocksWithSheet="0"/>
  </xdr:twoCellAnchor>
  <xdr:twoCellAnchor>
    <xdr:from>
      <xdr:col>0</xdr:col>
      <xdr:colOff>152400</xdr:colOff>
      <xdr:row>40</xdr:row>
      <xdr:rowOff>47625</xdr:rowOff>
    </xdr:from>
    <xdr:to>
      <xdr:col>4</xdr:col>
      <xdr:colOff>885825</xdr:colOff>
      <xdr:row>77</xdr:row>
      <xdr:rowOff>0</xdr:rowOff>
    </xdr:to>
    <xdr:pic>
      <xdr:nvPicPr>
        <xdr:cNvPr id="3" name="Picture 3" descr="HUwGtJ"/>
        <xdr:cNvPicPr/>
      </xdr:nvPicPr>
      <xdr:blipFill>
        <a:blip r:embed="rId2"/>
        <a:stretch>
          <a:fillRect/>
        </a:stretch>
      </xdr:blipFill>
      <xdr:spPr>
        <a:xfrm>
          <a:off x="152400" y="6577965"/>
          <a:ext cx="7698740" cy="4980305"/>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s://www.amazon.com/gp/bestsellers/pet-supplies/3024205011"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mp.weixin.qq.com/s/hJXWLb-KpYE6J5aK37fUqA?poc_token=HER7cGijba2sEL_p1d8TCVeaPrsbMxX-Mtg-J8JD" TargetMode="Externa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1" Type="http://schemas.openxmlformats.org/officeDocument/2006/relationships/hyperlink" Target="https://Amazon.com" TargetMode="External"/></Relationships>
</file>

<file path=xl/worksheets/_rels/sheet12.xml.rels><?xml version="1.0" encoding="UTF-8" standalone="yes"?>
<Relationships xmlns="http://schemas.openxmlformats.org/package/2006/relationships"><Relationship Id="rId9" Type="http://schemas.openxmlformats.org/officeDocument/2006/relationships/hyperlink" Target="https://cdn.daixialu.com/tmp/5708633451008008__.jpg" TargetMode="External"/><Relationship Id="rId8" Type="http://schemas.openxmlformats.org/officeDocument/2006/relationships/hyperlink" Target="https://cdn.daixialu.com/tmp/5561929145782280__.jpg" TargetMode="External"/><Relationship Id="rId7" Type="http://schemas.openxmlformats.org/officeDocument/2006/relationships/hyperlink" Target="https://www.facebook.com/groups/379457484265304" TargetMode="External"/><Relationship Id="rId6" Type="http://schemas.openxmlformats.org/officeDocument/2006/relationships/hyperlink" Target="https://www.facebook.com/groups/CrazyDiscountCodes/permalink/1570025880405433" TargetMode="External"/><Relationship Id="rId5" Type="http://schemas.openxmlformats.org/officeDocument/2006/relationships/hyperlink" Target="https://www.facebook.com/groups/2197492577200898" TargetMode="External"/><Relationship Id="rId46" Type="http://schemas.openxmlformats.org/officeDocument/2006/relationships/hyperlink" Target="https://www.facebook.com/groups/276581130519858" TargetMode="External"/><Relationship Id="rId45" Type="http://schemas.openxmlformats.org/officeDocument/2006/relationships/hyperlink" Target="https://www.facebook.com/groups/163854847748450" TargetMode="External"/><Relationship Id="rId44" Type="http://schemas.openxmlformats.org/officeDocument/2006/relationships/hyperlink" Target="https://www.facebook.com/groups/1813369818892293" TargetMode="External"/><Relationship Id="rId43" Type="http://schemas.openxmlformats.org/officeDocument/2006/relationships/hyperlink" Target="https://www.facebook.com/groups/247524832920261/permalink/878990146440390/?mibextid=Nif5oz&amp;paipv=0&amp;eav=Afaq7-A2knmgpFJgHvKijieK56GEzZnMD1uMiQisQD_EIxwrpJXtk9-pm2yKasyV3iU&amp;_rdr" TargetMode="External"/><Relationship Id="rId42" Type="http://schemas.openxmlformats.org/officeDocument/2006/relationships/hyperlink" Target="https://www.facebook.com/groups/389700749371407" TargetMode="External"/><Relationship Id="rId41" Type="http://schemas.openxmlformats.org/officeDocument/2006/relationships/hyperlink" Target="https://www.facebook.com/groups/mommymedeals/posts/854689936042305/" TargetMode="External"/><Relationship Id="rId40" Type="http://schemas.openxmlformats.org/officeDocument/2006/relationships/hyperlink" Target="https://www.facebook.com/groups/bullseyeonthebargain/posts/1494494874684434/" TargetMode="External"/><Relationship Id="rId4" Type="http://schemas.openxmlformats.org/officeDocument/2006/relationships/hyperlink" Target="https://www.facebook.com/groups/2486545118068111" TargetMode="External"/><Relationship Id="rId39" Type="http://schemas.openxmlformats.org/officeDocument/2006/relationships/hyperlink" Target="https://www.facebook.com/groups/salesaholicgroup/permalink/3855230981372823/" TargetMode="External"/><Relationship Id="rId38" Type="http://schemas.openxmlformats.org/officeDocument/2006/relationships/hyperlink" Target="https://www.facebook.com/groups/309675624384964" TargetMode="External"/><Relationship Id="rId37" Type="http://schemas.openxmlformats.org/officeDocument/2006/relationships/hyperlink" Target="https://www.facebook.com/groups/liotp/permalink/829077818767029/?mibextid=S66gvF" TargetMode="External"/><Relationship Id="rId36" Type="http://schemas.openxmlformats.org/officeDocument/2006/relationships/hyperlink" Target="https://www.facebook.com/groups/1552102171668524" TargetMode="External"/><Relationship Id="rId35" Type="http://schemas.openxmlformats.org/officeDocument/2006/relationships/hyperlink" Target="https://www.facebook.com/groups/303805157065867" TargetMode="External"/><Relationship Id="rId34" Type="http://schemas.openxmlformats.org/officeDocument/2006/relationships/hyperlink" Target="https://www.facebook.com/groups/697178314306457" TargetMode="External"/><Relationship Id="rId33" Type="http://schemas.openxmlformats.org/officeDocument/2006/relationships/hyperlink" Target="https://www.facebook.com/groups/4617002575006363" TargetMode="External"/><Relationship Id="rId32" Type="http://schemas.openxmlformats.org/officeDocument/2006/relationships/hyperlink" Target="https://www.facebook.com/groups/635928950944558" TargetMode="External"/><Relationship Id="rId31" Type="http://schemas.openxmlformats.org/officeDocument/2006/relationships/hyperlink" Target="https://www.facebook.com/groups/KouponingWithKatie/permalink/3591434474401940" TargetMode="External"/><Relationship Id="rId30" Type="http://schemas.openxmlformats.org/officeDocument/2006/relationships/hyperlink" Target="https://www.facebook.com/groups/347280445728185" TargetMode="External"/><Relationship Id="rId3" Type="http://schemas.openxmlformats.org/officeDocument/2006/relationships/hyperlink" Target="https://www.facebook.com/groups/1240733246313243" TargetMode="External"/><Relationship Id="rId29" Type="http://schemas.openxmlformats.org/officeDocument/2006/relationships/hyperlink" Target="https://www.facebook.com/groups/3433057343420774" TargetMode="External"/><Relationship Id="rId28" Type="http://schemas.openxmlformats.org/officeDocument/2006/relationships/hyperlink" Target="https://www.facebook.com/groups/697178314306457/posts/1235798230444460/" TargetMode="External"/><Relationship Id="rId27" Type="http://schemas.openxmlformats.org/officeDocument/2006/relationships/hyperlink" Target="https://www.facebook.com/groups/679941889134209" TargetMode="External"/><Relationship Id="rId26" Type="http://schemas.openxmlformats.org/officeDocument/2006/relationships/hyperlink" Target="https://www.facebook.com/groups/635928950944558/permalink/996849921519124" TargetMode="External"/><Relationship Id="rId25" Type="http://schemas.openxmlformats.org/officeDocument/2006/relationships/hyperlink" Target="https://www.facebook.com/groups/349613118971934" TargetMode="External"/><Relationship Id="rId24" Type="http://schemas.openxmlformats.org/officeDocument/2006/relationships/hyperlink" Target="https://www.facebook.com/groups/281646379410377" TargetMode="External"/><Relationship Id="rId23" Type="http://schemas.openxmlformats.org/officeDocument/2006/relationships/hyperlink" Target="https://www.facebook.com/groups/shopwithnada/permalink/6831996300193511/" TargetMode="External"/><Relationship Id="rId22" Type="http://schemas.openxmlformats.org/officeDocument/2006/relationships/hyperlink" Target="https://www.facebook.com/groups/2272404193019511" TargetMode="External"/><Relationship Id="rId21" Type="http://schemas.openxmlformats.org/officeDocument/2006/relationships/hyperlink" Target="https://www.facebook.com/groups/679941889134209/permalink/1819758365152550" TargetMode="External"/><Relationship Id="rId20" Type="http://schemas.openxmlformats.org/officeDocument/2006/relationships/hyperlink" Target="https://www.facebook.com/groups/156005735850667" TargetMode="External"/><Relationship Id="rId2" Type="http://schemas.openxmlformats.org/officeDocument/2006/relationships/hyperlink" Target="https://www.facebook.com/groups/247524832920261" TargetMode="External"/><Relationship Id="rId19" Type="http://schemas.openxmlformats.org/officeDocument/2006/relationships/hyperlink" Target="https://www.facebook.com/groups/142001749885757" TargetMode="External"/><Relationship Id="rId18" Type="http://schemas.openxmlformats.org/officeDocument/2006/relationships/hyperlink" Target="https://www.facebook.com/groups/1646879538871219" TargetMode="External"/><Relationship Id="rId17" Type="http://schemas.openxmlformats.org/officeDocument/2006/relationships/hyperlink" Target="https://www.facebook.com/groups/simplysalesalyssasarah/posts/1320824385492566/" TargetMode="External"/><Relationship Id="rId16" Type="http://schemas.openxmlformats.org/officeDocument/2006/relationships/hyperlink" Target="https://www.facebook.com/groups/422988618266575" TargetMode="External"/><Relationship Id="rId15" Type="http://schemas.openxmlformats.org/officeDocument/2006/relationships/hyperlink" Target="https://www.facebook.com/Compras-toxicas-con-la-patrona-101594895708272" TargetMode="External"/><Relationship Id="rId14" Type="http://schemas.openxmlformats.org/officeDocument/2006/relationships/hyperlink" Target="https://www.facebook.com/groups/410426780231790" TargetMode="External"/><Relationship Id="rId13" Type="http://schemas.openxmlformats.org/officeDocument/2006/relationships/hyperlink" Target="https://www.facebook.com/groups/156005735850667/permalink/1007079404076625/" TargetMode="External"/><Relationship Id="rId12" Type="http://schemas.openxmlformats.org/officeDocument/2006/relationships/hyperlink" Target="https://www.facebook.com/groups/528046881270010" TargetMode="External"/><Relationship Id="rId11" Type="http://schemas.openxmlformats.org/officeDocument/2006/relationships/hyperlink" Target="https://www.facebook.com/groups/theglitchwitchbysimplyshonna/permalink/4365400973685715" TargetMode="External"/><Relationship Id="rId10" Type="http://schemas.openxmlformats.org/officeDocument/2006/relationships/hyperlink" Target="https://www.facebook.com/groups/2181542232094033" TargetMode="External"/><Relationship Id="rId1" Type="http://schemas.openxmlformats.org/officeDocument/2006/relationships/hyperlink" Target="https://www.facebook.com/groups/thefrugalsahm/permalink/60563527164752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V40"/>
  <sheetViews>
    <sheetView tabSelected="1" workbookViewId="0">
      <pane ySplit="1" topLeftCell="A2" activePane="bottomLeft" state="frozen"/>
      <selection/>
      <selection pane="bottomLeft" activeCell="J3" sqref="J3"/>
    </sheetView>
  </sheetViews>
  <sheetFormatPr defaultColWidth="9" defaultRowHeight="15.75"/>
  <cols>
    <col min="1" max="1" width="10.7583333333333" customWidth="1"/>
    <col min="2" max="2" width="8.28333333333333" customWidth="1"/>
    <col min="3" max="3" width="6.36666666666667" customWidth="1"/>
    <col min="4" max="4" width="5.8" customWidth="1"/>
    <col min="5" max="6" width="5.125" customWidth="1"/>
    <col min="7" max="7" width="5.24166666666667" customWidth="1"/>
    <col min="8" max="8" width="5.35" customWidth="1"/>
    <col min="9" max="10" width="6.025" customWidth="1"/>
    <col min="11" max="11" width="5.8" customWidth="1"/>
    <col min="12" max="12" width="11.1" customWidth="1"/>
    <col min="13" max="13" width="7.15833333333333" customWidth="1"/>
    <col min="14" max="14" width="9.525" customWidth="1"/>
    <col min="15" max="15" width="9.63333333333333" customWidth="1"/>
    <col min="16" max="16" width="7.71666666666667" customWidth="1"/>
    <col min="17" max="17" width="11.55" customWidth="1"/>
    <col min="18" max="18" width="7.38333333333333" customWidth="1"/>
    <col min="19" max="19" width="8.05833333333333" customWidth="1"/>
    <col min="20" max="20" width="9.525" customWidth="1"/>
    <col min="21" max="21" width="11.775" customWidth="1"/>
    <col min="22" max="22" width="13.0166666666667" customWidth="1"/>
  </cols>
  <sheetData>
    <row r="1" ht="55.95" customHeight="1" spans="1:22">
      <c r="A1" s="221" t="s">
        <v>0</v>
      </c>
      <c r="B1" s="361" t="s">
        <v>1</v>
      </c>
      <c r="C1" s="221" t="s">
        <v>2</v>
      </c>
      <c r="D1" s="139" t="s">
        <v>3</v>
      </c>
      <c r="E1" s="139" t="s">
        <v>4</v>
      </c>
      <c r="F1" s="139" t="s">
        <v>5</v>
      </c>
      <c r="G1" s="139" t="s">
        <v>6</v>
      </c>
      <c r="H1" s="139" t="s">
        <v>7</v>
      </c>
      <c r="I1" s="139" t="s">
        <v>8</v>
      </c>
      <c r="J1" s="362" t="s">
        <v>9</v>
      </c>
      <c r="K1" s="139" t="s">
        <v>10</v>
      </c>
      <c r="L1" s="139" t="s">
        <v>11</v>
      </c>
      <c r="M1" s="139" t="s">
        <v>12</v>
      </c>
      <c r="N1" s="363" t="s">
        <v>13</v>
      </c>
      <c r="O1" s="363" t="s">
        <v>14</v>
      </c>
      <c r="P1" s="363" t="s">
        <v>15</v>
      </c>
      <c r="Q1" s="221" t="s">
        <v>16</v>
      </c>
      <c r="R1" s="364" t="s">
        <v>17</v>
      </c>
      <c r="S1" s="364" t="s">
        <v>18</v>
      </c>
      <c r="T1" s="364" t="s">
        <v>19</v>
      </c>
      <c r="U1" s="139" t="s">
        <v>20</v>
      </c>
      <c r="V1" s="139" t="s">
        <v>21</v>
      </c>
    </row>
    <row r="2" ht="21.45" customHeight="1" spans="1:22">
      <c r="A2" s="221" t="s">
        <v>22</v>
      </c>
      <c r="B2" s="221" t="s">
        <v>23</v>
      </c>
      <c r="C2" s="221">
        <v>89.99</v>
      </c>
      <c r="D2" s="303">
        <v>0.05</v>
      </c>
      <c r="E2" s="303">
        <v>0.5</v>
      </c>
      <c r="F2" s="303">
        <v>0.68</v>
      </c>
      <c r="G2" s="221">
        <v>58</v>
      </c>
      <c r="H2" s="221">
        <v>10</v>
      </c>
      <c r="I2" s="221">
        <v>20</v>
      </c>
      <c r="J2" s="307">
        <f>SUM(G2:I2)</f>
        <v>88</v>
      </c>
      <c r="K2" s="221">
        <v>6</v>
      </c>
      <c r="L2" s="221">
        <f t="shared" ref="L2:L7" si="0">5*I2</f>
        <v>100</v>
      </c>
      <c r="M2" s="304">
        <f t="shared" ref="M2:M7" si="1">5*G2</f>
        <v>290</v>
      </c>
      <c r="N2" s="304">
        <f t="shared" ref="N2:N7" si="2">SUM(J2)</f>
        <v>88</v>
      </c>
      <c r="O2" s="304">
        <f t="shared" ref="O2:O7" si="3">SUM(L2:N2)</f>
        <v>478</v>
      </c>
      <c r="P2" s="304">
        <f t="shared" ref="P2:P7" si="4">SUM(L2:O2)</f>
        <v>956</v>
      </c>
      <c r="Q2" s="221"/>
      <c r="R2" s="306">
        <f t="shared" ref="R2:R7" si="5">J2/7</f>
        <v>12.5714285714286</v>
      </c>
      <c r="S2" s="306">
        <f t="shared" ref="S2:S7" si="6">I2/7</f>
        <v>2.85714285714286</v>
      </c>
      <c r="T2" s="306">
        <f t="shared" ref="T2:T7" si="7">H2/7</f>
        <v>1.42857142857143</v>
      </c>
      <c r="U2" s="365"/>
      <c r="V2" s="365">
        <v>25</v>
      </c>
    </row>
    <row r="3" ht="21.45" customHeight="1" spans="1:22">
      <c r="A3" s="221" t="s">
        <v>24</v>
      </c>
      <c r="B3" s="221" t="s">
        <v>25</v>
      </c>
      <c r="C3" s="221">
        <v>79.99</v>
      </c>
      <c r="D3" s="303">
        <v>0.3</v>
      </c>
      <c r="E3" s="303">
        <v>0.2</v>
      </c>
      <c r="F3" s="303">
        <v>0.3</v>
      </c>
      <c r="G3" s="221">
        <v>81</v>
      </c>
      <c r="H3" s="221">
        <v>14</v>
      </c>
      <c r="I3" s="221">
        <v>20</v>
      </c>
      <c r="J3" s="307">
        <f t="shared" ref="J2:J7" si="8">SUM(G3:I3)</f>
        <v>115</v>
      </c>
      <c r="K3" s="221">
        <v>9</v>
      </c>
      <c r="L3" s="221">
        <f t="shared" si="0"/>
        <v>100</v>
      </c>
      <c r="M3" s="304">
        <f t="shared" si="1"/>
        <v>405</v>
      </c>
      <c r="N3" s="304">
        <f t="shared" si="2"/>
        <v>115</v>
      </c>
      <c r="O3" s="304">
        <f t="shared" si="3"/>
        <v>620</v>
      </c>
      <c r="P3" s="304">
        <f t="shared" si="4"/>
        <v>1240</v>
      </c>
      <c r="Q3" s="221"/>
      <c r="R3" s="306">
        <f t="shared" si="5"/>
        <v>16.4285714285714</v>
      </c>
      <c r="S3" s="306">
        <f t="shared" si="6"/>
        <v>2.85714285714286</v>
      </c>
      <c r="T3" s="306">
        <f t="shared" si="7"/>
        <v>2</v>
      </c>
      <c r="U3" s="221"/>
      <c r="V3" s="221">
        <v>22</v>
      </c>
    </row>
    <row r="4" ht="21.45" customHeight="1" spans="1:22">
      <c r="A4" s="221" t="s">
        <v>26</v>
      </c>
      <c r="B4" s="221" t="s">
        <v>27</v>
      </c>
      <c r="C4" s="221">
        <v>69.99</v>
      </c>
      <c r="D4" s="303">
        <v>0.3</v>
      </c>
      <c r="E4" s="303">
        <v>0.2</v>
      </c>
      <c r="F4" s="303">
        <v>0.25</v>
      </c>
      <c r="G4" s="221">
        <v>45</v>
      </c>
      <c r="H4" s="221">
        <v>60</v>
      </c>
      <c r="I4" s="221">
        <v>23</v>
      </c>
      <c r="J4" s="307">
        <f t="shared" si="8"/>
        <v>128</v>
      </c>
      <c r="K4" s="221">
        <v>10</v>
      </c>
      <c r="L4" s="221">
        <f t="shared" si="0"/>
        <v>115</v>
      </c>
      <c r="M4" s="304">
        <f t="shared" si="1"/>
        <v>225</v>
      </c>
      <c r="N4" s="304">
        <f t="shared" si="2"/>
        <v>128</v>
      </c>
      <c r="O4" s="304">
        <f t="shared" si="3"/>
        <v>468</v>
      </c>
      <c r="P4" s="304">
        <f t="shared" si="4"/>
        <v>936</v>
      </c>
      <c r="Q4" s="221"/>
      <c r="R4" s="306">
        <f t="shared" si="5"/>
        <v>18.2857142857143</v>
      </c>
      <c r="S4" s="306">
        <f t="shared" si="6"/>
        <v>3.28571428571429</v>
      </c>
      <c r="T4" s="306">
        <f t="shared" si="7"/>
        <v>8.57142857142857</v>
      </c>
      <c r="U4" s="221"/>
      <c r="V4" s="221">
        <v>20</v>
      </c>
    </row>
    <row r="5" ht="21.45" customHeight="1" spans="1:22">
      <c r="A5" s="221" t="s">
        <v>28</v>
      </c>
      <c r="B5" s="221" t="s">
        <v>29</v>
      </c>
      <c r="C5" s="221">
        <v>69.99</v>
      </c>
      <c r="D5" s="303">
        <v>0.3</v>
      </c>
      <c r="E5" s="303">
        <v>0</v>
      </c>
      <c r="F5" s="303">
        <v>0.25</v>
      </c>
      <c r="G5" s="221">
        <v>55</v>
      </c>
      <c r="H5" s="221">
        <v>65</v>
      </c>
      <c r="I5" s="221">
        <v>30</v>
      </c>
      <c r="J5" s="307">
        <f t="shared" si="8"/>
        <v>150</v>
      </c>
      <c r="K5" s="221">
        <v>10</v>
      </c>
      <c r="L5" s="221">
        <f t="shared" si="0"/>
        <v>150</v>
      </c>
      <c r="M5" s="304">
        <f t="shared" si="1"/>
        <v>275</v>
      </c>
      <c r="N5" s="304">
        <f t="shared" si="2"/>
        <v>150</v>
      </c>
      <c r="O5" s="304">
        <f t="shared" si="3"/>
        <v>575</v>
      </c>
      <c r="P5" s="304">
        <f t="shared" si="4"/>
        <v>1150</v>
      </c>
      <c r="Q5" s="221"/>
      <c r="R5" s="306">
        <f t="shared" si="5"/>
        <v>21.4285714285714</v>
      </c>
      <c r="S5" s="306">
        <f t="shared" si="6"/>
        <v>4.28571428571429</v>
      </c>
      <c r="T5" s="306">
        <f t="shared" si="7"/>
        <v>9.28571428571429</v>
      </c>
      <c r="U5" s="221"/>
      <c r="V5" s="221">
        <v>18</v>
      </c>
    </row>
    <row r="6" ht="21.45" customHeight="1" spans="1:22">
      <c r="A6" s="221" t="s">
        <v>30</v>
      </c>
      <c r="B6" s="221" t="s">
        <v>31</v>
      </c>
      <c r="C6" s="221">
        <v>69.99</v>
      </c>
      <c r="D6" s="303">
        <v>0.3</v>
      </c>
      <c r="E6" s="303">
        <v>0</v>
      </c>
      <c r="F6" s="303">
        <v>0.25</v>
      </c>
      <c r="G6" s="221">
        <v>60</v>
      </c>
      <c r="H6" s="221">
        <v>70</v>
      </c>
      <c r="I6" s="221">
        <v>30</v>
      </c>
      <c r="J6" s="307">
        <f t="shared" si="8"/>
        <v>160</v>
      </c>
      <c r="K6" s="221">
        <v>10</v>
      </c>
      <c r="L6" s="221">
        <f t="shared" si="0"/>
        <v>150</v>
      </c>
      <c r="M6" s="304">
        <f t="shared" si="1"/>
        <v>300</v>
      </c>
      <c r="N6" s="304">
        <f t="shared" si="2"/>
        <v>160</v>
      </c>
      <c r="O6" s="304">
        <f t="shared" si="3"/>
        <v>610</v>
      </c>
      <c r="P6" s="304">
        <f t="shared" si="4"/>
        <v>1220</v>
      </c>
      <c r="Q6" s="221"/>
      <c r="R6" s="306">
        <f t="shared" si="5"/>
        <v>22.8571428571429</v>
      </c>
      <c r="S6" s="306">
        <f t="shared" si="6"/>
        <v>4.28571428571429</v>
      </c>
      <c r="T6" s="306">
        <f t="shared" si="7"/>
        <v>10</v>
      </c>
      <c r="U6" s="221"/>
      <c r="V6" s="221">
        <v>16</v>
      </c>
    </row>
    <row r="7" ht="21.45" customHeight="1" spans="1:22">
      <c r="A7" s="221" t="s">
        <v>32</v>
      </c>
      <c r="B7" s="221" t="s">
        <v>33</v>
      </c>
      <c r="C7" s="221">
        <v>69.99</v>
      </c>
      <c r="D7" s="303">
        <v>0.3</v>
      </c>
      <c r="E7" s="303">
        <v>0</v>
      </c>
      <c r="F7" s="303">
        <v>0</v>
      </c>
      <c r="G7" s="221">
        <v>65</v>
      </c>
      <c r="H7" s="221">
        <v>80</v>
      </c>
      <c r="I7" s="221">
        <v>35</v>
      </c>
      <c r="J7" s="307">
        <f t="shared" si="8"/>
        <v>180</v>
      </c>
      <c r="K7" s="221">
        <v>12</v>
      </c>
      <c r="L7" s="221">
        <f t="shared" si="0"/>
        <v>175</v>
      </c>
      <c r="M7" s="304">
        <f t="shared" si="1"/>
        <v>325</v>
      </c>
      <c r="N7" s="304">
        <f t="shared" si="2"/>
        <v>180</v>
      </c>
      <c r="O7" s="304">
        <f t="shared" si="3"/>
        <v>680</v>
      </c>
      <c r="P7" s="304">
        <f t="shared" si="4"/>
        <v>1360</v>
      </c>
      <c r="Q7" s="221"/>
      <c r="R7" s="306">
        <f t="shared" si="5"/>
        <v>25.7142857142857</v>
      </c>
      <c r="S7" s="306">
        <f t="shared" si="6"/>
        <v>5</v>
      </c>
      <c r="T7" s="306">
        <f t="shared" si="7"/>
        <v>11.4285714285714</v>
      </c>
      <c r="U7" s="221"/>
      <c r="V7" s="221">
        <v>10</v>
      </c>
    </row>
    <row r="8" ht="21.45" customHeight="1" spans="1:22">
      <c r="A8" s="221" t="s">
        <v>34</v>
      </c>
      <c r="B8" s="221"/>
      <c r="C8" s="221"/>
      <c r="D8" s="221"/>
      <c r="E8" s="221"/>
      <c r="F8" s="221"/>
      <c r="G8" s="221"/>
      <c r="H8" s="221"/>
      <c r="I8" s="221"/>
      <c r="J8" s="307"/>
      <c r="K8" s="221"/>
      <c r="L8" s="221"/>
      <c r="M8" s="304"/>
      <c r="N8" s="304"/>
      <c r="O8" s="304"/>
      <c r="P8" s="304"/>
      <c r="Q8" s="221"/>
      <c r="R8" s="306"/>
      <c r="S8" s="306"/>
      <c r="T8" s="306"/>
      <c r="U8" s="221"/>
      <c r="V8" s="221"/>
    </row>
    <row r="9" ht="21.45" customHeight="1" spans="1:22">
      <c r="A9" s="221" t="s">
        <v>35</v>
      </c>
      <c r="B9" s="221" t="s">
        <v>36</v>
      </c>
      <c r="C9" s="221">
        <v>69.99</v>
      </c>
      <c r="D9" s="303">
        <v>0.2</v>
      </c>
      <c r="E9" s="303">
        <v>0</v>
      </c>
      <c r="F9" s="303">
        <v>0</v>
      </c>
      <c r="G9" s="221">
        <v>70</v>
      </c>
      <c r="H9" s="221">
        <v>85</v>
      </c>
      <c r="I9" s="221">
        <v>30</v>
      </c>
      <c r="J9" s="307">
        <f t="shared" ref="J9:J12" si="9">SUM(G9:I9)</f>
        <v>185</v>
      </c>
      <c r="K9" s="221">
        <v>14</v>
      </c>
      <c r="L9" s="221">
        <f t="shared" ref="L9:L12" si="10">5*I9</f>
        <v>150</v>
      </c>
      <c r="M9" s="304">
        <f t="shared" ref="M9:M12" si="11">5*G9</f>
        <v>350</v>
      </c>
      <c r="N9" s="304">
        <f t="shared" ref="N9:N12" si="12">SUM(J9)</f>
        <v>185</v>
      </c>
      <c r="O9" s="304">
        <f t="shared" ref="O9:O12" si="13">SUM(L9:N9)</f>
        <v>685</v>
      </c>
      <c r="P9" s="304">
        <f t="shared" ref="P9:P12" si="14">SUM(L9:O9)</f>
        <v>1370</v>
      </c>
      <c r="Q9" s="221"/>
      <c r="R9" s="306">
        <f t="shared" ref="R9:R12" si="15">J9/7</f>
        <v>26.4285714285714</v>
      </c>
      <c r="S9" s="306">
        <f t="shared" ref="S9:S12" si="16">I9/7</f>
        <v>4.28571428571429</v>
      </c>
      <c r="T9" s="306">
        <f t="shared" ref="T9:T12" si="17">H9/7</f>
        <v>12.1428571428571</v>
      </c>
      <c r="U9" s="221"/>
      <c r="V9" s="221">
        <v>5</v>
      </c>
    </row>
    <row r="10" ht="21.45" customHeight="1" spans="1:22">
      <c r="A10" s="221" t="s">
        <v>37</v>
      </c>
      <c r="B10" s="221" t="s">
        <v>38</v>
      </c>
      <c r="C10" s="221">
        <v>69.99</v>
      </c>
      <c r="D10" s="303">
        <v>0.2</v>
      </c>
      <c r="E10" s="303">
        <v>0</v>
      </c>
      <c r="F10" s="303">
        <v>0</v>
      </c>
      <c r="G10" s="221">
        <v>75</v>
      </c>
      <c r="H10" s="221">
        <v>90</v>
      </c>
      <c r="I10" s="221">
        <v>30</v>
      </c>
      <c r="J10" s="307">
        <f t="shared" si="9"/>
        <v>195</v>
      </c>
      <c r="K10" s="221">
        <v>15</v>
      </c>
      <c r="L10" s="221">
        <f t="shared" si="10"/>
        <v>150</v>
      </c>
      <c r="M10" s="304">
        <f t="shared" si="11"/>
        <v>375</v>
      </c>
      <c r="N10" s="304">
        <f t="shared" si="12"/>
        <v>195</v>
      </c>
      <c r="O10" s="304">
        <f t="shared" si="13"/>
        <v>720</v>
      </c>
      <c r="P10" s="304">
        <f t="shared" si="14"/>
        <v>1440</v>
      </c>
      <c r="Q10" s="221"/>
      <c r="R10" s="306">
        <f t="shared" si="15"/>
        <v>27.8571428571429</v>
      </c>
      <c r="S10" s="306">
        <f t="shared" si="16"/>
        <v>4.28571428571429</v>
      </c>
      <c r="T10" s="306">
        <f t="shared" si="17"/>
        <v>12.8571428571429</v>
      </c>
      <c r="U10" s="221"/>
      <c r="V10" s="221">
        <v>4</v>
      </c>
    </row>
    <row r="11" ht="21.45" customHeight="1" spans="1:22">
      <c r="A11" s="221" t="s">
        <v>39</v>
      </c>
      <c r="B11" s="221" t="s">
        <v>40</v>
      </c>
      <c r="C11" s="221">
        <v>69.99</v>
      </c>
      <c r="D11" s="303">
        <v>0.2</v>
      </c>
      <c r="E11" s="303">
        <v>0</v>
      </c>
      <c r="F11" s="303">
        <v>0</v>
      </c>
      <c r="G11" s="221">
        <v>80</v>
      </c>
      <c r="H11" s="221">
        <v>100</v>
      </c>
      <c r="I11" s="221">
        <v>30</v>
      </c>
      <c r="J11" s="307">
        <f t="shared" si="9"/>
        <v>210</v>
      </c>
      <c r="K11" s="221">
        <v>16</v>
      </c>
      <c r="L11" s="221">
        <f t="shared" si="10"/>
        <v>150</v>
      </c>
      <c r="M11" s="304">
        <f t="shared" si="11"/>
        <v>400</v>
      </c>
      <c r="N11" s="304">
        <f t="shared" si="12"/>
        <v>210</v>
      </c>
      <c r="O11" s="304">
        <f t="shared" si="13"/>
        <v>760</v>
      </c>
      <c r="P11" s="304">
        <f t="shared" si="14"/>
        <v>1520</v>
      </c>
      <c r="Q11" s="221"/>
      <c r="R11" s="306">
        <f t="shared" si="15"/>
        <v>30</v>
      </c>
      <c r="S11" s="306">
        <f t="shared" si="16"/>
        <v>4.28571428571429</v>
      </c>
      <c r="T11" s="306">
        <f t="shared" si="17"/>
        <v>14.2857142857143</v>
      </c>
      <c r="U11" s="221"/>
      <c r="V11" s="221">
        <v>3</v>
      </c>
    </row>
    <row r="12" ht="21.45" customHeight="1" spans="1:22">
      <c r="A12" s="221" t="s">
        <v>41</v>
      </c>
      <c r="B12" s="221" t="s">
        <v>42</v>
      </c>
      <c r="C12" s="221">
        <v>69.99</v>
      </c>
      <c r="D12" s="303">
        <v>0.2</v>
      </c>
      <c r="E12" s="303">
        <v>0</v>
      </c>
      <c r="F12" s="303">
        <v>0</v>
      </c>
      <c r="G12" s="221">
        <v>80</v>
      </c>
      <c r="H12" s="221">
        <v>100</v>
      </c>
      <c r="I12" s="221">
        <v>30</v>
      </c>
      <c r="J12" s="307">
        <f t="shared" si="9"/>
        <v>210</v>
      </c>
      <c r="K12" s="221">
        <v>16</v>
      </c>
      <c r="L12" s="221">
        <f t="shared" si="10"/>
        <v>150</v>
      </c>
      <c r="M12" s="304">
        <f t="shared" si="11"/>
        <v>400</v>
      </c>
      <c r="N12" s="304">
        <f t="shared" si="12"/>
        <v>210</v>
      </c>
      <c r="O12" s="304">
        <f t="shared" si="13"/>
        <v>760</v>
      </c>
      <c r="P12" s="304">
        <f t="shared" si="14"/>
        <v>1520</v>
      </c>
      <c r="Q12" s="221"/>
      <c r="R12" s="306">
        <f t="shared" si="15"/>
        <v>30</v>
      </c>
      <c r="S12" s="306">
        <f t="shared" si="16"/>
        <v>4.28571428571429</v>
      </c>
      <c r="T12" s="306">
        <f t="shared" si="17"/>
        <v>14.2857142857143</v>
      </c>
      <c r="U12" s="221"/>
      <c r="V12" s="221">
        <v>1</v>
      </c>
    </row>
    <row r="13" ht="13.1" customHeight="1" spans="1:22">
      <c r="A13" s="221"/>
      <c r="B13" s="221"/>
      <c r="C13" s="221"/>
      <c r="D13" s="221"/>
      <c r="E13" s="221"/>
      <c r="F13" s="221"/>
      <c r="G13" s="221"/>
      <c r="H13" s="221"/>
      <c r="I13" s="221"/>
      <c r="J13" s="221"/>
      <c r="K13" s="221"/>
      <c r="L13" s="221"/>
      <c r="M13" s="221"/>
      <c r="N13" s="221"/>
      <c r="O13" s="221"/>
      <c r="P13" s="221"/>
      <c r="Q13" s="221"/>
      <c r="R13" s="221"/>
      <c r="S13" s="221"/>
      <c r="T13" s="221"/>
      <c r="U13" s="221"/>
      <c r="V13" s="221"/>
    </row>
    <row r="14" ht="13.1" customHeight="1" spans="1:22">
      <c r="A14" s="221" t="s">
        <v>43</v>
      </c>
      <c r="B14" s="221"/>
      <c r="C14" s="221"/>
      <c r="D14" s="221"/>
      <c r="E14" s="221"/>
      <c r="F14" s="221"/>
      <c r="G14" s="221"/>
      <c r="H14" s="221"/>
      <c r="I14" s="221"/>
      <c r="J14" s="221"/>
      <c r="K14" s="221"/>
      <c r="L14" s="221"/>
      <c r="M14" s="221"/>
      <c r="N14" s="221"/>
      <c r="O14" s="221"/>
      <c r="P14" s="221"/>
      <c r="Q14" s="221"/>
      <c r="R14" s="221"/>
      <c r="S14" s="221"/>
      <c r="T14" s="221"/>
      <c r="U14" s="221"/>
      <c r="V14" s="221"/>
    </row>
    <row r="15" ht="13.1" customHeight="1" spans="1:22">
      <c r="A15" s="31" t="s">
        <v>44</v>
      </c>
      <c r="B15" s="221" t="s">
        <v>23</v>
      </c>
      <c r="C15" s="221">
        <v>99.99</v>
      </c>
      <c r="D15" s="303">
        <v>0.05</v>
      </c>
      <c r="E15" s="303">
        <v>0.5</v>
      </c>
      <c r="F15" s="303">
        <v>0.68</v>
      </c>
      <c r="G15" s="221">
        <v>58</v>
      </c>
      <c r="H15" s="221">
        <v>10</v>
      </c>
      <c r="I15" s="221">
        <v>20</v>
      </c>
      <c r="J15" s="307">
        <f t="shared" ref="J15:J17" si="18">SUM(G15:I15)</f>
        <v>88</v>
      </c>
      <c r="K15" s="221">
        <v>6</v>
      </c>
      <c r="L15" s="221">
        <f t="shared" ref="L15:L17" si="19">5*I15</f>
        <v>100</v>
      </c>
      <c r="M15" s="304">
        <f t="shared" ref="M15:M17" si="20">5*G15</f>
        <v>290</v>
      </c>
      <c r="N15" s="304">
        <f t="shared" ref="N15:N17" si="21">SUM(J15)</f>
        <v>88</v>
      </c>
      <c r="O15" s="304">
        <f t="shared" ref="O15:O17" si="22">SUM(L15:N15)</f>
        <v>478</v>
      </c>
      <c r="P15" s="304">
        <f t="shared" ref="P15:P17" si="23">SUM(L15:O15)</f>
        <v>956</v>
      </c>
      <c r="Q15" s="221"/>
      <c r="R15" s="306">
        <f t="shared" ref="R15:R17" si="24">J15/7</f>
        <v>12.5714285714286</v>
      </c>
      <c r="S15" s="306">
        <f t="shared" ref="S15:S17" si="25">I15/7</f>
        <v>2.85714285714286</v>
      </c>
      <c r="T15" s="306">
        <f t="shared" ref="T15:T17" si="26">H15/7</f>
        <v>1.42857142857143</v>
      </c>
      <c r="U15" s="365"/>
      <c r="V15" s="365">
        <v>50</v>
      </c>
    </row>
    <row r="16" ht="13.1" customHeight="1" spans="1:22">
      <c r="A16" s="31" t="s">
        <v>45</v>
      </c>
      <c r="B16" s="221" t="s">
        <v>25</v>
      </c>
      <c r="C16" s="221">
        <v>79.99</v>
      </c>
      <c r="D16" s="303">
        <v>0.3</v>
      </c>
      <c r="E16" s="303">
        <v>0.2</v>
      </c>
      <c r="F16" s="303">
        <v>0.3</v>
      </c>
      <c r="G16" s="221">
        <v>81</v>
      </c>
      <c r="H16" s="221">
        <v>14</v>
      </c>
      <c r="I16" s="221">
        <v>20</v>
      </c>
      <c r="J16" s="307">
        <f t="shared" si="18"/>
        <v>115</v>
      </c>
      <c r="K16" s="221">
        <v>9</v>
      </c>
      <c r="L16" s="221">
        <f t="shared" si="19"/>
        <v>100</v>
      </c>
      <c r="M16" s="304">
        <f t="shared" si="20"/>
        <v>405</v>
      </c>
      <c r="N16" s="304">
        <f t="shared" si="21"/>
        <v>115</v>
      </c>
      <c r="O16" s="304">
        <f t="shared" si="22"/>
        <v>620</v>
      </c>
      <c r="P16" s="304">
        <f t="shared" si="23"/>
        <v>1240</v>
      </c>
      <c r="Q16" s="221"/>
      <c r="R16" s="306">
        <f t="shared" si="24"/>
        <v>16.4285714285714</v>
      </c>
      <c r="S16" s="306">
        <f t="shared" si="25"/>
        <v>2.85714285714286</v>
      </c>
      <c r="T16" s="306">
        <f t="shared" si="26"/>
        <v>2</v>
      </c>
      <c r="U16" s="221"/>
      <c r="V16" s="221">
        <v>32</v>
      </c>
    </row>
    <row r="17" ht="13.1" customHeight="1" spans="1:22">
      <c r="A17" s="31" t="s">
        <v>46</v>
      </c>
      <c r="B17" s="221" t="s">
        <v>27</v>
      </c>
      <c r="C17" s="221">
        <v>69.99</v>
      </c>
      <c r="D17" s="303">
        <v>0.3</v>
      </c>
      <c r="E17" s="303">
        <v>0.2</v>
      </c>
      <c r="F17" s="303">
        <v>0.25</v>
      </c>
      <c r="G17" s="221">
        <v>45</v>
      </c>
      <c r="H17" s="221">
        <v>60</v>
      </c>
      <c r="I17" s="221">
        <v>23</v>
      </c>
      <c r="J17" s="307">
        <f t="shared" si="18"/>
        <v>128</v>
      </c>
      <c r="K17" s="221">
        <v>10</v>
      </c>
      <c r="L17" s="221">
        <f t="shared" si="19"/>
        <v>115</v>
      </c>
      <c r="M17" s="304">
        <f t="shared" si="20"/>
        <v>225</v>
      </c>
      <c r="N17" s="304">
        <f t="shared" si="21"/>
        <v>128</v>
      </c>
      <c r="O17" s="304">
        <f t="shared" si="22"/>
        <v>468</v>
      </c>
      <c r="P17" s="304">
        <f t="shared" si="23"/>
        <v>936</v>
      </c>
      <c r="Q17" s="221"/>
      <c r="R17" s="306">
        <f t="shared" si="24"/>
        <v>18.2857142857143</v>
      </c>
      <c r="S17" s="306">
        <f t="shared" si="25"/>
        <v>3.28571428571429</v>
      </c>
      <c r="T17" s="306">
        <f t="shared" si="26"/>
        <v>8.57142857142857</v>
      </c>
      <c r="U17" s="221"/>
      <c r="V17" s="221">
        <v>20</v>
      </c>
    </row>
    <row r="18" ht="13.1" customHeight="1" spans="1:22">
      <c r="A18" s="221"/>
      <c r="B18" s="221"/>
      <c r="C18" s="221"/>
      <c r="D18" s="221"/>
      <c r="E18" s="221"/>
      <c r="F18" s="221"/>
      <c r="G18" s="221"/>
      <c r="H18" s="221"/>
      <c r="I18" s="221"/>
      <c r="J18" s="221"/>
      <c r="K18" s="221"/>
      <c r="L18" s="221"/>
      <c r="M18" s="221"/>
      <c r="N18" s="221"/>
      <c r="O18" s="221"/>
      <c r="P18" s="221"/>
      <c r="Q18" s="221"/>
      <c r="R18" s="221"/>
      <c r="S18" s="221"/>
      <c r="T18" s="221"/>
      <c r="U18" s="221"/>
      <c r="V18" s="221"/>
    </row>
    <row r="19" ht="13.1" customHeight="1" spans="1:22">
      <c r="A19" s="221" t="s">
        <v>43</v>
      </c>
      <c r="B19" s="221"/>
      <c r="C19" s="221"/>
      <c r="D19" s="221"/>
      <c r="E19" s="221"/>
      <c r="F19" s="221"/>
      <c r="G19" s="221"/>
      <c r="H19" s="221"/>
      <c r="I19" s="221"/>
      <c r="J19" s="221"/>
      <c r="K19" s="221"/>
      <c r="L19" s="221"/>
      <c r="M19" s="221"/>
      <c r="N19" s="221"/>
      <c r="O19" s="221"/>
      <c r="P19" s="221"/>
      <c r="Q19" s="221"/>
      <c r="R19" s="221"/>
      <c r="S19" s="221"/>
      <c r="T19" s="221"/>
      <c r="U19" s="221"/>
      <c r="V19" s="221"/>
    </row>
    <row r="20" ht="13.1" customHeight="1" spans="1:22">
      <c r="A20" s="221"/>
      <c r="B20" s="221"/>
      <c r="C20" s="221"/>
      <c r="D20" s="221"/>
      <c r="E20" s="221"/>
      <c r="F20" s="221"/>
      <c r="G20" s="221"/>
      <c r="H20" s="221"/>
      <c r="I20" s="221"/>
      <c r="J20" s="221"/>
      <c r="K20" s="221"/>
      <c r="L20" s="221"/>
      <c r="M20" s="221"/>
      <c r="N20" s="221"/>
      <c r="O20" s="221"/>
      <c r="P20" s="221"/>
      <c r="Q20" s="221"/>
      <c r="R20" s="221"/>
      <c r="S20" s="221"/>
      <c r="T20" s="221"/>
      <c r="U20" s="221"/>
      <c r="V20" s="221"/>
    </row>
    <row r="21" spans="1:22">
      <c r="A21" s="221"/>
      <c r="B21" s="221"/>
      <c r="C21" s="221"/>
      <c r="D21" s="221"/>
      <c r="E21" s="221"/>
      <c r="F21" s="221"/>
      <c r="G21" s="221"/>
      <c r="H21" s="221"/>
      <c r="I21" s="221"/>
      <c r="J21" s="221"/>
      <c r="K21" s="221"/>
      <c r="L21" s="221"/>
      <c r="M21" s="221"/>
      <c r="N21" s="221"/>
      <c r="O21" s="221"/>
      <c r="P21" s="221"/>
      <c r="Q21" s="221"/>
      <c r="R21" s="221"/>
      <c r="S21" s="221"/>
      <c r="T21" s="221"/>
      <c r="U21" s="221"/>
      <c r="V21" s="221"/>
    </row>
    <row r="22" spans="1:22">
      <c r="A22" s="221"/>
      <c r="B22" s="221"/>
      <c r="C22" s="221"/>
      <c r="D22" s="221"/>
      <c r="E22" s="221"/>
      <c r="F22" s="221"/>
      <c r="G22" s="221"/>
      <c r="H22" s="221"/>
      <c r="I22" s="221"/>
      <c r="J22" s="221"/>
      <c r="K22" s="221"/>
      <c r="L22" s="221"/>
      <c r="M22" s="221"/>
      <c r="N22" s="221"/>
      <c r="O22" s="221"/>
      <c r="P22" s="221"/>
      <c r="Q22" s="221"/>
      <c r="R22" s="221"/>
      <c r="S22" s="221"/>
      <c r="T22" s="221"/>
      <c r="U22" s="221"/>
      <c r="V22" s="221"/>
    </row>
    <row r="23" spans="1:22">
      <c r="A23" s="221"/>
      <c r="B23" s="221"/>
      <c r="C23" s="221"/>
      <c r="D23" s="221"/>
      <c r="E23" s="221"/>
      <c r="F23" s="221"/>
      <c r="G23" s="221"/>
      <c r="H23" s="221"/>
      <c r="I23" s="221"/>
      <c r="J23" s="221"/>
      <c r="K23" s="221"/>
      <c r="L23" s="221"/>
      <c r="M23" s="221"/>
      <c r="N23" s="221"/>
      <c r="O23" s="221"/>
      <c r="P23" s="221"/>
      <c r="Q23" s="221"/>
      <c r="R23" s="221"/>
      <c r="S23" s="221"/>
      <c r="T23" s="221"/>
      <c r="U23" s="221"/>
      <c r="V23" s="221"/>
    </row>
    <row r="24" spans="1:22">
      <c r="A24" s="221"/>
      <c r="B24" s="221"/>
      <c r="C24" s="221"/>
      <c r="D24" s="221"/>
      <c r="E24" s="221"/>
      <c r="F24" s="221"/>
      <c r="G24" s="221"/>
      <c r="H24" s="221"/>
      <c r="I24" s="221"/>
      <c r="J24" s="221"/>
      <c r="K24" s="221"/>
      <c r="L24" s="221"/>
      <c r="M24" s="221"/>
      <c r="N24" s="221"/>
      <c r="O24" s="221"/>
      <c r="P24" s="221"/>
      <c r="Q24" s="221"/>
      <c r="R24" s="221"/>
      <c r="S24" s="221"/>
      <c r="T24" s="221"/>
      <c r="U24" s="221"/>
      <c r="V24" s="221"/>
    </row>
    <row r="25" spans="1:22">
      <c r="A25" s="221"/>
      <c r="B25" s="221"/>
      <c r="C25" s="221"/>
      <c r="D25" s="221"/>
      <c r="E25" s="221"/>
      <c r="F25" s="221"/>
      <c r="G25" s="221"/>
      <c r="H25" s="221"/>
      <c r="I25" s="221"/>
      <c r="J25" s="221"/>
      <c r="K25" s="221"/>
      <c r="L25" s="221"/>
      <c r="M25" s="221"/>
      <c r="N25" s="221"/>
      <c r="O25" s="221"/>
      <c r="P25" s="221"/>
      <c r="Q25" s="221"/>
      <c r="R25" s="221"/>
      <c r="S25" s="221"/>
      <c r="T25" s="221"/>
      <c r="U25" s="221"/>
      <c r="V25" s="221"/>
    </row>
    <row r="26" spans="1:22">
      <c r="A26" s="221"/>
      <c r="B26" s="221"/>
      <c r="C26" s="221"/>
      <c r="D26" s="221"/>
      <c r="E26" s="221"/>
      <c r="F26" s="221"/>
      <c r="G26" s="221"/>
      <c r="H26" s="221"/>
      <c r="I26" s="221"/>
      <c r="J26" s="221"/>
      <c r="K26" s="221"/>
      <c r="L26" s="221"/>
      <c r="M26" s="221"/>
      <c r="N26" s="221"/>
      <c r="O26" s="221"/>
      <c r="P26" s="221"/>
      <c r="Q26" s="221"/>
      <c r="R26" s="221"/>
      <c r="S26" s="221"/>
      <c r="T26" s="221"/>
      <c r="U26" s="221"/>
      <c r="V26" s="221"/>
    </row>
    <row r="27" spans="1:22">
      <c r="A27" s="221"/>
      <c r="B27" s="221"/>
      <c r="C27" s="221"/>
      <c r="D27" s="221"/>
      <c r="E27" s="221"/>
      <c r="F27" s="221"/>
      <c r="G27" s="221"/>
      <c r="H27" s="221"/>
      <c r="I27" s="221"/>
      <c r="J27" s="221"/>
      <c r="K27" s="221"/>
      <c r="L27" s="221"/>
      <c r="M27" s="221"/>
      <c r="N27" s="221"/>
      <c r="O27" s="221"/>
      <c r="P27" s="221"/>
      <c r="Q27" s="221"/>
      <c r="R27" s="221"/>
      <c r="S27" s="221"/>
      <c r="T27" s="221"/>
      <c r="U27" s="221"/>
      <c r="V27" s="221"/>
    </row>
    <row r="28" spans="1:22">
      <c r="A28" s="221"/>
      <c r="B28" s="221"/>
      <c r="C28" s="221"/>
      <c r="D28" s="221"/>
      <c r="E28" s="221"/>
      <c r="F28" s="221"/>
      <c r="G28" s="221"/>
      <c r="H28" s="221"/>
      <c r="I28" s="221"/>
      <c r="J28" s="221"/>
      <c r="K28" s="221"/>
      <c r="L28" s="221"/>
      <c r="M28" s="221"/>
      <c r="N28" s="221"/>
      <c r="O28" s="221"/>
      <c r="P28" s="221"/>
      <c r="Q28" s="221"/>
      <c r="R28" s="221"/>
      <c r="S28" s="221"/>
      <c r="T28" s="221"/>
      <c r="U28" s="221"/>
      <c r="V28" s="221"/>
    </row>
    <row r="29" spans="1:22">
      <c r="A29" s="221"/>
      <c r="B29" s="221"/>
      <c r="C29" s="221"/>
      <c r="D29" s="221"/>
      <c r="E29" s="221"/>
      <c r="F29" s="221"/>
      <c r="G29" s="221"/>
      <c r="H29" s="221"/>
      <c r="I29" s="221"/>
      <c r="J29" s="221"/>
      <c r="K29" s="221"/>
      <c r="L29" s="221"/>
      <c r="M29" s="221"/>
      <c r="N29" s="221"/>
      <c r="O29" s="221"/>
      <c r="P29" s="221"/>
      <c r="Q29" s="221"/>
      <c r="R29" s="221"/>
      <c r="S29" s="221"/>
      <c r="T29" s="221"/>
      <c r="U29" s="221"/>
      <c r="V29" s="221"/>
    </row>
    <row r="30" spans="1:22">
      <c r="A30" s="221"/>
      <c r="B30" s="221"/>
      <c r="C30" s="221"/>
      <c r="D30" s="221"/>
      <c r="E30" s="221"/>
      <c r="F30" s="221"/>
      <c r="G30" s="221"/>
      <c r="H30" s="221"/>
      <c r="I30" s="221"/>
      <c r="J30" s="221"/>
      <c r="K30" s="221"/>
      <c r="L30" s="221"/>
      <c r="M30" s="221"/>
      <c r="N30" s="221"/>
      <c r="O30" s="221"/>
      <c r="P30" s="221"/>
      <c r="Q30" s="221"/>
      <c r="R30" s="221"/>
      <c r="S30" s="221"/>
      <c r="T30" s="221"/>
      <c r="U30" s="221"/>
      <c r="V30" s="221"/>
    </row>
    <row r="31" spans="1:22">
      <c r="A31" s="221"/>
      <c r="B31" s="221"/>
      <c r="C31" s="221"/>
      <c r="D31" s="221"/>
      <c r="E31" s="221"/>
      <c r="F31" s="221"/>
      <c r="G31" s="221"/>
      <c r="H31" s="221"/>
      <c r="I31" s="221"/>
      <c r="J31" s="221"/>
      <c r="K31" s="221"/>
      <c r="L31" s="221"/>
      <c r="M31" s="221"/>
      <c r="N31" s="221"/>
      <c r="O31" s="221"/>
      <c r="P31" s="221"/>
      <c r="Q31" s="221"/>
      <c r="R31" s="221"/>
      <c r="S31" s="221"/>
      <c r="T31" s="221"/>
      <c r="U31" s="221"/>
      <c r="V31" s="221"/>
    </row>
    <row r="32" spans="1:22">
      <c r="A32" s="221"/>
      <c r="B32" s="221"/>
      <c r="C32" s="221"/>
      <c r="D32" s="221"/>
      <c r="E32" s="221"/>
      <c r="F32" s="221"/>
      <c r="G32" s="221"/>
      <c r="H32" s="221"/>
      <c r="I32" s="221"/>
      <c r="J32" s="221"/>
      <c r="K32" s="221"/>
      <c r="L32" s="221"/>
      <c r="M32" s="221"/>
      <c r="N32" s="221"/>
      <c r="O32" s="221"/>
      <c r="P32" s="221"/>
      <c r="Q32" s="221"/>
      <c r="R32" s="221"/>
      <c r="S32" s="221"/>
      <c r="T32" s="221"/>
      <c r="U32" s="221"/>
      <c r="V32" s="221"/>
    </row>
    <row r="33" spans="1:22">
      <c r="A33" s="221"/>
      <c r="B33" s="221"/>
      <c r="C33" s="221"/>
      <c r="D33" s="221"/>
      <c r="E33" s="221"/>
      <c r="F33" s="221"/>
      <c r="G33" s="221"/>
      <c r="H33" s="221"/>
      <c r="I33" s="221"/>
      <c r="J33" s="221"/>
      <c r="K33" s="221"/>
      <c r="L33" s="221"/>
      <c r="M33" s="221"/>
      <c r="N33" s="221"/>
      <c r="O33" s="221"/>
      <c r="P33" s="221"/>
      <c r="Q33" s="221"/>
      <c r="R33" s="221"/>
      <c r="S33" s="221"/>
      <c r="T33" s="221"/>
      <c r="U33" s="221"/>
      <c r="V33" s="221"/>
    </row>
    <row r="34" spans="1:22">
      <c r="A34" s="221"/>
      <c r="B34" s="221"/>
      <c r="C34" s="221"/>
      <c r="D34" s="221"/>
      <c r="E34" s="221"/>
      <c r="F34" s="221"/>
      <c r="G34" s="221"/>
      <c r="H34" s="221"/>
      <c r="I34" s="221"/>
      <c r="J34" s="221"/>
      <c r="K34" s="221"/>
      <c r="L34" s="221"/>
      <c r="M34" s="221"/>
      <c r="N34" s="221"/>
      <c r="O34" s="221"/>
      <c r="P34" s="221"/>
      <c r="Q34" s="221"/>
      <c r="R34" s="221"/>
      <c r="S34" s="221"/>
      <c r="T34" s="221"/>
      <c r="U34" s="221"/>
      <c r="V34" s="221"/>
    </row>
    <row r="35" spans="1:22">
      <c r="A35" s="221"/>
      <c r="B35" s="221"/>
      <c r="C35" s="221"/>
      <c r="D35" s="221"/>
      <c r="E35" s="221"/>
      <c r="F35" s="221"/>
      <c r="G35" s="221"/>
      <c r="H35" s="221"/>
      <c r="I35" s="221"/>
      <c r="J35" s="221"/>
      <c r="K35" s="221"/>
      <c r="L35" s="221"/>
      <c r="M35" s="221"/>
      <c r="N35" s="221"/>
      <c r="O35" s="221"/>
      <c r="P35" s="221"/>
      <c r="Q35" s="221"/>
      <c r="R35" s="221"/>
      <c r="S35" s="221"/>
      <c r="T35" s="221"/>
      <c r="U35" s="221"/>
      <c r="V35" s="221"/>
    </row>
    <row r="36" spans="1:22">
      <c r="A36" s="221"/>
      <c r="B36" s="221"/>
      <c r="C36" s="221"/>
      <c r="D36" s="221"/>
      <c r="E36" s="221"/>
      <c r="F36" s="221"/>
      <c r="G36" s="221"/>
      <c r="H36" s="221"/>
      <c r="I36" s="221"/>
      <c r="J36" s="221"/>
      <c r="K36" s="221"/>
      <c r="L36" s="221"/>
      <c r="M36" s="221"/>
      <c r="N36" s="221"/>
      <c r="O36" s="221"/>
      <c r="P36" s="221"/>
      <c r="Q36" s="221"/>
      <c r="R36" s="221"/>
      <c r="S36" s="221"/>
      <c r="T36" s="221"/>
      <c r="U36" s="221"/>
      <c r="V36" s="221"/>
    </row>
    <row r="37" spans="1:22">
      <c r="A37" s="221"/>
      <c r="B37" s="221"/>
      <c r="C37" s="221"/>
      <c r="D37" s="221"/>
      <c r="E37" s="221"/>
      <c r="F37" s="221"/>
      <c r="G37" s="221"/>
      <c r="H37" s="221"/>
      <c r="I37" s="221"/>
      <c r="J37" s="221"/>
      <c r="K37" s="221"/>
      <c r="L37" s="221"/>
      <c r="M37" s="221"/>
      <c r="N37" s="221"/>
      <c r="O37" s="221"/>
      <c r="P37" s="221"/>
      <c r="Q37" s="221"/>
      <c r="R37" s="221"/>
      <c r="S37" s="221"/>
      <c r="T37" s="221"/>
      <c r="U37" s="221"/>
      <c r="V37" s="221"/>
    </row>
    <row r="38" spans="1:22">
      <c r="A38" s="221"/>
      <c r="B38" s="221"/>
      <c r="C38" s="221"/>
      <c r="D38" s="221"/>
      <c r="E38" s="221"/>
      <c r="F38" s="221"/>
      <c r="G38" s="221"/>
      <c r="H38" s="221"/>
      <c r="I38" s="221"/>
      <c r="J38" s="221"/>
      <c r="K38" s="221"/>
      <c r="L38" s="221"/>
      <c r="M38" s="221"/>
      <c r="N38" s="221"/>
      <c r="O38" s="221"/>
      <c r="P38" s="221"/>
      <c r="Q38" s="221"/>
      <c r="R38" s="221"/>
      <c r="S38" s="221"/>
      <c r="T38" s="221"/>
      <c r="U38" s="221"/>
      <c r="V38" s="221"/>
    </row>
    <row r="39" spans="1:22">
      <c r="A39" s="221"/>
      <c r="B39" s="221"/>
      <c r="C39" s="221"/>
      <c r="D39" s="221"/>
      <c r="E39" s="221"/>
      <c r="F39" s="221"/>
      <c r="G39" s="221"/>
      <c r="H39" s="221"/>
      <c r="I39" s="221"/>
      <c r="J39" s="221"/>
      <c r="K39" s="221"/>
      <c r="L39" s="221"/>
      <c r="M39" s="221"/>
      <c r="N39" s="221"/>
      <c r="O39" s="221"/>
      <c r="P39" s="221"/>
      <c r="Q39" s="221"/>
      <c r="R39" s="221"/>
      <c r="S39" s="221"/>
      <c r="T39" s="221"/>
      <c r="U39" s="221"/>
      <c r="V39" s="221"/>
    </row>
    <row r="40" spans="1:22">
      <c r="A40" s="221"/>
      <c r="B40" s="221"/>
      <c r="C40" s="221"/>
      <c r="D40" s="221"/>
      <c r="E40" s="221"/>
      <c r="F40" s="221"/>
      <c r="G40" s="221"/>
      <c r="H40" s="221"/>
      <c r="I40" s="221"/>
      <c r="J40" s="221"/>
      <c r="K40" s="221"/>
      <c r="L40" s="221"/>
      <c r="M40" s="221"/>
      <c r="N40" s="221"/>
      <c r="O40" s="221"/>
      <c r="P40" s="221"/>
      <c r="Q40" s="221"/>
      <c r="R40" s="221"/>
      <c r="S40" s="221"/>
      <c r="T40" s="221"/>
      <c r="U40" s="221"/>
      <c r="V40" s="221"/>
    </row>
  </sheetData>
  <pageMargins left="0.75" right="0.75" top="1" bottom="1" header="0.5" footer="0.5"/>
  <headerFooter/>
  <ignoredErrors>
    <ignoredError sqref="J3:J17" formulaRange="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42"/>
  <sheetViews>
    <sheetView workbookViewId="0">
      <pane ySplit="2" topLeftCell="A3" activePane="bottomLeft" state="frozen"/>
      <selection/>
      <selection pane="bottomLeft" activeCell="A1" sqref="A1"/>
    </sheetView>
  </sheetViews>
  <sheetFormatPr defaultColWidth="9" defaultRowHeight="15.75"/>
  <cols>
    <col min="1" max="1" width="10.425" customWidth="1"/>
    <col min="2" max="2" width="8.50833333333333" customWidth="1"/>
    <col min="3" max="3" width="8.95833333333333" customWidth="1"/>
    <col min="4" max="4" width="7.49166666666667" customWidth="1"/>
    <col min="5" max="6" width="8.39166666666667" customWidth="1"/>
    <col min="7" max="7" width="8.05833333333333" customWidth="1"/>
    <col min="8" max="8" width="7.60833333333333" customWidth="1"/>
    <col min="9" max="9" width="10.425" customWidth="1"/>
    <col min="10" max="10" width="8.73333333333333" customWidth="1"/>
    <col min="11" max="11" width="13.6916666666667" customWidth="1"/>
    <col min="12" max="12" width="7.60833333333333" customWidth="1"/>
    <col min="13" max="13" width="10.425" customWidth="1"/>
    <col min="14" max="14" width="8.61666666666667" customWidth="1"/>
    <col min="15" max="15" width="8.73333333333333" customWidth="1"/>
    <col min="16" max="16" width="8.28333333333333" customWidth="1"/>
    <col min="17" max="17" width="8.73333333333333" customWidth="1"/>
    <col min="18" max="18" width="7.71666666666667" customWidth="1"/>
    <col min="19" max="19" width="8.05833333333333" customWidth="1"/>
    <col min="20" max="20" width="9.29166666666667" customWidth="1"/>
  </cols>
  <sheetData>
    <row r="1" ht="29.75" customHeight="1" spans="1:20">
      <c r="A1" s="231" t="s">
        <v>47</v>
      </c>
      <c r="B1" s="327" t="s">
        <v>48</v>
      </c>
      <c r="C1" s="327"/>
      <c r="D1" s="327"/>
      <c r="E1" s="327"/>
      <c r="F1" s="327"/>
      <c r="G1" s="327"/>
      <c r="H1" s="327"/>
      <c r="I1" s="327"/>
      <c r="J1" s="327"/>
      <c r="K1" s="327"/>
      <c r="L1" s="327"/>
      <c r="M1" s="327"/>
      <c r="N1" s="327"/>
      <c r="O1" s="327"/>
      <c r="P1" s="327"/>
      <c r="Q1" s="327"/>
      <c r="R1" s="327"/>
      <c r="S1" s="339"/>
      <c r="T1" s="327"/>
    </row>
    <row r="2" ht="42.25" customHeight="1" spans="1:20">
      <c r="A2" s="309" t="s">
        <v>49</v>
      </c>
      <c r="B2" s="340" t="s">
        <v>50</v>
      </c>
      <c r="C2" s="340" t="s">
        <v>51</v>
      </c>
      <c r="D2" s="341" t="s">
        <v>52</v>
      </c>
      <c r="E2" s="342" t="s">
        <v>53</v>
      </c>
      <c r="F2" s="342" t="s">
        <v>54</v>
      </c>
      <c r="G2" s="342" t="s">
        <v>55</v>
      </c>
      <c r="H2" s="342" t="s">
        <v>56</v>
      </c>
      <c r="I2" s="342" t="s">
        <v>57</v>
      </c>
      <c r="J2" s="343" t="s">
        <v>58</v>
      </c>
      <c r="K2" s="342" t="s">
        <v>59</v>
      </c>
      <c r="L2" s="342" t="s">
        <v>60</v>
      </c>
      <c r="M2" s="342" t="s">
        <v>61</v>
      </c>
      <c r="N2" s="344" t="s">
        <v>62</v>
      </c>
      <c r="O2" s="342" t="s">
        <v>63</v>
      </c>
      <c r="P2" s="342" t="s">
        <v>64</v>
      </c>
      <c r="Q2" s="344" t="s">
        <v>65</v>
      </c>
      <c r="R2" s="340" t="s">
        <v>66</v>
      </c>
      <c r="S2" s="342" t="s">
        <v>67</v>
      </c>
      <c r="T2" s="345" t="s">
        <v>68</v>
      </c>
    </row>
    <row r="3" ht="17.25" customHeight="1" spans="1:20">
      <c r="A3" s="231" t="s">
        <v>23</v>
      </c>
      <c r="B3" s="231">
        <v>79.99</v>
      </c>
      <c r="C3" s="168">
        <v>0.3</v>
      </c>
      <c r="D3" s="168">
        <v>0</v>
      </c>
      <c r="E3" s="274">
        <f t="shared" ref="E3:E12" si="0">SUM(B3*(1-C3-D3))</f>
        <v>55.993</v>
      </c>
      <c r="F3" s="274">
        <v>10.51</v>
      </c>
      <c r="G3" s="274">
        <f t="shared" ref="G3:G9" si="1">SUM(E3*8%)</f>
        <v>4.47944</v>
      </c>
      <c r="H3" s="274">
        <f t="shared" ref="H3:H12" si="2">SUM(E3-F3-G3)</f>
        <v>41.00356</v>
      </c>
      <c r="I3" s="274">
        <v>0.5</v>
      </c>
      <c r="J3" s="274">
        <v>0.6</v>
      </c>
      <c r="K3" s="274">
        <f t="shared" ref="K3:K12" si="3">80/7</f>
        <v>11.4285714285714</v>
      </c>
      <c r="L3" s="274">
        <v>3</v>
      </c>
      <c r="M3" s="274">
        <f t="shared" ref="M3:M9" si="4">SUM(20%*15%*E3+F3+I3+K3+L3+1.04)</f>
        <v>28.1583614285714</v>
      </c>
      <c r="N3" s="323">
        <v>0.044</v>
      </c>
      <c r="O3" s="274">
        <f t="shared" ref="O3:O12" si="5">SUM(M3*N3/(1-N3))</f>
        <v>1.2959915301853</v>
      </c>
      <c r="P3" s="274">
        <f t="shared" ref="P3:P12" si="6">SUM(H3-I3-J3-K3-L3-O3)</f>
        <v>24.1789970412433</v>
      </c>
      <c r="Q3" s="323">
        <f t="shared" ref="Q3:Q12" si="7">SUM(P3/B3)</f>
        <v>0.302275247421469</v>
      </c>
      <c r="R3" s="324">
        <v>1</v>
      </c>
      <c r="S3" s="274">
        <f t="shared" ref="S3:S12" si="8">SUM(P3*R3)</f>
        <v>24.1789970412433</v>
      </c>
      <c r="T3" s="326">
        <f t="shared" ref="T3:T12" si="9">SUM(S3)</f>
        <v>24.1789970412433</v>
      </c>
    </row>
    <row r="4" ht="17.25" customHeight="1" spans="1:20">
      <c r="A4" s="231" t="s">
        <v>25</v>
      </c>
      <c r="B4" s="231">
        <v>85.99</v>
      </c>
      <c r="C4" s="168">
        <v>0.2</v>
      </c>
      <c r="D4" s="168">
        <v>0</v>
      </c>
      <c r="E4" s="274">
        <f t="shared" si="0"/>
        <v>68.792</v>
      </c>
      <c r="F4" s="274">
        <v>10.51</v>
      </c>
      <c r="G4" s="274">
        <f t="shared" si="1"/>
        <v>5.50336</v>
      </c>
      <c r="H4" s="274">
        <f t="shared" si="2"/>
        <v>52.77864</v>
      </c>
      <c r="I4" s="274">
        <v>0.5</v>
      </c>
      <c r="J4" s="274">
        <v>0.6</v>
      </c>
      <c r="K4" s="274">
        <f t="shared" si="3"/>
        <v>11.4285714285714</v>
      </c>
      <c r="L4" s="274">
        <v>3</v>
      </c>
      <c r="M4" s="274">
        <f t="shared" si="4"/>
        <v>28.5423314285714</v>
      </c>
      <c r="N4" s="323">
        <v>0.044</v>
      </c>
      <c r="O4" s="274">
        <f t="shared" si="5"/>
        <v>1.31366378959952</v>
      </c>
      <c r="P4" s="274">
        <f t="shared" si="6"/>
        <v>35.936404781829</v>
      </c>
      <c r="Q4" s="323">
        <f t="shared" si="7"/>
        <v>0.417913766505745</v>
      </c>
      <c r="R4" s="324">
        <v>1</v>
      </c>
      <c r="S4" s="274">
        <f t="shared" si="8"/>
        <v>35.936404781829</v>
      </c>
      <c r="T4" s="326">
        <f t="shared" si="9"/>
        <v>35.936404781829</v>
      </c>
    </row>
    <row r="5" ht="17.25" customHeight="1" spans="1:20">
      <c r="A5" s="231" t="s">
        <v>27</v>
      </c>
      <c r="B5" s="231">
        <v>89.99</v>
      </c>
      <c r="C5" s="168">
        <v>0.1</v>
      </c>
      <c r="D5" s="168">
        <v>0</v>
      </c>
      <c r="E5" s="274">
        <f t="shared" si="0"/>
        <v>80.991</v>
      </c>
      <c r="F5" s="274">
        <v>10.51</v>
      </c>
      <c r="G5" s="274">
        <f t="shared" si="1"/>
        <v>6.47928</v>
      </c>
      <c r="H5" s="274">
        <f t="shared" si="2"/>
        <v>64.00172</v>
      </c>
      <c r="I5" s="274">
        <v>0.5</v>
      </c>
      <c r="J5" s="274">
        <v>0</v>
      </c>
      <c r="K5" s="274">
        <f t="shared" si="3"/>
        <v>11.4285714285714</v>
      </c>
      <c r="L5" s="274">
        <v>3</v>
      </c>
      <c r="M5" s="274">
        <f t="shared" si="4"/>
        <v>28.9083014285714</v>
      </c>
      <c r="N5" s="323">
        <v>0.044</v>
      </c>
      <c r="O5" s="274">
        <f t="shared" si="5"/>
        <v>1.3305075971309</v>
      </c>
      <c r="P5" s="274">
        <f t="shared" si="6"/>
        <v>47.7426409742977</v>
      </c>
      <c r="Q5" s="323">
        <f t="shared" si="7"/>
        <v>0.530532736685161</v>
      </c>
      <c r="R5" s="324">
        <v>1</v>
      </c>
      <c r="S5" s="274">
        <f t="shared" si="8"/>
        <v>47.7426409742977</v>
      </c>
      <c r="T5" s="326">
        <f t="shared" si="9"/>
        <v>47.7426409742977</v>
      </c>
    </row>
    <row r="6" ht="17.25" customHeight="1" spans="1:20">
      <c r="A6" s="231" t="s">
        <v>29</v>
      </c>
      <c r="B6" s="231">
        <v>89.99</v>
      </c>
      <c r="C6" s="168">
        <v>0.05</v>
      </c>
      <c r="D6" s="168">
        <v>0</v>
      </c>
      <c r="E6" s="274">
        <f t="shared" si="0"/>
        <v>85.4905</v>
      </c>
      <c r="F6" s="274">
        <v>10.51</v>
      </c>
      <c r="G6" s="274">
        <f t="shared" si="1"/>
        <v>6.83924</v>
      </c>
      <c r="H6" s="274">
        <f t="shared" si="2"/>
        <v>68.14126</v>
      </c>
      <c r="I6" s="274">
        <v>0.5</v>
      </c>
      <c r="J6" s="274">
        <v>0</v>
      </c>
      <c r="K6" s="274">
        <f t="shared" si="3"/>
        <v>11.4285714285714</v>
      </c>
      <c r="L6" s="274">
        <v>3</v>
      </c>
      <c r="M6" s="274">
        <f t="shared" si="4"/>
        <v>29.0432864285714</v>
      </c>
      <c r="N6" s="323">
        <v>0.044</v>
      </c>
      <c r="O6" s="274">
        <f t="shared" si="5"/>
        <v>1.33672029587567</v>
      </c>
      <c r="P6" s="274">
        <f t="shared" si="6"/>
        <v>51.8759682755529</v>
      </c>
      <c r="Q6" s="323">
        <f t="shared" si="7"/>
        <v>0.576463699028257</v>
      </c>
      <c r="R6" s="324">
        <v>1</v>
      </c>
      <c r="S6" s="274">
        <f t="shared" si="8"/>
        <v>51.8759682755529</v>
      </c>
      <c r="T6" s="326">
        <f t="shared" si="9"/>
        <v>51.8759682755529</v>
      </c>
    </row>
    <row r="7" ht="14.3" customHeight="1" spans="1:20">
      <c r="A7" s="231" t="s">
        <v>31</v>
      </c>
      <c r="B7" s="231">
        <v>89.59</v>
      </c>
      <c r="C7" s="168">
        <v>0.05</v>
      </c>
      <c r="D7" s="168">
        <v>0</v>
      </c>
      <c r="E7" s="274">
        <f t="shared" si="0"/>
        <v>85.1105</v>
      </c>
      <c r="F7" s="274">
        <v>10.51</v>
      </c>
      <c r="G7" s="274">
        <f t="shared" si="1"/>
        <v>6.80884</v>
      </c>
      <c r="H7" s="274">
        <f t="shared" si="2"/>
        <v>67.79166</v>
      </c>
      <c r="I7" s="274">
        <v>0.5</v>
      </c>
      <c r="J7" s="274">
        <v>0</v>
      </c>
      <c r="K7" s="274">
        <f t="shared" si="3"/>
        <v>11.4285714285714</v>
      </c>
      <c r="L7" s="274">
        <v>3</v>
      </c>
      <c r="M7" s="274">
        <f t="shared" si="4"/>
        <v>29.0318864285714</v>
      </c>
      <c r="N7" s="323">
        <v>0.044</v>
      </c>
      <c r="O7" s="274">
        <f t="shared" si="5"/>
        <v>1.3361956096832</v>
      </c>
      <c r="P7" s="274">
        <f t="shared" si="6"/>
        <v>51.5268929617454</v>
      </c>
      <c r="Q7" s="323">
        <f t="shared" si="7"/>
        <v>0.575141120233791</v>
      </c>
      <c r="R7" s="324">
        <v>1</v>
      </c>
      <c r="S7" s="274">
        <f t="shared" si="8"/>
        <v>51.5268929617454</v>
      </c>
      <c r="T7" s="326">
        <f t="shared" si="9"/>
        <v>51.5268929617454</v>
      </c>
    </row>
    <row r="8" ht="14.3" customHeight="1" spans="1:20">
      <c r="A8" s="231" t="s">
        <v>33</v>
      </c>
      <c r="B8" s="231">
        <v>89.99</v>
      </c>
      <c r="C8" s="168">
        <v>0.05</v>
      </c>
      <c r="D8" s="168">
        <v>0</v>
      </c>
      <c r="E8" s="274">
        <f t="shared" si="0"/>
        <v>85.4905</v>
      </c>
      <c r="F8" s="274">
        <v>10.51</v>
      </c>
      <c r="G8" s="274">
        <f t="shared" si="1"/>
        <v>6.83924</v>
      </c>
      <c r="H8" s="274">
        <f t="shared" si="2"/>
        <v>68.14126</v>
      </c>
      <c r="I8" s="274">
        <v>0.5</v>
      </c>
      <c r="J8" s="274">
        <v>0</v>
      </c>
      <c r="K8" s="274">
        <f t="shared" si="3"/>
        <v>11.4285714285714</v>
      </c>
      <c r="L8" s="274">
        <v>3</v>
      </c>
      <c r="M8" s="274">
        <f t="shared" si="4"/>
        <v>29.0432864285714</v>
      </c>
      <c r="N8" s="323">
        <v>0.044</v>
      </c>
      <c r="O8" s="274">
        <f t="shared" si="5"/>
        <v>1.33672029587567</v>
      </c>
      <c r="P8" s="274">
        <f t="shared" si="6"/>
        <v>51.8759682755529</v>
      </c>
      <c r="Q8" s="323">
        <f t="shared" si="7"/>
        <v>0.576463699028257</v>
      </c>
      <c r="R8" s="324">
        <v>1</v>
      </c>
      <c r="S8" s="274">
        <f t="shared" si="8"/>
        <v>51.8759682755529</v>
      </c>
      <c r="T8" s="326">
        <f t="shared" si="9"/>
        <v>51.8759682755529</v>
      </c>
    </row>
    <row r="9" ht="14.3" customHeight="1" spans="1:20">
      <c r="A9" s="231" t="s">
        <v>69</v>
      </c>
      <c r="B9" s="231">
        <v>89.99</v>
      </c>
      <c r="C9" s="168">
        <v>0.05</v>
      </c>
      <c r="D9" s="168">
        <v>0</v>
      </c>
      <c r="E9" s="274">
        <f t="shared" si="0"/>
        <v>85.4905</v>
      </c>
      <c r="F9" s="274">
        <v>10.51</v>
      </c>
      <c r="G9" s="274">
        <f t="shared" si="1"/>
        <v>6.83924</v>
      </c>
      <c r="H9" s="274">
        <f t="shared" si="2"/>
        <v>68.14126</v>
      </c>
      <c r="I9" s="274">
        <v>0.5</v>
      </c>
      <c r="J9" s="274">
        <v>0</v>
      </c>
      <c r="K9" s="274">
        <f t="shared" si="3"/>
        <v>11.4285714285714</v>
      </c>
      <c r="L9" s="274">
        <v>3</v>
      </c>
      <c r="M9" s="274">
        <f t="shared" si="4"/>
        <v>29.0432864285714</v>
      </c>
      <c r="N9" s="323">
        <v>0.044</v>
      </c>
      <c r="O9" s="274">
        <f t="shared" si="5"/>
        <v>1.33672029587567</v>
      </c>
      <c r="P9" s="274">
        <f t="shared" si="6"/>
        <v>51.8759682755529</v>
      </c>
      <c r="Q9" s="323">
        <f t="shared" si="7"/>
        <v>0.576463699028257</v>
      </c>
      <c r="R9" s="324">
        <v>1</v>
      </c>
      <c r="S9" s="274">
        <f t="shared" si="8"/>
        <v>51.8759682755529</v>
      </c>
      <c r="T9" s="326">
        <f t="shared" si="9"/>
        <v>51.8759682755529</v>
      </c>
    </row>
    <row r="10" ht="14.3" customHeight="1" spans="1:20">
      <c r="A10" s="231" t="s">
        <v>70</v>
      </c>
      <c r="B10" s="231">
        <v>79.99</v>
      </c>
      <c r="C10" s="168">
        <v>0</v>
      </c>
      <c r="D10" s="168">
        <v>0</v>
      </c>
      <c r="E10" s="274">
        <f t="shared" si="0"/>
        <v>79.99</v>
      </c>
      <c r="F10" s="274">
        <v>10.51</v>
      </c>
      <c r="G10" s="274">
        <f t="shared" ref="G10:G11" si="10">SUM(E10*15%)</f>
        <v>11.9985</v>
      </c>
      <c r="H10" s="274">
        <f t="shared" si="2"/>
        <v>57.4815</v>
      </c>
      <c r="I10" s="274">
        <v>0.5</v>
      </c>
      <c r="J10" s="274">
        <v>0</v>
      </c>
      <c r="K10" s="274">
        <f t="shared" si="3"/>
        <v>11.4285714285714</v>
      </c>
      <c r="L10" s="274">
        <v>3</v>
      </c>
      <c r="M10" s="274">
        <f t="shared" ref="M10:M11" si="11">SUM(20%*15%*E10+F10+I10+K10+L10+1.46)</f>
        <v>29.2982714285714</v>
      </c>
      <c r="N10" s="323">
        <v>0.044</v>
      </c>
      <c r="O10" s="274">
        <f t="shared" si="5"/>
        <v>1.34845600717274</v>
      </c>
      <c r="P10" s="274">
        <f t="shared" si="6"/>
        <v>41.2044725642558</v>
      </c>
      <c r="Q10" s="323">
        <f t="shared" si="7"/>
        <v>0.515120297090334</v>
      </c>
      <c r="R10" s="324">
        <v>1</v>
      </c>
      <c r="S10" s="274">
        <f t="shared" si="8"/>
        <v>41.2044725642558</v>
      </c>
      <c r="T10" s="326">
        <f t="shared" si="9"/>
        <v>41.2044725642558</v>
      </c>
    </row>
    <row r="11" ht="14.3" customHeight="1" spans="1:20">
      <c r="A11" s="231" t="s">
        <v>71</v>
      </c>
      <c r="B11" s="231">
        <v>99.99</v>
      </c>
      <c r="C11" s="168">
        <v>0.2</v>
      </c>
      <c r="D11" s="168">
        <v>0</v>
      </c>
      <c r="E11" s="274">
        <f t="shared" si="0"/>
        <v>79.992</v>
      </c>
      <c r="F11" s="274">
        <v>10.51</v>
      </c>
      <c r="G11" s="274">
        <f t="shared" si="10"/>
        <v>11.9988</v>
      </c>
      <c r="H11" s="274">
        <f t="shared" si="2"/>
        <v>57.4832</v>
      </c>
      <c r="I11" s="274">
        <v>0.5</v>
      </c>
      <c r="J11" s="274">
        <v>0.6</v>
      </c>
      <c r="K11" s="274">
        <f t="shared" si="3"/>
        <v>11.4285714285714</v>
      </c>
      <c r="L11" s="274">
        <v>3</v>
      </c>
      <c r="M11" s="274">
        <f t="shared" si="11"/>
        <v>29.2983314285714</v>
      </c>
      <c r="N11" s="323">
        <v>0.044</v>
      </c>
      <c r="O11" s="274">
        <f t="shared" si="5"/>
        <v>1.34845876867902</v>
      </c>
      <c r="P11" s="274">
        <f t="shared" si="6"/>
        <v>40.6061698027495</v>
      </c>
      <c r="Q11" s="323">
        <f t="shared" si="7"/>
        <v>0.406102308258321</v>
      </c>
      <c r="R11" s="324">
        <v>1</v>
      </c>
      <c r="S11" s="274">
        <f t="shared" si="8"/>
        <v>40.6061698027495</v>
      </c>
      <c r="T11" s="326">
        <f t="shared" si="9"/>
        <v>40.6061698027495</v>
      </c>
    </row>
    <row r="12" ht="14.3" customHeight="1" spans="1:20">
      <c r="A12" s="346" t="s">
        <v>72</v>
      </c>
      <c r="B12" s="231">
        <v>85.99</v>
      </c>
      <c r="C12" s="168">
        <v>0.2</v>
      </c>
      <c r="D12" s="168">
        <v>0</v>
      </c>
      <c r="E12" s="274">
        <f t="shared" si="0"/>
        <v>68.792</v>
      </c>
      <c r="F12" s="274">
        <v>10.51</v>
      </c>
      <c r="G12" s="274">
        <f>SUM(E12*8%)</f>
        <v>5.50336</v>
      </c>
      <c r="H12" s="274">
        <f t="shared" si="2"/>
        <v>52.77864</v>
      </c>
      <c r="I12" s="274">
        <v>0.5</v>
      </c>
      <c r="J12" s="274">
        <v>0.6</v>
      </c>
      <c r="K12" s="274">
        <f t="shared" si="3"/>
        <v>11.4285714285714</v>
      </c>
      <c r="L12" s="274">
        <v>3</v>
      </c>
      <c r="M12" s="274">
        <f>SUM(20%*15%*E12+F12+I12+K12+L12+1.04)</f>
        <v>28.5423314285714</v>
      </c>
      <c r="N12" s="323">
        <v>0.044</v>
      </c>
      <c r="O12" s="274">
        <f t="shared" si="5"/>
        <v>1.31366378959952</v>
      </c>
      <c r="P12" s="274">
        <f t="shared" si="6"/>
        <v>35.936404781829</v>
      </c>
      <c r="Q12" s="323">
        <f t="shared" si="7"/>
        <v>0.417913766505745</v>
      </c>
      <c r="R12" s="324">
        <v>1</v>
      </c>
      <c r="S12" s="274">
        <f t="shared" si="8"/>
        <v>35.936404781829</v>
      </c>
      <c r="T12" s="326">
        <f t="shared" si="9"/>
        <v>35.936404781829</v>
      </c>
    </row>
    <row r="13" ht="14.3" customHeight="1" spans="1:20">
      <c r="A13" s="301" t="s">
        <v>73</v>
      </c>
      <c r="B13" s="347" t="s">
        <v>74</v>
      </c>
      <c r="C13" s="221"/>
      <c r="D13" s="221"/>
      <c r="E13" s="221"/>
      <c r="F13" s="221"/>
      <c r="G13" s="221"/>
      <c r="H13" s="221"/>
      <c r="I13" s="221"/>
      <c r="J13" s="221"/>
      <c r="K13" s="221"/>
      <c r="L13" s="221"/>
      <c r="M13" s="221"/>
      <c r="N13" s="221"/>
      <c r="O13" s="221"/>
      <c r="P13" s="221"/>
      <c r="Q13" s="221"/>
      <c r="R13" s="221"/>
      <c r="S13" s="221"/>
      <c r="T13" s="221"/>
    </row>
    <row r="14" ht="14.3" customHeight="1" spans="1:20">
      <c r="A14" s="221"/>
      <c r="B14" s="221"/>
      <c r="C14" s="221"/>
      <c r="D14" s="221"/>
      <c r="E14" s="221"/>
      <c r="F14" s="221"/>
      <c r="G14" s="221"/>
      <c r="H14" s="221"/>
      <c r="I14" s="221"/>
      <c r="J14" s="221"/>
      <c r="K14" s="221"/>
      <c r="L14" s="221"/>
      <c r="M14" s="221"/>
      <c r="N14" s="221"/>
      <c r="O14" s="221"/>
      <c r="P14" s="221"/>
      <c r="Q14" s="221"/>
      <c r="R14" s="221"/>
      <c r="S14" s="221"/>
      <c r="T14" s="221"/>
    </row>
    <row r="15" ht="37.4" customHeight="1" spans="1:20">
      <c r="A15" s="309" t="s">
        <v>49</v>
      </c>
      <c r="B15" s="348" t="s">
        <v>75</v>
      </c>
      <c r="C15" s="348" t="s">
        <v>76</v>
      </c>
      <c r="D15" s="349" t="s">
        <v>77</v>
      </c>
      <c r="E15" s="349" t="s">
        <v>78</v>
      </c>
      <c r="F15" s="350" t="s">
        <v>79</v>
      </c>
      <c r="G15" s="351" t="s">
        <v>80</v>
      </c>
      <c r="H15" s="350" t="s">
        <v>81</v>
      </c>
      <c r="I15" s="352" t="s">
        <v>82</v>
      </c>
      <c r="J15" s="348" t="s">
        <v>83</v>
      </c>
      <c r="K15" s="348" t="s">
        <v>84</v>
      </c>
      <c r="L15" s="348" t="s">
        <v>85</v>
      </c>
      <c r="M15" s="351" t="s">
        <v>86</v>
      </c>
      <c r="N15" s="350" t="s">
        <v>65</v>
      </c>
      <c r="O15" s="350" t="s">
        <v>87</v>
      </c>
      <c r="P15" s="353" t="s">
        <v>88</v>
      </c>
      <c r="Q15" s="4" t="s">
        <v>89</v>
      </c>
      <c r="R15" s="4"/>
      <c r="S15" s="221"/>
      <c r="T15" s="221"/>
    </row>
    <row r="16" ht="14.3" customHeight="1" spans="1:20">
      <c r="A16" s="354" t="s">
        <v>23</v>
      </c>
      <c r="B16" s="355" t="s">
        <v>90</v>
      </c>
      <c r="C16" s="274">
        <f t="shared" ref="C16:C18" si="12">80/7</f>
        <v>11.4285714285714</v>
      </c>
      <c r="D16" s="356">
        <v>2</v>
      </c>
      <c r="E16" s="274">
        <v>10.51</v>
      </c>
      <c r="F16" s="357">
        <f t="shared" ref="F16:F18" si="13">L16*8%</f>
        <v>4.4472</v>
      </c>
      <c r="G16" s="357">
        <f t="shared" ref="G16:G18" si="14">L16*2%</f>
        <v>1.1118</v>
      </c>
      <c r="H16" s="357">
        <f t="shared" ref="H16:H18" si="15">L16*2.5%</f>
        <v>1.38975</v>
      </c>
      <c r="I16" s="358">
        <f t="shared" ref="I16:I18" si="16">SUM(C16:H16)</f>
        <v>30.8873214285714</v>
      </c>
      <c r="J16" s="231">
        <v>79.99</v>
      </c>
      <c r="K16" s="168">
        <v>0.3</v>
      </c>
      <c r="L16" s="274">
        <v>55.59</v>
      </c>
      <c r="M16" s="357">
        <f t="shared" ref="M16:M18" si="17">L16-I16</f>
        <v>24.7026785714286</v>
      </c>
      <c r="N16" s="359">
        <f t="shared" ref="N16:N18" si="18">M16/L16</f>
        <v>0.444372703209724</v>
      </c>
      <c r="O16" s="357">
        <f t="shared" ref="O16:O18" si="19">M16*P16</f>
        <v>175.389017857143</v>
      </c>
      <c r="P16" s="360">
        <v>7.1</v>
      </c>
      <c r="Q16" s="221"/>
      <c r="R16" s="221"/>
      <c r="S16" s="221"/>
      <c r="T16" s="221"/>
    </row>
    <row r="17" ht="14.3" customHeight="1" spans="1:20">
      <c r="A17" s="354" t="s">
        <v>25</v>
      </c>
      <c r="B17" s="355" t="s">
        <v>91</v>
      </c>
      <c r="C17" s="274">
        <f t="shared" si="12"/>
        <v>11.4285714285714</v>
      </c>
      <c r="D17" s="356">
        <v>2</v>
      </c>
      <c r="E17" s="274">
        <v>10.51</v>
      </c>
      <c r="F17" s="357">
        <f t="shared" si="13"/>
        <v>5.5032</v>
      </c>
      <c r="G17" s="357">
        <f t="shared" si="14"/>
        <v>1.3758</v>
      </c>
      <c r="H17" s="357">
        <f t="shared" si="15"/>
        <v>1.71975</v>
      </c>
      <c r="I17" s="358">
        <f t="shared" si="16"/>
        <v>32.5373214285714</v>
      </c>
      <c r="J17" s="231">
        <v>85.99</v>
      </c>
      <c r="K17" s="168">
        <v>0.2</v>
      </c>
      <c r="L17" s="274">
        <v>68.79</v>
      </c>
      <c r="M17" s="357">
        <f t="shared" si="17"/>
        <v>36.2526785714286</v>
      </c>
      <c r="N17" s="359">
        <f t="shared" si="18"/>
        <v>0.527005067181692</v>
      </c>
      <c r="O17" s="357">
        <f t="shared" si="19"/>
        <v>257.394017857143</v>
      </c>
      <c r="P17" s="360">
        <v>7.1</v>
      </c>
      <c r="Q17" s="221"/>
      <c r="R17" s="221"/>
      <c r="S17" s="221"/>
      <c r="T17" s="221"/>
    </row>
    <row r="18" ht="14.3" customHeight="1" spans="1:20">
      <c r="A18" s="354" t="s">
        <v>27</v>
      </c>
      <c r="B18" s="355" t="s">
        <v>92</v>
      </c>
      <c r="C18" s="274">
        <f t="shared" si="12"/>
        <v>11.4285714285714</v>
      </c>
      <c r="D18" s="18">
        <v>2</v>
      </c>
      <c r="E18" s="274">
        <v>10.51</v>
      </c>
      <c r="F18" s="357">
        <f t="shared" si="13"/>
        <v>6.4792</v>
      </c>
      <c r="G18" s="357">
        <f t="shared" si="14"/>
        <v>1.6198</v>
      </c>
      <c r="H18" s="357">
        <f t="shared" si="15"/>
        <v>2.02475</v>
      </c>
      <c r="I18" s="358">
        <f t="shared" si="16"/>
        <v>34.0623214285714</v>
      </c>
      <c r="J18" s="231">
        <v>89.99</v>
      </c>
      <c r="K18" s="168">
        <v>0.1</v>
      </c>
      <c r="L18" s="274">
        <v>80.99</v>
      </c>
      <c r="M18" s="357">
        <f t="shared" si="17"/>
        <v>46.9276785714286</v>
      </c>
      <c r="N18" s="359">
        <f t="shared" si="18"/>
        <v>0.579425590460903</v>
      </c>
      <c r="O18" s="357">
        <f t="shared" si="19"/>
        <v>333.186517857143</v>
      </c>
      <c r="P18" s="360">
        <v>7.1</v>
      </c>
      <c r="Q18" s="221"/>
      <c r="R18" s="221"/>
      <c r="S18" s="221"/>
      <c r="T18" s="221"/>
    </row>
    <row r="19" ht="14.3" customHeight="1" spans="1:20">
      <c r="A19" s="231"/>
      <c r="B19" s="18"/>
      <c r="C19" s="18"/>
      <c r="D19" s="18"/>
      <c r="E19" s="18"/>
      <c r="F19" s="357"/>
      <c r="G19" s="357"/>
      <c r="H19" s="357"/>
      <c r="I19" s="358"/>
      <c r="J19" s="18"/>
      <c r="K19" s="18"/>
      <c r="L19" s="18"/>
      <c r="M19" s="356"/>
      <c r="N19" s="359"/>
      <c r="O19" s="357"/>
      <c r="P19" s="360"/>
      <c r="Q19" s="221"/>
      <c r="R19" s="221"/>
      <c r="S19" s="221"/>
      <c r="T19" s="221"/>
    </row>
    <row r="20" ht="14.3" customHeight="1" spans="1:20">
      <c r="A20" s="231" t="s">
        <v>70</v>
      </c>
      <c r="B20" s="18" t="s">
        <v>93</v>
      </c>
      <c r="C20" s="18">
        <v>11.43</v>
      </c>
      <c r="D20" s="18">
        <v>2</v>
      </c>
      <c r="E20" s="18">
        <v>10.51</v>
      </c>
      <c r="F20" s="357">
        <f t="shared" ref="F20:F22" si="20">L20*8%</f>
        <v>6.3992</v>
      </c>
      <c r="G20" s="357">
        <f t="shared" ref="G20:G22" si="21">L20*2%</f>
        <v>1.5998</v>
      </c>
      <c r="H20" s="357">
        <f t="shared" ref="H20:H22" si="22">L20*2.5%</f>
        <v>1.99975</v>
      </c>
      <c r="I20" s="358">
        <f t="shared" ref="I20:I22" si="23">SUM(C20:H20)</f>
        <v>33.93875</v>
      </c>
      <c r="J20" s="18">
        <v>77.99</v>
      </c>
      <c r="K20" s="18">
        <f t="shared" ref="K20:K22" si="24">J20/L20</f>
        <v>0.974996874609326</v>
      </c>
      <c r="L20" s="18">
        <v>79.99</v>
      </c>
      <c r="M20" s="356">
        <f t="shared" ref="M20:M22" si="25">L20-I20</f>
        <v>46.05125</v>
      </c>
      <c r="N20" s="359">
        <f t="shared" ref="N20:N22" si="26">M20/L20</f>
        <v>0.575712589073634</v>
      </c>
      <c r="O20" s="357">
        <f t="shared" ref="O20:O22" si="27">M20*P20</f>
        <v>326.963875</v>
      </c>
      <c r="P20" s="360">
        <v>7.1</v>
      </c>
      <c r="Q20" s="221"/>
      <c r="R20" s="221"/>
      <c r="S20" s="221"/>
      <c r="T20" s="221"/>
    </row>
    <row r="21" spans="1:20">
      <c r="A21" s="231" t="s">
        <v>71</v>
      </c>
      <c r="B21" s="18" t="s">
        <v>94</v>
      </c>
      <c r="C21" s="18">
        <v>11.43</v>
      </c>
      <c r="D21" s="18">
        <v>2</v>
      </c>
      <c r="E21" s="18">
        <v>10.51</v>
      </c>
      <c r="F21" s="357">
        <f t="shared" si="20"/>
        <v>7.1992</v>
      </c>
      <c r="G21" s="357">
        <f t="shared" si="21"/>
        <v>1.7998</v>
      </c>
      <c r="H21" s="357">
        <f t="shared" si="22"/>
        <v>2.24975</v>
      </c>
      <c r="I21" s="358">
        <f t="shared" si="23"/>
        <v>35.18875</v>
      </c>
      <c r="J21" s="18">
        <v>79.99</v>
      </c>
      <c r="K21" s="18">
        <f t="shared" si="24"/>
        <v>0.888876541837982</v>
      </c>
      <c r="L21" s="18">
        <v>89.99</v>
      </c>
      <c r="M21" s="356">
        <f t="shared" si="25"/>
        <v>54.80125</v>
      </c>
      <c r="N21" s="359">
        <f t="shared" si="26"/>
        <v>0.608970441160129</v>
      </c>
      <c r="O21" s="357">
        <f t="shared" si="27"/>
        <v>389.088875</v>
      </c>
      <c r="P21" s="360">
        <v>7.1</v>
      </c>
      <c r="Q21" s="221"/>
      <c r="R21" s="221"/>
      <c r="S21" s="4"/>
    </row>
    <row r="22" spans="1:20">
      <c r="A22" s="346" t="s">
        <v>72</v>
      </c>
      <c r="B22" s="18" t="s">
        <v>94</v>
      </c>
      <c r="C22" s="18">
        <v>11.43</v>
      </c>
      <c r="D22" s="18">
        <v>2</v>
      </c>
      <c r="E22" s="18">
        <v>10.51</v>
      </c>
      <c r="F22" s="357">
        <f t="shared" si="20"/>
        <v>6.3992</v>
      </c>
      <c r="G22" s="357">
        <f t="shared" si="21"/>
        <v>1.5998</v>
      </c>
      <c r="H22" s="357">
        <f t="shared" si="22"/>
        <v>1.99975</v>
      </c>
      <c r="I22" s="358">
        <f t="shared" si="23"/>
        <v>33.93875</v>
      </c>
      <c r="J22" s="18">
        <v>77.99</v>
      </c>
      <c r="K22" s="18">
        <f t="shared" si="24"/>
        <v>0.974996874609326</v>
      </c>
      <c r="L22" s="18">
        <v>79.99</v>
      </c>
      <c r="M22" s="356">
        <f t="shared" si="25"/>
        <v>46.05125</v>
      </c>
      <c r="N22" s="359">
        <f t="shared" si="26"/>
        <v>0.575712589073634</v>
      </c>
      <c r="O22" s="357">
        <f t="shared" si="27"/>
        <v>326.963875</v>
      </c>
      <c r="P22" s="360">
        <v>7.1</v>
      </c>
      <c r="Q22" s="221"/>
      <c r="R22" s="221"/>
      <c r="S22" s="4"/>
    </row>
    <row r="23" spans="1:20">
      <c r="A23" s="18"/>
      <c r="B23" s="18"/>
      <c r="C23" s="18"/>
      <c r="D23" s="18"/>
      <c r="E23" s="18"/>
      <c r="F23" s="357"/>
      <c r="G23" s="357"/>
      <c r="H23" s="357"/>
      <c r="I23" s="358"/>
      <c r="J23" s="18"/>
      <c r="K23" s="18"/>
      <c r="L23" s="18"/>
      <c r="M23" s="356"/>
      <c r="N23" s="359"/>
      <c r="O23" s="357"/>
      <c r="P23" s="360"/>
      <c r="Q23" s="221"/>
      <c r="R23" s="221"/>
      <c r="S23" s="4"/>
    </row>
    <row r="24" spans="1:20">
      <c r="A24" s="18"/>
      <c r="B24" s="18"/>
      <c r="C24" s="18"/>
      <c r="D24" s="18"/>
      <c r="E24" s="18"/>
      <c r="F24" s="357"/>
      <c r="G24" s="357"/>
      <c r="H24" s="357"/>
      <c r="I24" s="358"/>
      <c r="J24" s="18"/>
      <c r="K24" s="18"/>
      <c r="L24" s="18"/>
      <c r="M24" s="356"/>
      <c r="N24" s="359"/>
      <c r="O24" s="357"/>
      <c r="P24" s="360"/>
      <c r="Q24" s="221"/>
      <c r="R24" s="221"/>
      <c r="S24" s="4"/>
    </row>
    <row r="25" spans="1:20">
      <c r="A25" s="18"/>
      <c r="B25" s="18"/>
      <c r="C25" s="18"/>
      <c r="D25" s="18"/>
      <c r="E25" s="18"/>
      <c r="F25" s="357"/>
      <c r="G25" s="357"/>
      <c r="H25" s="357"/>
      <c r="I25" s="358"/>
      <c r="J25" s="18"/>
      <c r="K25" s="18"/>
      <c r="L25" s="18"/>
      <c r="M25" s="356"/>
      <c r="N25" s="359"/>
      <c r="O25" s="357"/>
      <c r="P25" s="360"/>
      <c r="Q25" s="221"/>
      <c r="R25" s="221"/>
      <c r="S25" s="4"/>
    </row>
    <row r="26" spans="1:20">
      <c r="A26" s="18"/>
      <c r="B26" s="18"/>
      <c r="C26" s="18"/>
      <c r="D26" s="18"/>
      <c r="E26" s="18"/>
      <c r="F26" s="357"/>
      <c r="G26" s="357"/>
      <c r="H26" s="357"/>
      <c r="I26" s="358"/>
      <c r="J26" s="18"/>
      <c r="K26" s="18"/>
      <c r="L26" s="18"/>
      <c r="M26" s="356"/>
      <c r="N26" s="359"/>
      <c r="O26" s="357"/>
      <c r="P26" s="360"/>
      <c r="Q26" s="221"/>
      <c r="R26" s="221"/>
      <c r="S26" s="4"/>
    </row>
    <row r="27" spans="1:20">
      <c r="A27" s="18"/>
      <c r="B27" s="18"/>
      <c r="C27" s="18"/>
      <c r="D27" s="18"/>
      <c r="E27" s="18"/>
      <c r="F27" s="357"/>
      <c r="G27" s="357"/>
      <c r="H27" s="357"/>
      <c r="I27" s="358"/>
      <c r="J27" s="18"/>
      <c r="K27" s="18"/>
      <c r="L27" s="18"/>
      <c r="M27" s="356"/>
      <c r="N27" s="359"/>
      <c r="O27" s="357"/>
      <c r="P27" s="360"/>
      <c r="Q27" s="221"/>
      <c r="R27" s="221"/>
      <c r="S27" s="4"/>
    </row>
    <row r="28" spans="1:20">
      <c r="A28" s="18"/>
      <c r="B28" s="18"/>
      <c r="C28" s="18"/>
      <c r="D28" s="18"/>
      <c r="E28" s="18"/>
      <c r="F28" s="357"/>
      <c r="G28" s="357"/>
      <c r="H28" s="357"/>
      <c r="I28" s="358"/>
      <c r="J28" s="18"/>
      <c r="K28" s="18"/>
      <c r="L28" s="18"/>
      <c r="M28" s="356"/>
      <c r="N28" s="359"/>
      <c r="O28" s="357"/>
      <c r="P28" s="360"/>
      <c r="Q28" s="221"/>
      <c r="R28" s="221"/>
      <c r="S28" s="4"/>
    </row>
    <row r="29" spans="1:20">
      <c r="A29" s="18"/>
      <c r="B29" s="18"/>
      <c r="C29" s="18"/>
      <c r="D29" s="18"/>
      <c r="E29" s="18"/>
      <c r="F29" s="357"/>
      <c r="G29" s="357"/>
      <c r="H29" s="357"/>
      <c r="I29" s="358"/>
      <c r="J29" s="18"/>
      <c r="K29" s="18"/>
      <c r="L29" s="18"/>
      <c r="M29" s="356"/>
      <c r="N29" s="359"/>
      <c r="O29" s="357"/>
      <c r="P29" s="360"/>
      <c r="Q29" s="221"/>
      <c r="R29" s="221"/>
      <c r="S29" s="4"/>
    </row>
    <row r="30" spans="1:20">
      <c r="A30" s="18"/>
      <c r="B30" s="18"/>
      <c r="C30" s="18"/>
      <c r="D30" s="18"/>
      <c r="E30" s="18"/>
      <c r="F30" s="357"/>
      <c r="G30" s="357"/>
      <c r="H30" s="357"/>
      <c r="I30" s="358"/>
      <c r="J30" s="18"/>
      <c r="K30" s="18"/>
      <c r="L30" s="18"/>
      <c r="M30" s="356"/>
      <c r="N30" s="359"/>
      <c r="O30" s="357"/>
      <c r="P30" s="360"/>
      <c r="Q30" s="221"/>
      <c r="R30" s="221"/>
      <c r="S30" s="4"/>
    </row>
    <row r="31" spans="1:20">
      <c r="A31" s="18"/>
      <c r="B31" s="18"/>
      <c r="C31" s="18"/>
      <c r="D31" s="18"/>
      <c r="E31" s="18"/>
      <c r="F31" s="357"/>
      <c r="G31" s="357"/>
      <c r="H31" s="357"/>
      <c r="I31" s="358"/>
      <c r="J31" s="18"/>
      <c r="K31" s="18"/>
      <c r="L31" s="18"/>
      <c r="M31" s="356"/>
      <c r="N31" s="359"/>
      <c r="O31" s="357"/>
      <c r="P31" s="360"/>
      <c r="Q31" s="221"/>
      <c r="R31" s="221"/>
      <c r="S31" s="4"/>
    </row>
    <row r="32" spans="1:20">
      <c r="A32" s="18"/>
      <c r="B32" s="18"/>
      <c r="C32" s="18"/>
      <c r="D32" s="18"/>
      <c r="E32" s="18"/>
      <c r="F32" s="357"/>
      <c r="G32" s="357"/>
      <c r="H32" s="357"/>
      <c r="I32" s="358"/>
      <c r="J32" s="18"/>
      <c r="K32" s="18"/>
      <c r="L32" s="18"/>
      <c r="M32" s="356"/>
      <c r="N32" s="359"/>
      <c r="O32" s="357"/>
      <c r="P32" s="360"/>
      <c r="Q32" s="221"/>
      <c r="R32" s="221"/>
      <c r="S32" s="4"/>
    </row>
    <row r="33" spans="1:19">
      <c r="A33" s="18"/>
      <c r="B33" s="18"/>
      <c r="C33" s="18"/>
      <c r="D33" s="18"/>
      <c r="E33" s="18"/>
      <c r="F33" s="357"/>
      <c r="G33" s="357"/>
      <c r="H33" s="357"/>
      <c r="I33" s="358"/>
      <c r="J33" s="18"/>
      <c r="K33" s="18"/>
      <c r="L33" s="18"/>
      <c r="M33" s="356"/>
      <c r="N33" s="359"/>
      <c r="O33" s="357"/>
      <c r="P33" s="360"/>
      <c r="Q33" s="221"/>
      <c r="R33" s="221"/>
      <c r="S33" s="4"/>
    </row>
    <row r="34" spans="1:19">
      <c r="A34" s="18"/>
      <c r="B34" s="18"/>
      <c r="C34" s="18"/>
      <c r="D34" s="18"/>
      <c r="E34" s="18"/>
      <c r="F34" s="357"/>
      <c r="G34" s="357"/>
      <c r="H34" s="357"/>
      <c r="I34" s="358"/>
      <c r="J34" s="18"/>
      <c r="K34" s="18"/>
      <c r="L34" s="18"/>
      <c r="M34" s="356"/>
      <c r="N34" s="359"/>
      <c r="O34" s="357"/>
      <c r="P34" s="360"/>
      <c r="Q34" s="221"/>
      <c r="R34" s="221"/>
      <c r="S34" s="4"/>
    </row>
    <row r="35" spans="1:19">
      <c r="A35" s="18"/>
      <c r="B35" s="18"/>
      <c r="C35" s="18"/>
      <c r="D35" s="18"/>
      <c r="E35" s="18"/>
      <c r="F35" s="357"/>
      <c r="G35" s="357"/>
      <c r="H35" s="357"/>
      <c r="I35" s="358"/>
      <c r="J35" s="18"/>
      <c r="K35" s="18"/>
      <c r="L35" s="18"/>
      <c r="M35" s="356"/>
      <c r="N35" s="359"/>
      <c r="O35" s="357"/>
      <c r="P35" s="360"/>
      <c r="Q35" s="221"/>
      <c r="R35" s="221"/>
      <c r="S35" s="4"/>
    </row>
    <row r="36" spans="1:19">
      <c r="A36" s="18"/>
      <c r="B36" s="18"/>
      <c r="C36" s="18"/>
      <c r="D36" s="18"/>
      <c r="E36" s="18"/>
      <c r="F36" s="357"/>
      <c r="G36" s="357"/>
      <c r="H36" s="357"/>
      <c r="I36" s="358"/>
      <c r="J36" s="18"/>
      <c r="K36" s="18"/>
      <c r="L36" s="18"/>
      <c r="M36" s="356"/>
      <c r="N36" s="359"/>
      <c r="O36" s="357"/>
      <c r="P36" s="360"/>
      <c r="Q36" s="221"/>
      <c r="R36" s="221"/>
      <c r="S36" s="4"/>
    </row>
    <row r="37" spans="1:19">
      <c r="A37" s="18"/>
      <c r="B37" s="18"/>
      <c r="C37" s="18"/>
      <c r="D37" s="18"/>
      <c r="E37" s="18"/>
      <c r="F37" s="357"/>
      <c r="G37" s="357"/>
      <c r="H37" s="357"/>
      <c r="I37" s="358"/>
      <c r="J37" s="18"/>
      <c r="K37" s="18"/>
      <c r="L37" s="18"/>
      <c r="M37" s="356"/>
      <c r="N37" s="359"/>
      <c r="O37" s="357"/>
      <c r="P37" s="360"/>
      <c r="Q37" s="221"/>
      <c r="R37" s="221"/>
      <c r="S37" s="4"/>
    </row>
    <row r="38" spans="1:19">
      <c r="A38" s="18"/>
      <c r="B38" s="18"/>
      <c r="C38" s="18"/>
      <c r="D38" s="18"/>
      <c r="E38" s="18"/>
      <c r="F38" s="357"/>
      <c r="G38" s="357"/>
      <c r="H38" s="357"/>
      <c r="I38" s="358"/>
      <c r="J38" s="18"/>
      <c r="K38" s="18"/>
      <c r="L38" s="18"/>
      <c r="M38" s="356"/>
      <c r="N38" s="359"/>
      <c r="O38" s="357"/>
      <c r="P38" s="360"/>
      <c r="Q38" s="221"/>
      <c r="R38" s="221"/>
      <c r="S38" s="4"/>
    </row>
    <row r="39" spans="1:19">
      <c r="A39" s="18"/>
      <c r="B39" s="18"/>
      <c r="C39" s="18"/>
      <c r="D39" s="18"/>
      <c r="E39" s="18"/>
      <c r="F39" s="357"/>
      <c r="G39" s="357"/>
      <c r="H39" s="357"/>
      <c r="I39" s="358"/>
      <c r="J39" s="18"/>
      <c r="K39" s="18"/>
      <c r="L39" s="18"/>
      <c r="M39" s="356"/>
      <c r="N39" s="359"/>
      <c r="O39" s="357"/>
      <c r="P39" s="360"/>
      <c r="Q39" s="221"/>
      <c r="R39" s="221"/>
      <c r="S39" s="4"/>
    </row>
    <row r="40" spans="1:19">
      <c r="A40" s="18"/>
      <c r="B40" s="18"/>
      <c r="C40" s="18"/>
      <c r="D40" s="18"/>
      <c r="E40" s="18"/>
      <c r="F40" s="357"/>
      <c r="G40" s="357"/>
      <c r="H40" s="357"/>
      <c r="I40" s="358"/>
      <c r="J40" s="18"/>
      <c r="K40" s="18"/>
      <c r="L40" s="18"/>
      <c r="M40" s="356"/>
      <c r="N40" s="359"/>
      <c r="O40" s="357"/>
      <c r="P40" s="360"/>
      <c r="Q40" s="221"/>
      <c r="R40" s="221"/>
      <c r="S40" s="4"/>
    </row>
    <row r="41" spans="1:19">
      <c r="A41" s="18"/>
      <c r="B41" s="18"/>
      <c r="C41" s="18"/>
      <c r="D41" s="18"/>
      <c r="E41" s="18"/>
      <c r="F41" s="357"/>
      <c r="G41" s="357"/>
      <c r="H41" s="357"/>
      <c r="I41" s="358"/>
      <c r="J41" s="18"/>
      <c r="K41" s="18"/>
      <c r="L41" s="18"/>
      <c r="M41" s="356"/>
      <c r="N41" s="359"/>
      <c r="O41" s="357"/>
      <c r="P41" s="360"/>
      <c r="Q41" s="221"/>
      <c r="R41" s="221"/>
      <c r="S41" s="4"/>
    </row>
    <row r="42" spans="1:19">
      <c r="A42" s="18"/>
      <c r="B42" s="18"/>
      <c r="C42" s="18"/>
      <c r="D42" s="18"/>
      <c r="E42" s="18"/>
      <c r="F42" s="357"/>
      <c r="G42" s="357"/>
      <c r="H42" s="357"/>
      <c r="I42" s="358"/>
      <c r="J42" s="18"/>
      <c r="K42" s="18"/>
      <c r="L42" s="18"/>
      <c r="M42" s="356"/>
      <c r="N42" s="359"/>
      <c r="O42" s="357"/>
      <c r="P42" s="360"/>
      <c r="Q42" s="221"/>
      <c r="R42" s="221"/>
      <c r="S42" s="4"/>
    </row>
  </sheetData>
  <mergeCells count="2">
    <mergeCell ref="B1:T1"/>
    <mergeCell ref="B13:T13"/>
  </mergeCells>
  <hyperlinks>
    <hyperlink ref="B13" r:id="rId1" display="https://www.amazon.com/gp/bestsellers/pet-supplies/3024205011"/>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252"/>
  <sheetViews>
    <sheetView workbookViewId="0">
      <pane xSplit="2" ySplit="2" topLeftCell="C3" activePane="bottomRight" state="frozen"/>
      <selection/>
      <selection pane="topRight"/>
      <selection pane="bottomLeft"/>
      <selection pane="bottomRight" activeCell="A1" sqref="A1:Y1"/>
    </sheetView>
  </sheetViews>
  <sheetFormatPr defaultColWidth="9" defaultRowHeight="15.75"/>
  <cols>
    <col min="1" max="1" width="7.38333333333333" customWidth="1"/>
    <col min="2" max="2" width="7.71666666666667" customWidth="1"/>
    <col min="3" max="3" width="6.36666666666667" customWidth="1"/>
    <col min="4" max="4" width="5.8" customWidth="1"/>
    <col min="5" max="5" width="5.125" customWidth="1"/>
    <col min="6" max="6" width="6.93333333333333" customWidth="1"/>
    <col min="7" max="7" width="7.15833333333333" customWidth="1"/>
    <col min="8" max="8" width="5.8" customWidth="1"/>
    <col min="9" max="9" width="6.025" customWidth="1"/>
    <col min="10" max="10" width="5.8" customWidth="1"/>
    <col min="11" max="11" width="6.93333333333333" customWidth="1"/>
    <col min="12" max="12" width="9.63333333333333" customWidth="1"/>
    <col min="13" max="13" width="13.4666666666667" customWidth="1"/>
    <col min="14" max="14" width="8.95833333333333" customWidth="1"/>
    <col min="15" max="15" width="6.475" customWidth="1"/>
    <col min="16" max="16" width="6.93333333333333" customWidth="1"/>
    <col min="17" max="17" width="6.025" customWidth="1"/>
    <col min="18" max="18" width="6.93333333333333" customWidth="1"/>
    <col min="19" max="19" width="8.05833333333333" customWidth="1"/>
    <col min="20" max="20" width="12.5666666666667" customWidth="1"/>
    <col min="21" max="21" width="12.45" customWidth="1"/>
    <col min="22" max="22" width="13.9166666666667" customWidth="1"/>
    <col min="23" max="23" width="20.5666666666667" customWidth="1"/>
    <col min="24" max="24" width="15.6083333333333" customWidth="1"/>
    <col min="25" max="25" width="12.675" customWidth="1"/>
  </cols>
  <sheetData>
    <row r="1" ht="26.8" customHeight="1" spans="1:25">
      <c r="A1" s="331" t="s">
        <v>95</v>
      </c>
      <c r="B1" s="332"/>
      <c r="C1" s="332"/>
      <c r="D1" s="332"/>
      <c r="E1" s="332"/>
      <c r="F1" s="333"/>
      <c r="G1" s="332"/>
      <c r="H1" s="332"/>
      <c r="I1" s="332"/>
      <c r="J1" s="332"/>
      <c r="K1" s="332"/>
      <c r="L1" s="332"/>
      <c r="M1" s="332"/>
      <c r="N1" s="332"/>
      <c r="O1" s="332"/>
      <c r="P1" s="332"/>
      <c r="Q1" s="332"/>
      <c r="R1" s="332"/>
      <c r="S1" s="332"/>
      <c r="T1" s="332"/>
      <c r="U1" s="332"/>
      <c r="V1" s="332"/>
      <c r="W1" s="332"/>
      <c r="X1" s="332"/>
      <c r="Y1" s="334"/>
    </row>
    <row r="2" ht="50" customHeight="1" spans="1:25">
      <c r="A2" s="289" t="s">
        <v>49</v>
      </c>
      <c r="B2" s="290" t="s">
        <v>96</v>
      </c>
      <c r="C2" s="290" t="s">
        <v>50</v>
      </c>
      <c r="D2" s="290" t="s">
        <v>97</v>
      </c>
      <c r="E2" s="291" t="s">
        <v>52</v>
      </c>
      <c r="F2" s="292" t="s">
        <v>53</v>
      </c>
      <c r="G2" s="293" t="s">
        <v>7</v>
      </c>
      <c r="H2" s="293" t="s">
        <v>8</v>
      </c>
      <c r="I2" s="293" t="s">
        <v>9</v>
      </c>
      <c r="J2" s="293" t="s">
        <v>10</v>
      </c>
      <c r="K2" s="335" t="s">
        <v>98</v>
      </c>
      <c r="L2" s="294" t="s">
        <v>99</v>
      </c>
      <c r="M2" s="336" t="s">
        <v>100</v>
      </c>
      <c r="N2" s="294" t="s">
        <v>101</v>
      </c>
      <c r="O2" s="293" t="s">
        <v>102</v>
      </c>
      <c r="P2" s="295" t="s">
        <v>103</v>
      </c>
      <c r="Q2" s="295" t="s">
        <v>104</v>
      </c>
      <c r="R2" s="295" t="s">
        <v>105</v>
      </c>
      <c r="S2" s="296" t="s">
        <v>106</v>
      </c>
      <c r="T2" s="293" t="s">
        <v>20</v>
      </c>
      <c r="U2" s="293" t="s">
        <v>21</v>
      </c>
      <c r="V2" s="297" t="s">
        <v>89</v>
      </c>
      <c r="W2" s="298" t="s">
        <v>107</v>
      </c>
      <c r="X2" s="152" t="s">
        <v>108</v>
      </c>
      <c r="Y2" s="297" t="s">
        <v>109</v>
      </c>
    </row>
    <row r="3" ht="22.6" customHeight="1" spans="1:25">
      <c r="A3" s="231" t="s">
        <v>23</v>
      </c>
      <c r="B3" s="272" t="s">
        <v>110</v>
      </c>
      <c r="C3" s="231">
        <v>89.99</v>
      </c>
      <c r="D3" s="273">
        <v>0.3</v>
      </c>
      <c r="E3" s="168">
        <v>0</v>
      </c>
      <c r="F3" s="167">
        <f t="shared" ref="F3:F26" si="0">SUM(C3*(1-D3-E3))</f>
        <v>62.993</v>
      </c>
      <c r="G3" s="231">
        <f t="shared" ref="G3:G26" si="1">J3*R3</f>
        <v>0</v>
      </c>
      <c r="H3" s="231">
        <f t="shared" ref="H3:H26" si="2">J3*Q3</f>
        <v>21</v>
      </c>
      <c r="I3" s="231">
        <v>21</v>
      </c>
      <c r="J3" s="231">
        <v>7</v>
      </c>
      <c r="K3" s="167">
        <f>CPC表格!V4</f>
        <v>23.875</v>
      </c>
      <c r="L3" s="167">
        <f t="shared" ref="L3:L26" si="3">SUM(H3*-K3)</f>
        <v>-501.375</v>
      </c>
      <c r="M3" s="167">
        <f>毛利盈亏!T3</f>
        <v>15.1809043933054</v>
      </c>
      <c r="N3" s="167">
        <f t="shared" ref="N3:N26" si="4">SUM(L3:M3)</f>
        <v>-486.194095606695</v>
      </c>
      <c r="O3" s="231">
        <v>20</v>
      </c>
      <c r="P3" s="166">
        <v>3</v>
      </c>
      <c r="Q3" s="166">
        <v>3</v>
      </c>
      <c r="R3" s="166">
        <f t="shared" ref="R3:R11" si="5">SUM(P3-Q3)</f>
        <v>0</v>
      </c>
      <c r="S3" s="277">
        <f t="shared" ref="S3:S26" si="6">SUM(L3/J3)</f>
        <v>-71.625</v>
      </c>
      <c r="T3" s="231">
        <v>150</v>
      </c>
      <c r="U3" s="231" t="s">
        <v>111</v>
      </c>
      <c r="V3" s="231" t="s">
        <v>112</v>
      </c>
      <c r="W3" s="231">
        <v>3000</v>
      </c>
      <c r="X3" s="167">
        <f t="shared" ref="X3:X10" si="7">SUM(N3:N10)+W3</f>
        <v>-2124.32530962343</v>
      </c>
      <c r="Y3" s="231">
        <f t="shared" ref="Y3:Y26" si="8">X3*7</f>
        <v>-14870.277167364</v>
      </c>
    </row>
    <row r="4" ht="22.6" customHeight="1" spans="1:25">
      <c r="A4" s="231"/>
      <c r="B4" s="272" t="s">
        <v>113</v>
      </c>
      <c r="C4" s="231">
        <v>89.99</v>
      </c>
      <c r="D4" s="273">
        <v>0.3</v>
      </c>
      <c r="E4" s="168">
        <v>0</v>
      </c>
      <c r="F4" s="167">
        <f t="shared" si="0"/>
        <v>62.993</v>
      </c>
      <c r="G4" s="231">
        <f t="shared" si="1"/>
        <v>14</v>
      </c>
      <c r="H4" s="231">
        <f t="shared" si="2"/>
        <v>35</v>
      </c>
      <c r="I4" s="231">
        <f t="shared" ref="I4:I26" si="9">SUM(G4:H4)</f>
        <v>49</v>
      </c>
      <c r="J4" s="231">
        <v>7</v>
      </c>
      <c r="K4" s="167">
        <f>CPC表格!V5</f>
        <v>23.875</v>
      </c>
      <c r="L4" s="167">
        <f t="shared" si="3"/>
        <v>-835.625</v>
      </c>
      <c r="M4" s="167">
        <f>毛利盈亏!T4</f>
        <v>35.4221102510459</v>
      </c>
      <c r="N4" s="167">
        <f t="shared" si="4"/>
        <v>-800.202889748954</v>
      </c>
      <c r="O4" s="231">
        <v>25</v>
      </c>
      <c r="P4" s="166">
        <v>7</v>
      </c>
      <c r="Q4" s="166">
        <v>5</v>
      </c>
      <c r="R4" s="166">
        <f t="shared" si="5"/>
        <v>2</v>
      </c>
      <c r="S4" s="277">
        <f t="shared" si="6"/>
        <v>-119.375</v>
      </c>
      <c r="T4" s="231">
        <v>120</v>
      </c>
      <c r="U4" s="231" t="s">
        <v>111</v>
      </c>
      <c r="V4" s="231" t="s">
        <v>112</v>
      </c>
      <c r="W4" s="231">
        <v>0</v>
      </c>
      <c r="X4" s="167">
        <f t="shared" si="7"/>
        <v>-3501.05665618317</v>
      </c>
      <c r="Y4" s="231">
        <f t="shared" si="8"/>
        <v>-24507.3965932822</v>
      </c>
    </row>
    <row r="5" ht="22.6" customHeight="1" spans="1:25">
      <c r="A5" s="231"/>
      <c r="B5" s="272" t="s">
        <v>114</v>
      </c>
      <c r="C5" s="231">
        <v>89.99</v>
      </c>
      <c r="D5" s="273">
        <v>0.3</v>
      </c>
      <c r="E5" s="168">
        <v>0</v>
      </c>
      <c r="F5" s="167">
        <f t="shared" si="0"/>
        <v>62.993</v>
      </c>
      <c r="G5" s="231">
        <f t="shared" si="1"/>
        <v>28</v>
      </c>
      <c r="H5" s="231">
        <f t="shared" si="2"/>
        <v>42</v>
      </c>
      <c r="I5" s="231">
        <f t="shared" si="9"/>
        <v>70</v>
      </c>
      <c r="J5" s="231">
        <v>7</v>
      </c>
      <c r="K5" s="167">
        <f>CPC表格!V6</f>
        <v>23.875</v>
      </c>
      <c r="L5" s="167">
        <f t="shared" si="3"/>
        <v>-1002.75</v>
      </c>
      <c r="M5" s="167">
        <f>毛利盈亏!T5</f>
        <v>50.6030146443512</v>
      </c>
      <c r="N5" s="167">
        <f t="shared" si="4"/>
        <v>-952.146985355649</v>
      </c>
      <c r="O5" s="231">
        <v>30</v>
      </c>
      <c r="P5" s="166">
        <v>10</v>
      </c>
      <c r="Q5" s="166">
        <v>6</v>
      </c>
      <c r="R5" s="166">
        <f t="shared" si="5"/>
        <v>4</v>
      </c>
      <c r="S5" s="277">
        <f t="shared" si="6"/>
        <v>-143.25</v>
      </c>
      <c r="T5" s="231">
        <v>100</v>
      </c>
      <c r="U5" s="231" t="s">
        <v>115</v>
      </c>
      <c r="V5" s="231"/>
      <c r="W5" s="231">
        <v>0</v>
      </c>
      <c r="X5" s="167">
        <f t="shared" si="7"/>
        <v>-378.162194816367</v>
      </c>
      <c r="Y5" s="231">
        <f t="shared" si="8"/>
        <v>-2647.13536371457</v>
      </c>
    </row>
    <row r="6" ht="22.6" customHeight="1" spans="1:25">
      <c r="A6" s="231"/>
      <c r="B6" s="272" t="s">
        <v>116</v>
      </c>
      <c r="C6" s="231">
        <v>89.99</v>
      </c>
      <c r="D6" s="273">
        <v>0.3</v>
      </c>
      <c r="E6" s="168">
        <v>0</v>
      </c>
      <c r="F6" s="167">
        <f t="shared" si="0"/>
        <v>62.993</v>
      </c>
      <c r="G6" s="231">
        <f t="shared" si="1"/>
        <v>35</v>
      </c>
      <c r="H6" s="231">
        <f t="shared" si="2"/>
        <v>49</v>
      </c>
      <c r="I6" s="231">
        <f t="shared" si="9"/>
        <v>84</v>
      </c>
      <c r="J6" s="231">
        <v>7</v>
      </c>
      <c r="K6" s="167">
        <f>CPC表格!V7</f>
        <v>23.875</v>
      </c>
      <c r="L6" s="167">
        <f t="shared" si="3"/>
        <v>-1169.875</v>
      </c>
      <c r="M6" s="167">
        <f>毛利盈亏!T6</f>
        <v>60.7236175732215</v>
      </c>
      <c r="N6" s="167">
        <f t="shared" si="4"/>
        <v>-1109.15138242678</v>
      </c>
      <c r="O6" s="231">
        <v>35</v>
      </c>
      <c r="P6" s="166">
        <v>12</v>
      </c>
      <c r="Q6" s="166">
        <v>7</v>
      </c>
      <c r="R6" s="166">
        <f t="shared" si="5"/>
        <v>5</v>
      </c>
      <c r="S6" s="277">
        <f t="shared" si="6"/>
        <v>-167.125</v>
      </c>
      <c r="T6" s="231">
        <v>50</v>
      </c>
      <c r="U6" s="231" t="s">
        <v>115</v>
      </c>
      <c r="V6" s="231"/>
      <c r="W6" s="231">
        <v>0</v>
      </c>
      <c r="X6" s="167">
        <f t="shared" si="7"/>
        <v>2051.12210086006</v>
      </c>
      <c r="Y6" s="231">
        <f t="shared" si="8"/>
        <v>14357.8547060204</v>
      </c>
    </row>
    <row r="7" ht="22.6" customHeight="1" spans="1:25">
      <c r="A7" s="231" t="s">
        <v>25</v>
      </c>
      <c r="B7" s="272" t="s">
        <v>117</v>
      </c>
      <c r="C7" s="231">
        <v>85.99</v>
      </c>
      <c r="D7" s="273">
        <v>0.2</v>
      </c>
      <c r="E7" s="168">
        <v>0</v>
      </c>
      <c r="F7" s="167">
        <f t="shared" si="0"/>
        <v>68.792</v>
      </c>
      <c r="G7" s="231">
        <f t="shared" si="1"/>
        <v>42</v>
      </c>
      <c r="H7" s="231">
        <f t="shared" si="2"/>
        <v>63</v>
      </c>
      <c r="I7" s="231">
        <f t="shared" si="9"/>
        <v>105</v>
      </c>
      <c r="J7" s="231">
        <v>7</v>
      </c>
      <c r="K7" s="167">
        <f>CPC表格!V8</f>
        <v>22</v>
      </c>
      <c r="L7" s="167">
        <f t="shared" si="3"/>
        <v>-1386</v>
      </c>
      <c r="M7" s="167">
        <f>毛利盈亏!T7</f>
        <v>943.903255230126</v>
      </c>
      <c r="N7" s="167">
        <f t="shared" si="4"/>
        <v>-442.096744769874</v>
      </c>
      <c r="O7" s="231">
        <v>40</v>
      </c>
      <c r="P7" s="166">
        <v>15</v>
      </c>
      <c r="Q7" s="166">
        <v>9</v>
      </c>
      <c r="R7" s="166">
        <f t="shared" si="5"/>
        <v>6</v>
      </c>
      <c r="S7" s="277">
        <f t="shared" si="6"/>
        <v>-198</v>
      </c>
      <c r="T7" s="231">
        <v>40</v>
      </c>
      <c r="U7" s="231" t="s">
        <v>118</v>
      </c>
      <c r="V7" s="231"/>
      <c r="W7" s="231">
        <v>0</v>
      </c>
      <c r="X7" s="167">
        <f t="shared" si="7"/>
        <v>7272.54939818688</v>
      </c>
      <c r="Y7" s="231">
        <f t="shared" si="8"/>
        <v>50907.8457873082</v>
      </c>
    </row>
    <row r="8" ht="22.6" customHeight="1" spans="1:25">
      <c r="A8" s="231"/>
      <c r="B8" s="272" t="s">
        <v>119</v>
      </c>
      <c r="C8" s="231">
        <v>85.99</v>
      </c>
      <c r="D8" s="273">
        <v>0.2</v>
      </c>
      <c r="E8" s="168">
        <v>0</v>
      </c>
      <c r="F8" s="167">
        <f t="shared" si="0"/>
        <v>68.792</v>
      </c>
      <c r="G8" s="231">
        <f t="shared" si="1"/>
        <v>56</v>
      </c>
      <c r="H8" s="231">
        <f t="shared" si="2"/>
        <v>70</v>
      </c>
      <c r="I8" s="231">
        <f t="shared" si="9"/>
        <v>126</v>
      </c>
      <c r="J8" s="231">
        <v>7</v>
      </c>
      <c r="K8" s="167">
        <f>CPC表格!V9</f>
        <v>22</v>
      </c>
      <c r="L8" s="167">
        <f t="shared" si="3"/>
        <v>-1540</v>
      </c>
      <c r="M8" s="167">
        <f>毛利盈亏!T8</f>
        <v>1132.68390627615</v>
      </c>
      <c r="N8" s="167">
        <f t="shared" si="4"/>
        <v>-407.316093723849</v>
      </c>
      <c r="O8" s="231">
        <v>50</v>
      </c>
      <c r="P8" s="166">
        <v>18</v>
      </c>
      <c r="Q8" s="166">
        <v>10</v>
      </c>
      <c r="R8" s="166">
        <f t="shared" si="5"/>
        <v>8</v>
      </c>
      <c r="S8" s="277">
        <f t="shared" si="6"/>
        <v>-220</v>
      </c>
      <c r="T8" s="231">
        <v>30</v>
      </c>
      <c r="U8" s="231" t="s">
        <v>118</v>
      </c>
      <c r="V8" s="231"/>
      <c r="W8" s="231">
        <v>0</v>
      </c>
      <c r="X8" s="167">
        <f t="shared" si="7"/>
        <v>9788.67888231191</v>
      </c>
      <c r="Y8" s="231">
        <f t="shared" si="8"/>
        <v>68520.7521761834</v>
      </c>
    </row>
    <row r="9" ht="22.6" customHeight="1" spans="1:25">
      <c r="A9" s="231"/>
      <c r="B9" s="272" t="s">
        <v>120</v>
      </c>
      <c r="C9" s="231">
        <v>85.99</v>
      </c>
      <c r="D9" s="273">
        <v>0.2</v>
      </c>
      <c r="E9" s="168">
        <v>0</v>
      </c>
      <c r="F9" s="167">
        <f t="shared" si="0"/>
        <v>68.792</v>
      </c>
      <c r="G9" s="231">
        <f t="shared" si="1"/>
        <v>56</v>
      </c>
      <c r="H9" s="231">
        <f t="shared" si="2"/>
        <v>84</v>
      </c>
      <c r="I9" s="231">
        <f t="shared" si="9"/>
        <v>140</v>
      </c>
      <c r="J9" s="231">
        <v>7</v>
      </c>
      <c r="K9" s="167">
        <f>CPC表格!V10</f>
        <v>22</v>
      </c>
      <c r="L9" s="167">
        <f t="shared" si="3"/>
        <v>-1848</v>
      </c>
      <c r="M9" s="167">
        <f>毛利盈亏!T9</f>
        <v>1258.53767364017</v>
      </c>
      <c r="N9" s="167">
        <f t="shared" si="4"/>
        <v>-589.462326359832</v>
      </c>
      <c r="O9" s="231">
        <v>60</v>
      </c>
      <c r="P9" s="166">
        <v>20</v>
      </c>
      <c r="Q9" s="166">
        <v>12</v>
      </c>
      <c r="R9" s="166">
        <f t="shared" si="5"/>
        <v>8</v>
      </c>
      <c r="S9" s="277">
        <f t="shared" si="6"/>
        <v>-264</v>
      </c>
      <c r="T9" s="231">
        <v>20</v>
      </c>
      <c r="U9" s="231" t="s">
        <v>121</v>
      </c>
      <c r="V9" s="231"/>
      <c r="W9" s="231">
        <v>0</v>
      </c>
      <c r="X9" s="167">
        <f t="shared" si="7"/>
        <v>12566.3406313397</v>
      </c>
      <c r="Y9" s="231">
        <f t="shared" si="8"/>
        <v>87964.384419378</v>
      </c>
    </row>
    <row r="10" ht="22.6" customHeight="1" spans="1:25">
      <c r="A10" s="231"/>
      <c r="B10" s="272" t="s">
        <v>122</v>
      </c>
      <c r="C10" s="231">
        <v>85.99</v>
      </c>
      <c r="D10" s="273">
        <v>0.2</v>
      </c>
      <c r="E10" s="168">
        <v>0</v>
      </c>
      <c r="F10" s="167">
        <f t="shared" si="0"/>
        <v>68.792</v>
      </c>
      <c r="G10" s="231">
        <f t="shared" si="1"/>
        <v>84</v>
      </c>
      <c r="H10" s="231">
        <f t="shared" si="2"/>
        <v>84</v>
      </c>
      <c r="I10" s="231">
        <f t="shared" si="9"/>
        <v>168</v>
      </c>
      <c r="J10" s="231">
        <v>7</v>
      </c>
      <c r="K10" s="167">
        <f>CPC表格!V11</f>
        <v>22</v>
      </c>
      <c r="L10" s="167">
        <f t="shared" si="3"/>
        <v>-1848</v>
      </c>
      <c r="M10" s="167">
        <f>毛利盈亏!T10</f>
        <v>1510.2452083682</v>
      </c>
      <c r="N10" s="167">
        <f t="shared" si="4"/>
        <v>-337.754791631798</v>
      </c>
      <c r="O10" s="231">
        <v>70</v>
      </c>
      <c r="P10" s="166">
        <v>24</v>
      </c>
      <c r="Q10" s="166">
        <v>12</v>
      </c>
      <c r="R10" s="166">
        <f t="shared" si="5"/>
        <v>12</v>
      </c>
      <c r="S10" s="277">
        <f t="shared" si="6"/>
        <v>-264</v>
      </c>
      <c r="T10" s="231">
        <v>10</v>
      </c>
      <c r="U10" s="231" t="s">
        <v>121</v>
      </c>
      <c r="V10" s="231"/>
      <c r="W10" s="231">
        <v>0</v>
      </c>
      <c r="X10" s="167">
        <f t="shared" si="7"/>
        <v>15822.4615289523</v>
      </c>
      <c r="Y10" s="231">
        <f t="shared" si="8"/>
        <v>110757.230702666</v>
      </c>
    </row>
    <row r="11" ht="22.6" customHeight="1" spans="1:25">
      <c r="A11" s="231" t="s">
        <v>27</v>
      </c>
      <c r="B11" s="272" t="s">
        <v>123</v>
      </c>
      <c r="C11" s="231">
        <v>85.99</v>
      </c>
      <c r="D11" s="273">
        <v>0.1</v>
      </c>
      <c r="E11" s="168">
        <v>0</v>
      </c>
      <c r="F11" s="167">
        <f t="shared" si="0"/>
        <v>77.391</v>
      </c>
      <c r="G11" s="231">
        <f t="shared" si="1"/>
        <v>84</v>
      </c>
      <c r="H11" s="231">
        <f t="shared" si="2"/>
        <v>98</v>
      </c>
      <c r="I11" s="231">
        <f t="shared" si="9"/>
        <v>182</v>
      </c>
      <c r="J11" s="231">
        <v>7</v>
      </c>
      <c r="K11" s="167">
        <f>CPC表格!V12</f>
        <v>20.4444444444444</v>
      </c>
      <c r="L11" s="167">
        <f t="shared" si="3"/>
        <v>-2003.55555555556</v>
      </c>
      <c r="M11" s="167">
        <f>毛利盈亏!T11</f>
        <v>3140.63011338912</v>
      </c>
      <c r="N11" s="167">
        <f t="shared" si="4"/>
        <v>1137.07455783356</v>
      </c>
      <c r="O11" s="231">
        <v>80</v>
      </c>
      <c r="P11" s="166">
        <v>26</v>
      </c>
      <c r="Q11" s="166">
        <v>14</v>
      </c>
      <c r="R11" s="166">
        <f t="shared" si="5"/>
        <v>12</v>
      </c>
      <c r="S11" s="277">
        <f t="shared" si="6"/>
        <v>-286.222222222222</v>
      </c>
      <c r="T11" s="231">
        <v>10</v>
      </c>
      <c r="U11" s="231" t="s">
        <v>124</v>
      </c>
      <c r="V11" s="231"/>
      <c r="W11" s="231">
        <v>0</v>
      </c>
      <c r="X11" s="167">
        <f t="shared" ref="X11:X26" si="10">SUM(N11:N34)+W11</f>
        <v>53300.8884796783</v>
      </c>
      <c r="Y11" s="231">
        <f t="shared" si="8"/>
        <v>373106.219357748</v>
      </c>
    </row>
    <row r="12" ht="22.6" customHeight="1" spans="1:25">
      <c r="A12" s="231"/>
      <c r="B12" s="272" t="s">
        <v>125</v>
      </c>
      <c r="C12" s="231">
        <v>85.99</v>
      </c>
      <c r="D12" s="273">
        <v>0.1</v>
      </c>
      <c r="E12" s="168">
        <v>0</v>
      </c>
      <c r="F12" s="167">
        <f t="shared" si="0"/>
        <v>77.391</v>
      </c>
      <c r="G12" s="231">
        <f t="shared" si="1"/>
        <v>154</v>
      </c>
      <c r="H12" s="231">
        <f t="shared" si="2"/>
        <v>105</v>
      </c>
      <c r="I12" s="231">
        <f t="shared" si="9"/>
        <v>259</v>
      </c>
      <c r="J12" s="231">
        <v>7</v>
      </c>
      <c r="K12" s="167">
        <f>CPC表格!V13</f>
        <v>20.4444444444444</v>
      </c>
      <c r="L12" s="167">
        <f t="shared" si="3"/>
        <v>-2146.66666666667</v>
      </c>
      <c r="M12" s="167">
        <f>毛利盈亏!T12</f>
        <v>4469.35823828452</v>
      </c>
      <c r="N12" s="167">
        <f t="shared" si="4"/>
        <v>2322.69157161785</v>
      </c>
      <c r="O12" s="231">
        <v>90</v>
      </c>
      <c r="P12" s="166">
        <v>28</v>
      </c>
      <c r="Q12" s="166">
        <v>15</v>
      </c>
      <c r="R12" s="166">
        <v>22</v>
      </c>
      <c r="S12" s="277">
        <f t="shared" si="6"/>
        <v>-306.666666666667</v>
      </c>
      <c r="T12" s="231">
        <v>5</v>
      </c>
      <c r="U12" s="231" t="s">
        <v>124</v>
      </c>
      <c r="V12" s="231"/>
      <c r="W12" s="231">
        <v>0</v>
      </c>
      <c r="X12" s="167">
        <f t="shared" si="10"/>
        <v>51574.3515954849</v>
      </c>
      <c r="Y12" s="231">
        <f t="shared" si="8"/>
        <v>361020.461168395</v>
      </c>
    </row>
    <row r="13" ht="22.6" customHeight="1" spans="1:25">
      <c r="A13" s="231"/>
      <c r="B13" s="272" t="s">
        <v>126</v>
      </c>
      <c r="C13" s="231">
        <v>85.99</v>
      </c>
      <c r="D13" s="273">
        <v>0.1</v>
      </c>
      <c r="E13" s="168">
        <v>0</v>
      </c>
      <c r="F13" s="167">
        <f t="shared" si="0"/>
        <v>77.391</v>
      </c>
      <c r="G13" s="231">
        <f t="shared" si="1"/>
        <v>105</v>
      </c>
      <c r="H13" s="231">
        <f t="shared" si="2"/>
        <v>105</v>
      </c>
      <c r="I13" s="231">
        <f t="shared" si="9"/>
        <v>210</v>
      </c>
      <c r="J13" s="231">
        <v>7</v>
      </c>
      <c r="K13" s="167">
        <f>CPC表格!V14</f>
        <v>20.4444444444444</v>
      </c>
      <c r="L13" s="167">
        <f t="shared" si="3"/>
        <v>-2146.66666666667</v>
      </c>
      <c r="M13" s="167">
        <f>毛利盈亏!T13</f>
        <v>3623.80397698745</v>
      </c>
      <c r="N13" s="167">
        <f t="shared" si="4"/>
        <v>1477.13731032078</v>
      </c>
      <c r="O13" s="231">
        <v>100</v>
      </c>
      <c r="P13" s="166">
        <v>30</v>
      </c>
      <c r="Q13" s="166">
        <v>15</v>
      </c>
      <c r="R13" s="166">
        <f>P13-Q13</f>
        <v>15</v>
      </c>
      <c r="S13" s="277">
        <f t="shared" si="6"/>
        <v>-306.666666666667</v>
      </c>
      <c r="T13" s="231">
        <v>5</v>
      </c>
      <c r="U13" s="231" t="s">
        <v>127</v>
      </c>
      <c r="V13" s="231"/>
      <c r="W13" s="231">
        <v>0</v>
      </c>
      <c r="X13" s="167">
        <f t="shared" si="10"/>
        <v>48913.9052322353</v>
      </c>
      <c r="Y13" s="231">
        <f t="shared" si="8"/>
        <v>342397.336625647</v>
      </c>
    </row>
    <row r="14" ht="22.6" customHeight="1" spans="1:25">
      <c r="A14" s="231"/>
      <c r="B14" s="272" t="s">
        <v>128</v>
      </c>
      <c r="C14" s="231">
        <v>85.99</v>
      </c>
      <c r="D14" s="273">
        <v>0.1</v>
      </c>
      <c r="E14" s="168">
        <v>0</v>
      </c>
      <c r="F14" s="167">
        <f t="shared" si="0"/>
        <v>77.391</v>
      </c>
      <c r="G14" s="231">
        <f t="shared" si="1"/>
        <v>259</v>
      </c>
      <c r="H14" s="231">
        <f t="shared" si="2"/>
        <v>112</v>
      </c>
      <c r="I14" s="231">
        <f t="shared" si="9"/>
        <v>371</v>
      </c>
      <c r="J14" s="231">
        <v>7</v>
      </c>
      <c r="K14" s="167">
        <f>CPC表格!V15</f>
        <v>20.4444444444444</v>
      </c>
      <c r="L14" s="167">
        <f t="shared" si="3"/>
        <v>-2289.77777777778</v>
      </c>
      <c r="M14" s="167">
        <f>毛利盈亏!T14</f>
        <v>6402.05369267782</v>
      </c>
      <c r="N14" s="167">
        <f t="shared" si="4"/>
        <v>4112.27591490004</v>
      </c>
      <c r="O14" s="231">
        <v>110</v>
      </c>
      <c r="P14" s="166">
        <v>35</v>
      </c>
      <c r="Q14" s="166">
        <v>16</v>
      </c>
      <c r="R14" s="166">
        <v>37</v>
      </c>
      <c r="S14" s="277">
        <f t="shared" si="6"/>
        <v>-327.111111111111</v>
      </c>
      <c r="T14" s="231">
        <v>4</v>
      </c>
      <c r="U14" s="231" t="s">
        <v>127</v>
      </c>
      <c r="V14" s="231"/>
      <c r="W14" s="231">
        <v>0</v>
      </c>
      <c r="X14" s="167">
        <f t="shared" si="10"/>
        <v>48573.8424797481</v>
      </c>
      <c r="Y14" s="231">
        <f t="shared" si="8"/>
        <v>340016.897358237</v>
      </c>
    </row>
    <row r="15" ht="22.6" customHeight="1" spans="1:25">
      <c r="A15" s="231" t="s">
        <v>29</v>
      </c>
      <c r="B15" s="272" t="s">
        <v>129</v>
      </c>
      <c r="C15" s="231">
        <v>79.99</v>
      </c>
      <c r="D15" s="273">
        <v>0</v>
      </c>
      <c r="E15" s="168">
        <v>0</v>
      </c>
      <c r="F15" s="167">
        <f t="shared" si="0"/>
        <v>79.99</v>
      </c>
      <c r="G15" s="231">
        <f t="shared" si="1"/>
        <v>154</v>
      </c>
      <c r="H15" s="231">
        <f t="shared" si="2"/>
        <v>126</v>
      </c>
      <c r="I15" s="231">
        <f t="shared" si="9"/>
        <v>280</v>
      </c>
      <c r="J15" s="231">
        <v>7</v>
      </c>
      <c r="K15" s="167">
        <f>CPC表格!V16</f>
        <v>21.1764705882353</v>
      </c>
      <c r="L15" s="167">
        <f t="shared" si="3"/>
        <v>-2668.23529411765</v>
      </c>
      <c r="M15" s="167">
        <f>毛利盈亏!T15</f>
        <v>4742.2680334728</v>
      </c>
      <c r="N15" s="167">
        <f t="shared" si="4"/>
        <v>2074.03273935515</v>
      </c>
      <c r="O15" s="231">
        <v>120</v>
      </c>
      <c r="P15" s="166">
        <v>40</v>
      </c>
      <c r="Q15" s="166">
        <v>18</v>
      </c>
      <c r="R15" s="166">
        <f t="shared" ref="R15:R26" si="11">SUM(P15-Q15)</f>
        <v>22</v>
      </c>
      <c r="S15" s="277">
        <f t="shared" si="6"/>
        <v>-381.176470588235</v>
      </c>
      <c r="T15" s="231">
        <v>4</v>
      </c>
      <c r="U15" s="231" t="s">
        <v>130</v>
      </c>
      <c r="V15" s="231"/>
      <c r="W15" s="231">
        <v>0</v>
      </c>
      <c r="X15" s="167">
        <f t="shared" si="10"/>
        <v>46784.2581364659</v>
      </c>
      <c r="Y15" s="231">
        <f t="shared" si="8"/>
        <v>327489.806955261</v>
      </c>
    </row>
    <row r="16" ht="22.6" customHeight="1" spans="1:25">
      <c r="A16" s="231"/>
      <c r="B16" s="272" t="s">
        <v>131</v>
      </c>
      <c r="C16" s="231">
        <v>79.99</v>
      </c>
      <c r="D16" s="273">
        <v>0</v>
      </c>
      <c r="E16" s="168">
        <v>0</v>
      </c>
      <c r="F16" s="167">
        <f t="shared" si="0"/>
        <v>79.99</v>
      </c>
      <c r="G16" s="231">
        <f t="shared" si="1"/>
        <v>175</v>
      </c>
      <c r="H16" s="231">
        <f t="shared" si="2"/>
        <v>140</v>
      </c>
      <c r="I16" s="231">
        <f t="shared" si="9"/>
        <v>315</v>
      </c>
      <c r="J16" s="231">
        <v>7</v>
      </c>
      <c r="K16" s="167">
        <f>CPC表格!V17</f>
        <v>21.1764705882353</v>
      </c>
      <c r="L16" s="167">
        <f t="shared" si="3"/>
        <v>-2964.70588235294</v>
      </c>
      <c r="M16" s="167">
        <f>毛利盈亏!T16</f>
        <v>5335.0515376569</v>
      </c>
      <c r="N16" s="167">
        <f t="shared" si="4"/>
        <v>2370.34565530396</v>
      </c>
      <c r="O16" s="231">
        <v>130</v>
      </c>
      <c r="P16" s="166">
        <v>45</v>
      </c>
      <c r="Q16" s="166">
        <v>20</v>
      </c>
      <c r="R16" s="166">
        <f t="shared" si="11"/>
        <v>25</v>
      </c>
      <c r="S16" s="277">
        <f t="shared" si="6"/>
        <v>-423.529411764706</v>
      </c>
      <c r="T16" s="231">
        <v>3</v>
      </c>
      <c r="U16" s="231" t="s">
        <v>130</v>
      </c>
      <c r="V16" s="231"/>
      <c r="W16" s="231">
        <v>0</v>
      </c>
      <c r="X16" s="167">
        <f t="shared" si="10"/>
        <v>46187.3627074315</v>
      </c>
      <c r="Y16" s="231">
        <f t="shared" si="8"/>
        <v>323311.538952021</v>
      </c>
    </row>
    <row r="17" ht="22.6" customHeight="1" spans="1:25">
      <c r="A17" s="231"/>
      <c r="B17" s="272" t="s">
        <v>132</v>
      </c>
      <c r="C17" s="231">
        <v>79.99</v>
      </c>
      <c r="D17" s="273">
        <v>0</v>
      </c>
      <c r="E17" s="168">
        <v>0</v>
      </c>
      <c r="F17" s="167">
        <f t="shared" si="0"/>
        <v>79.99</v>
      </c>
      <c r="G17" s="231">
        <f t="shared" si="1"/>
        <v>196</v>
      </c>
      <c r="H17" s="231">
        <f t="shared" si="2"/>
        <v>154</v>
      </c>
      <c r="I17" s="231">
        <f t="shared" si="9"/>
        <v>350</v>
      </c>
      <c r="J17" s="231">
        <v>7</v>
      </c>
      <c r="K17" s="167">
        <f>CPC表格!V18</f>
        <v>21.1764705882353</v>
      </c>
      <c r="L17" s="167">
        <f t="shared" si="3"/>
        <v>-3261.17647058824</v>
      </c>
      <c r="M17" s="167">
        <f>毛利盈亏!T17</f>
        <v>5927.835041841</v>
      </c>
      <c r="N17" s="167">
        <f t="shared" si="4"/>
        <v>2666.65857125276</v>
      </c>
      <c r="O17" s="231">
        <v>140</v>
      </c>
      <c r="P17" s="166">
        <v>50</v>
      </c>
      <c r="Q17" s="166">
        <v>22</v>
      </c>
      <c r="R17" s="166">
        <f t="shared" si="11"/>
        <v>28</v>
      </c>
      <c r="S17" s="277">
        <f t="shared" si="6"/>
        <v>-465.882352941176</v>
      </c>
      <c r="T17" s="231">
        <v>3</v>
      </c>
      <c r="U17" s="231" t="s">
        <v>133</v>
      </c>
      <c r="V17" s="231"/>
      <c r="W17" s="231">
        <v>0</v>
      </c>
      <c r="X17" s="167">
        <f t="shared" si="10"/>
        <v>47929.2929670276</v>
      </c>
      <c r="Y17" s="231">
        <f t="shared" si="8"/>
        <v>335505.050769193</v>
      </c>
    </row>
    <row r="18" ht="22.6" customHeight="1" spans="1:25">
      <c r="A18" s="231"/>
      <c r="B18" s="272" t="s">
        <v>134</v>
      </c>
      <c r="C18" s="231">
        <v>79.99</v>
      </c>
      <c r="D18" s="273">
        <v>0</v>
      </c>
      <c r="E18" s="168">
        <v>0</v>
      </c>
      <c r="F18" s="167">
        <f t="shared" si="0"/>
        <v>79.99</v>
      </c>
      <c r="G18" s="231">
        <f t="shared" si="1"/>
        <v>315</v>
      </c>
      <c r="H18" s="231">
        <f t="shared" si="2"/>
        <v>175</v>
      </c>
      <c r="I18" s="231">
        <f t="shared" si="9"/>
        <v>490</v>
      </c>
      <c r="J18" s="231">
        <v>7</v>
      </c>
      <c r="K18" s="167">
        <f>CPC表格!V19</f>
        <v>21.1764705882353</v>
      </c>
      <c r="L18" s="167">
        <f t="shared" si="3"/>
        <v>-3705.88235294118</v>
      </c>
      <c r="M18" s="167">
        <f>毛利盈亏!T18</f>
        <v>8298.9690585774</v>
      </c>
      <c r="N18" s="167">
        <f t="shared" si="4"/>
        <v>4593.08670563622</v>
      </c>
      <c r="O18" s="231">
        <v>150</v>
      </c>
      <c r="P18" s="166">
        <v>70</v>
      </c>
      <c r="Q18" s="166">
        <v>25</v>
      </c>
      <c r="R18" s="166">
        <f t="shared" si="11"/>
        <v>45</v>
      </c>
      <c r="S18" s="277">
        <f t="shared" si="6"/>
        <v>-529.411764705882</v>
      </c>
      <c r="T18" s="231">
        <v>2</v>
      </c>
      <c r="U18" s="231" t="s">
        <v>133</v>
      </c>
      <c r="V18" s="231"/>
      <c r="W18" s="231">
        <v>0</v>
      </c>
      <c r="X18" s="167">
        <f t="shared" si="10"/>
        <v>47336.66713513</v>
      </c>
      <c r="Y18" s="231">
        <f t="shared" si="8"/>
        <v>331356.66994591</v>
      </c>
    </row>
    <row r="19" ht="22.6" customHeight="1" spans="1:25">
      <c r="A19" s="231" t="s">
        <v>31</v>
      </c>
      <c r="B19" s="272" t="s">
        <v>135</v>
      </c>
      <c r="C19" s="231">
        <v>79.99</v>
      </c>
      <c r="D19" s="273">
        <v>0</v>
      </c>
      <c r="E19" s="168">
        <v>0</v>
      </c>
      <c r="F19" s="167">
        <f t="shared" si="0"/>
        <v>79.99</v>
      </c>
      <c r="G19" s="231">
        <f t="shared" si="1"/>
        <v>315</v>
      </c>
      <c r="H19" s="231">
        <f t="shared" si="2"/>
        <v>175</v>
      </c>
      <c r="I19" s="231">
        <f t="shared" si="9"/>
        <v>490</v>
      </c>
      <c r="J19" s="231">
        <v>7</v>
      </c>
      <c r="K19" s="167">
        <f>CPC表格!V20</f>
        <v>21.1764705882353</v>
      </c>
      <c r="L19" s="167">
        <f t="shared" si="3"/>
        <v>-3705.88235294118</v>
      </c>
      <c r="M19" s="167">
        <f>毛利盈亏!T19</f>
        <v>8298.9690585774</v>
      </c>
      <c r="N19" s="167">
        <f t="shared" si="4"/>
        <v>4593.08670563622</v>
      </c>
      <c r="O19" s="231">
        <v>160</v>
      </c>
      <c r="P19" s="166">
        <v>70</v>
      </c>
      <c r="Q19" s="166">
        <v>25</v>
      </c>
      <c r="R19" s="166">
        <f t="shared" si="11"/>
        <v>45</v>
      </c>
      <c r="S19" s="277">
        <f t="shared" si="6"/>
        <v>-529.411764705882</v>
      </c>
      <c r="T19" s="231">
        <v>2</v>
      </c>
      <c r="U19" s="231" t="s">
        <v>133</v>
      </c>
      <c r="V19" s="231"/>
      <c r="W19" s="231">
        <v>0</v>
      </c>
      <c r="X19" s="167">
        <f t="shared" si="10"/>
        <v>45113.9260847977</v>
      </c>
      <c r="Y19" s="231">
        <f t="shared" si="8"/>
        <v>315797.482593584</v>
      </c>
    </row>
    <row r="20" ht="22.6" customHeight="1" spans="1:25">
      <c r="A20" s="231"/>
      <c r="B20" s="272" t="s">
        <v>136</v>
      </c>
      <c r="C20" s="231">
        <v>79.99</v>
      </c>
      <c r="D20" s="273">
        <v>0</v>
      </c>
      <c r="E20" s="168">
        <v>0</v>
      </c>
      <c r="F20" s="167">
        <f t="shared" si="0"/>
        <v>79.99</v>
      </c>
      <c r="G20" s="231">
        <f t="shared" si="1"/>
        <v>315</v>
      </c>
      <c r="H20" s="231">
        <f t="shared" si="2"/>
        <v>175</v>
      </c>
      <c r="I20" s="231">
        <f t="shared" si="9"/>
        <v>490</v>
      </c>
      <c r="J20" s="231">
        <v>7</v>
      </c>
      <c r="K20" s="167">
        <f>CPC表格!V21</f>
        <v>21.1764705882353</v>
      </c>
      <c r="L20" s="167">
        <f t="shared" si="3"/>
        <v>-3705.88235294118</v>
      </c>
      <c r="M20" s="167">
        <f>毛利盈亏!T20</f>
        <v>8298.9690585774</v>
      </c>
      <c r="N20" s="167">
        <f t="shared" si="4"/>
        <v>4593.08670563622</v>
      </c>
      <c r="O20" s="231">
        <v>170</v>
      </c>
      <c r="P20" s="166">
        <v>70</v>
      </c>
      <c r="Q20" s="166">
        <v>25</v>
      </c>
      <c r="R20" s="166">
        <f t="shared" si="11"/>
        <v>45</v>
      </c>
      <c r="S20" s="277">
        <f t="shared" si="6"/>
        <v>-529.411764705882</v>
      </c>
      <c r="T20" s="231">
        <v>2</v>
      </c>
      <c r="U20" s="231" t="s">
        <v>133</v>
      </c>
      <c r="V20" s="231"/>
      <c r="W20" s="231">
        <v>0</v>
      </c>
      <c r="X20" s="167">
        <f t="shared" si="10"/>
        <v>43187.4979504143</v>
      </c>
      <c r="Y20" s="231">
        <f t="shared" si="8"/>
        <v>302312.4856529</v>
      </c>
    </row>
    <row r="21" ht="22.6" customHeight="1" spans="1:25">
      <c r="A21" s="231"/>
      <c r="B21" s="272" t="s">
        <v>137</v>
      </c>
      <c r="C21" s="231">
        <v>79.99</v>
      </c>
      <c r="D21" s="273">
        <v>0</v>
      </c>
      <c r="E21" s="168">
        <v>0</v>
      </c>
      <c r="F21" s="167">
        <f t="shared" si="0"/>
        <v>79.99</v>
      </c>
      <c r="G21" s="231">
        <f t="shared" si="1"/>
        <v>315</v>
      </c>
      <c r="H21" s="231">
        <f t="shared" si="2"/>
        <v>175</v>
      </c>
      <c r="I21" s="231">
        <f t="shared" si="9"/>
        <v>490</v>
      </c>
      <c r="J21" s="231">
        <v>7</v>
      </c>
      <c r="K21" s="167">
        <f>CPC表格!V22</f>
        <v>21.1764705882353</v>
      </c>
      <c r="L21" s="167">
        <f t="shared" si="3"/>
        <v>-3705.88235294118</v>
      </c>
      <c r="M21" s="167">
        <f>毛利盈亏!T21</f>
        <v>8298.9690585774</v>
      </c>
      <c r="N21" s="167">
        <f t="shared" si="4"/>
        <v>4593.08670563622</v>
      </c>
      <c r="O21" s="231">
        <v>180</v>
      </c>
      <c r="P21" s="166">
        <v>70</v>
      </c>
      <c r="Q21" s="166">
        <v>25</v>
      </c>
      <c r="R21" s="166">
        <f t="shared" si="11"/>
        <v>45</v>
      </c>
      <c r="S21" s="277">
        <f t="shared" si="6"/>
        <v>-529.411764705882</v>
      </c>
      <c r="T21" s="231">
        <v>1</v>
      </c>
      <c r="U21" s="231" t="s">
        <v>133</v>
      </c>
      <c r="V21" s="231"/>
      <c r="W21" s="231">
        <v>0</v>
      </c>
      <c r="X21" s="167">
        <f t="shared" si="10"/>
        <v>43187.4979504143</v>
      </c>
      <c r="Y21" s="231">
        <f t="shared" si="8"/>
        <v>302312.4856529</v>
      </c>
    </row>
    <row r="22" ht="22.6" customHeight="1" spans="1:25">
      <c r="A22" s="231"/>
      <c r="B22" s="272" t="s">
        <v>138</v>
      </c>
      <c r="C22" s="231">
        <v>79.99</v>
      </c>
      <c r="D22" s="273">
        <v>0</v>
      </c>
      <c r="E22" s="168">
        <v>0</v>
      </c>
      <c r="F22" s="167">
        <f t="shared" si="0"/>
        <v>79.99</v>
      </c>
      <c r="G22" s="231">
        <f t="shared" si="1"/>
        <v>315</v>
      </c>
      <c r="H22" s="231">
        <f t="shared" si="2"/>
        <v>175</v>
      </c>
      <c r="I22" s="231">
        <f t="shared" si="9"/>
        <v>490</v>
      </c>
      <c r="J22" s="231">
        <v>7</v>
      </c>
      <c r="K22" s="167">
        <f>CPC表格!V23</f>
        <v>21.1764705882353</v>
      </c>
      <c r="L22" s="167">
        <f t="shared" si="3"/>
        <v>-3705.88235294118</v>
      </c>
      <c r="M22" s="167">
        <f>毛利盈亏!T22</f>
        <v>8298.9690585774</v>
      </c>
      <c r="N22" s="167">
        <f t="shared" si="4"/>
        <v>4593.08670563622</v>
      </c>
      <c r="O22" s="231">
        <v>190</v>
      </c>
      <c r="P22" s="166">
        <v>70</v>
      </c>
      <c r="Q22" s="166">
        <v>25</v>
      </c>
      <c r="R22" s="166">
        <f t="shared" si="11"/>
        <v>45</v>
      </c>
      <c r="S22" s="277">
        <f t="shared" si="6"/>
        <v>-529.411764705882</v>
      </c>
      <c r="T22" s="231">
        <v>1</v>
      </c>
      <c r="U22" s="231" t="s">
        <v>133</v>
      </c>
      <c r="V22" s="231"/>
      <c r="W22" s="231">
        <v>0</v>
      </c>
      <c r="X22" s="167">
        <f t="shared" si="10"/>
        <v>43187.4979504142</v>
      </c>
      <c r="Y22" s="231">
        <f t="shared" si="8"/>
        <v>302312.4856529</v>
      </c>
    </row>
    <row r="23" ht="22.6" customHeight="1" spans="1:25">
      <c r="A23" s="231" t="s">
        <v>33</v>
      </c>
      <c r="B23" s="272" t="s">
        <v>139</v>
      </c>
      <c r="C23" s="231">
        <v>79.99</v>
      </c>
      <c r="D23" s="273">
        <v>0</v>
      </c>
      <c r="E23" s="168">
        <v>0</v>
      </c>
      <c r="F23" s="167">
        <f t="shared" si="0"/>
        <v>79.99</v>
      </c>
      <c r="G23" s="231">
        <f t="shared" si="1"/>
        <v>315</v>
      </c>
      <c r="H23" s="231">
        <f t="shared" si="2"/>
        <v>175</v>
      </c>
      <c r="I23" s="231">
        <f t="shared" si="9"/>
        <v>490</v>
      </c>
      <c r="J23" s="231">
        <v>7</v>
      </c>
      <c r="K23" s="167">
        <f>CPC表格!V24</f>
        <v>21.1764705882353</v>
      </c>
      <c r="L23" s="167">
        <f t="shared" si="3"/>
        <v>-3705.88235294118</v>
      </c>
      <c r="M23" s="167">
        <f>毛利盈亏!T23</f>
        <v>8298.9690585774</v>
      </c>
      <c r="N23" s="167">
        <f t="shared" si="4"/>
        <v>4593.08670563622</v>
      </c>
      <c r="O23" s="231">
        <v>200</v>
      </c>
      <c r="P23" s="166">
        <v>70</v>
      </c>
      <c r="Q23" s="166">
        <v>25</v>
      </c>
      <c r="R23" s="166">
        <f t="shared" si="11"/>
        <v>45</v>
      </c>
      <c r="S23" s="277">
        <f t="shared" si="6"/>
        <v>-529.411764705882</v>
      </c>
      <c r="T23" s="231">
        <v>1</v>
      </c>
      <c r="U23" s="231" t="s">
        <v>140</v>
      </c>
      <c r="V23" s="231"/>
      <c r="W23" s="231">
        <v>0</v>
      </c>
      <c r="X23" s="167">
        <f t="shared" si="10"/>
        <v>43187.4979504143</v>
      </c>
      <c r="Y23" s="231">
        <f t="shared" si="8"/>
        <v>302312.4856529</v>
      </c>
    </row>
    <row r="24" ht="22.6" customHeight="1" spans="1:25">
      <c r="A24" s="231"/>
      <c r="B24" s="272" t="s">
        <v>141</v>
      </c>
      <c r="C24" s="231">
        <v>79.99</v>
      </c>
      <c r="D24" s="273">
        <v>0</v>
      </c>
      <c r="E24" s="168">
        <v>0</v>
      </c>
      <c r="F24" s="167">
        <f t="shared" si="0"/>
        <v>79.99</v>
      </c>
      <c r="G24" s="231">
        <f t="shared" si="1"/>
        <v>315</v>
      </c>
      <c r="H24" s="231">
        <f t="shared" si="2"/>
        <v>175</v>
      </c>
      <c r="I24" s="231">
        <f t="shared" si="9"/>
        <v>490</v>
      </c>
      <c r="J24" s="231">
        <v>7</v>
      </c>
      <c r="K24" s="167">
        <f>CPC表格!V25</f>
        <v>21.1764705882353</v>
      </c>
      <c r="L24" s="167">
        <f t="shared" si="3"/>
        <v>-3705.88235294118</v>
      </c>
      <c r="M24" s="167">
        <f>毛利盈亏!T24</f>
        <v>8298.9690585774</v>
      </c>
      <c r="N24" s="167">
        <f t="shared" si="4"/>
        <v>4593.08670563622</v>
      </c>
      <c r="O24" s="231">
        <v>220</v>
      </c>
      <c r="P24" s="166">
        <v>70</v>
      </c>
      <c r="Q24" s="166">
        <v>25</v>
      </c>
      <c r="R24" s="166">
        <f t="shared" si="11"/>
        <v>45</v>
      </c>
      <c r="S24" s="277">
        <f t="shared" si="6"/>
        <v>-529.411764705882</v>
      </c>
      <c r="T24" s="231">
        <v>1</v>
      </c>
      <c r="U24" s="231" t="s">
        <v>140</v>
      </c>
      <c r="V24" s="231"/>
      <c r="W24" s="231">
        <v>0</v>
      </c>
      <c r="X24" s="167">
        <f t="shared" si="10"/>
        <v>43187.4979504143</v>
      </c>
      <c r="Y24" s="231">
        <f t="shared" si="8"/>
        <v>302312.4856529</v>
      </c>
    </row>
    <row r="25" ht="22.6" customHeight="1" spans="1:25">
      <c r="A25" s="231"/>
      <c r="B25" s="272" t="s">
        <v>142</v>
      </c>
      <c r="C25" s="231">
        <v>79.99</v>
      </c>
      <c r="D25" s="273">
        <v>0</v>
      </c>
      <c r="E25" s="168">
        <v>0</v>
      </c>
      <c r="F25" s="167">
        <f t="shared" si="0"/>
        <v>79.99</v>
      </c>
      <c r="G25" s="231">
        <f t="shared" si="1"/>
        <v>315</v>
      </c>
      <c r="H25" s="231">
        <f t="shared" si="2"/>
        <v>175</v>
      </c>
      <c r="I25" s="231">
        <f t="shared" si="9"/>
        <v>490</v>
      </c>
      <c r="J25" s="231">
        <v>7</v>
      </c>
      <c r="K25" s="167">
        <f>CPC表格!V26</f>
        <v>21.1764705882353</v>
      </c>
      <c r="L25" s="167">
        <f t="shared" si="3"/>
        <v>-3705.88235294118</v>
      </c>
      <c r="M25" s="167">
        <f>毛利盈亏!T25</f>
        <v>8298.9690585774</v>
      </c>
      <c r="N25" s="167">
        <f t="shared" si="4"/>
        <v>4593.08670563622</v>
      </c>
      <c r="O25" s="231">
        <v>240</v>
      </c>
      <c r="P25" s="166">
        <v>70</v>
      </c>
      <c r="Q25" s="166">
        <v>25</v>
      </c>
      <c r="R25" s="166">
        <f t="shared" si="11"/>
        <v>45</v>
      </c>
      <c r="S25" s="277">
        <f t="shared" si="6"/>
        <v>-529.411764705882</v>
      </c>
      <c r="T25" s="231">
        <v>1</v>
      </c>
      <c r="U25" s="231" t="s">
        <v>140</v>
      </c>
      <c r="V25" s="231"/>
      <c r="W25" s="231">
        <v>0</v>
      </c>
      <c r="X25" s="167">
        <f t="shared" si="10"/>
        <v>43187.4979504143</v>
      </c>
      <c r="Y25" s="231">
        <f t="shared" si="8"/>
        <v>302312.4856529</v>
      </c>
    </row>
    <row r="26" ht="22.6" customHeight="1" spans="1:25">
      <c r="A26" s="231"/>
      <c r="B26" s="272" t="s">
        <v>143</v>
      </c>
      <c r="C26" s="231">
        <v>79.99</v>
      </c>
      <c r="D26" s="273">
        <v>0</v>
      </c>
      <c r="E26" s="168">
        <v>0</v>
      </c>
      <c r="F26" s="167">
        <f t="shared" si="0"/>
        <v>79.99</v>
      </c>
      <c r="G26" s="231">
        <f t="shared" si="1"/>
        <v>315</v>
      </c>
      <c r="H26" s="231">
        <f t="shared" si="2"/>
        <v>175</v>
      </c>
      <c r="I26" s="231">
        <f t="shared" si="9"/>
        <v>490</v>
      </c>
      <c r="J26" s="231">
        <v>7</v>
      </c>
      <c r="K26" s="167">
        <f>CPC表格!V27</f>
        <v>21.1764705882353</v>
      </c>
      <c r="L26" s="167">
        <f t="shared" si="3"/>
        <v>-3705.88235294118</v>
      </c>
      <c r="M26" s="167">
        <f>毛利盈亏!T26</f>
        <v>8298.9690585774</v>
      </c>
      <c r="N26" s="167">
        <f t="shared" si="4"/>
        <v>4593.08670563622</v>
      </c>
      <c r="O26" s="231">
        <v>260</v>
      </c>
      <c r="P26" s="166">
        <v>70</v>
      </c>
      <c r="Q26" s="166">
        <v>25</v>
      </c>
      <c r="R26" s="166">
        <f t="shared" si="11"/>
        <v>45</v>
      </c>
      <c r="S26" s="277">
        <f t="shared" si="6"/>
        <v>-529.411764705882</v>
      </c>
      <c r="T26" s="231">
        <v>1</v>
      </c>
      <c r="U26" s="231" t="s">
        <v>144</v>
      </c>
      <c r="V26" s="231"/>
      <c r="W26" s="231">
        <v>0</v>
      </c>
      <c r="X26" s="167">
        <f t="shared" si="10"/>
        <v>43187.4979504143</v>
      </c>
      <c r="Y26" s="231">
        <f t="shared" si="8"/>
        <v>302312.4856529</v>
      </c>
    </row>
    <row r="27" ht="26.8" customHeight="1" spans="1:25">
      <c r="A27" s="221"/>
      <c r="B27" s="221"/>
      <c r="C27" s="221"/>
      <c r="D27" s="221"/>
      <c r="E27" s="221"/>
      <c r="F27" s="221"/>
      <c r="G27" s="221"/>
      <c r="H27" s="221"/>
      <c r="I27" s="221"/>
      <c r="J27" s="221"/>
      <c r="K27" s="221"/>
      <c r="L27" s="221"/>
      <c r="M27" s="221"/>
      <c r="N27" s="221"/>
      <c r="O27" s="221"/>
      <c r="P27" s="221"/>
      <c r="Q27" s="221"/>
      <c r="R27" s="221"/>
      <c r="S27" s="221"/>
      <c r="T27" s="221"/>
      <c r="U27" s="221"/>
      <c r="V27" s="221"/>
      <c r="W27" s="221"/>
      <c r="X27" s="221"/>
      <c r="Y27" s="221"/>
    </row>
    <row r="28" ht="26.8" customHeight="1" spans="1:25">
      <c r="A28" s="337" t="s">
        <v>145</v>
      </c>
      <c r="B28" s="337"/>
      <c r="C28" s="337"/>
      <c r="D28" s="337"/>
      <c r="E28" s="337"/>
      <c r="F28" s="338"/>
      <c r="G28" s="337"/>
      <c r="H28" s="337"/>
      <c r="I28" s="337"/>
      <c r="J28" s="337"/>
      <c r="K28" s="337"/>
      <c r="L28" s="337"/>
      <c r="M28" s="337"/>
      <c r="N28" s="337"/>
      <c r="O28" s="337"/>
      <c r="P28" s="337"/>
      <c r="Q28" s="337"/>
      <c r="R28" s="337"/>
      <c r="S28" s="337"/>
      <c r="T28" s="337"/>
      <c r="U28" s="337"/>
      <c r="V28" s="337"/>
      <c r="W28" s="337"/>
      <c r="X28" s="337"/>
      <c r="Y28" s="337"/>
    </row>
    <row r="29" ht="22.6" customHeight="1" spans="1:25">
      <c r="A29" s="297" t="s">
        <v>23</v>
      </c>
      <c r="B29" s="311" t="s">
        <v>146</v>
      </c>
      <c r="C29" s="297">
        <v>89.99</v>
      </c>
      <c r="D29" s="312">
        <v>0.3</v>
      </c>
      <c r="E29" s="153">
        <v>0</v>
      </c>
      <c r="F29" s="313">
        <v>62.993</v>
      </c>
      <c r="G29" s="297">
        <v>0</v>
      </c>
      <c r="H29" s="297">
        <v>21</v>
      </c>
      <c r="I29" s="297">
        <v>21</v>
      </c>
      <c r="J29" s="297">
        <v>7</v>
      </c>
      <c r="K29" s="152">
        <v>23.875</v>
      </c>
      <c r="L29" s="152">
        <v>-501.375</v>
      </c>
      <c r="M29" s="152">
        <v>15.1809043933054</v>
      </c>
      <c r="N29" s="152">
        <v>-486.194095606695</v>
      </c>
      <c r="O29" s="297">
        <v>20</v>
      </c>
      <c r="P29" s="151">
        <v>3</v>
      </c>
      <c r="Q29" s="151">
        <v>3</v>
      </c>
      <c r="R29" s="151">
        <v>0</v>
      </c>
      <c r="S29" s="314">
        <v>-71.625</v>
      </c>
      <c r="T29" s="297">
        <v>150</v>
      </c>
      <c r="U29" s="297" t="s">
        <v>111</v>
      </c>
      <c r="V29" s="297" t="s">
        <v>112</v>
      </c>
      <c r="W29" s="297">
        <v>3000</v>
      </c>
      <c r="X29" s="152">
        <v>-2124.32530962343</v>
      </c>
      <c r="Y29" s="297">
        <v>-14870.277167364</v>
      </c>
    </row>
    <row r="30" ht="22.6" customHeight="1" spans="1:25">
      <c r="A30" s="231"/>
      <c r="B30" s="272" t="s">
        <v>147</v>
      </c>
      <c r="C30" s="231">
        <v>89.99</v>
      </c>
      <c r="D30" s="273">
        <v>0.3</v>
      </c>
      <c r="E30" s="168">
        <v>0</v>
      </c>
      <c r="F30" s="274">
        <v>62.993</v>
      </c>
      <c r="G30" s="231">
        <v>14</v>
      </c>
      <c r="H30" s="231">
        <v>35</v>
      </c>
      <c r="I30" s="231">
        <v>49</v>
      </c>
      <c r="J30" s="231">
        <v>7</v>
      </c>
      <c r="K30" s="167">
        <v>23.875</v>
      </c>
      <c r="L30" s="167">
        <v>-835.625</v>
      </c>
      <c r="M30" s="167">
        <v>35.4221102510459</v>
      </c>
      <c r="N30" s="167">
        <v>-800.202889748954</v>
      </c>
      <c r="O30" s="231">
        <v>25</v>
      </c>
      <c r="P30" s="166">
        <v>7</v>
      </c>
      <c r="Q30" s="166">
        <v>5</v>
      </c>
      <c r="R30" s="166">
        <v>2</v>
      </c>
      <c r="S30" s="277">
        <v>-119.375</v>
      </c>
      <c r="T30" s="231">
        <v>120</v>
      </c>
      <c r="U30" s="231" t="s">
        <v>111</v>
      </c>
      <c r="V30" s="231" t="s">
        <v>112</v>
      </c>
      <c r="W30" s="231">
        <v>0</v>
      </c>
      <c r="X30" s="167">
        <v>-3501.05665618317</v>
      </c>
      <c r="Y30" s="231">
        <v>-24507.3965932822</v>
      </c>
    </row>
    <row r="31" ht="22.6" customHeight="1" spans="1:25">
      <c r="A31" s="231"/>
      <c r="B31" s="272" t="s">
        <v>148</v>
      </c>
      <c r="C31" s="231">
        <v>89.99</v>
      </c>
      <c r="D31" s="273">
        <v>0.3</v>
      </c>
      <c r="E31" s="168">
        <v>0</v>
      </c>
      <c r="F31" s="274">
        <v>62.993</v>
      </c>
      <c r="G31" s="231">
        <v>28</v>
      </c>
      <c r="H31" s="231">
        <v>42</v>
      </c>
      <c r="I31" s="231">
        <v>70</v>
      </c>
      <c r="J31" s="231">
        <v>7</v>
      </c>
      <c r="K31" s="167">
        <v>23.875</v>
      </c>
      <c r="L31" s="167">
        <v>-1002.75</v>
      </c>
      <c r="M31" s="167">
        <v>50.6030146443512</v>
      </c>
      <c r="N31" s="167">
        <v>-952.146985355649</v>
      </c>
      <c r="O31" s="231">
        <v>30</v>
      </c>
      <c r="P31" s="166">
        <v>10</v>
      </c>
      <c r="Q31" s="166">
        <v>6</v>
      </c>
      <c r="R31" s="166">
        <v>4</v>
      </c>
      <c r="S31" s="277">
        <v>-143.25</v>
      </c>
      <c r="T31" s="231">
        <v>100</v>
      </c>
      <c r="U31" s="231" t="s">
        <v>115</v>
      </c>
      <c r="V31" s="231"/>
      <c r="W31" s="231">
        <v>0</v>
      </c>
      <c r="X31" s="167">
        <v>-378.162194816367</v>
      </c>
      <c r="Y31" s="231">
        <v>-2647.13536371457</v>
      </c>
    </row>
    <row r="32" ht="22.6" customHeight="1" spans="1:25">
      <c r="A32" s="231"/>
      <c r="B32" s="272" t="s">
        <v>149</v>
      </c>
      <c r="C32" s="231">
        <v>89.99</v>
      </c>
      <c r="D32" s="273">
        <v>0.3</v>
      </c>
      <c r="E32" s="168">
        <v>0</v>
      </c>
      <c r="F32" s="274">
        <v>62.993</v>
      </c>
      <c r="G32" s="231">
        <v>35</v>
      </c>
      <c r="H32" s="231">
        <v>49</v>
      </c>
      <c r="I32" s="231">
        <v>84</v>
      </c>
      <c r="J32" s="231">
        <v>7</v>
      </c>
      <c r="K32" s="167">
        <v>23.875</v>
      </c>
      <c r="L32" s="167">
        <v>-1169.875</v>
      </c>
      <c r="M32" s="167">
        <v>60.7236175732215</v>
      </c>
      <c r="N32" s="167">
        <v>-1109.15138242678</v>
      </c>
      <c r="O32" s="231">
        <v>35</v>
      </c>
      <c r="P32" s="166">
        <v>12</v>
      </c>
      <c r="Q32" s="166">
        <v>7</v>
      </c>
      <c r="R32" s="166">
        <v>5</v>
      </c>
      <c r="S32" s="277">
        <v>-167.125</v>
      </c>
      <c r="T32" s="231">
        <v>50</v>
      </c>
      <c r="U32" s="231" t="s">
        <v>115</v>
      </c>
      <c r="V32" s="231"/>
      <c r="W32" s="231">
        <v>0</v>
      </c>
      <c r="X32" s="167">
        <v>2051.12210086006</v>
      </c>
      <c r="Y32" s="231">
        <v>14357.8547060204</v>
      </c>
    </row>
    <row r="33" ht="22.6" customHeight="1" spans="1:25">
      <c r="A33" s="231" t="s">
        <v>25</v>
      </c>
      <c r="B33" s="272" t="s">
        <v>150</v>
      </c>
      <c r="C33" s="231">
        <v>85.99</v>
      </c>
      <c r="D33" s="273">
        <v>0.2</v>
      </c>
      <c r="E33" s="168">
        <v>0</v>
      </c>
      <c r="F33" s="274">
        <v>68.792</v>
      </c>
      <c r="G33" s="231">
        <v>42</v>
      </c>
      <c r="H33" s="231">
        <v>63</v>
      </c>
      <c r="I33" s="231">
        <v>105</v>
      </c>
      <c r="J33" s="231">
        <v>7</v>
      </c>
      <c r="K33" s="167">
        <v>22</v>
      </c>
      <c r="L33" s="167">
        <v>-1386</v>
      </c>
      <c r="M33" s="167">
        <v>943.903255230126</v>
      </c>
      <c r="N33" s="167">
        <v>-442.096744769874</v>
      </c>
      <c r="O33" s="231">
        <v>40</v>
      </c>
      <c r="P33" s="166">
        <v>15</v>
      </c>
      <c r="Q33" s="166">
        <v>9</v>
      </c>
      <c r="R33" s="166">
        <v>6</v>
      </c>
      <c r="S33" s="277">
        <v>-198</v>
      </c>
      <c r="T33" s="231">
        <v>40</v>
      </c>
      <c r="U33" s="231" t="s">
        <v>118</v>
      </c>
      <c r="V33" s="231"/>
      <c r="W33" s="231">
        <v>0</v>
      </c>
      <c r="X33" s="167">
        <v>7272.54939818688</v>
      </c>
      <c r="Y33" s="231">
        <v>50907.8457873082</v>
      </c>
    </row>
    <row r="34" ht="22.6" customHeight="1" spans="1:25">
      <c r="A34" s="231"/>
      <c r="B34" s="272" t="s">
        <v>151</v>
      </c>
      <c r="C34" s="231">
        <v>85.99</v>
      </c>
      <c r="D34" s="273">
        <v>0.2</v>
      </c>
      <c r="E34" s="168">
        <v>0</v>
      </c>
      <c r="F34" s="274">
        <v>68.792</v>
      </c>
      <c r="G34" s="231">
        <v>56</v>
      </c>
      <c r="H34" s="231">
        <v>70</v>
      </c>
      <c r="I34" s="231">
        <v>126</v>
      </c>
      <c r="J34" s="231">
        <v>7</v>
      </c>
      <c r="K34" s="167">
        <v>22</v>
      </c>
      <c r="L34" s="167">
        <v>-1540</v>
      </c>
      <c r="M34" s="167">
        <v>1132.68390627615</v>
      </c>
      <c r="N34" s="167">
        <v>-407.316093723849</v>
      </c>
      <c r="O34" s="231">
        <v>50</v>
      </c>
      <c r="P34" s="166">
        <v>18</v>
      </c>
      <c r="Q34" s="166">
        <v>10</v>
      </c>
      <c r="R34" s="166">
        <v>8</v>
      </c>
      <c r="S34" s="277">
        <v>-220</v>
      </c>
      <c r="T34" s="231">
        <v>30</v>
      </c>
      <c r="U34" s="231" t="s">
        <v>118</v>
      </c>
      <c r="V34" s="231"/>
      <c r="W34" s="231">
        <v>0</v>
      </c>
      <c r="X34" s="167">
        <v>9788.67888231191</v>
      </c>
      <c r="Y34" s="231">
        <v>68520.7521761834</v>
      </c>
    </row>
    <row r="35" ht="22.6" customHeight="1" spans="1:25">
      <c r="A35" s="231"/>
      <c r="B35" s="272" t="s">
        <v>152</v>
      </c>
      <c r="C35" s="231">
        <v>85.99</v>
      </c>
      <c r="D35" s="273">
        <v>0.2</v>
      </c>
      <c r="E35" s="168">
        <v>0</v>
      </c>
      <c r="F35" s="274">
        <v>68.792</v>
      </c>
      <c r="G35" s="231">
        <v>56</v>
      </c>
      <c r="H35" s="231">
        <v>84</v>
      </c>
      <c r="I35" s="231">
        <v>140</v>
      </c>
      <c r="J35" s="231">
        <v>7</v>
      </c>
      <c r="K35" s="167">
        <v>22</v>
      </c>
      <c r="L35" s="167">
        <v>-1848</v>
      </c>
      <c r="M35" s="167">
        <v>1258.53767364017</v>
      </c>
      <c r="N35" s="167">
        <v>-589.462326359832</v>
      </c>
      <c r="O35" s="231">
        <v>60</v>
      </c>
      <c r="P35" s="166">
        <v>20</v>
      </c>
      <c r="Q35" s="166">
        <v>12</v>
      </c>
      <c r="R35" s="166">
        <v>8</v>
      </c>
      <c r="S35" s="277">
        <v>-264</v>
      </c>
      <c r="T35" s="231">
        <v>20</v>
      </c>
      <c r="U35" s="231" t="s">
        <v>121</v>
      </c>
      <c r="V35" s="231"/>
      <c r="W35" s="231">
        <v>0</v>
      </c>
      <c r="X35" s="167">
        <v>12566.3406313397</v>
      </c>
      <c r="Y35" s="231">
        <v>87964.384419378</v>
      </c>
    </row>
    <row r="36" ht="22.6" customHeight="1" spans="1:25">
      <c r="A36" s="231"/>
      <c r="B36" s="272" t="s">
        <v>153</v>
      </c>
      <c r="C36" s="231">
        <v>85.99</v>
      </c>
      <c r="D36" s="273">
        <v>0.2</v>
      </c>
      <c r="E36" s="168">
        <v>0</v>
      </c>
      <c r="F36" s="274">
        <v>68.792</v>
      </c>
      <c r="G36" s="231">
        <v>84</v>
      </c>
      <c r="H36" s="231">
        <v>84</v>
      </c>
      <c r="I36" s="231">
        <v>168</v>
      </c>
      <c r="J36" s="231">
        <v>7</v>
      </c>
      <c r="K36" s="167">
        <v>22</v>
      </c>
      <c r="L36" s="167">
        <v>-1848</v>
      </c>
      <c r="M36" s="167">
        <v>1510.2452083682</v>
      </c>
      <c r="N36" s="167">
        <v>-337.754791631798</v>
      </c>
      <c r="O36" s="231">
        <v>70</v>
      </c>
      <c r="P36" s="166">
        <v>24</v>
      </c>
      <c r="Q36" s="166">
        <v>12</v>
      </c>
      <c r="R36" s="166">
        <v>12</v>
      </c>
      <c r="S36" s="277">
        <v>-264</v>
      </c>
      <c r="T36" s="231">
        <v>10</v>
      </c>
      <c r="U36" s="231" t="s">
        <v>121</v>
      </c>
      <c r="V36" s="231"/>
      <c r="W36" s="231">
        <v>0</v>
      </c>
      <c r="X36" s="167">
        <v>15822.4615289523</v>
      </c>
      <c r="Y36" s="231">
        <v>110757.230702666</v>
      </c>
    </row>
    <row r="37" ht="22.6" customHeight="1" spans="1:25">
      <c r="A37" s="231" t="s">
        <v>27</v>
      </c>
      <c r="B37" s="272" t="s">
        <v>154</v>
      </c>
      <c r="C37" s="231">
        <v>85.99</v>
      </c>
      <c r="D37" s="273">
        <v>0.1</v>
      </c>
      <c r="E37" s="168">
        <v>0</v>
      </c>
      <c r="F37" s="274">
        <v>77.391</v>
      </c>
      <c r="G37" s="231">
        <v>84</v>
      </c>
      <c r="H37" s="231">
        <v>98</v>
      </c>
      <c r="I37" s="231">
        <v>182</v>
      </c>
      <c r="J37" s="231">
        <v>7</v>
      </c>
      <c r="K37" s="167">
        <v>20.4444444444444</v>
      </c>
      <c r="L37" s="167">
        <v>-2003.55555555556</v>
      </c>
      <c r="M37" s="167">
        <v>3140.63011338912</v>
      </c>
      <c r="N37" s="167">
        <v>1137.07455783356</v>
      </c>
      <c r="O37" s="231">
        <v>80</v>
      </c>
      <c r="P37" s="166">
        <v>26</v>
      </c>
      <c r="Q37" s="166">
        <v>14</v>
      </c>
      <c r="R37" s="166">
        <v>12</v>
      </c>
      <c r="S37" s="277">
        <v>-286.222222222222</v>
      </c>
      <c r="T37" s="231">
        <v>10</v>
      </c>
      <c r="U37" s="231" t="s">
        <v>124</v>
      </c>
      <c r="V37" s="231"/>
      <c r="W37" s="231">
        <v>0</v>
      </c>
      <c r="X37" s="167">
        <v>57497.9966713101</v>
      </c>
      <c r="Y37" s="231">
        <v>402485.976699171</v>
      </c>
    </row>
    <row r="38" ht="22.6" customHeight="1" spans="1:25">
      <c r="A38" s="231"/>
      <c r="B38" s="272" t="s">
        <v>155</v>
      </c>
      <c r="C38" s="231">
        <v>85.99</v>
      </c>
      <c r="D38" s="273">
        <v>0.1</v>
      </c>
      <c r="E38" s="168">
        <v>0</v>
      </c>
      <c r="F38" s="274">
        <v>77.391</v>
      </c>
      <c r="G38" s="231">
        <v>154</v>
      </c>
      <c r="H38" s="231">
        <v>105</v>
      </c>
      <c r="I38" s="231">
        <v>259</v>
      </c>
      <c r="J38" s="231">
        <v>7</v>
      </c>
      <c r="K38" s="167">
        <v>20.4444444444444</v>
      </c>
      <c r="L38" s="167">
        <v>-2146.66666666667</v>
      </c>
      <c r="M38" s="167">
        <v>4469.35823828452</v>
      </c>
      <c r="N38" s="167">
        <v>2322.69157161785</v>
      </c>
      <c r="O38" s="231">
        <v>90</v>
      </c>
      <c r="P38" s="166">
        <v>28</v>
      </c>
      <c r="Q38" s="166">
        <v>15</v>
      </c>
      <c r="R38" s="166">
        <v>22</v>
      </c>
      <c r="S38" s="277">
        <v>-306.666666666667</v>
      </c>
      <c r="T38" s="231">
        <v>5</v>
      </c>
      <c r="U38" s="231" t="s">
        <v>124</v>
      </c>
      <c r="V38" s="231"/>
      <c r="W38" s="231">
        <v>0</v>
      </c>
      <c r="X38" s="167">
        <v>56360.9221134766</v>
      </c>
      <c r="Y38" s="231">
        <v>394526.454794336</v>
      </c>
    </row>
    <row r="39" ht="22.6" customHeight="1" spans="1:25">
      <c r="A39" s="231"/>
      <c r="B39" s="272" t="s">
        <v>156</v>
      </c>
      <c r="C39" s="231">
        <v>85.99</v>
      </c>
      <c r="D39" s="273">
        <v>0.1</v>
      </c>
      <c r="E39" s="168">
        <v>0</v>
      </c>
      <c r="F39" s="274">
        <v>77.391</v>
      </c>
      <c r="G39" s="231">
        <v>105</v>
      </c>
      <c r="H39" s="231">
        <v>105</v>
      </c>
      <c r="I39" s="231">
        <v>210</v>
      </c>
      <c r="J39" s="231">
        <v>7</v>
      </c>
      <c r="K39" s="167">
        <v>20.4444444444444</v>
      </c>
      <c r="L39" s="167">
        <v>-2146.66666666667</v>
      </c>
      <c r="M39" s="167">
        <v>3623.80397698745</v>
      </c>
      <c r="N39" s="167">
        <v>1477.13731032078</v>
      </c>
      <c r="O39" s="231">
        <v>100</v>
      </c>
      <c r="P39" s="166">
        <v>30</v>
      </c>
      <c r="Q39" s="166">
        <v>15</v>
      </c>
      <c r="R39" s="166">
        <v>15</v>
      </c>
      <c r="S39" s="277">
        <v>-306.666666666667</v>
      </c>
      <c r="T39" s="231">
        <v>5</v>
      </c>
      <c r="U39" s="231" t="s">
        <v>127</v>
      </c>
      <c r="V39" s="231"/>
      <c r="W39" s="231">
        <v>0</v>
      </c>
      <c r="X39" s="167">
        <v>54038.2305418587</v>
      </c>
      <c r="Y39" s="231">
        <v>378267.613793011</v>
      </c>
    </row>
    <row r="40" ht="22.6" customHeight="1" spans="1:25">
      <c r="A40" s="231"/>
      <c r="B40" s="272" t="s">
        <v>157</v>
      </c>
      <c r="C40" s="231">
        <v>85.99</v>
      </c>
      <c r="D40" s="273">
        <v>0.1</v>
      </c>
      <c r="E40" s="168">
        <v>0</v>
      </c>
      <c r="F40" s="274">
        <v>77.391</v>
      </c>
      <c r="G40" s="231">
        <v>259</v>
      </c>
      <c r="H40" s="231">
        <v>112</v>
      </c>
      <c r="I40" s="231">
        <v>371</v>
      </c>
      <c r="J40" s="231">
        <v>7</v>
      </c>
      <c r="K40" s="167">
        <v>20.4444444444444</v>
      </c>
      <c r="L40" s="167">
        <v>-2289.77777777778</v>
      </c>
      <c r="M40" s="167">
        <v>6402.05369267782</v>
      </c>
      <c r="N40" s="167">
        <v>4112.27591490004</v>
      </c>
      <c r="O40" s="231">
        <v>110</v>
      </c>
      <c r="P40" s="166">
        <v>35</v>
      </c>
      <c r="Q40" s="166">
        <v>16</v>
      </c>
      <c r="R40" s="166">
        <v>37</v>
      </c>
      <c r="S40" s="277">
        <v>-327.111111111111</v>
      </c>
      <c r="T40" s="231">
        <v>4</v>
      </c>
      <c r="U40" s="231" t="s">
        <v>127</v>
      </c>
      <c r="V40" s="231"/>
      <c r="W40" s="231">
        <v>0</v>
      </c>
      <c r="X40" s="167">
        <v>52561.0932315379</v>
      </c>
      <c r="Y40" s="231">
        <v>367927.652620766</v>
      </c>
    </row>
    <row r="41" ht="22.6" customHeight="1" spans="1:25">
      <c r="A41" s="231" t="s">
        <v>29</v>
      </c>
      <c r="B41" s="272" t="s">
        <v>158</v>
      </c>
      <c r="C41" s="231">
        <v>79.99</v>
      </c>
      <c r="D41" s="273">
        <v>0</v>
      </c>
      <c r="E41" s="168">
        <v>0</v>
      </c>
      <c r="F41" s="274">
        <v>79.99</v>
      </c>
      <c r="G41" s="231">
        <v>154</v>
      </c>
      <c r="H41" s="231">
        <v>126</v>
      </c>
      <c r="I41" s="231">
        <v>280</v>
      </c>
      <c r="J41" s="231">
        <v>7</v>
      </c>
      <c r="K41" s="167">
        <v>21.1764705882353</v>
      </c>
      <c r="L41" s="167">
        <v>-2668.23529411765</v>
      </c>
      <c r="M41" s="167">
        <v>4742.2680334728</v>
      </c>
      <c r="N41" s="167">
        <v>2074.03273935515</v>
      </c>
      <c r="O41" s="231">
        <v>120</v>
      </c>
      <c r="P41" s="166">
        <v>40</v>
      </c>
      <c r="Q41" s="166">
        <v>18</v>
      </c>
      <c r="R41" s="166">
        <v>22</v>
      </c>
      <c r="S41" s="277">
        <v>-381.176470588235</v>
      </c>
      <c r="T41" s="231">
        <v>4</v>
      </c>
      <c r="U41" s="231" t="s">
        <v>130</v>
      </c>
      <c r="V41" s="231"/>
      <c r="W41" s="231">
        <v>0</v>
      </c>
      <c r="X41" s="167">
        <v>48448.8173166379</v>
      </c>
      <c r="Y41" s="231">
        <v>339141.721216465</v>
      </c>
    </row>
    <row r="42" ht="22.6" customHeight="1" spans="1:25">
      <c r="A42" s="231"/>
      <c r="B42" s="272" t="s">
        <v>159</v>
      </c>
      <c r="C42" s="231">
        <v>79.99</v>
      </c>
      <c r="D42" s="273">
        <v>0</v>
      </c>
      <c r="E42" s="168">
        <v>0</v>
      </c>
      <c r="F42" s="274">
        <v>79.99</v>
      </c>
      <c r="G42" s="231">
        <v>175</v>
      </c>
      <c r="H42" s="231">
        <v>140</v>
      </c>
      <c r="I42" s="231">
        <v>315</v>
      </c>
      <c r="J42" s="231">
        <v>7</v>
      </c>
      <c r="K42" s="167">
        <v>21.1764705882353</v>
      </c>
      <c r="L42" s="167">
        <v>-2964.70588235294</v>
      </c>
      <c r="M42" s="167">
        <v>5335.0515376569</v>
      </c>
      <c r="N42" s="167">
        <v>2370.34565530396</v>
      </c>
      <c r="O42" s="231">
        <v>130</v>
      </c>
      <c r="P42" s="166">
        <v>45</v>
      </c>
      <c r="Q42" s="166">
        <v>20</v>
      </c>
      <c r="R42" s="166">
        <v>25</v>
      </c>
      <c r="S42" s="277">
        <v>-423.529411764706</v>
      </c>
      <c r="T42" s="231">
        <v>3</v>
      </c>
      <c r="U42" s="231" t="s">
        <v>130</v>
      </c>
      <c r="V42" s="231"/>
      <c r="W42" s="231">
        <v>0</v>
      </c>
      <c r="X42" s="167">
        <v>46374.7845772827</v>
      </c>
      <c r="Y42" s="231">
        <v>324623.492040979</v>
      </c>
    </row>
    <row r="43" ht="22.6" customHeight="1" spans="1:25">
      <c r="A43" s="231"/>
      <c r="B43" s="272" t="s">
        <v>160</v>
      </c>
      <c r="C43" s="231">
        <v>79.99</v>
      </c>
      <c r="D43" s="273">
        <v>0</v>
      </c>
      <c r="E43" s="168">
        <v>0</v>
      </c>
      <c r="F43" s="274">
        <v>79.99</v>
      </c>
      <c r="G43" s="231">
        <v>196</v>
      </c>
      <c r="H43" s="231">
        <v>154</v>
      </c>
      <c r="I43" s="231">
        <v>350</v>
      </c>
      <c r="J43" s="231">
        <v>7</v>
      </c>
      <c r="K43" s="167">
        <v>21.1764705882353</v>
      </c>
      <c r="L43" s="167">
        <v>-3261.17647058824</v>
      </c>
      <c r="M43" s="167">
        <v>5927.835041841</v>
      </c>
      <c r="N43" s="167">
        <v>2666.65857125276</v>
      </c>
      <c r="O43" s="231">
        <v>140</v>
      </c>
      <c r="P43" s="166">
        <v>50</v>
      </c>
      <c r="Q43" s="166">
        <v>22</v>
      </c>
      <c r="R43" s="166">
        <v>28</v>
      </c>
      <c r="S43" s="277">
        <v>-465.882352941176</v>
      </c>
      <c r="T43" s="231">
        <v>3</v>
      </c>
      <c r="U43" s="231" t="s">
        <v>133</v>
      </c>
      <c r="V43" s="231"/>
      <c r="W43" s="231">
        <v>0</v>
      </c>
      <c r="X43" s="167">
        <v>44004.4389219788</v>
      </c>
      <c r="Y43" s="231">
        <v>308031.072453852</v>
      </c>
    </row>
    <row r="44" ht="22.6" customHeight="1" spans="1:25">
      <c r="A44" s="231"/>
      <c r="B44" s="272" t="s">
        <v>161</v>
      </c>
      <c r="C44" s="231">
        <v>79.99</v>
      </c>
      <c r="D44" s="273">
        <v>0</v>
      </c>
      <c r="E44" s="168">
        <v>0</v>
      </c>
      <c r="F44" s="274">
        <v>79.99</v>
      </c>
      <c r="G44" s="231">
        <v>315</v>
      </c>
      <c r="H44" s="231">
        <v>175</v>
      </c>
      <c r="I44" s="231">
        <v>490</v>
      </c>
      <c r="J44" s="231">
        <v>7</v>
      </c>
      <c r="K44" s="167">
        <v>21.1764705882353</v>
      </c>
      <c r="L44" s="167">
        <v>-3705.88235294118</v>
      </c>
      <c r="M44" s="167">
        <v>8298.9690585774</v>
      </c>
      <c r="N44" s="167">
        <v>4593.08670563622</v>
      </c>
      <c r="O44" s="231">
        <v>150</v>
      </c>
      <c r="P44" s="166">
        <v>70</v>
      </c>
      <c r="Q44" s="166">
        <v>25</v>
      </c>
      <c r="R44" s="166">
        <v>45</v>
      </c>
      <c r="S44" s="277">
        <v>-529.411764705882</v>
      </c>
      <c r="T44" s="231">
        <v>2</v>
      </c>
      <c r="U44" s="231" t="s">
        <v>133</v>
      </c>
      <c r="V44" s="231"/>
      <c r="W44" s="231">
        <v>0</v>
      </c>
      <c r="X44" s="167">
        <v>41337.780350726</v>
      </c>
      <c r="Y44" s="231">
        <v>289364.462455082</v>
      </c>
    </row>
    <row r="45" ht="22.6" customHeight="1" spans="1:25">
      <c r="A45" s="231" t="s">
        <v>31</v>
      </c>
      <c r="B45" s="272" t="s">
        <v>162</v>
      </c>
      <c r="C45" s="231">
        <v>79.99</v>
      </c>
      <c r="D45" s="273">
        <v>0</v>
      </c>
      <c r="E45" s="168">
        <v>0</v>
      </c>
      <c r="F45" s="274">
        <v>79.99</v>
      </c>
      <c r="G45" s="231">
        <v>315</v>
      </c>
      <c r="H45" s="231">
        <v>175</v>
      </c>
      <c r="I45" s="231">
        <v>490</v>
      </c>
      <c r="J45" s="231">
        <v>7</v>
      </c>
      <c r="K45" s="167">
        <v>21.1764705882353</v>
      </c>
      <c r="L45" s="167">
        <v>-3705.88235294118</v>
      </c>
      <c r="M45" s="167">
        <v>8298.9690585774</v>
      </c>
      <c r="N45" s="167">
        <v>4593.08670563622</v>
      </c>
      <c r="O45" s="231">
        <v>160</v>
      </c>
      <c r="P45" s="166">
        <v>70</v>
      </c>
      <c r="Q45" s="166">
        <v>25</v>
      </c>
      <c r="R45" s="166">
        <v>45</v>
      </c>
      <c r="S45" s="277">
        <v>-529.411764705882</v>
      </c>
      <c r="T45" s="231">
        <v>2</v>
      </c>
      <c r="U45" s="231" t="s">
        <v>133</v>
      </c>
      <c r="V45" s="231"/>
      <c r="W45" s="231">
        <v>0</v>
      </c>
      <c r="X45" s="167">
        <v>36744.6936450898</v>
      </c>
      <c r="Y45" s="231">
        <v>257212.855515629</v>
      </c>
    </row>
    <row r="46" ht="22.6" customHeight="1" spans="1:25">
      <c r="A46" s="231"/>
      <c r="B46" s="272" t="s">
        <v>163</v>
      </c>
      <c r="C46" s="231">
        <v>79.99</v>
      </c>
      <c r="D46" s="273">
        <v>0</v>
      </c>
      <c r="E46" s="168">
        <v>0</v>
      </c>
      <c r="F46" s="274">
        <v>79.99</v>
      </c>
      <c r="G46" s="231">
        <v>315</v>
      </c>
      <c r="H46" s="231">
        <v>175</v>
      </c>
      <c r="I46" s="231">
        <v>490</v>
      </c>
      <c r="J46" s="231">
        <v>7</v>
      </c>
      <c r="K46" s="167">
        <v>21.1764705882353</v>
      </c>
      <c r="L46" s="167">
        <v>-3705.88235294118</v>
      </c>
      <c r="M46" s="167">
        <v>8298.9690585774</v>
      </c>
      <c r="N46" s="167">
        <v>4593.08670563622</v>
      </c>
      <c r="O46" s="231">
        <v>170</v>
      </c>
      <c r="P46" s="166">
        <v>70</v>
      </c>
      <c r="Q46" s="166">
        <v>25</v>
      </c>
      <c r="R46" s="166">
        <v>45</v>
      </c>
      <c r="S46" s="277">
        <v>-529.411764705882</v>
      </c>
      <c r="T46" s="231">
        <v>2</v>
      </c>
      <c r="U46" s="231" t="s">
        <v>133</v>
      </c>
      <c r="V46" s="231"/>
      <c r="W46" s="231">
        <v>0</v>
      </c>
      <c r="X46" s="167">
        <v>32151.6069394536</v>
      </c>
      <c r="Y46" s="231">
        <v>225061.248576175</v>
      </c>
    </row>
    <row r="47" ht="22.6" customHeight="1" spans="1:25">
      <c r="A47" s="231"/>
      <c r="B47" s="272" t="s">
        <v>164</v>
      </c>
      <c r="C47" s="231">
        <v>79.99</v>
      </c>
      <c r="D47" s="273">
        <v>0</v>
      </c>
      <c r="E47" s="168">
        <v>0</v>
      </c>
      <c r="F47" s="274">
        <v>79.99</v>
      </c>
      <c r="G47" s="231">
        <v>315</v>
      </c>
      <c r="H47" s="231">
        <v>175</v>
      </c>
      <c r="I47" s="231">
        <v>490</v>
      </c>
      <c r="J47" s="231">
        <v>7</v>
      </c>
      <c r="K47" s="167">
        <v>21.1764705882353</v>
      </c>
      <c r="L47" s="167">
        <v>-3705.88235294118</v>
      </c>
      <c r="M47" s="167">
        <v>8298.9690585774</v>
      </c>
      <c r="N47" s="167">
        <v>4593.08670563622</v>
      </c>
      <c r="O47" s="231">
        <v>180</v>
      </c>
      <c r="P47" s="166">
        <v>70</v>
      </c>
      <c r="Q47" s="166">
        <v>25</v>
      </c>
      <c r="R47" s="166">
        <v>45</v>
      </c>
      <c r="S47" s="277">
        <v>-529.411764705882</v>
      </c>
      <c r="T47" s="231">
        <v>1</v>
      </c>
      <c r="U47" s="231" t="s">
        <v>133</v>
      </c>
      <c r="V47" s="231"/>
      <c r="W47" s="231">
        <v>0</v>
      </c>
      <c r="X47" s="167">
        <v>27558.5202338173</v>
      </c>
      <c r="Y47" s="231">
        <v>192909.641636721</v>
      </c>
    </row>
    <row r="48" ht="22.6" customHeight="1" spans="1:25">
      <c r="A48" s="231"/>
      <c r="B48" s="272" t="s">
        <v>165</v>
      </c>
      <c r="C48" s="231">
        <v>79.99</v>
      </c>
      <c r="D48" s="273">
        <v>0</v>
      </c>
      <c r="E48" s="168">
        <v>0</v>
      </c>
      <c r="F48" s="274">
        <v>79.99</v>
      </c>
      <c r="G48" s="231">
        <v>315</v>
      </c>
      <c r="H48" s="231">
        <v>175</v>
      </c>
      <c r="I48" s="231">
        <v>490</v>
      </c>
      <c r="J48" s="231">
        <v>7</v>
      </c>
      <c r="K48" s="167">
        <v>21.1764705882353</v>
      </c>
      <c r="L48" s="167">
        <v>-3705.88235294118</v>
      </c>
      <c r="M48" s="167">
        <v>8298.9690585774</v>
      </c>
      <c r="N48" s="167">
        <v>4593.08670563622</v>
      </c>
      <c r="O48" s="231">
        <v>190</v>
      </c>
      <c r="P48" s="166">
        <v>70</v>
      </c>
      <c r="Q48" s="166">
        <v>25</v>
      </c>
      <c r="R48" s="166">
        <v>45</v>
      </c>
      <c r="S48" s="277">
        <v>-529.411764705882</v>
      </c>
      <c r="T48" s="231">
        <v>1</v>
      </c>
      <c r="U48" s="231" t="s">
        <v>133</v>
      </c>
      <c r="V48" s="231"/>
      <c r="W48" s="231">
        <v>0</v>
      </c>
      <c r="X48" s="167">
        <v>22965.4335281811</v>
      </c>
      <c r="Y48" s="231">
        <v>160758.034697268</v>
      </c>
    </row>
    <row r="49" ht="22.6" customHeight="1" spans="1:25">
      <c r="A49" s="231" t="s">
        <v>33</v>
      </c>
      <c r="B49" s="272" t="s">
        <v>166</v>
      </c>
      <c r="C49" s="231">
        <v>79.99</v>
      </c>
      <c r="D49" s="273">
        <v>0</v>
      </c>
      <c r="E49" s="168">
        <v>0</v>
      </c>
      <c r="F49" s="274">
        <v>79.99</v>
      </c>
      <c r="G49" s="231">
        <v>315</v>
      </c>
      <c r="H49" s="231">
        <v>175</v>
      </c>
      <c r="I49" s="231">
        <v>490</v>
      </c>
      <c r="J49" s="231">
        <v>7</v>
      </c>
      <c r="K49" s="167">
        <v>21.1764705882353</v>
      </c>
      <c r="L49" s="167">
        <v>-3705.88235294118</v>
      </c>
      <c r="M49" s="167">
        <v>8298.9690585774</v>
      </c>
      <c r="N49" s="167">
        <v>4593.08670563622</v>
      </c>
      <c r="O49" s="231">
        <v>200</v>
      </c>
      <c r="P49" s="166">
        <v>70</v>
      </c>
      <c r="Q49" s="166">
        <v>25</v>
      </c>
      <c r="R49" s="166">
        <v>45</v>
      </c>
      <c r="S49" s="277">
        <v>-529.411764705882</v>
      </c>
      <c r="T49" s="231">
        <v>1</v>
      </c>
      <c r="U49" s="231" t="s">
        <v>140</v>
      </c>
      <c r="V49" s="231"/>
      <c r="W49" s="231">
        <v>0</v>
      </c>
      <c r="X49" s="167">
        <v>18372.3468225449</v>
      </c>
      <c r="Y49" s="231">
        <v>128606.427757814</v>
      </c>
    </row>
    <row r="50" ht="22.6" customHeight="1" spans="1:25">
      <c r="A50" s="231"/>
      <c r="B50" s="272" t="s">
        <v>167</v>
      </c>
      <c r="C50" s="231">
        <v>79.99</v>
      </c>
      <c r="D50" s="273">
        <v>0</v>
      </c>
      <c r="E50" s="168">
        <v>0</v>
      </c>
      <c r="F50" s="274">
        <v>79.99</v>
      </c>
      <c r="G50" s="231">
        <v>315</v>
      </c>
      <c r="H50" s="231">
        <v>175</v>
      </c>
      <c r="I50" s="231">
        <v>490</v>
      </c>
      <c r="J50" s="231">
        <v>7</v>
      </c>
      <c r="K50" s="167">
        <v>21.1764705882353</v>
      </c>
      <c r="L50" s="167">
        <v>-3705.88235294118</v>
      </c>
      <c r="M50" s="167">
        <v>8298.9690585774</v>
      </c>
      <c r="N50" s="167">
        <v>4593.08670563622</v>
      </c>
      <c r="O50" s="231">
        <v>220</v>
      </c>
      <c r="P50" s="166">
        <v>70</v>
      </c>
      <c r="Q50" s="166">
        <v>25</v>
      </c>
      <c r="R50" s="166">
        <v>45</v>
      </c>
      <c r="S50" s="277">
        <v>-529.411764705882</v>
      </c>
      <c r="T50" s="231">
        <v>1</v>
      </c>
      <c r="U50" s="231" t="s">
        <v>140</v>
      </c>
      <c r="V50" s="231"/>
      <c r="W50" s="231">
        <v>0</v>
      </c>
      <c r="X50" s="167">
        <v>13779.2601169087</v>
      </c>
      <c r="Y50" s="231">
        <v>96454.8208183607</v>
      </c>
    </row>
    <row r="51" ht="22.6" customHeight="1" spans="1:25">
      <c r="A51" s="231"/>
      <c r="B51" s="272" t="s">
        <v>168</v>
      </c>
      <c r="C51" s="231">
        <v>79.99</v>
      </c>
      <c r="D51" s="273">
        <v>0</v>
      </c>
      <c r="E51" s="168">
        <v>0</v>
      </c>
      <c r="F51" s="274">
        <v>79.99</v>
      </c>
      <c r="G51" s="231">
        <v>315</v>
      </c>
      <c r="H51" s="231">
        <v>175</v>
      </c>
      <c r="I51" s="231">
        <v>490</v>
      </c>
      <c r="J51" s="231">
        <v>7</v>
      </c>
      <c r="K51" s="167">
        <v>21.1764705882353</v>
      </c>
      <c r="L51" s="167">
        <v>-3705.88235294118</v>
      </c>
      <c r="M51" s="167">
        <v>8298.9690585774</v>
      </c>
      <c r="N51" s="167">
        <v>4593.08670563622</v>
      </c>
      <c r="O51" s="231">
        <v>240</v>
      </c>
      <c r="P51" s="166">
        <v>70</v>
      </c>
      <c r="Q51" s="166">
        <v>25</v>
      </c>
      <c r="R51" s="166">
        <v>45</v>
      </c>
      <c r="S51" s="277">
        <v>-529.411764705882</v>
      </c>
      <c r="T51" s="231">
        <v>1</v>
      </c>
      <c r="U51" s="231" t="s">
        <v>140</v>
      </c>
      <c r="V51" s="231"/>
      <c r="W51" s="231">
        <v>0</v>
      </c>
      <c r="X51" s="167">
        <v>9186.17341127245</v>
      </c>
      <c r="Y51" s="231">
        <v>64303.2138789071</v>
      </c>
    </row>
    <row r="52" ht="22.6" customHeight="1" spans="1:25">
      <c r="A52" s="231"/>
      <c r="B52" s="272" t="s">
        <v>169</v>
      </c>
      <c r="C52" s="231">
        <v>79.99</v>
      </c>
      <c r="D52" s="273">
        <v>0</v>
      </c>
      <c r="E52" s="168">
        <v>0</v>
      </c>
      <c r="F52" s="274">
        <v>79.99</v>
      </c>
      <c r="G52" s="231">
        <v>315</v>
      </c>
      <c r="H52" s="231">
        <v>175</v>
      </c>
      <c r="I52" s="231">
        <v>490</v>
      </c>
      <c r="J52" s="231">
        <v>7</v>
      </c>
      <c r="K52" s="167">
        <v>21.1764705882353</v>
      </c>
      <c r="L52" s="167">
        <v>-3705.88235294118</v>
      </c>
      <c r="M52" s="167">
        <v>8298.9690585774</v>
      </c>
      <c r="N52" s="167">
        <v>4593.08670563622</v>
      </c>
      <c r="O52" s="231">
        <v>260</v>
      </c>
      <c r="P52" s="166">
        <v>70</v>
      </c>
      <c r="Q52" s="166">
        <v>25</v>
      </c>
      <c r="R52" s="166">
        <v>45</v>
      </c>
      <c r="S52" s="277">
        <v>-529.411764705882</v>
      </c>
      <c r="T52" s="231">
        <v>1</v>
      </c>
      <c r="U52" s="231" t="s">
        <v>144</v>
      </c>
      <c r="V52" s="231"/>
      <c r="W52" s="231">
        <v>0</v>
      </c>
      <c r="X52" s="167">
        <v>4593.08670563622</v>
      </c>
      <c r="Y52" s="231">
        <v>32151.6069394536</v>
      </c>
    </row>
    <row r="53" spans="1:25">
      <c r="A53" s="231"/>
      <c r="B53" s="272"/>
      <c r="C53" s="231"/>
      <c r="D53" s="273"/>
      <c r="E53" s="168"/>
      <c r="F53" s="274"/>
      <c r="G53" s="231"/>
      <c r="H53" s="231"/>
      <c r="I53" s="231"/>
      <c r="J53" s="231"/>
      <c r="K53" s="167"/>
      <c r="L53" s="167"/>
      <c r="M53" s="167"/>
      <c r="N53" s="167"/>
      <c r="O53" s="231"/>
      <c r="P53" s="166"/>
      <c r="Q53" s="166"/>
      <c r="R53" s="166"/>
      <c r="S53" s="277"/>
      <c r="T53" s="231"/>
      <c r="U53" s="231"/>
      <c r="V53" s="231"/>
      <c r="W53" s="231"/>
      <c r="X53" s="167"/>
      <c r="Y53" s="231"/>
    </row>
    <row r="54" spans="1:25">
      <c r="A54" s="231"/>
      <c r="B54" s="272"/>
      <c r="C54" s="231"/>
      <c r="D54" s="273"/>
      <c r="E54" s="168"/>
      <c r="F54" s="274"/>
      <c r="G54" s="231"/>
      <c r="H54" s="231"/>
      <c r="I54" s="231"/>
      <c r="J54" s="231"/>
      <c r="K54" s="167"/>
      <c r="L54" s="167"/>
      <c r="M54" s="167"/>
      <c r="N54" s="167"/>
      <c r="O54" s="231"/>
      <c r="P54" s="166"/>
      <c r="Q54" s="166"/>
      <c r="R54" s="166"/>
      <c r="S54" s="277"/>
      <c r="T54" s="231"/>
      <c r="U54" s="231"/>
      <c r="V54" s="231"/>
      <c r="W54" s="231"/>
      <c r="X54" s="167"/>
      <c r="Y54" s="231"/>
    </row>
    <row r="55" spans="1:25">
      <c r="A55" s="231"/>
      <c r="B55" s="272"/>
      <c r="C55" s="231"/>
      <c r="D55" s="273"/>
      <c r="E55" s="168"/>
      <c r="F55" s="274"/>
      <c r="G55" s="231"/>
      <c r="H55" s="231"/>
      <c r="I55" s="231"/>
      <c r="J55" s="231"/>
      <c r="K55" s="167"/>
      <c r="L55" s="167"/>
      <c r="M55" s="167"/>
      <c r="N55" s="167"/>
      <c r="O55" s="231"/>
      <c r="P55" s="166"/>
      <c r="Q55" s="166"/>
      <c r="R55" s="166"/>
      <c r="S55" s="277"/>
      <c r="T55" s="231"/>
      <c r="U55" s="231"/>
      <c r="V55" s="231"/>
      <c r="W55" s="231"/>
      <c r="X55" s="167"/>
      <c r="Y55" s="231"/>
    </row>
    <row r="56" spans="1:25">
      <c r="A56" s="231"/>
      <c r="B56" s="272"/>
      <c r="C56" s="231"/>
      <c r="D56" s="273"/>
      <c r="E56" s="168"/>
      <c r="F56" s="274"/>
      <c r="G56" s="231"/>
      <c r="H56" s="231"/>
      <c r="I56" s="231"/>
      <c r="J56" s="231"/>
      <c r="K56" s="167"/>
      <c r="L56" s="167"/>
      <c r="M56" s="167"/>
      <c r="N56" s="167"/>
      <c r="O56" s="231"/>
      <c r="P56" s="166"/>
      <c r="Q56" s="166"/>
      <c r="R56" s="166"/>
      <c r="S56" s="277"/>
      <c r="T56" s="231"/>
      <c r="U56" s="231"/>
      <c r="V56" s="231"/>
      <c r="W56" s="231"/>
      <c r="X56" s="167"/>
      <c r="Y56" s="231"/>
    </row>
    <row r="57" spans="1:25">
      <c r="A57" s="231"/>
      <c r="B57" s="272"/>
      <c r="C57" s="231"/>
      <c r="D57" s="273"/>
      <c r="E57" s="168"/>
      <c r="F57" s="274"/>
      <c r="G57" s="231"/>
      <c r="H57" s="231"/>
      <c r="I57" s="231"/>
      <c r="J57" s="231"/>
      <c r="K57" s="167"/>
      <c r="L57" s="167"/>
      <c r="M57" s="167"/>
      <c r="N57" s="167"/>
      <c r="O57" s="231"/>
      <c r="P57" s="166"/>
      <c r="Q57" s="166"/>
      <c r="R57" s="166"/>
      <c r="S57" s="277"/>
      <c r="T57" s="231"/>
      <c r="U57" s="231"/>
      <c r="V57" s="231"/>
      <c r="W57" s="231"/>
      <c r="X57" s="167"/>
      <c r="Y57" s="231"/>
    </row>
    <row r="58" spans="1:25">
      <c r="A58" s="231"/>
      <c r="B58" s="272"/>
      <c r="C58" s="231"/>
      <c r="D58" s="273"/>
      <c r="E58" s="168"/>
      <c r="F58" s="274"/>
      <c r="G58" s="231"/>
      <c r="H58" s="231"/>
      <c r="I58" s="231"/>
      <c r="J58" s="231"/>
      <c r="K58" s="167"/>
      <c r="L58" s="167"/>
      <c r="M58" s="167"/>
      <c r="N58" s="167"/>
      <c r="O58" s="231"/>
      <c r="P58" s="166"/>
      <c r="Q58" s="166"/>
      <c r="R58" s="166"/>
      <c r="S58" s="277"/>
      <c r="T58" s="231"/>
      <c r="U58" s="231"/>
      <c r="V58" s="231"/>
      <c r="W58" s="231"/>
      <c r="X58" s="167"/>
      <c r="Y58" s="231"/>
    </row>
    <row r="59" spans="1:25">
      <c r="A59" s="231"/>
      <c r="B59" s="272"/>
      <c r="C59" s="231"/>
      <c r="D59" s="273"/>
      <c r="E59" s="168"/>
      <c r="F59" s="274"/>
      <c r="G59" s="231"/>
      <c r="H59" s="231"/>
      <c r="I59" s="231"/>
      <c r="J59" s="231"/>
      <c r="K59" s="167"/>
      <c r="L59" s="167"/>
      <c r="M59" s="167"/>
      <c r="N59" s="167"/>
      <c r="O59" s="231"/>
      <c r="P59" s="166"/>
      <c r="Q59" s="166"/>
      <c r="R59" s="166"/>
      <c r="S59" s="277"/>
      <c r="T59" s="231"/>
      <c r="U59" s="231"/>
      <c r="V59" s="231"/>
      <c r="W59" s="231"/>
      <c r="X59" s="167"/>
      <c r="Y59" s="231"/>
    </row>
    <row r="60" spans="1:25">
      <c r="A60" s="231"/>
      <c r="B60" s="272"/>
      <c r="C60" s="231"/>
      <c r="D60" s="273"/>
      <c r="E60" s="168"/>
      <c r="F60" s="274"/>
      <c r="G60" s="231"/>
      <c r="H60" s="231"/>
      <c r="I60" s="231"/>
      <c r="J60" s="231"/>
      <c r="K60" s="167"/>
      <c r="L60" s="167"/>
      <c r="M60" s="167"/>
      <c r="N60" s="167"/>
      <c r="O60" s="231"/>
      <c r="P60" s="166"/>
      <c r="Q60" s="166"/>
      <c r="R60" s="166"/>
      <c r="S60" s="277"/>
      <c r="T60" s="231"/>
      <c r="U60" s="231"/>
      <c r="V60" s="231"/>
      <c r="W60" s="231"/>
      <c r="X60" s="167"/>
      <c r="Y60" s="231"/>
    </row>
    <row r="61" spans="1:25">
      <c r="A61" s="231"/>
      <c r="B61" s="272"/>
      <c r="C61" s="231"/>
      <c r="D61" s="273"/>
      <c r="E61" s="168"/>
      <c r="F61" s="274"/>
      <c r="G61" s="231"/>
      <c r="H61" s="231"/>
      <c r="I61" s="231"/>
      <c r="J61" s="231"/>
      <c r="K61" s="167"/>
      <c r="L61" s="167"/>
      <c r="M61" s="167"/>
      <c r="N61" s="167"/>
      <c r="O61" s="231"/>
      <c r="P61" s="166"/>
      <c r="Q61" s="166"/>
      <c r="R61" s="166"/>
      <c r="S61" s="277"/>
      <c r="T61" s="231"/>
      <c r="U61" s="231"/>
      <c r="V61" s="231"/>
      <c r="W61" s="231"/>
      <c r="X61" s="167"/>
      <c r="Y61" s="231"/>
    </row>
    <row r="62" spans="1:25">
      <c r="A62" s="231"/>
      <c r="B62" s="272"/>
      <c r="C62" s="231"/>
      <c r="D62" s="273"/>
      <c r="E62" s="168"/>
      <c r="F62" s="274"/>
      <c r="G62" s="231"/>
      <c r="H62" s="231"/>
      <c r="I62" s="231"/>
      <c r="J62" s="231"/>
      <c r="K62" s="167"/>
      <c r="L62" s="167"/>
      <c r="M62" s="167"/>
      <c r="N62" s="167"/>
      <c r="O62" s="231"/>
      <c r="P62" s="166"/>
      <c r="Q62" s="166"/>
      <c r="R62" s="166"/>
      <c r="S62" s="277"/>
      <c r="T62" s="231"/>
      <c r="U62" s="231"/>
      <c r="V62" s="231"/>
      <c r="W62" s="231"/>
      <c r="X62" s="167"/>
      <c r="Y62" s="231"/>
    </row>
    <row r="63" spans="1:25">
      <c r="A63" s="231"/>
      <c r="B63" s="272"/>
      <c r="C63" s="231"/>
      <c r="D63" s="273"/>
      <c r="E63" s="168"/>
      <c r="F63" s="274"/>
      <c r="G63" s="231"/>
      <c r="H63" s="231"/>
      <c r="I63" s="231"/>
      <c r="J63" s="231"/>
      <c r="K63" s="167"/>
      <c r="L63" s="167"/>
      <c r="M63" s="167"/>
      <c r="N63" s="167"/>
      <c r="O63" s="231"/>
      <c r="P63" s="166"/>
      <c r="Q63" s="166"/>
      <c r="R63" s="166"/>
      <c r="S63" s="277"/>
      <c r="T63" s="231"/>
      <c r="U63" s="231"/>
      <c r="V63" s="231"/>
      <c r="W63" s="231"/>
      <c r="X63" s="167"/>
      <c r="Y63" s="231"/>
    </row>
    <row r="64" spans="1:25">
      <c r="A64" s="231"/>
      <c r="B64" s="272"/>
      <c r="C64" s="231"/>
      <c r="D64" s="273"/>
      <c r="E64" s="168"/>
      <c r="F64" s="274"/>
      <c r="G64" s="231"/>
      <c r="H64" s="231"/>
      <c r="I64" s="231"/>
      <c r="J64" s="231"/>
      <c r="K64" s="167"/>
      <c r="L64" s="167"/>
      <c r="M64" s="167"/>
      <c r="N64" s="167"/>
      <c r="O64" s="231"/>
      <c r="P64" s="166"/>
      <c r="Q64" s="166"/>
      <c r="R64" s="166"/>
      <c r="S64" s="277"/>
      <c r="T64" s="231"/>
      <c r="U64" s="231"/>
      <c r="V64" s="231"/>
      <c r="W64" s="231"/>
      <c r="X64" s="167"/>
      <c r="Y64" s="231"/>
    </row>
    <row r="65" spans="1:25">
      <c r="A65" s="231"/>
      <c r="B65" s="272"/>
      <c r="C65" s="231"/>
      <c r="D65" s="273"/>
      <c r="E65" s="168"/>
      <c r="F65" s="274"/>
      <c r="G65" s="231"/>
      <c r="H65" s="231"/>
      <c r="I65" s="231"/>
      <c r="J65" s="231"/>
      <c r="K65" s="167"/>
      <c r="L65" s="167"/>
      <c r="M65" s="167"/>
      <c r="N65" s="167"/>
      <c r="O65" s="231"/>
      <c r="P65" s="166"/>
      <c r="Q65" s="166"/>
      <c r="R65" s="166"/>
      <c r="S65" s="277"/>
      <c r="T65" s="231"/>
      <c r="U65" s="231"/>
      <c r="V65" s="231"/>
      <c r="W65" s="231"/>
      <c r="X65" s="167"/>
      <c r="Y65" s="231"/>
    </row>
    <row r="66" spans="1:25">
      <c r="A66" s="231"/>
      <c r="B66" s="272"/>
      <c r="C66" s="231"/>
      <c r="D66" s="273"/>
      <c r="E66" s="168"/>
      <c r="F66" s="274"/>
      <c r="G66" s="231"/>
      <c r="H66" s="231"/>
      <c r="I66" s="231"/>
      <c r="J66" s="231"/>
      <c r="K66" s="167"/>
      <c r="L66" s="167"/>
      <c r="M66" s="167"/>
      <c r="N66" s="167"/>
      <c r="O66" s="231"/>
      <c r="P66" s="166"/>
      <c r="Q66" s="166"/>
      <c r="R66" s="166"/>
      <c r="S66" s="277"/>
      <c r="T66" s="231"/>
      <c r="U66" s="231"/>
      <c r="V66" s="231"/>
      <c r="W66" s="231"/>
      <c r="X66" s="167"/>
      <c r="Y66" s="231"/>
    </row>
    <row r="67" spans="1:25">
      <c r="A67" s="231"/>
      <c r="B67" s="272"/>
      <c r="C67" s="231"/>
      <c r="D67" s="273"/>
      <c r="E67" s="168"/>
      <c r="F67" s="274"/>
      <c r="G67" s="231"/>
      <c r="H67" s="231"/>
      <c r="I67" s="231"/>
      <c r="J67" s="231"/>
      <c r="K67" s="167"/>
      <c r="L67" s="167"/>
      <c r="M67" s="167"/>
      <c r="N67" s="167"/>
      <c r="O67" s="231"/>
      <c r="P67" s="166"/>
      <c r="Q67" s="166"/>
      <c r="R67" s="166"/>
      <c r="S67" s="277"/>
      <c r="T67" s="231"/>
      <c r="U67" s="231"/>
      <c r="V67" s="231"/>
      <c r="W67" s="231"/>
      <c r="X67" s="167"/>
      <c r="Y67" s="231"/>
    </row>
    <row r="68" spans="1:25">
      <c r="A68" s="231"/>
      <c r="B68" s="272"/>
      <c r="C68" s="231"/>
      <c r="D68" s="273"/>
      <c r="E68" s="168"/>
      <c r="F68" s="274"/>
      <c r="G68" s="231"/>
      <c r="H68" s="231"/>
      <c r="I68" s="231"/>
      <c r="J68" s="231"/>
      <c r="K68" s="167"/>
      <c r="L68" s="167"/>
      <c r="M68" s="167"/>
      <c r="N68" s="167"/>
      <c r="O68" s="231"/>
      <c r="P68" s="166"/>
      <c r="Q68" s="166"/>
      <c r="R68" s="166"/>
      <c r="S68" s="277"/>
      <c r="T68" s="231"/>
      <c r="U68" s="231"/>
      <c r="V68" s="231"/>
      <c r="W68" s="231"/>
      <c r="X68" s="167"/>
      <c r="Y68" s="231"/>
    </row>
    <row r="69" spans="1:25">
      <c r="A69" s="231"/>
      <c r="B69" s="272"/>
      <c r="C69" s="231"/>
      <c r="D69" s="273"/>
      <c r="E69" s="168"/>
      <c r="F69" s="274"/>
      <c r="G69" s="231"/>
      <c r="H69" s="231"/>
      <c r="I69" s="231"/>
      <c r="J69" s="231"/>
      <c r="K69" s="167"/>
      <c r="L69" s="167"/>
      <c r="M69" s="167"/>
      <c r="N69" s="167"/>
      <c r="O69" s="231"/>
      <c r="P69" s="166"/>
      <c r="Q69" s="166"/>
      <c r="R69" s="166"/>
      <c r="S69" s="277"/>
      <c r="T69" s="231"/>
      <c r="U69" s="231"/>
      <c r="V69" s="231"/>
      <c r="W69" s="231"/>
      <c r="X69" s="167"/>
      <c r="Y69" s="231"/>
    </row>
    <row r="70" spans="1:25">
      <c r="A70" s="231"/>
      <c r="B70" s="272"/>
      <c r="C70" s="231"/>
      <c r="D70" s="273"/>
      <c r="E70" s="168"/>
      <c r="F70" s="274"/>
      <c r="G70" s="231"/>
      <c r="H70" s="231"/>
      <c r="I70" s="231"/>
      <c r="J70" s="231"/>
      <c r="K70" s="167"/>
      <c r="L70" s="167"/>
      <c r="M70" s="167"/>
      <c r="N70" s="167"/>
      <c r="O70" s="231"/>
      <c r="P70" s="166"/>
      <c r="Q70" s="166"/>
      <c r="R70" s="166"/>
      <c r="S70" s="277"/>
      <c r="T70" s="231"/>
      <c r="U70" s="231"/>
      <c r="V70" s="231"/>
      <c r="W70" s="231"/>
      <c r="X70" s="167"/>
      <c r="Y70" s="231"/>
    </row>
    <row r="71" spans="1:25">
      <c r="A71" s="231"/>
      <c r="B71" s="272"/>
      <c r="C71" s="231"/>
      <c r="D71" s="273"/>
      <c r="E71" s="168"/>
      <c r="F71" s="274"/>
      <c r="G71" s="231"/>
      <c r="H71" s="231"/>
      <c r="I71" s="231"/>
      <c r="J71" s="231"/>
      <c r="K71" s="167"/>
      <c r="L71" s="167"/>
      <c r="M71" s="167"/>
      <c r="N71" s="167"/>
      <c r="O71" s="231"/>
      <c r="P71" s="166"/>
      <c r="Q71" s="166"/>
      <c r="R71" s="166"/>
      <c r="S71" s="277"/>
      <c r="T71" s="231"/>
      <c r="U71" s="231"/>
      <c r="V71" s="231"/>
      <c r="W71" s="231"/>
      <c r="X71" s="167"/>
      <c r="Y71" s="231"/>
    </row>
    <row r="72" spans="1:25">
      <c r="A72" s="231"/>
      <c r="B72" s="272"/>
      <c r="C72" s="231"/>
      <c r="D72" s="273"/>
      <c r="E72" s="168"/>
      <c r="F72" s="274"/>
      <c r="G72" s="231"/>
      <c r="H72" s="231"/>
      <c r="I72" s="231"/>
      <c r="J72" s="231"/>
      <c r="K72" s="167"/>
      <c r="L72" s="167"/>
      <c r="M72" s="167"/>
      <c r="N72" s="167"/>
      <c r="O72" s="231"/>
      <c r="P72" s="166"/>
      <c r="Q72" s="166"/>
      <c r="R72" s="166"/>
      <c r="S72" s="277"/>
      <c r="T72" s="231"/>
      <c r="U72" s="231"/>
      <c r="V72" s="231"/>
      <c r="W72" s="231"/>
      <c r="X72" s="167"/>
      <c r="Y72" s="231"/>
    </row>
    <row r="73" spans="1:25">
      <c r="A73" s="231"/>
      <c r="B73" s="272"/>
      <c r="C73" s="231"/>
      <c r="D73" s="273"/>
      <c r="E73" s="168"/>
      <c r="F73" s="274"/>
      <c r="G73" s="231"/>
      <c r="H73" s="231"/>
      <c r="I73" s="231"/>
      <c r="J73" s="231"/>
      <c r="K73" s="167"/>
      <c r="L73" s="167"/>
      <c r="M73" s="167"/>
      <c r="N73" s="167"/>
      <c r="O73" s="231"/>
      <c r="P73" s="166"/>
      <c r="Q73" s="166"/>
      <c r="R73" s="166"/>
      <c r="S73" s="277"/>
      <c r="T73" s="231"/>
      <c r="U73" s="231"/>
      <c r="V73" s="231"/>
      <c r="W73" s="231"/>
      <c r="X73" s="167"/>
      <c r="Y73" s="231"/>
    </row>
    <row r="74" spans="1:25">
      <c r="A74" s="231"/>
      <c r="B74" s="272"/>
      <c r="C74" s="231"/>
      <c r="D74" s="273"/>
      <c r="E74" s="168"/>
      <c r="F74" s="274"/>
      <c r="G74" s="231"/>
      <c r="H74" s="231"/>
      <c r="I74" s="231"/>
      <c r="J74" s="231"/>
      <c r="K74" s="167"/>
      <c r="L74" s="167"/>
      <c r="M74" s="167"/>
      <c r="N74" s="167"/>
      <c r="O74" s="231"/>
      <c r="P74" s="166"/>
      <c r="Q74" s="166"/>
      <c r="R74" s="166"/>
      <c r="S74" s="277"/>
      <c r="T74" s="231"/>
      <c r="U74" s="231"/>
      <c r="V74" s="231"/>
      <c r="W74" s="231"/>
      <c r="X74" s="167"/>
      <c r="Y74" s="231"/>
    </row>
    <row r="75" spans="1:25">
      <c r="A75" s="231"/>
      <c r="B75" s="272"/>
      <c r="C75" s="231"/>
      <c r="D75" s="273"/>
      <c r="E75" s="168"/>
      <c r="F75" s="274"/>
      <c r="G75" s="231"/>
      <c r="H75" s="231"/>
      <c r="I75" s="231"/>
      <c r="J75" s="231"/>
      <c r="K75" s="167"/>
      <c r="L75" s="167"/>
      <c r="M75" s="167"/>
      <c r="N75" s="167"/>
      <c r="O75" s="231"/>
      <c r="P75" s="166"/>
      <c r="Q75" s="166"/>
      <c r="R75" s="166"/>
      <c r="S75" s="277"/>
      <c r="T75" s="231"/>
      <c r="U75" s="231"/>
      <c r="V75" s="231"/>
      <c r="W75" s="231"/>
      <c r="X75" s="167"/>
      <c r="Y75" s="231"/>
    </row>
    <row r="76" spans="1:25">
      <c r="A76" s="231"/>
      <c r="B76" s="272"/>
      <c r="C76" s="231"/>
      <c r="D76" s="273"/>
      <c r="E76" s="168"/>
      <c r="F76" s="274"/>
      <c r="G76" s="231"/>
      <c r="H76" s="231"/>
      <c r="I76" s="231"/>
      <c r="J76" s="231"/>
      <c r="K76" s="167"/>
      <c r="L76" s="167"/>
      <c r="M76" s="167"/>
      <c r="N76" s="167"/>
      <c r="O76" s="231"/>
      <c r="P76" s="166"/>
      <c r="Q76" s="166"/>
      <c r="R76" s="166"/>
      <c r="S76" s="277"/>
      <c r="T76" s="231"/>
      <c r="U76" s="231"/>
      <c r="V76" s="231"/>
      <c r="W76" s="231"/>
      <c r="X76" s="167"/>
      <c r="Y76" s="231"/>
    </row>
    <row r="77" spans="1:25">
      <c r="A77" s="231"/>
      <c r="B77" s="272"/>
      <c r="C77" s="231"/>
      <c r="D77" s="273"/>
      <c r="E77" s="168"/>
      <c r="F77" s="274"/>
      <c r="G77" s="231"/>
      <c r="H77" s="231"/>
      <c r="I77" s="231"/>
      <c r="J77" s="231"/>
      <c r="K77" s="167"/>
      <c r="L77" s="167"/>
      <c r="M77" s="167"/>
      <c r="N77" s="167"/>
      <c r="O77" s="231"/>
      <c r="P77" s="166"/>
      <c r="Q77" s="166"/>
      <c r="R77" s="166"/>
      <c r="S77" s="277"/>
      <c r="T77" s="231"/>
      <c r="U77" s="231"/>
      <c r="V77" s="231"/>
      <c r="W77" s="231"/>
      <c r="X77" s="167"/>
      <c r="Y77" s="231"/>
    </row>
    <row r="78" spans="1:25">
      <c r="A78" s="231"/>
      <c r="B78" s="272"/>
      <c r="C78" s="231"/>
      <c r="D78" s="273"/>
      <c r="E78" s="168"/>
      <c r="F78" s="274"/>
      <c r="G78" s="231"/>
      <c r="H78" s="231"/>
      <c r="I78" s="231"/>
      <c r="J78" s="231"/>
      <c r="K78" s="167"/>
      <c r="L78" s="167"/>
      <c r="M78" s="167"/>
      <c r="N78" s="167"/>
      <c r="O78" s="231"/>
      <c r="P78" s="166"/>
      <c r="Q78" s="166"/>
      <c r="R78" s="166"/>
      <c r="S78" s="277"/>
      <c r="T78" s="231"/>
      <c r="U78" s="231"/>
      <c r="V78" s="231"/>
      <c r="W78" s="231"/>
      <c r="X78" s="167"/>
      <c r="Y78" s="231"/>
    </row>
    <row r="79" spans="1:25">
      <c r="A79" s="231"/>
      <c r="B79" s="272"/>
      <c r="C79" s="231"/>
      <c r="D79" s="273"/>
      <c r="E79" s="168"/>
      <c r="F79" s="274"/>
      <c r="G79" s="231"/>
      <c r="H79" s="231"/>
      <c r="I79" s="231"/>
      <c r="J79" s="231"/>
      <c r="K79" s="167"/>
      <c r="L79" s="167"/>
      <c r="M79" s="167"/>
      <c r="N79" s="167"/>
      <c r="O79" s="231"/>
      <c r="P79" s="166"/>
      <c r="Q79" s="166"/>
      <c r="R79" s="166"/>
      <c r="S79" s="277"/>
      <c r="T79" s="231"/>
      <c r="U79" s="231"/>
      <c r="V79" s="231"/>
      <c r="W79" s="231"/>
      <c r="X79" s="167"/>
      <c r="Y79" s="231"/>
    </row>
    <row r="80" spans="1:25">
      <c r="A80" s="231"/>
      <c r="B80" s="272"/>
      <c r="C80" s="231"/>
      <c r="D80" s="273"/>
      <c r="E80" s="168"/>
      <c r="F80" s="274"/>
      <c r="G80" s="231"/>
      <c r="H80" s="231"/>
      <c r="I80" s="231"/>
      <c r="J80" s="231"/>
      <c r="K80" s="167"/>
      <c r="L80" s="167"/>
      <c r="M80" s="167"/>
      <c r="N80" s="167"/>
      <c r="O80" s="231"/>
      <c r="P80" s="166"/>
      <c r="Q80" s="166"/>
      <c r="R80" s="166"/>
      <c r="S80" s="277"/>
      <c r="T80" s="231"/>
      <c r="U80" s="231"/>
      <c r="V80" s="231"/>
      <c r="W80" s="231"/>
      <c r="X80" s="167"/>
      <c r="Y80" s="231"/>
    </row>
    <row r="81" spans="1:25">
      <c r="A81" s="231"/>
      <c r="B81" s="272"/>
      <c r="C81" s="231"/>
      <c r="D81" s="273"/>
      <c r="E81" s="168"/>
      <c r="F81" s="274"/>
      <c r="G81" s="231"/>
      <c r="H81" s="231"/>
      <c r="I81" s="231"/>
      <c r="J81" s="231"/>
      <c r="K81" s="167"/>
      <c r="L81" s="167"/>
      <c r="M81" s="167"/>
      <c r="N81" s="167"/>
      <c r="O81" s="231"/>
      <c r="P81" s="166"/>
      <c r="Q81" s="166"/>
      <c r="R81" s="166"/>
      <c r="S81" s="277"/>
      <c r="T81" s="231"/>
      <c r="U81" s="231"/>
      <c r="V81" s="231"/>
      <c r="W81" s="231"/>
      <c r="X81" s="167"/>
      <c r="Y81" s="231"/>
    </row>
    <row r="82" spans="1:25">
      <c r="A82" s="231"/>
      <c r="B82" s="272"/>
      <c r="C82" s="231"/>
      <c r="D82" s="273"/>
      <c r="E82" s="168"/>
      <c r="F82" s="274"/>
      <c r="G82" s="231"/>
      <c r="H82" s="231"/>
      <c r="I82" s="231"/>
      <c r="J82" s="231"/>
      <c r="K82" s="167"/>
      <c r="L82" s="167"/>
      <c r="M82" s="167"/>
      <c r="N82" s="167"/>
      <c r="O82" s="231"/>
      <c r="P82" s="166"/>
      <c r="Q82" s="166"/>
      <c r="R82" s="166"/>
      <c r="S82" s="277"/>
      <c r="T82" s="231"/>
      <c r="U82" s="231"/>
      <c r="V82" s="231"/>
      <c r="W82" s="231"/>
      <c r="X82" s="167"/>
      <c r="Y82" s="231"/>
    </row>
    <row r="83" spans="1:25">
      <c r="A83" s="231"/>
      <c r="B83" s="272"/>
      <c r="C83" s="231"/>
      <c r="D83" s="273"/>
      <c r="E83" s="168"/>
      <c r="F83" s="274"/>
      <c r="G83" s="231"/>
      <c r="H83" s="231"/>
      <c r="I83" s="231"/>
      <c r="J83" s="231"/>
      <c r="K83" s="167"/>
      <c r="L83" s="167"/>
      <c r="M83" s="167"/>
      <c r="N83" s="167"/>
      <c r="O83" s="231"/>
      <c r="P83" s="166"/>
      <c r="Q83" s="166"/>
      <c r="R83" s="166"/>
      <c r="S83" s="277"/>
      <c r="T83" s="231"/>
      <c r="U83" s="231"/>
      <c r="V83" s="231"/>
      <c r="W83" s="231"/>
      <c r="X83" s="167"/>
      <c r="Y83" s="231"/>
    </row>
    <row r="84" spans="1:25">
      <c r="A84" s="231"/>
      <c r="B84" s="272"/>
      <c r="C84" s="231"/>
      <c r="D84" s="273"/>
      <c r="E84" s="168"/>
      <c r="F84" s="274"/>
      <c r="G84" s="231"/>
      <c r="H84" s="231"/>
      <c r="I84" s="231"/>
      <c r="J84" s="231"/>
      <c r="K84" s="167"/>
      <c r="L84" s="167"/>
      <c r="M84" s="167"/>
      <c r="N84" s="167"/>
      <c r="O84" s="231"/>
      <c r="P84" s="166"/>
      <c r="Q84" s="166"/>
      <c r="R84" s="166"/>
      <c r="S84" s="277"/>
      <c r="T84" s="231"/>
      <c r="U84" s="231"/>
      <c r="V84" s="231"/>
      <c r="W84" s="231"/>
      <c r="X84" s="167"/>
      <c r="Y84" s="231"/>
    </row>
    <row r="85" spans="1:25">
      <c r="A85" s="231"/>
      <c r="B85" s="272"/>
      <c r="C85" s="231"/>
      <c r="D85" s="273"/>
      <c r="E85" s="168"/>
      <c r="F85" s="274"/>
      <c r="G85" s="231"/>
      <c r="H85" s="231"/>
      <c r="I85" s="231"/>
      <c r="J85" s="231"/>
      <c r="K85" s="167"/>
      <c r="L85" s="167"/>
      <c r="M85" s="167"/>
      <c r="N85" s="167"/>
      <c r="O85" s="231"/>
      <c r="P85" s="166"/>
      <c r="Q85" s="166"/>
      <c r="R85" s="166"/>
      <c r="S85" s="277"/>
      <c r="T85" s="231"/>
      <c r="U85" s="231"/>
      <c r="V85" s="231"/>
      <c r="W85" s="231"/>
      <c r="X85" s="167"/>
      <c r="Y85" s="231"/>
    </row>
    <row r="86" spans="1:25">
      <c r="A86" s="231"/>
      <c r="B86" s="272"/>
      <c r="C86" s="231"/>
      <c r="D86" s="273"/>
      <c r="E86" s="168"/>
      <c r="F86" s="274"/>
      <c r="G86" s="231"/>
      <c r="H86" s="231"/>
      <c r="I86" s="231"/>
      <c r="J86" s="231"/>
      <c r="K86" s="167"/>
      <c r="L86" s="167"/>
      <c r="M86" s="167"/>
      <c r="N86" s="167"/>
      <c r="O86" s="231"/>
      <c r="P86" s="166"/>
      <c r="Q86" s="166"/>
      <c r="R86" s="166"/>
      <c r="S86" s="277"/>
      <c r="T86" s="231"/>
      <c r="U86" s="231"/>
      <c r="V86" s="231"/>
      <c r="W86" s="231"/>
      <c r="X86" s="167"/>
      <c r="Y86" s="231"/>
    </row>
    <row r="87" spans="1:25">
      <c r="A87" s="231"/>
      <c r="B87" s="272"/>
      <c r="C87" s="231"/>
      <c r="D87" s="273"/>
      <c r="E87" s="168"/>
      <c r="F87" s="274"/>
      <c r="G87" s="231"/>
      <c r="H87" s="231"/>
      <c r="I87" s="231"/>
      <c r="J87" s="231"/>
      <c r="K87" s="167"/>
      <c r="L87" s="167"/>
      <c r="M87" s="167"/>
      <c r="N87" s="167"/>
      <c r="O87" s="231"/>
      <c r="P87" s="166"/>
      <c r="Q87" s="166"/>
      <c r="R87" s="166"/>
      <c r="S87" s="277"/>
      <c r="T87" s="231"/>
      <c r="U87" s="231"/>
      <c r="V87" s="231"/>
      <c r="W87" s="231"/>
      <c r="X87" s="167"/>
      <c r="Y87" s="231"/>
    </row>
    <row r="88" spans="1:25">
      <c r="A88" s="231"/>
      <c r="B88" s="272"/>
      <c r="C88" s="231"/>
      <c r="D88" s="273"/>
      <c r="E88" s="168"/>
      <c r="F88" s="274"/>
      <c r="G88" s="231"/>
      <c r="H88" s="231"/>
      <c r="I88" s="231"/>
      <c r="J88" s="231"/>
      <c r="K88" s="167"/>
      <c r="L88" s="167"/>
      <c r="M88" s="167"/>
      <c r="N88" s="167"/>
      <c r="O88" s="231"/>
      <c r="P88" s="166"/>
      <c r="Q88" s="166"/>
      <c r="R88" s="166"/>
      <c r="S88" s="277"/>
      <c r="T88" s="231"/>
      <c r="U88" s="231"/>
      <c r="V88" s="231"/>
      <c r="W88" s="231"/>
      <c r="X88" s="167"/>
      <c r="Y88" s="231"/>
    </row>
    <row r="89" spans="1:25">
      <c r="A89" s="231"/>
      <c r="B89" s="272"/>
      <c r="C89" s="231"/>
      <c r="D89" s="273"/>
      <c r="E89" s="168"/>
      <c r="F89" s="274"/>
      <c r="G89" s="231"/>
      <c r="H89" s="231"/>
      <c r="I89" s="231"/>
      <c r="J89" s="231"/>
      <c r="K89" s="167"/>
      <c r="L89" s="167"/>
      <c r="M89" s="167"/>
      <c r="N89" s="167"/>
      <c r="O89" s="231"/>
      <c r="P89" s="166"/>
      <c r="Q89" s="166"/>
      <c r="R89" s="166"/>
      <c r="S89" s="277"/>
      <c r="T89" s="231"/>
      <c r="U89" s="231"/>
      <c r="V89" s="231"/>
      <c r="W89" s="231"/>
      <c r="X89" s="167"/>
      <c r="Y89" s="231"/>
    </row>
    <row r="90" spans="1:25">
      <c r="A90" s="231"/>
      <c r="B90" s="272"/>
      <c r="C90" s="231"/>
      <c r="D90" s="273"/>
      <c r="E90" s="168"/>
      <c r="F90" s="274"/>
      <c r="G90" s="231"/>
      <c r="H90" s="231"/>
      <c r="I90" s="231"/>
      <c r="J90" s="231"/>
      <c r="K90" s="167"/>
      <c r="L90" s="167"/>
      <c r="M90" s="167"/>
      <c r="N90" s="167"/>
      <c r="O90" s="231"/>
      <c r="P90" s="166"/>
      <c r="Q90" s="166"/>
      <c r="R90" s="166"/>
      <c r="S90" s="277"/>
      <c r="T90" s="231"/>
      <c r="U90" s="231"/>
      <c r="V90" s="231"/>
      <c r="W90" s="231"/>
      <c r="X90" s="167"/>
      <c r="Y90" s="231"/>
    </row>
    <row r="91" spans="1:25">
      <c r="A91" s="231"/>
      <c r="B91" s="272"/>
      <c r="C91" s="231"/>
      <c r="D91" s="273"/>
      <c r="E91" s="168"/>
      <c r="F91" s="274"/>
      <c r="G91" s="231"/>
      <c r="H91" s="231"/>
      <c r="I91" s="231"/>
      <c r="J91" s="231"/>
      <c r="K91" s="167"/>
      <c r="L91" s="167"/>
      <c r="M91" s="167"/>
      <c r="N91" s="167"/>
      <c r="O91" s="231"/>
      <c r="P91" s="166"/>
      <c r="Q91" s="166"/>
      <c r="R91" s="166"/>
      <c r="S91" s="277"/>
      <c r="T91" s="231"/>
      <c r="U91" s="231"/>
      <c r="V91" s="231"/>
      <c r="W91" s="231"/>
      <c r="X91" s="167"/>
      <c r="Y91" s="231"/>
    </row>
    <row r="92" spans="1:25">
      <c r="A92" s="231"/>
      <c r="B92" s="272"/>
      <c r="C92" s="231"/>
      <c r="D92" s="273"/>
      <c r="E92" s="168"/>
      <c r="F92" s="274"/>
      <c r="G92" s="231"/>
      <c r="H92" s="231"/>
      <c r="I92" s="231"/>
      <c r="J92" s="231"/>
      <c r="K92" s="167"/>
      <c r="L92" s="167"/>
      <c r="M92" s="167"/>
      <c r="N92" s="167"/>
      <c r="O92" s="231"/>
      <c r="P92" s="166"/>
      <c r="Q92" s="166"/>
      <c r="R92" s="166"/>
      <c r="S92" s="277"/>
      <c r="T92" s="231"/>
      <c r="U92" s="231"/>
      <c r="V92" s="231"/>
      <c r="W92" s="231"/>
      <c r="X92" s="167"/>
      <c r="Y92" s="231"/>
    </row>
    <row r="93" spans="1:25">
      <c r="A93" s="231"/>
      <c r="B93" s="272"/>
      <c r="C93" s="231"/>
      <c r="D93" s="273"/>
      <c r="E93" s="168"/>
      <c r="F93" s="274"/>
      <c r="G93" s="231"/>
      <c r="H93" s="231"/>
      <c r="I93" s="231"/>
      <c r="J93" s="231"/>
      <c r="K93" s="167"/>
      <c r="L93" s="167"/>
      <c r="M93" s="167"/>
      <c r="N93" s="167"/>
      <c r="O93" s="231"/>
      <c r="P93" s="166"/>
      <c r="Q93" s="166"/>
      <c r="R93" s="166"/>
      <c r="S93" s="277"/>
      <c r="T93" s="231"/>
      <c r="U93" s="231"/>
      <c r="V93" s="231"/>
      <c r="W93" s="231"/>
      <c r="X93" s="167"/>
      <c r="Y93" s="231"/>
    </row>
    <row r="94" spans="1:25">
      <c r="A94" s="231"/>
      <c r="B94" s="272"/>
      <c r="C94" s="231"/>
      <c r="D94" s="273"/>
      <c r="E94" s="168"/>
      <c r="F94" s="274"/>
      <c r="G94" s="231"/>
      <c r="H94" s="231"/>
      <c r="I94" s="231"/>
      <c r="J94" s="231"/>
      <c r="K94" s="167"/>
      <c r="L94" s="167"/>
      <c r="M94" s="167"/>
      <c r="N94" s="167"/>
      <c r="O94" s="231"/>
      <c r="P94" s="166"/>
      <c r="Q94" s="166"/>
      <c r="R94" s="166"/>
      <c r="S94" s="277"/>
      <c r="T94" s="231"/>
      <c r="U94" s="231"/>
      <c r="V94" s="231"/>
      <c r="W94" s="231"/>
      <c r="X94" s="167"/>
      <c r="Y94" s="231"/>
    </row>
    <row r="95" spans="1:25">
      <c r="A95" s="231"/>
      <c r="B95" s="272"/>
      <c r="C95" s="231"/>
      <c r="D95" s="273"/>
      <c r="E95" s="168"/>
      <c r="F95" s="274"/>
      <c r="G95" s="231"/>
      <c r="H95" s="231"/>
      <c r="I95" s="231"/>
      <c r="J95" s="231"/>
      <c r="K95" s="167"/>
      <c r="L95" s="167"/>
      <c r="M95" s="167"/>
      <c r="N95" s="167"/>
      <c r="O95" s="231"/>
      <c r="P95" s="166"/>
      <c r="Q95" s="166"/>
      <c r="R95" s="166"/>
      <c r="S95" s="277"/>
      <c r="T95" s="231"/>
      <c r="U95" s="231"/>
      <c r="V95" s="231"/>
      <c r="W95" s="231"/>
      <c r="X95" s="167"/>
      <c r="Y95" s="231"/>
    </row>
    <row r="96" spans="1:25">
      <c r="A96" s="231"/>
      <c r="B96" s="272"/>
      <c r="C96" s="231"/>
      <c r="D96" s="273"/>
      <c r="E96" s="168"/>
      <c r="F96" s="274"/>
      <c r="G96" s="231"/>
      <c r="H96" s="231"/>
      <c r="I96" s="231"/>
      <c r="J96" s="231"/>
      <c r="K96" s="167"/>
      <c r="L96" s="167"/>
      <c r="M96" s="167"/>
      <c r="N96" s="167"/>
      <c r="O96" s="231"/>
      <c r="P96" s="166"/>
      <c r="Q96" s="166"/>
      <c r="R96" s="166"/>
      <c r="S96" s="277"/>
      <c r="T96" s="231"/>
      <c r="U96" s="231"/>
      <c r="V96" s="231"/>
      <c r="W96" s="231"/>
      <c r="X96" s="167"/>
      <c r="Y96" s="231"/>
    </row>
    <row r="97" spans="1:25">
      <c r="A97" s="231"/>
      <c r="B97" s="272"/>
      <c r="C97" s="231"/>
      <c r="D97" s="273"/>
      <c r="E97" s="168"/>
      <c r="F97" s="274"/>
      <c r="G97" s="231"/>
      <c r="H97" s="231"/>
      <c r="I97" s="231"/>
      <c r="J97" s="231"/>
      <c r="K97" s="167"/>
      <c r="L97" s="167"/>
      <c r="M97" s="167"/>
      <c r="N97" s="167"/>
      <c r="O97" s="231"/>
      <c r="P97" s="166"/>
      <c r="Q97" s="166"/>
      <c r="R97" s="166"/>
      <c r="S97" s="277"/>
      <c r="T97" s="231"/>
      <c r="U97" s="231"/>
      <c r="V97" s="231"/>
      <c r="W97" s="231"/>
      <c r="X97" s="167"/>
      <c r="Y97" s="231"/>
    </row>
    <row r="98" spans="1:25">
      <c r="A98" s="231"/>
      <c r="B98" s="272"/>
      <c r="C98" s="231"/>
      <c r="D98" s="273"/>
      <c r="E98" s="168"/>
      <c r="F98" s="274"/>
      <c r="G98" s="231"/>
      <c r="H98" s="231"/>
      <c r="I98" s="231"/>
      <c r="J98" s="231"/>
      <c r="K98" s="167"/>
      <c r="L98" s="167"/>
      <c r="M98" s="167"/>
      <c r="N98" s="167"/>
      <c r="O98" s="231"/>
      <c r="P98" s="166"/>
      <c r="Q98" s="166"/>
      <c r="R98" s="166"/>
      <c r="S98" s="277"/>
      <c r="T98" s="231"/>
      <c r="U98" s="231"/>
      <c r="V98" s="231"/>
      <c r="W98" s="231"/>
      <c r="X98" s="167"/>
      <c r="Y98" s="231"/>
    </row>
    <row r="99" spans="1:25">
      <c r="A99" s="231"/>
      <c r="B99" s="272"/>
      <c r="C99" s="231"/>
      <c r="D99" s="273"/>
      <c r="E99" s="168"/>
      <c r="F99" s="274"/>
      <c r="G99" s="231"/>
      <c r="H99" s="231"/>
      <c r="I99" s="231"/>
      <c r="J99" s="231"/>
      <c r="K99" s="167"/>
      <c r="L99" s="167"/>
      <c r="M99" s="167"/>
      <c r="N99" s="167"/>
      <c r="O99" s="231"/>
      <c r="P99" s="166"/>
      <c r="Q99" s="166"/>
      <c r="R99" s="166"/>
      <c r="S99" s="277"/>
      <c r="T99" s="231"/>
      <c r="U99" s="231"/>
      <c r="V99" s="231"/>
      <c r="W99" s="231"/>
      <c r="X99" s="167"/>
      <c r="Y99" s="231"/>
    </row>
    <row r="100" spans="1:25">
      <c r="A100" s="231"/>
      <c r="B100" s="272"/>
      <c r="C100" s="231"/>
      <c r="D100" s="273"/>
      <c r="E100" s="168"/>
      <c r="F100" s="274"/>
      <c r="G100" s="231"/>
      <c r="H100" s="231"/>
      <c r="I100" s="231"/>
      <c r="J100" s="231"/>
      <c r="K100" s="167"/>
      <c r="L100" s="167"/>
      <c r="M100" s="167"/>
      <c r="N100" s="167"/>
      <c r="O100" s="231"/>
      <c r="P100" s="166"/>
      <c r="Q100" s="166"/>
      <c r="R100" s="166"/>
      <c r="S100" s="277"/>
      <c r="T100" s="231"/>
      <c r="U100" s="231"/>
      <c r="V100" s="231"/>
      <c r="W100" s="231"/>
      <c r="X100" s="167"/>
      <c r="Y100" s="231"/>
    </row>
    <row r="101" spans="1:25">
      <c r="A101" s="231"/>
      <c r="B101" s="272"/>
      <c r="C101" s="231"/>
      <c r="D101" s="273"/>
      <c r="E101" s="168"/>
      <c r="F101" s="274"/>
      <c r="G101" s="231"/>
      <c r="H101" s="231"/>
      <c r="I101" s="231"/>
      <c r="J101" s="231"/>
      <c r="K101" s="167"/>
      <c r="L101" s="167"/>
      <c r="M101" s="167"/>
      <c r="N101" s="167"/>
      <c r="O101" s="231"/>
      <c r="P101" s="166"/>
      <c r="Q101" s="166"/>
      <c r="R101" s="166"/>
      <c r="S101" s="277"/>
      <c r="T101" s="231"/>
      <c r="U101" s="231"/>
      <c r="V101" s="231"/>
      <c r="W101" s="231"/>
      <c r="X101" s="167"/>
      <c r="Y101" s="231"/>
    </row>
    <row r="102" spans="1:25">
      <c r="A102" s="231"/>
      <c r="B102" s="272"/>
      <c r="C102" s="231"/>
      <c r="D102" s="273"/>
      <c r="E102" s="168"/>
      <c r="F102" s="274"/>
      <c r="G102" s="231"/>
      <c r="H102" s="231"/>
      <c r="I102" s="231"/>
      <c r="J102" s="231"/>
      <c r="K102" s="167"/>
      <c r="L102" s="167"/>
      <c r="M102" s="167"/>
      <c r="N102" s="167"/>
      <c r="O102" s="231"/>
      <c r="P102" s="166"/>
      <c r="Q102" s="166"/>
      <c r="R102" s="166"/>
      <c r="S102" s="277"/>
      <c r="T102" s="231"/>
      <c r="U102" s="231"/>
      <c r="V102" s="231"/>
      <c r="W102" s="231"/>
      <c r="X102" s="167"/>
      <c r="Y102" s="231"/>
    </row>
    <row r="103" spans="1:25">
      <c r="A103" s="231"/>
      <c r="B103" s="272"/>
      <c r="C103" s="231"/>
      <c r="D103" s="273"/>
      <c r="E103" s="168"/>
      <c r="F103" s="274"/>
      <c r="G103" s="231"/>
      <c r="H103" s="231"/>
      <c r="I103" s="231"/>
      <c r="J103" s="231"/>
      <c r="K103" s="167"/>
      <c r="L103" s="167"/>
      <c r="M103" s="167"/>
      <c r="N103" s="167"/>
      <c r="O103" s="231"/>
      <c r="P103" s="166"/>
      <c r="Q103" s="166"/>
      <c r="R103" s="166"/>
      <c r="S103" s="277"/>
      <c r="T103" s="231"/>
      <c r="U103" s="231"/>
      <c r="V103" s="231"/>
      <c r="W103" s="231"/>
      <c r="X103" s="167"/>
      <c r="Y103" s="231"/>
    </row>
    <row r="104" spans="1:25">
      <c r="A104" s="231"/>
      <c r="B104" s="272"/>
      <c r="C104" s="231"/>
      <c r="D104" s="273"/>
      <c r="E104" s="168"/>
      <c r="F104" s="274"/>
      <c r="G104" s="231"/>
      <c r="H104" s="231"/>
      <c r="I104" s="231"/>
      <c r="J104" s="231"/>
      <c r="K104" s="167"/>
      <c r="L104" s="167"/>
      <c r="M104" s="167"/>
      <c r="N104" s="167"/>
      <c r="O104" s="231"/>
      <c r="P104" s="166"/>
      <c r="Q104" s="166"/>
      <c r="R104" s="166"/>
      <c r="S104" s="277"/>
      <c r="T104" s="231"/>
      <c r="U104" s="231"/>
      <c r="V104" s="231"/>
      <c r="W104" s="231"/>
      <c r="X104" s="167"/>
      <c r="Y104" s="231"/>
    </row>
    <row r="105" spans="1:25">
      <c r="A105" s="231"/>
      <c r="B105" s="272"/>
      <c r="C105" s="231"/>
      <c r="D105" s="273"/>
      <c r="E105" s="168"/>
      <c r="F105" s="274"/>
      <c r="G105" s="231"/>
      <c r="H105" s="231"/>
      <c r="I105" s="231"/>
      <c r="J105" s="231"/>
      <c r="K105" s="167"/>
      <c r="L105" s="167"/>
      <c r="M105" s="167"/>
      <c r="N105" s="167"/>
      <c r="O105" s="231"/>
      <c r="P105" s="166"/>
      <c r="Q105" s="166"/>
      <c r="R105" s="166"/>
      <c r="S105" s="277"/>
      <c r="T105" s="231"/>
      <c r="U105" s="231"/>
      <c r="V105" s="231"/>
      <c r="W105" s="231"/>
      <c r="X105" s="167"/>
      <c r="Y105" s="231"/>
    </row>
    <row r="106" spans="1:25">
      <c r="A106" s="231"/>
      <c r="B106" s="272"/>
      <c r="C106" s="231"/>
      <c r="D106" s="273"/>
      <c r="E106" s="168"/>
      <c r="F106" s="274"/>
      <c r="G106" s="231"/>
      <c r="H106" s="231"/>
      <c r="I106" s="231"/>
      <c r="J106" s="231"/>
      <c r="K106" s="167"/>
      <c r="L106" s="167"/>
      <c r="M106" s="167"/>
      <c r="N106" s="167"/>
      <c r="O106" s="231"/>
      <c r="P106" s="166"/>
      <c r="Q106" s="166"/>
      <c r="R106" s="166"/>
      <c r="S106" s="277"/>
      <c r="T106" s="231"/>
      <c r="U106" s="231"/>
      <c r="V106" s="231"/>
      <c r="W106" s="231"/>
      <c r="X106" s="167"/>
      <c r="Y106" s="231"/>
    </row>
    <row r="107" spans="1:25">
      <c r="A107" s="231"/>
      <c r="B107" s="272"/>
      <c r="C107" s="231"/>
      <c r="D107" s="273"/>
      <c r="E107" s="168"/>
      <c r="F107" s="274"/>
      <c r="G107" s="231"/>
      <c r="H107" s="231"/>
      <c r="I107" s="231"/>
      <c r="J107" s="231"/>
      <c r="K107" s="167"/>
      <c r="L107" s="167"/>
      <c r="M107" s="167"/>
      <c r="N107" s="167"/>
      <c r="O107" s="231"/>
      <c r="P107" s="166"/>
      <c r="Q107" s="166"/>
      <c r="R107" s="166"/>
      <c r="S107" s="277"/>
      <c r="T107" s="231"/>
      <c r="U107" s="231"/>
      <c r="V107" s="231"/>
      <c r="W107" s="231"/>
      <c r="X107" s="167"/>
      <c r="Y107" s="231"/>
    </row>
    <row r="108" spans="1:25">
      <c r="A108" s="231"/>
      <c r="B108" s="272"/>
      <c r="C108" s="231"/>
      <c r="D108" s="273"/>
      <c r="E108" s="168"/>
      <c r="F108" s="274"/>
      <c r="G108" s="231"/>
      <c r="H108" s="231"/>
      <c r="I108" s="231"/>
      <c r="J108" s="231"/>
      <c r="K108" s="167"/>
      <c r="L108" s="167"/>
      <c r="M108" s="167"/>
      <c r="N108" s="167"/>
      <c r="O108" s="231"/>
      <c r="P108" s="166"/>
      <c r="Q108" s="166"/>
      <c r="R108" s="166"/>
      <c r="S108" s="277"/>
      <c r="T108" s="231"/>
      <c r="U108" s="231"/>
      <c r="V108" s="231"/>
      <c r="W108" s="231"/>
      <c r="X108" s="167"/>
      <c r="Y108" s="231"/>
    </row>
    <row r="109" spans="1:25">
      <c r="A109" s="231"/>
      <c r="B109" s="272"/>
      <c r="C109" s="231"/>
      <c r="D109" s="273"/>
      <c r="E109" s="168"/>
      <c r="F109" s="274"/>
      <c r="G109" s="231"/>
      <c r="H109" s="231"/>
      <c r="I109" s="231"/>
      <c r="J109" s="231"/>
      <c r="K109" s="167"/>
      <c r="L109" s="167"/>
      <c r="M109" s="167"/>
      <c r="N109" s="167"/>
      <c r="O109" s="231"/>
      <c r="P109" s="166"/>
      <c r="Q109" s="166"/>
      <c r="R109" s="166"/>
      <c r="S109" s="277"/>
      <c r="T109" s="231"/>
      <c r="U109" s="231"/>
      <c r="V109" s="231"/>
      <c r="W109" s="231"/>
      <c r="X109" s="167"/>
      <c r="Y109" s="231"/>
    </row>
    <row r="110" spans="1:25">
      <c r="A110" s="231"/>
      <c r="B110" s="272"/>
      <c r="C110" s="231"/>
      <c r="D110" s="273"/>
      <c r="E110" s="168"/>
      <c r="F110" s="274"/>
      <c r="G110" s="231"/>
      <c r="H110" s="231"/>
      <c r="I110" s="231"/>
      <c r="J110" s="231"/>
      <c r="K110" s="167"/>
      <c r="L110" s="167"/>
      <c r="M110" s="167"/>
      <c r="N110" s="167"/>
      <c r="O110" s="231"/>
      <c r="P110" s="166"/>
      <c r="Q110" s="166"/>
      <c r="R110" s="166"/>
      <c r="S110" s="277"/>
      <c r="T110" s="231"/>
      <c r="U110" s="231"/>
      <c r="V110" s="231"/>
      <c r="W110" s="231"/>
      <c r="X110" s="167"/>
      <c r="Y110" s="231"/>
    </row>
    <row r="111" spans="1:25">
      <c r="A111" s="231"/>
      <c r="B111" s="272"/>
      <c r="C111" s="231"/>
      <c r="D111" s="273"/>
      <c r="E111" s="168"/>
      <c r="F111" s="274"/>
      <c r="G111" s="231"/>
      <c r="H111" s="231"/>
      <c r="I111" s="231"/>
      <c r="J111" s="231"/>
      <c r="K111" s="167"/>
      <c r="L111" s="167"/>
      <c r="M111" s="167"/>
      <c r="N111" s="167"/>
      <c r="O111" s="231"/>
      <c r="P111" s="166"/>
      <c r="Q111" s="166"/>
      <c r="R111" s="166"/>
      <c r="S111" s="277"/>
      <c r="T111" s="231"/>
      <c r="U111" s="231"/>
      <c r="V111" s="231"/>
      <c r="W111" s="231"/>
      <c r="X111" s="167"/>
      <c r="Y111" s="231"/>
    </row>
    <row r="112" spans="1:25">
      <c r="A112" s="231"/>
      <c r="B112" s="272"/>
      <c r="C112" s="231"/>
      <c r="D112" s="273"/>
      <c r="E112" s="168"/>
      <c r="F112" s="274"/>
      <c r="G112" s="231"/>
      <c r="H112" s="231"/>
      <c r="I112" s="231"/>
      <c r="J112" s="231"/>
      <c r="K112" s="167"/>
      <c r="L112" s="167"/>
      <c r="M112" s="167"/>
      <c r="N112" s="167"/>
      <c r="O112" s="231"/>
      <c r="P112" s="166"/>
      <c r="Q112" s="166"/>
      <c r="R112" s="166"/>
      <c r="S112" s="277"/>
      <c r="T112" s="231"/>
      <c r="U112" s="231"/>
      <c r="V112" s="231"/>
      <c r="W112" s="231"/>
      <c r="X112" s="167"/>
      <c r="Y112" s="231"/>
    </row>
    <row r="113" spans="1:25">
      <c r="A113" s="231"/>
      <c r="B113" s="272"/>
      <c r="C113" s="231"/>
      <c r="D113" s="273"/>
      <c r="E113" s="168"/>
      <c r="F113" s="274"/>
      <c r="G113" s="231"/>
      <c r="H113" s="231"/>
      <c r="I113" s="231"/>
      <c r="J113" s="231"/>
      <c r="K113" s="167"/>
      <c r="L113" s="167"/>
      <c r="M113" s="167"/>
      <c r="N113" s="167"/>
      <c r="O113" s="231"/>
      <c r="P113" s="166"/>
      <c r="Q113" s="166"/>
      <c r="R113" s="166"/>
      <c r="S113" s="277"/>
      <c r="T113" s="231"/>
      <c r="U113" s="231"/>
      <c r="V113" s="231"/>
      <c r="W113" s="231"/>
      <c r="X113" s="167"/>
      <c r="Y113" s="231"/>
    </row>
    <row r="114" spans="1:25">
      <c r="A114" s="231"/>
      <c r="B114" s="272"/>
      <c r="C114" s="231"/>
      <c r="D114" s="273"/>
      <c r="E114" s="168"/>
      <c r="F114" s="274"/>
      <c r="G114" s="231"/>
      <c r="H114" s="231"/>
      <c r="I114" s="231"/>
      <c r="J114" s="231"/>
      <c r="K114" s="167"/>
      <c r="L114" s="167"/>
      <c r="M114" s="167"/>
      <c r="N114" s="167"/>
      <c r="O114" s="231"/>
      <c r="P114" s="166"/>
      <c r="Q114" s="166"/>
      <c r="R114" s="166"/>
      <c r="S114" s="277"/>
      <c r="T114" s="231"/>
      <c r="U114" s="231"/>
      <c r="V114" s="231"/>
      <c r="W114" s="231"/>
      <c r="X114" s="167"/>
      <c r="Y114" s="231"/>
    </row>
    <row r="115" spans="1:25">
      <c r="A115" s="231"/>
      <c r="B115" s="272"/>
      <c r="C115" s="231"/>
      <c r="D115" s="273"/>
      <c r="E115" s="168"/>
      <c r="F115" s="274"/>
      <c r="G115" s="231"/>
      <c r="H115" s="231"/>
      <c r="I115" s="231"/>
      <c r="J115" s="231"/>
      <c r="K115" s="167"/>
      <c r="L115" s="167"/>
      <c r="M115" s="167"/>
      <c r="N115" s="167"/>
      <c r="O115" s="231"/>
      <c r="P115" s="166"/>
      <c r="Q115" s="166"/>
      <c r="R115" s="166"/>
      <c r="S115" s="277"/>
      <c r="T115" s="231"/>
      <c r="U115" s="231"/>
      <c r="V115" s="231"/>
      <c r="W115" s="231"/>
      <c r="X115" s="167"/>
      <c r="Y115" s="231"/>
    </row>
    <row r="116" spans="1:25">
      <c r="A116" s="231"/>
      <c r="B116" s="272"/>
      <c r="C116" s="231"/>
      <c r="D116" s="273"/>
      <c r="E116" s="168"/>
      <c r="F116" s="274"/>
      <c r="G116" s="231"/>
      <c r="H116" s="231"/>
      <c r="I116" s="231"/>
      <c r="J116" s="231"/>
      <c r="K116" s="167"/>
      <c r="L116" s="167"/>
      <c r="M116" s="167"/>
      <c r="N116" s="167"/>
      <c r="O116" s="231"/>
      <c r="P116" s="166"/>
      <c r="Q116" s="166"/>
      <c r="R116" s="166"/>
      <c r="S116" s="277"/>
      <c r="T116" s="231"/>
      <c r="U116" s="231"/>
      <c r="V116" s="231"/>
      <c r="W116" s="231"/>
      <c r="X116" s="167"/>
      <c r="Y116" s="231"/>
    </row>
    <row r="117" spans="1:25">
      <c r="A117" s="231"/>
      <c r="B117" s="272"/>
      <c r="C117" s="231"/>
      <c r="D117" s="273"/>
      <c r="E117" s="168"/>
      <c r="F117" s="274"/>
      <c r="G117" s="231"/>
      <c r="H117" s="231"/>
      <c r="I117" s="231"/>
      <c r="J117" s="231"/>
      <c r="K117" s="167"/>
      <c r="L117" s="167"/>
      <c r="M117" s="167"/>
      <c r="N117" s="167"/>
      <c r="O117" s="231"/>
      <c r="P117" s="166"/>
      <c r="Q117" s="166"/>
      <c r="R117" s="166"/>
      <c r="S117" s="277"/>
      <c r="T117" s="231"/>
      <c r="U117" s="231"/>
      <c r="V117" s="231"/>
      <c r="W117" s="231"/>
      <c r="X117" s="167"/>
      <c r="Y117" s="231"/>
    </row>
    <row r="118" spans="1:25">
      <c r="A118" s="231"/>
      <c r="B118" s="272"/>
      <c r="C118" s="231"/>
      <c r="D118" s="273"/>
      <c r="E118" s="168"/>
      <c r="F118" s="274"/>
      <c r="G118" s="231"/>
      <c r="H118" s="231"/>
      <c r="I118" s="231"/>
      <c r="J118" s="231"/>
      <c r="K118" s="167"/>
      <c r="L118" s="167"/>
      <c r="M118" s="167"/>
      <c r="N118" s="167"/>
      <c r="O118" s="231"/>
      <c r="P118" s="166"/>
      <c r="Q118" s="166"/>
      <c r="R118" s="166"/>
      <c r="S118" s="277"/>
      <c r="T118" s="231"/>
      <c r="U118" s="231"/>
      <c r="V118" s="231"/>
      <c r="W118" s="231"/>
      <c r="X118" s="167"/>
      <c r="Y118" s="231"/>
    </row>
    <row r="119" spans="1:25">
      <c r="A119" s="231"/>
      <c r="B119" s="272"/>
      <c r="C119" s="231"/>
      <c r="D119" s="273"/>
      <c r="E119" s="168"/>
      <c r="F119" s="274"/>
      <c r="G119" s="231"/>
      <c r="H119" s="231"/>
      <c r="I119" s="231"/>
      <c r="J119" s="231"/>
      <c r="K119" s="167"/>
      <c r="L119" s="167"/>
      <c r="M119" s="167"/>
      <c r="N119" s="167"/>
      <c r="O119" s="231"/>
      <c r="P119" s="166"/>
      <c r="Q119" s="166"/>
      <c r="R119" s="166"/>
      <c r="S119" s="277"/>
      <c r="T119" s="231"/>
      <c r="U119" s="231"/>
      <c r="V119" s="231"/>
      <c r="W119" s="231"/>
      <c r="X119" s="167"/>
      <c r="Y119" s="231"/>
    </row>
    <row r="120" spans="1:25">
      <c r="A120" s="231"/>
      <c r="B120" s="272"/>
      <c r="C120" s="231"/>
      <c r="D120" s="273"/>
      <c r="E120" s="168"/>
      <c r="F120" s="274"/>
      <c r="G120" s="231"/>
      <c r="H120" s="231"/>
      <c r="I120" s="231"/>
      <c r="J120" s="231"/>
      <c r="K120" s="167"/>
      <c r="L120" s="167"/>
      <c r="M120" s="167"/>
      <c r="N120" s="167"/>
      <c r="O120" s="231"/>
      <c r="P120" s="166"/>
      <c r="Q120" s="166"/>
      <c r="R120" s="166"/>
      <c r="S120" s="277"/>
      <c r="T120" s="231"/>
      <c r="U120" s="231"/>
      <c r="V120" s="231"/>
      <c r="W120" s="231"/>
      <c r="X120" s="167"/>
      <c r="Y120" s="231"/>
    </row>
    <row r="121" spans="1:25">
      <c r="A121" s="231"/>
      <c r="B121" s="272"/>
      <c r="C121" s="231"/>
      <c r="D121" s="273"/>
      <c r="E121" s="168"/>
      <c r="F121" s="274"/>
      <c r="G121" s="231"/>
      <c r="H121" s="231"/>
      <c r="I121" s="231"/>
      <c r="J121" s="231"/>
      <c r="K121" s="167"/>
      <c r="L121" s="167"/>
      <c r="M121" s="167"/>
      <c r="N121" s="167"/>
      <c r="O121" s="231"/>
      <c r="P121" s="166"/>
      <c r="Q121" s="166"/>
      <c r="R121" s="166"/>
      <c r="S121" s="277"/>
      <c r="T121" s="231"/>
      <c r="U121" s="231"/>
      <c r="V121" s="231"/>
      <c r="W121" s="231"/>
      <c r="X121" s="167"/>
      <c r="Y121" s="231"/>
    </row>
    <row r="122" spans="1:25">
      <c r="A122" s="231"/>
      <c r="B122" s="272"/>
      <c r="C122" s="231"/>
      <c r="D122" s="273"/>
      <c r="E122" s="168"/>
      <c r="F122" s="274"/>
      <c r="G122" s="231"/>
      <c r="H122" s="231"/>
      <c r="I122" s="231"/>
      <c r="J122" s="231"/>
      <c r="K122" s="167"/>
      <c r="L122" s="167"/>
      <c r="M122" s="167"/>
      <c r="N122" s="167"/>
      <c r="O122" s="231"/>
      <c r="P122" s="166"/>
      <c r="Q122" s="166"/>
      <c r="R122" s="166"/>
      <c r="S122" s="277"/>
      <c r="T122" s="231"/>
      <c r="U122" s="231"/>
      <c r="V122" s="231"/>
      <c r="W122" s="231"/>
      <c r="X122" s="167"/>
      <c r="Y122" s="231"/>
    </row>
    <row r="123" spans="1:25">
      <c r="A123" s="231"/>
      <c r="B123" s="272"/>
      <c r="C123" s="231"/>
      <c r="D123" s="273"/>
      <c r="E123" s="168"/>
      <c r="F123" s="274"/>
      <c r="G123" s="231"/>
      <c r="H123" s="231"/>
      <c r="I123" s="231"/>
      <c r="J123" s="231"/>
      <c r="K123" s="167"/>
      <c r="L123" s="167"/>
      <c r="M123" s="167"/>
      <c r="N123" s="167"/>
      <c r="O123" s="231"/>
      <c r="P123" s="166"/>
      <c r="Q123" s="166"/>
      <c r="R123" s="166"/>
      <c r="S123" s="277"/>
      <c r="T123" s="231"/>
      <c r="U123" s="231"/>
      <c r="V123" s="231"/>
      <c r="W123" s="231"/>
      <c r="X123" s="167"/>
      <c r="Y123" s="231"/>
    </row>
    <row r="124" spans="1:25">
      <c r="A124" s="231"/>
      <c r="B124" s="272"/>
      <c r="C124" s="231"/>
      <c r="D124" s="273"/>
      <c r="E124" s="168"/>
      <c r="F124" s="274"/>
      <c r="G124" s="231"/>
      <c r="H124" s="231"/>
      <c r="I124" s="231"/>
      <c r="J124" s="231"/>
      <c r="K124" s="167"/>
      <c r="L124" s="167"/>
      <c r="M124" s="167"/>
      <c r="N124" s="167"/>
      <c r="O124" s="231"/>
      <c r="P124" s="166"/>
      <c r="Q124" s="166"/>
      <c r="R124" s="166"/>
      <c r="S124" s="277"/>
      <c r="T124" s="231"/>
      <c r="U124" s="231"/>
      <c r="V124" s="231"/>
      <c r="W124" s="231"/>
      <c r="X124" s="167"/>
      <c r="Y124" s="231"/>
    </row>
    <row r="125" spans="1:25">
      <c r="A125" s="231"/>
      <c r="B125" s="272"/>
      <c r="C125" s="231"/>
      <c r="D125" s="273"/>
      <c r="E125" s="168"/>
      <c r="F125" s="274"/>
      <c r="G125" s="231"/>
      <c r="H125" s="231"/>
      <c r="I125" s="231"/>
      <c r="J125" s="231"/>
      <c r="K125" s="167"/>
      <c r="L125" s="167"/>
      <c r="M125" s="167"/>
      <c r="N125" s="167"/>
      <c r="O125" s="231"/>
      <c r="P125" s="166"/>
      <c r="Q125" s="166"/>
      <c r="R125" s="166"/>
      <c r="S125" s="277"/>
      <c r="T125" s="231"/>
      <c r="U125" s="231"/>
      <c r="V125" s="231"/>
      <c r="W125" s="231"/>
      <c r="X125" s="167"/>
      <c r="Y125" s="231"/>
    </row>
    <row r="126" spans="1:25">
      <c r="A126" s="231"/>
      <c r="B126" s="272"/>
      <c r="C126" s="231"/>
      <c r="D126" s="273"/>
      <c r="E126" s="168"/>
      <c r="F126" s="274"/>
      <c r="G126" s="231"/>
      <c r="H126" s="231"/>
      <c r="I126" s="231"/>
      <c r="J126" s="231"/>
      <c r="K126" s="167"/>
      <c r="L126" s="167"/>
      <c r="M126" s="167"/>
      <c r="N126" s="167"/>
      <c r="O126" s="231"/>
      <c r="P126" s="166"/>
      <c r="Q126" s="166"/>
      <c r="R126" s="166"/>
      <c r="S126" s="277"/>
      <c r="T126" s="231"/>
      <c r="U126" s="231"/>
      <c r="V126" s="231"/>
      <c r="W126" s="231"/>
      <c r="X126" s="167"/>
      <c r="Y126" s="231"/>
    </row>
    <row r="127" spans="1:25">
      <c r="A127" s="231"/>
      <c r="B127" s="272"/>
      <c r="C127" s="231"/>
      <c r="D127" s="273"/>
      <c r="E127" s="168"/>
      <c r="F127" s="274"/>
      <c r="G127" s="231"/>
      <c r="H127" s="231"/>
      <c r="I127" s="231"/>
      <c r="J127" s="231"/>
      <c r="K127" s="167"/>
      <c r="L127" s="167"/>
      <c r="M127" s="167"/>
      <c r="N127" s="167"/>
      <c r="O127" s="231"/>
      <c r="P127" s="166"/>
      <c r="Q127" s="166"/>
      <c r="R127" s="166"/>
      <c r="S127" s="277"/>
      <c r="T127" s="231"/>
      <c r="U127" s="231"/>
      <c r="V127" s="231"/>
      <c r="W127" s="231"/>
      <c r="X127" s="167"/>
      <c r="Y127" s="231"/>
    </row>
    <row r="128" spans="1:25">
      <c r="A128" s="231"/>
      <c r="B128" s="272"/>
      <c r="C128" s="231"/>
      <c r="D128" s="273"/>
      <c r="E128" s="168"/>
      <c r="F128" s="274"/>
      <c r="G128" s="231"/>
      <c r="H128" s="231"/>
      <c r="I128" s="231"/>
      <c r="J128" s="231"/>
      <c r="K128" s="167"/>
      <c r="L128" s="167"/>
      <c r="M128" s="167"/>
      <c r="N128" s="167"/>
      <c r="O128" s="231"/>
      <c r="P128" s="166"/>
      <c r="Q128" s="166"/>
      <c r="R128" s="166"/>
      <c r="S128" s="277"/>
      <c r="T128" s="231"/>
      <c r="U128" s="231"/>
      <c r="V128" s="231"/>
      <c r="W128" s="231"/>
      <c r="X128" s="167"/>
      <c r="Y128" s="231"/>
    </row>
    <row r="129" spans="1:25">
      <c r="A129" s="231"/>
      <c r="B129" s="272"/>
      <c r="C129" s="231"/>
      <c r="D129" s="273"/>
      <c r="E129" s="168"/>
      <c r="F129" s="274"/>
      <c r="G129" s="231"/>
      <c r="H129" s="231"/>
      <c r="I129" s="231"/>
      <c r="J129" s="231"/>
      <c r="K129" s="167"/>
      <c r="L129" s="167"/>
      <c r="M129" s="167"/>
      <c r="N129" s="167"/>
      <c r="O129" s="231"/>
      <c r="P129" s="166"/>
      <c r="Q129" s="166"/>
      <c r="R129" s="166"/>
      <c r="S129" s="277"/>
      <c r="T129" s="231"/>
      <c r="U129" s="231"/>
      <c r="V129" s="231"/>
      <c r="W129" s="231"/>
      <c r="X129" s="167"/>
      <c r="Y129" s="231"/>
    </row>
    <row r="130" spans="1:25">
      <c r="A130" s="231"/>
      <c r="B130" s="272"/>
      <c r="C130" s="231"/>
      <c r="D130" s="273"/>
      <c r="E130" s="168"/>
      <c r="F130" s="274"/>
      <c r="G130" s="231"/>
      <c r="H130" s="231"/>
      <c r="I130" s="231"/>
      <c r="J130" s="231"/>
      <c r="K130" s="167"/>
      <c r="L130" s="167"/>
      <c r="M130" s="167"/>
      <c r="N130" s="167"/>
      <c r="O130" s="231"/>
      <c r="P130" s="166"/>
      <c r="Q130" s="166"/>
      <c r="R130" s="166"/>
      <c r="S130" s="277"/>
      <c r="T130" s="231"/>
      <c r="U130" s="231"/>
      <c r="V130" s="231"/>
      <c r="W130" s="231"/>
      <c r="X130" s="167"/>
      <c r="Y130" s="231"/>
    </row>
    <row r="131" spans="1:25">
      <c r="A131" s="231"/>
      <c r="B131" s="272"/>
      <c r="C131" s="231"/>
      <c r="D131" s="273"/>
      <c r="E131" s="168"/>
      <c r="F131" s="274"/>
      <c r="G131" s="231"/>
      <c r="H131" s="231"/>
      <c r="I131" s="231"/>
      <c r="J131" s="231"/>
      <c r="K131" s="167"/>
      <c r="L131" s="167"/>
      <c r="M131" s="167"/>
      <c r="N131" s="167"/>
      <c r="O131" s="231"/>
      <c r="P131" s="166"/>
      <c r="Q131" s="166"/>
      <c r="R131" s="166"/>
      <c r="S131" s="277"/>
      <c r="T131" s="231"/>
      <c r="U131" s="231"/>
      <c r="V131" s="231"/>
      <c r="W131" s="231"/>
      <c r="X131" s="167"/>
      <c r="Y131" s="231"/>
    </row>
    <row r="132" spans="1:25">
      <c r="A132" s="231"/>
      <c r="B132" s="272"/>
      <c r="C132" s="231"/>
      <c r="D132" s="273"/>
      <c r="E132" s="168"/>
      <c r="F132" s="274"/>
      <c r="G132" s="231"/>
      <c r="H132" s="231"/>
      <c r="I132" s="231"/>
      <c r="J132" s="231"/>
      <c r="K132" s="167"/>
      <c r="L132" s="167"/>
      <c r="M132" s="167"/>
      <c r="N132" s="167"/>
      <c r="O132" s="231"/>
      <c r="P132" s="166"/>
      <c r="Q132" s="166"/>
      <c r="R132" s="166"/>
      <c r="S132" s="277"/>
      <c r="T132" s="231"/>
      <c r="U132" s="231"/>
      <c r="V132" s="231"/>
      <c r="W132" s="231"/>
      <c r="X132" s="167"/>
      <c r="Y132" s="231"/>
    </row>
    <row r="133" spans="1:25">
      <c r="A133" s="231"/>
      <c r="B133" s="272"/>
      <c r="C133" s="231"/>
      <c r="D133" s="273"/>
      <c r="E133" s="168"/>
      <c r="F133" s="274"/>
      <c r="G133" s="231"/>
      <c r="H133" s="231"/>
      <c r="I133" s="231"/>
      <c r="J133" s="231"/>
      <c r="K133" s="167"/>
      <c r="L133" s="167"/>
      <c r="M133" s="167"/>
      <c r="N133" s="167"/>
      <c r="O133" s="231"/>
      <c r="P133" s="166"/>
      <c r="Q133" s="166"/>
      <c r="R133" s="166"/>
      <c r="S133" s="277"/>
      <c r="T133" s="231"/>
      <c r="U133" s="231"/>
      <c r="V133" s="231"/>
      <c r="W133" s="231"/>
      <c r="X133" s="167"/>
      <c r="Y133" s="231"/>
    </row>
    <row r="134" spans="1:25">
      <c r="A134" s="231"/>
      <c r="B134" s="272"/>
      <c r="C134" s="231"/>
      <c r="D134" s="273"/>
      <c r="E134" s="168"/>
      <c r="F134" s="274"/>
      <c r="G134" s="231"/>
      <c r="H134" s="231"/>
      <c r="I134" s="231"/>
      <c r="J134" s="231"/>
      <c r="K134" s="167"/>
      <c r="L134" s="167"/>
      <c r="M134" s="167"/>
      <c r="N134" s="167"/>
      <c r="O134" s="231"/>
      <c r="P134" s="166"/>
      <c r="Q134" s="166"/>
      <c r="R134" s="166"/>
      <c r="S134" s="277"/>
      <c r="T134" s="231"/>
      <c r="U134" s="231"/>
      <c r="V134" s="231"/>
      <c r="W134" s="231"/>
      <c r="X134" s="167"/>
      <c r="Y134" s="231"/>
    </row>
    <row r="135" spans="1:25">
      <c r="A135" s="231"/>
      <c r="B135" s="272"/>
      <c r="C135" s="231"/>
      <c r="D135" s="273"/>
      <c r="E135" s="168"/>
      <c r="F135" s="274"/>
      <c r="G135" s="231"/>
      <c r="H135" s="231"/>
      <c r="I135" s="231"/>
      <c r="J135" s="231"/>
      <c r="K135" s="167"/>
      <c r="L135" s="167"/>
      <c r="M135" s="167"/>
      <c r="N135" s="167"/>
      <c r="O135" s="231"/>
      <c r="P135" s="166"/>
      <c r="Q135" s="166"/>
      <c r="R135" s="166"/>
      <c r="S135" s="277"/>
      <c r="T135" s="231"/>
      <c r="U135" s="231"/>
      <c r="V135" s="231"/>
      <c r="W135" s="231"/>
      <c r="X135" s="167"/>
      <c r="Y135" s="231"/>
    </row>
    <row r="136" spans="1:25">
      <c r="A136" s="231"/>
      <c r="B136" s="272"/>
      <c r="C136" s="231"/>
      <c r="D136" s="273"/>
      <c r="E136" s="168"/>
      <c r="F136" s="274"/>
      <c r="G136" s="231"/>
      <c r="H136" s="231"/>
      <c r="I136" s="231"/>
      <c r="J136" s="231"/>
      <c r="K136" s="167"/>
      <c r="L136" s="167"/>
      <c r="M136" s="167"/>
      <c r="N136" s="167"/>
      <c r="O136" s="231"/>
      <c r="P136" s="166"/>
      <c r="Q136" s="166"/>
      <c r="R136" s="166"/>
      <c r="S136" s="277"/>
      <c r="T136" s="231"/>
      <c r="U136" s="231"/>
      <c r="V136" s="231"/>
      <c r="W136" s="231"/>
      <c r="X136" s="167"/>
      <c r="Y136" s="231"/>
    </row>
    <row r="137" spans="1:25">
      <c r="A137" s="231"/>
      <c r="B137" s="272"/>
      <c r="C137" s="231"/>
      <c r="D137" s="273"/>
      <c r="E137" s="168"/>
      <c r="F137" s="274"/>
      <c r="G137" s="231"/>
      <c r="H137" s="231"/>
      <c r="I137" s="231"/>
      <c r="J137" s="231"/>
      <c r="K137" s="167"/>
      <c r="L137" s="167"/>
      <c r="M137" s="167"/>
      <c r="N137" s="167"/>
      <c r="O137" s="231"/>
      <c r="P137" s="166"/>
      <c r="Q137" s="166"/>
      <c r="R137" s="166"/>
      <c r="S137" s="277"/>
      <c r="T137" s="231"/>
      <c r="U137" s="231"/>
      <c r="V137" s="231"/>
      <c r="W137" s="231"/>
      <c r="X137" s="167"/>
      <c r="Y137" s="231"/>
    </row>
    <row r="138" spans="1:25">
      <c r="A138" s="231"/>
      <c r="B138" s="272"/>
      <c r="C138" s="231"/>
      <c r="D138" s="273"/>
      <c r="E138" s="168"/>
      <c r="F138" s="274"/>
      <c r="G138" s="231"/>
      <c r="H138" s="231"/>
      <c r="I138" s="231"/>
      <c r="J138" s="231"/>
      <c r="K138" s="167"/>
      <c r="L138" s="167"/>
      <c r="M138" s="167"/>
      <c r="N138" s="167"/>
      <c r="O138" s="231"/>
      <c r="P138" s="166"/>
      <c r="Q138" s="166"/>
      <c r="R138" s="166"/>
      <c r="S138" s="277"/>
      <c r="T138" s="231"/>
      <c r="U138" s="231"/>
      <c r="V138" s="231"/>
      <c r="W138" s="231"/>
      <c r="X138" s="167"/>
      <c r="Y138" s="231"/>
    </row>
    <row r="139" spans="1:25">
      <c r="A139" s="231"/>
      <c r="B139" s="272"/>
      <c r="C139" s="231"/>
      <c r="D139" s="273"/>
      <c r="E139" s="168"/>
      <c r="F139" s="274"/>
      <c r="G139" s="231"/>
      <c r="H139" s="231"/>
      <c r="I139" s="231"/>
      <c r="J139" s="231"/>
      <c r="K139" s="167"/>
      <c r="L139" s="167"/>
      <c r="M139" s="167"/>
      <c r="N139" s="167"/>
      <c r="O139" s="231"/>
      <c r="P139" s="166"/>
      <c r="Q139" s="166"/>
      <c r="R139" s="166"/>
      <c r="S139" s="277"/>
      <c r="T139" s="231"/>
      <c r="U139" s="231"/>
      <c r="V139" s="231"/>
      <c r="W139" s="231"/>
      <c r="X139" s="167"/>
      <c r="Y139" s="231"/>
    </row>
    <row r="140" spans="1:25">
      <c r="A140" s="231"/>
      <c r="B140" s="272"/>
      <c r="C140" s="231"/>
      <c r="D140" s="273"/>
      <c r="E140" s="168"/>
      <c r="F140" s="274"/>
      <c r="G140" s="231"/>
      <c r="H140" s="231"/>
      <c r="I140" s="231"/>
      <c r="J140" s="231"/>
      <c r="K140" s="167"/>
      <c r="L140" s="167"/>
      <c r="M140" s="167"/>
      <c r="N140" s="167"/>
      <c r="O140" s="231"/>
      <c r="P140" s="166"/>
      <c r="Q140" s="166"/>
      <c r="R140" s="166"/>
      <c r="S140" s="277"/>
      <c r="T140" s="231"/>
      <c r="U140" s="231"/>
      <c r="V140" s="231"/>
      <c r="W140" s="231"/>
      <c r="X140" s="167"/>
      <c r="Y140" s="231"/>
    </row>
    <row r="141" spans="1:25">
      <c r="A141" s="231"/>
      <c r="B141" s="272"/>
      <c r="C141" s="231"/>
      <c r="D141" s="273"/>
      <c r="E141" s="168"/>
      <c r="F141" s="274"/>
      <c r="G141" s="231"/>
      <c r="H141" s="231"/>
      <c r="I141" s="231"/>
      <c r="J141" s="231"/>
      <c r="K141" s="167"/>
      <c r="L141" s="167"/>
      <c r="M141" s="167"/>
      <c r="N141" s="167"/>
      <c r="O141" s="231"/>
      <c r="P141" s="166"/>
      <c r="Q141" s="166"/>
      <c r="R141" s="166"/>
      <c r="S141" s="277"/>
      <c r="T141" s="231"/>
      <c r="U141" s="231"/>
      <c r="V141" s="231"/>
      <c r="W141" s="231"/>
      <c r="X141" s="167"/>
      <c r="Y141" s="231"/>
    </row>
    <row r="142" spans="1:25">
      <c r="A142" s="231"/>
      <c r="B142" s="272"/>
      <c r="C142" s="231"/>
      <c r="D142" s="273"/>
      <c r="E142" s="168"/>
      <c r="F142" s="274"/>
      <c r="G142" s="231"/>
      <c r="H142" s="231"/>
      <c r="I142" s="231"/>
      <c r="J142" s="231"/>
      <c r="K142" s="167"/>
      <c r="L142" s="167"/>
      <c r="M142" s="167"/>
      <c r="N142" s="167"/>
      <c r="O142" s="231"/>
      <c r="P142" s="166"/>
      <c r="Q142" s="166"/>
      <c r="R142" s="166"/>
      <c r="S142" s="277"/>
      <c r="T142" s="231"/>
      <c r="U142" s="231"/>
      <c r="V142" s="231"/>
      <c r="W142" s="231"/>
      <c r="X142" s="167"/>
      <c r="Y142" s="231"/>
    </row>
    <row r="143" spans="1:25">
      <c r="A143" s="231"/>
      <c r="B143" s="272"/>
      <c r="C143" s="231"/>
      <c r="D143" s="273"/>
      <c r="E143" s="168"/>
      <c r="F143" s="274"/>
      <c r="G143" s="231"/>
      <c r="H143" s="231"/>
      <c r="I143" s="231"/>
      <c r="J143" s="231"/>
      <c r="K143" s="167"/>
      <c r="L143" s="167"/>
      <c r="M143" s="167"/>
      <c r="N143" s="167"/>
      <c r="O143" s="231"/>
      <c r="P143" s="166"/>
      <c r="Q143" s="166"/>
      <c r="R143" s="166"/>
      <c r="S143" s="277"/>
      <c r="T143" s="231"/>
      <c r="U143" s="231"/>
      <c r="V143" s="231"/>
      <c r="W143" s="231"/>
      <c r="X143" s="167"/>
      <c r="Y143" s="231"/>
    </row>
    <row r="144" spans="1:25">
      <c r="A144" s="231"/>
      <c r="B144" s="272"/>
      <c r="C144" s="231"/>
      <c r="D144" s="273"/>
      <c r="E144" s="168"/>
      <c r="F144" s="274"/>
      <c r="G144" s="231"/>
      <c r="H144" s="231"/>
      <c r="I144" s="231"/>
      <c r="J144" s="231"/>
      <c r="K144" s="167"/>
      <c r="L144" s="167"/>
      <c r="M144" s="167"/>
      <c r="N144" s="167"/>
      <c r="O144" s="231"/>
      <c r="P144" s="166"/>
      <c r="Q144" s="166"/>
      <c r="R144" s="166"/>
      <c r="S144" s="277"/>
      <c r="T144" s="231"/>
      <c r="U144" s="231"/>
      <c r="V144" s="231"/>
      <c r="W144" s="231"/>
      <c r="X144" s="167"/>
      <c r="Y144" s="231"/>
    </row>
    <row r="145" spans="1:25">
      <c r="A145" s="231"/>
      <c r="B145" s="272"/>
      <c r="C145" s="231"/>
      <c r="D145" s="273"/>
      <c r="E145" s="168"/>
      <c r="F145" s="274"/>
      <c r="G145" s="231"/>
      <c r="H145" s="231"/>
      <c r="I145" s="231"/>
      <c r="J145" s="231"/>
      <c r="K145" s="167"/>
      <c r="L145" s="167"/>
      <c r="M145" s="167"/>
      <c r="N145" s="167"/>
      <c r="O145" s="231"/>
      <c r="P145" s="166"/>
      <c r="Q145" s="166"/>
      <c r="R145" s="166"/>
      <c r="S145" s="277"/>
      <c r="T145" s="231"/>
      <c r="U145" s="231"/>
      <c r="V145" s="231"/>
      <c r="W145" s="231"/>
      <c r="X145" s="167"/>
      <c r="Y145" s="231"/>
    </row>
    <row r="146" spans="1:25">
      <c r="A146" s="231"/>
      <c r="B146" s="272"/>
      <c r="C146" s="231"/>
      <c r="D146" s="273"/>
      <c r="E146" s="168"/>
      <c r="F146" s="274"/>
      <c r="G146" s="231"/>
      <c r="H146" s="231"/>
      <c r="I146" s="231"/>
      <c r="J146" s="231"/>
      <c r="K146" s="167"/>
      <c r="L146" s="167"/>
      <c r="M146" s="167"/>
      <c r="N146" s="167"/>
      <c r="O146" s="231"/>
      <c r="P146" s="166"/>
      <c r="Q146" s="166"/>
      <c r="R146" s="166"/>
      <c r="S146" s="277"/>
      <c r="T146" s="231"/>
      <c r="U146" s="231"/>
      <c r="V146" s="231"/>
      <c r="W146" s="231"/>
      <c r="X146" s="167"/>
      <c r="Y146" s="231"/>
    </row>
    <row r="147" spans="1:25">
      <c r="A147" s="231"/>
      <c r="B147" s="272"/>
      <c r="C147" s="231"/>
      <c r="D147" s="273"/>
      <c r="E147" s="168"/>
      <c r="F147" s="274"/>
      <c r="G147" s="231"/>
      <c r="H147" s="231"/>
      <c r="I147" s="231"/>
      <c r="J147" s="231"/>
      <c r="K147" s="167"/>
      <c r="L147" s="167"/>
      <c r="M147" s="167"/>
      <c r="N147" s="167"/>
      <c r="O147" s="231"/>
      <c r="P147" s="166"/>
      <c r="Q147" s="166"/>
      <c r="R147" s="166"/>
      <c r="S147" s="277"/>
      <c r="T147" s="231"/>
      <c r="U147" s="231"/>
      <c r="V147" s="231"/>
      <c r="W147" s="231"/>
      <c r="X147" s="167"/>
      <c r="Y147" s="231"/>
    </row>
    <row r="148" spans="1:25">
      <c r="A148" s="231"/>
      <c r="B148" s="272"/>
      <c r="C148" s="231"/>
      <c r="D148" s="273"/>
      <c r="E148" s="168"/>
      <c r="F148" s="274"/>
      <c r="G148" s="231"/>
      <c r="H148" s="231"/>
      <c r="I148" s="231"/>
      <c r="J148" s="231"/>
      <c r="K148" s="167"/>
      <c r="L148" s="167"/>
      <c r="M148" s="167"/>
      <c r="N148" s="167"/>
      <c r="O148" s="231"/>
      <c r="P148" s="166"/>
      <c r="Q148" s="166"/>
      <c r="R148" s="166"/>
      <c r="S148" s="277"/>
      <c r="T148" s="231"/>
      <c r="U148" s="231"/>
      <c r="V148" s="231"/>
      <c r="W148" s="231"/>
      <c r="X148" s="167"/>
      <c r="Y148" s="231"/>
    </row>
    <row r="149" spans="1:25">
      <c r="A149" s="231"/>
      <c r="B149" s="272"/>
      <c r="C149" s="231"/>
      <c r="D149" s="273"/>
      <c r="E149" s="168"/>
      <c r="F149" s="274"/>
      <c r="G149" s="231"/>
      <c r="H149" s="231"/>
      <c r="I149" s="231"/>
      <c r="J149" s="231"/>
      <c r="K149" s="167"/>
      <c r="L149" s="167"/>
      <c r="M149" s="167"/>
      <c r="N149" s="167"/>
      <c r="O149" s="231"/>
      <c r="P149" s="166"/>
      <c r="Q149" s="166"/>
      <c r="R149" s="166"/>
      <c r="S149" s="277"/>
      <c r="T149" s="231"/>
      <c r="U149" s="231"/>
      <c r="V149" s="231"/>
      <c r="W149" s="231"/>
      <c r="X149" s="167"/>
      <c r="Y149" s="231"/>
    </row>
    <row r="150" spans="1:25">
      <c r="A150" s="231"/>
      <c r="B150" s="272"/>
      <c r="C150" s="231"/>
      <c r="D150" s="273"/>
      <c r="E150" s="168"/>
      <c r="F150" s="274"/>
      <c r="G150" s="231"/>
      <c r="H150" s="231"/>
      <c r="I150" s="231"/>
      <c r="J150" s="231"/>
      <c r="K150" s="167"/>
      <c r="L150" s="167"/>
      <c r="M150" s="167"/>
      <c r="N150" s="167"/>
      <c r="O150" s="231"/>
      <c r="P150" s="166"/>
      <c r="Q150" s="166"/>
      <c r="R150" s="166"/>
      <c r="S150" s="277"/>
      <c r="T150" s="231"/>
      <c r="U150" s="231"/>
      <c r="V150" s="231"/>
      <c r="W150" s="231"/>
      <c r="X150" s="167"/>
      <c r="Y150" s="231"/>
    </row>
    <row r="151" spans="1:25">
      <c r="A151" s="231"/>
      <c r="B151" s="272"/>
      <c r="C151" s="231"/>
      <c r="D151" s="273"/>
      <c r="E151" s="168"/>
      <c r="F151" s="274"/>
      <c r="G151" s="231"/>
      <c r="H151" s="231"/>
      <c r="I151" s="231"/>
      <c r="J151" s="231"/>
      <c r="K151" s="167"/>
      <c r="L151" s="167"/>
      <c r="M151" s="167"/>
      <c r="N151" s="167"/>
      <c r="O151" s="231"/>
      <c r="P151" s="166"/>
      <c r="Q151" s="166"/>
      <c r="R151" s="166"/>
      <c r="S151" s="277"/>
      <c r="T151" s="231"/>
      <c r="U151" s="231"/>
      <c r="V151" s="231"/>
      <c r="W151" s="231"/>
      <c r="X151" s="167"/>
      <c r="Y151" s="231"/>
    </row>
    <row r="152" spans="1:25">
      <c r="A152" s="231"/>
      <c r="B152" s="272"/>
      <c r="C152" s="231"/>
      <c r="D152" s="273"/>
      <c r="E152" s="168"/>
      <c r="F152" s="274"/>
      <c r="G152" s="231"/>
      <c r="H152" s="231"/>
      <c r="I152" s="231"/>
      <c r="J152" s="231"/>
      <c r="K152" s="167"/>
      <c r="L152" s="167"/>
      <c r="M152" s="167"/>
      <c r="N152" s="167"/>
      <c r="O152" s="231"/>
      <c r="P152" s="166"/>
      <c r="Q152" s="166"/>
      <c r="R152" s="166"/>
      <c r="S152" s="277"/>
      <c r="T152" s="231"/>
      <c r="U152" s="231"/>
      <c r="V152" s="231"/>
      <c r="W152" s="231"/>
      <c r="X152" s="167"/>
      <c r="Y152" s="231"/>
    </row>
    <row r="153" spans="1:25">
      <c r="A153" s="231"/>
      <c r="B153" s="272"/>
      <c r="C153" s="231"/>
      <c r="D153" s="273"/>
      <c r="E153" s="168"/>
      <c r="F153" s="274"/>
      <c r="G153" s="231"/>
      <c r="H153" s="231"/>
      <c r="I153" s="231"/>
      <c r="J153" s="231"/>
      <c r="K153" s="167"/>
      <c r="L153" s="167"/>
      <c r="M153" s="167"/>
      <c r="N153" s="167"/>
      <c r="O153" s="231"/>
      <c r="P153" s="166"/>
      <c r="Q153" s="166"/>
      <c r="R153" s="166"/>
      <c r="S153" s="277"/>
      <c r="T153" s="231"/>
      <c r="U153" s="231"/>
      <c r="V153" s="231"/>
      <c r="W153" s="231"/>
      <c r="X153" s="167"/>
      <c r="Y153" s="231"/>
    </row>
    <row r="154" spans="1:25">
      <c r="A154" s="231"/>
      <c r="B154" s="272"/>
      <c r="C154" s="231"/>
      <c r="D154" s="273"/>
      <c r="E154" s="168"/>
      <c r="F154" s="274"/>
      <c r="G154" s="231"/>
      <c r="H154" s="231"/>
      <c r="I154" s="231"/>
      <c r="J154" s="231"/>
      <c r="K154" s="167"/>
      <c r="L154" s="167"/>
      <c r="M154" s="167"/>
      <c r="N154" s="167"/>
      <c r="O154" s="231"/>
      <c r="P154" s="166"/>
      <c r="Q154" s="166"/>
      <c r="R154" s="166"/>
      <c r="S154" s="277"/>
      <c r="T154" s="231"/>
      <c r="U154" s="231"/>
      <c r="V154" s="231"/>
      <c r="W154" s="231"/>
      <c r="X154" s="167"/>
      <c r="Y154" s="231"/>
    </row>
    <row r="155" spans="1:25">
      <c r="A155" s="231"/>
      <c r="B155" s="272"/>
      <c r="C155" s="231"/>
      <c r="D155" s="273"/>
      <c r="E155" s="168"/>
      <c r="F155" s="274"/>
      <c r="G155" s="231"/>
      <c r="H155" s="231"/>
      <c r="I155" s="231"/>
      <c r="J155" s="231"/>
      <c r="K155" s="167"/>
      <c r="L155" s="167"/>
      <c r="M155" s="167"/>
      <c r="N155" s="167"/>
      <c r="O155" s="231"/>
      <c r="P155" s="166"/>
      <c r="Q155" s="166"/>
      <c r="R155" s="166"/>
      <c r="S155" s="277"/>
      <c r="T155" s="231"/>
      <c r="U155" s="231"/>
      <c r="V155" s="231"/>
      <c r="W155" s="231"/>
      <c r="X155" s="167"/>
      <c r="Y155" s="231"/>
    </row>
    <row r="156" spans="1:25">
      <c r="A156" s="231"/>
      <c r="B156" s="272"/>
      <c r="C156" s="231"/>
      <c r="D156" s="273"/>
      <c r="E156" s="168"/>
      <c r="F156" s="274"/>
      <c r="G156" s="231"/>
      <c r="H156" s="231"/>
      <c r="I156" s="231"/>
      <c r="J156" s="231"/>
      <c r="K156" s="167"/>
      <c r="L156" s="167"/>
      <c r="M156" s="167"/>
      <c r="N156" s="167"/>
      <c r="O156" s="231"/>
      <c r="P156" s="166"/>
      <c r="Q156" s="166"/>
      <c r="R156" s="166"/>
      <c r="S156" s="277"/>
      <c r="T156" s="231"/>
      <c r="U156" s="231"/>
      <c r="V156" s="231"/>
      <c r="W156" s="231"/>
      <c r="X156" s="167"/>
      <c r="Y156" s="231"/>
    </row>
    <row r="157" spans="1:25">
      <c r="A157" s="231"/>
      <c r="B157" s="272"/>
      <c r="C157" s="231"/>
      <c r="D157" s="273"/>
      <c r="E157" s="168"/>
      <c r="F157" s="274"/>
      <c r="G157" s="231"/>
      <c r="H157" s="231"/>
      <c r="I157" s="231"/>
      <c r="J157" s="231"/>
      <c r="K157" s="167"/>
      <c r="L157" s="167"/>
      <c r="M157" s="167"/>
      <c r="N157" s="167"/>
      <c r="O157" s="231"/>
      <c r="P157" s="166"/>
      <c r="Q157" s="166"/>
      <c r="R157" s="166"/>
      <c r="S157" s="277"/>
      <c r="T157" s="231"/>
      <c r="U157" s="231"/>
      <c r="V157" s="231"/>
      <c r="W157" s="231"/>
      <c r="X157" s="167"/>
      <c r="Y157" s="231"/>
    </row>
    <row r="158" spans="1:25">
      <c r="A158" s="231"/>
      <c r="B158" s="272"/>
      <c r="C158" s="231"/>
      <c r="D158" s="273"/>
      <c r="E158" s="168"/>
      <c r="F158" s="274"/>
      <c r="G158" s="231"/>
      <c r="H158" s="231"/>
      <c r="I158" s="231"/>
      <c r="J158" s="231"/>
      <c r="K158" s="167"/>
      <c r="L158" s="167"/>
      <c r="M158" s="167"/>
      <c r="N158" s="167"/>
      <c r="O158" s="231"/>
      <c r="P158" s="166"/>
      <c r="Q158" s="166"/>
      <c r="R158" s="166"/>
      <c r="S158" s="277"/>
      <c r="T158" s="231"/>
      <c r="U158" s="231"/>
      <c r="V158" s="231"/>
      <c r="W158" s="231"/>
      <c r="X158" s="167"/>
      <c r="Y158" s="231"/>
    </row>
    <row r="159" spans="1:25">
      <c r="A159" s="231"/>
      <c r="B159" s="272"/>
      <c r="C159" s="231"/>
      <c r="D159" s="273"/>
      <c r="E159" s="168"/>
      <c r="F159" s="274"/>
      <c r="G159" s="231"/>
      <c r="H159" s="231"/>
      <c r="I159" s="231"/>
      <c r="J159" s="231"/>
      <c r="K159" s="167"/>
      <c r="L159" s="167"/>
      <c r="M159" s="167"/>
      <c r="N159" s="167"/>
      <c r="O159" s="231"/>
      <c r="P159" s="166"/>
      <c r="Q159" s="166"/>
      <c r="R159" s="166"/>
      <c r="S159" s="277"/>
      <c r="T159" s="231"/>
      <c r="U159" s="231"/>
      <c r="V159" s="231"/>
      <c r="W159" s="231"/>
      <c r="X159" s="167"/>
      <c r="Y159" s="231"/>
    </row>
    <row r="160" spans="1:25">
      <c r="A160" s="231"/>
      <c r="B160" s="272"/>
      <c r="C160" s="231"/>
      <c r="D160" s="273"/>
      <c r="E160" s="168"/>
      <c r="F160" s="274"/>
      <c r="G160" s="231"/>
      <c r="H160" s="231"/>
      <c r="I160" s="231"/>
      <c r="J160" s="231"/>
      <c r="K160" s="167"/>
      <c r="L160" s="167"/>
      <c r="M160" s="167"/>
      <c r="N160" s="167"/>
      <c r="O160" s="231"/>
      <c r="P160" s="166"/>
      <c r="Q160" s="166"/>
      <c r="R160" s="166"/>
      <c r="S160" s="277"/>
      <c r="T160" s="231"/>
      <c r="U160" s="231"/>
      <c r="V160" s="231"/>
      <c r="W160" s="231"/>
      <c r="X160" s="167"/>
      <c r="Y160" s="231"/>
    </row>
    <row r="161" spans="1:25">
      <c r="A161" s="231"/>
      <c r="B161" s="272"/>
      <c r="C161" s="231"/>
      <c r="D161" s="273"/>
      <c r="E161" s="168"/>
      <c r="F161" s="274"/>
      <c r="G161" s="231"/>
      <c r="H161" s="231"/>
      <c r="I161" s="231"/>
      <c r="J161" s="231"/>
      <c r="K161" s="167"/>
      <c r="L161" s="167"/>
      <c r="M161" s="167"/>
      <c r="N161" s="167"/>
      <c r="O161" s="231"/>
      <c r="P161" s="166"/>
      <c r="Q161" s="166"/>
      <c r="R161" s="166"/>
      <c r="S161" s="277"/>
      <c r="T161" s="231"/>
      <c r="U161" s="231"/>
      <c r="V161" s="231"/>
      <c r="W161" s="231"/>
      <c r="X161" s="167"/>
      <c r="Y161" s="231"/>
    </row>
    <row r="162" spans="1:25">
      <c r="A162" s="231"/>
      <c r="B162" s="272"/>
      <c r="C162" s="231"/>
      <c r="D162" s="273"/>
      <c r="E162" s="168"/>
      <c r="F162" s="274"/>
      <c r="G162" s="231"/>
      <c r="H162" s="231"/>
      <c r="I162" s="231"/>
      <c r="J162" s="231"/>
      <c r="K162" s="167"/>
      <c r="L162" s="167"/>
      <c r="M162" s="167"/>
      <c r="N162" s="167"/>
      <c r="O162" s="231"/>
      <c r="P162" s="166"/>
      <c r="Q162" s="166"/>
      <c r="R162" s="166"/>
      <c r="S162" s="277"/>
      <c r="T162" s="231"/>
      <c r="U162" s="231"/>
      <c r="V162" s="231"/>
      <c r="W162" s="231"/>
      <c r="X162" s="167"/>
      <c r="Y162" s="231"/>
    </row>
    <row r="163" spans="1:25">
      <c r="A163" s="231"/>
      <c r="B163" s="272"/>
      <c r="C163" s="231"/>
      <c r="D163" s="273"/>
      <c r="E163" s="168"/>
      <c r="F163" s="274"/>
      <c r="G163" s="231"/>
      <c r="H163" s="231"/>
      <c r="I163" s="231"/>
      <c r="J163" s="231"/>
      <c r="K163" s="167"/>
      <c r="L163" s="167"/>
      <c r="M163" s="167"/>
      <c r="N163" s="167"/>
      <c r="O163" s="231"/>
      <c r="P163" s="166"/>
      <c r="Q163" s="166"/>
      <c r="R163" s="166"/>
      <c r="S163" s="277"/>
      <c r="T163" s="231"/>
      <c r="U163" s="231"/>
      <c r="V163" s="231"/>
      <c r="W163" s="231"/>
      <c r="X163" s="167"/>
      <c r="Y163" s="231"/>
    </row>
    <row r="164" spans="1:25">
      <c r="A164" s="231"/>
      <c r="B164" s="272"/>
      <c r="C164" s="231"/>
      <c r="D164" s="273"/>
      <c r="E164" s="168"/>
      <c r="F164" s="274"/>
      <c r="G164" s="231"/>
      <c r="H164" s="231"/>
      <c r="I164" s="231"/>
      <c r="J164" s="231"/>
      <c r="K164" s="167"/>
      <c r="L164" s="167"/>
      <c r="M164" s="167"/>
      <c r="N164" s="167"/>
      <c r="O164" s="231"/>
      <c r="P164" s="166"/>
      <c r="Q164" s="166"/>
      <c r="R164" s="166"/>
      <c r="S164" s="277"/>
      <c r="T164" s="231"/>
      <c r="U164" s="231"/>
      <c r="V164" s="231"/>
      <c r="W164" s="231"/>
      <c r="X164" s="167"/>
      <c r="Y164" s="231"/>
    </row>
    <row r="165" spans="1:25">
      <c r="A165" s="231"/>
      <c r="B165" s="272"/>
      <c r="C165" s="231"/>
      <c r="D165" s="273"/>
      <c r="E165" s="168"/>
      <c r="F165" s="274"/>
      <c r="G165" s="231"/>
      <c r="H165" s="231"/>
      <c r="I165" s="231"/>
      <c r="J165" s="231"/>
      <c r="K165" s="167"/>
      <c r="L165" s="167"/>
      <c r="M165" s="167"/>
      <c r="N165" s="167"/>
      <c r="O165" s="231"/>
      <c r="P165" s="166"/>
      <c r="Q165" s="166"/>
      <c r="R165" s="166"/>
      <c r="S165" s="277"/>
      <c r="T165" s="231"/>
      <c r="U165" s="231"/>
      <c r="V165" s="231"/>
      <c r="W165" s="231"/>
      <c r="X165" s="167"/>
      <c r="Y165" s="231"/>
    </row>
    <row r="166" spans="1:25">
      <c r="A166" s="231"/>
      <c r="B166" s="272"/>
      <c r="C166" s="231"/>
      <c r="D166" s="273"/>
      <c r="E166" s="168"/>
      <c r="F166" s="274"/>
      <c r="G166" s="231"/>
      <c r="H166" s="231"/>
      <c r="I166" s="231"/>
      <c r="J166" s="231"/>
      <c r="K166" s="167"/>
      <c r="L166" s="167"/>
      <c r="M166" s="167"/>
      <c r="N166" s="167"/>
      <c r="O166" s="231"/>
      <c r="P166" s="166"/>
      <c r="Q166" s="166"/>
      <c r="R166" s="166"/>
      <c r="S166" s="277"/>
      <c r="T166" s="231"/>
      <c r="U166" s="231"/>
      <c r="V166" s="231"/>
      <c r="W166" s="231"/>
      <c r="X166" s="167"/>
      <c r="Y166" s="231"/>
    </row>
    <row r="167" spans="1:25">
      <c r="A167" s="231"/>
      <c r="B167" s="272"/>
      <c r="C167" s="231"/>
      <c r="D167" s="273"/>
      <c r="E167" s="168"/>
      <c r="F167" s="274"/>
      <c r="G167" s="231"/>
      <c r="H167" s="231"/>
      <c r="I167" s="231"/>
      <c r="J167" s="231"/>
      <c r="K167" s="167"/>
      <c r="L167" s="167"/>
      <c r="M167" s="167"/>
      <c r="N167" s="167"/>
      <c r="O167" s="231"/>
      <c r="P167" s="166"/>
      <c r="Q167" s="166"/>
      <c r="R167" s="166"/>
      <c r="S167" s="277"/>
      <c r="T167" s="231"/>
      <c r="U167" s="231"/>
      <c r="V167" s="231"/>
      <c r="W167" s="231"/>
      <c r="X167" s="167"/>
      <c r="Y167" s="231"/>
    </row>
    <row r="168" spans="1:25">
      <c r="A168" s="231"/>
      <c r="B168" s="272"/>
      <c r="C168" s="231"/>
      <c r="D168" s="273"/>
      <c r="E168" s="168"/>
      <c r="F168" s="274"/>
      <c r="G168" s="231"/>
      <c r="H168" s="231"/>
      <c r="I168" s="231"/>
      <c r="J168" s="231"/>
      <c r="K168" s="167"/>
      <c r="L168" s="167"/>
      <c r="M168" s="167"/>
      <c r="N168" s="167"/>
      <c r="O168" s="231"/>
      <c r="P168" s="166"/>
      <c r="Q168" s="166"/>
      <c r="R168" s="166"/>
      <c r="S168" s="277"/>
      <c r="T168" s="231"/>
      <c r="U168" s="231"/>
      <c r="V168" s="231"/>
      <c r="W168" s="231"/>
      <c r="X168" s="167"/>
      <c r="Y168" s="231"/>
    </row>
    <row r="169" spans="1:25">
      <c r="A169" s="231"/>
      <c r="B169" s="272"/>
      <c r="C169" s="231"/>
      <c r="D169" s="273"/>
      <c r="E169" s="168"/>
      <c r="F169" s="274"/>
      <c r="G169" s="231"/>
      <c r="H169" s="231"/>
      <c r="I169" s="231"/>
      <c r="J169" s="231"/>
      <c r="K169" s="167"/>
      <c r="L169" s="167"/>
      <c r="M169" s="167"/>
      <c r="N169" s="167"/>
      <c r="O169" s="231"/>
      <c r="P169" s="166"/>
      <c r="Q169" s="166"/>
      <c r="R169" s="166"/>
      <c r="S169" s="277"/>
      <c r="T169" s="231"/>
      <c r="U169" s="231"/>
      <c r="V169" s="231"/>
      <c r="W169" s="231"/>
      <c r="X169" s="167"/>
      <c r="Y169" s="231"/>
    </row>
    <row r="170" spans="1:25">
      <c r="A170" s="231"/>
      <c r="B170" s="272"/>
      <c r="C170" s="231"/>
      <c r="D170" s="273"/>
      <c r="E170" s="168"/>
      <c r="F170" s="274"/>
      <c r="G170" s="231"/>
      <c r="H170" s="231"/>
      <c r="I170" s="231"/>
      <c r="J170" s="231"/>
      <c r="K170" s="167"/>
      <c r="L170" s="167"/>
      <c r="M170" s="167"/>
      <c r="N170" s="167"/>
      <c r="O170" s="231"/>
      <c r="P170" s="166"/>
      <c r="Q170" s="166"/>
      <c r="R170" s="166"/>
      <c r="S170" s="277"/>
      <c r="T170" s="231"/>
      <c r="U170" s="231"/>
      <c r="V170" s="231"/>
      <c r="W170" s="231"/>
      <c r="X170" s="167"/>
      <c r="Y170" s="231"/>
    </row>
    <row r="171" spans="1:25">
      <c r="A171" s="231"/>
      <c r="B171" s="272"/>
      <c r="C171" s="231"/>
      <c r="D171" s="273"/>
      <c r="E171" s="168"/>
      <c r="F171" s="274"/>
      <c r="G171" s="231"/>
      <c r="H171" s="231"/>
      <c r="I171" s="231"/>
      <c r="J171" s="231"/>
      <c r="K171" s="167"/>
      <c r="L171" s="167"/>
      <c r="M171" s="167"/>
      <c r="N171" s="167"/>
      <c r="O171" s="231"/>
      <c r="P171" s="166"/>
      <c r="Q171" s="166"/>
      <c r="R171" s="166"/>
      <c r="S171" s="277"/>
      <c r="T171" s="231"/>
      <c r="U171" s="231"/>
      <c r="V171" s="231"/>
      <c r="W171" s="231"/>
      <c r="X171" s="167"/>
      <c r="Y171" s="231"/>
    </row>
    <row r="172" spans="1:25">
      <c r="A172" s="231"/>
      <c r="B172" s="272"/>
      <c r="C172" s="231"/>
      <c r="D172" s="273"/>
      <c r="E172" s="168"/>
      <c r="F172" s="274"/>
      <c r="G172" s="231"/>
      <c r="H172" s="231"/>
      <c r="I172" s="231"/>
      <c r="J172" s="231"/>
      <c r="K172" s="167"/>
      <c r="L172" s="167"/>
      <c r="M172" s="167"/>
      <c r="N172" s="167"/>
      <c r="O172" s="231"/>
      <c r="P172" s="166"/>
      <c r="Q172" s="166"/>
      <c r="R172" s="166"/>
      <c r="S172" s="277"/>
      <c r="T172" s="231"/>
      <c r="U172" s="231"/>
      <c r="V172" s="231"/>
      <c r="W172" s="231"/>
      <c r="X172" s="167"/>
      <c r="Y172" s="231"/>
    </row>
    <row r="173" spans="1:25">
      <c r="A173" s="231"/>
      <c r="B173" s="272"/>
      <c r="C173" s="231"/>
      <c r="D173" s="273"/>
      <c r="E173" s="168"/>
      <c r="F173" s="274"/>
      <c r="G173" s="231"/>
      <c r="H173" s="231"/>
      <c r="I173" s="231"/>
      <c r="J173" s="231"/>
      <c r="K173" s="167"/>
      <c r="L173" s="167"/>
      <c r="M173" s="167"/>
      <c r="N173" s="167"/>
      <c r="O173" s="231"/>
      <c r="P173" s="166"/>
      <c r="Q173" s="166"/>
      <c r="R173" s="166"/>
      <c r="S173" s="277"/>
      <c r="T173" s="231"/>
      <c r="U173" s="231"/>
      <c r="V173" s="231"/>
      <c r="W173" s="231"/>
      <c r="X173" s="167"/>
      <c r="Y173" s="231"/>
    </row>
    <row r="174" spans="1:25">
      <c r="A174" s="231"/>
      <c r="B174" s="272"/>
      <c r="C174" s="231"/>
      <c r="D174" s="273"/>
      <c r="E174" s="168"/>
      <c r="F174" s="274"/>
      <c r="G174" s="231"/>
      <c r="H174" s="231"/>
      <c r="I174" s="231"/>
      <c r="J174" s="231"/>
      <c r="K174" s="167"/>
      <c r="L174" s="167"/>
      <c r="M174" s="167"/>
      <c r="N174" s="167"/>
      <c r="O174" s="231"/>
      <c r="P174" s="166"/>
      <c r="Q174" s="166"/>
      <c r="R174" s="166"/>
      <c r="S174" s="277"/>
      <c r="T174" s="231"/>
      <c r="U174" s="231"/>
      <c r="V174" s="231"/>
      <c r="W174" s="231"/>
      <c r="X174" s="167"/>
      <c r="Y174" s="231"/>
    </row>
    <row r="175" spans="1:25">
      <c r="A175" s="231"/>
      <c r="B175" s="272"/>
      <c r="C175" s="231"/>
      <c r="D175" s="273"/>
      <c r="E175" s="168"/>
      <c r="F175" s="274"/>
      <c r="G175" s="231"/>
      <c r="H175" s="231"/>
      <c r="I175" s="231"/>
      <c r="J175" s="231"/>
      <c r="K175" s="167"/>
      <c r="L175" s="167"/>
      <c r="M175" s="167"/>
      <c r="N175" s="167"/>
      <c r="O175" s="231"/>
      <c r="P175" s="166"/>
      <c r="Q175" s="166"/>
      <c r="R175" s="166"/>
      <c r="S175" s="277"/>
      <c r="T175" s="231"/>
      <c r="U175" s="231"/>
      <c r="V175" s="231"/>
      <c r="W175" s="231"/>
      <c r="X175" s="167"/>
      <c r="Y175" s="231"/>
    </row>
    <row r="176" spans="1:25">
      <c r="A176" s="231"/>
      <c r="B176" s="272"/>
      <c r="C176" s="231"/>
      <c r="D176" s="273"/>
      <c r="E176" s="168"/>
      <c r="F176" s="274"/>
      <c r="G176" s="231"/>
      <c r="H176" s="231"/>
      <c r="I176" s="231"/>
      <c r="J176" s="231"/>
      <c r="K176" s="167"/>
      <c r="L176" s="167"/>
      <c r="M176" s="167"/>
      <c r="N176" s="167"/>
      <c r="O176" s="231"/>
      <c r="P176" s="166"/>
      <c r="Q176" s="166"/>
      <c r="R176" s="166"/>
      <c r="S176" s="277"/>
      <c r="T176" s="231"/>
      <c r="U176" s="231"/>
      <c r="V176" s="231"/>
      <c r="W176" s="231"/>
      <c r="X176" s="167"/>
      <c r="Y176" s="231"/>
    </row>
    <row r="177" spans="1:25">
      <c r="A177" s="231"/>
      <c r="B177" s="272"/>
      <c r="C177" s="231"/>
      <c r="D177" s="273"/>
      <c r="E177" s="168"/>
      <c r="F177" s="274"/>
      <c r="G177" s="231"/>
      <c r="H177" s="231"/>
      <c r="I177" s="231"/>
      <c r="J177" s="231"/>
      <c r="K177" s="167"/>
      <c r="L177" s="167"/>
      <c r="M177" s="167"/>
      <c r="N177" s="167"/>
      <c r="O177" s="231"/>
      <c r="P177" s="166"/>
      <c r="Q177" s="166"/>
      <c r="R177" s="166"/>
      <c r="S177" s="277"/>
      <c r="T177" s="231"/>
      <c r="U177" s="231"/>
      <c r="V177" s="231"/>
      <c r="W177" s="231"/>
      <c r="X177" s="167"/>
      <c r="Y177" s="231"/>
    </row>
    <row r="178" spans="1:25">
      <c r="A178" s="231"/>
      <c r="B178" s="272"/>
      <c r="C178" s="231"/>
      <c r="D178" s="273"/>
      <c r="E178" s="168"/>
      <c r="F178" s="274"/>
      <c r="G178" s="231"/>
      <c r="H178" s="231"/>
      <c r="I178" s="231"/>
      <c r="J178" s="231"/>
      <c r="K178" s="167"/>
      <c r="L178" s="167"/>
      <c r="M178" s="167"/>
      <c r="N178" s="167"/>
      <c r="O178" s="231"/>
      <c r="P178" s="166"/>
      <c r="Q178" s="166"/>
      <c r="R178" s="166"/>
      <c r="S178" s="277"/>
      <c r="T178" s="231"/>
      <c r="U178" s="231"/>
      <c r="V178" s="231"/>
      <c r="W178" s="231"/>
      <c r="X178" s="167"/>
      <c r="Y178" s="231"/>
    </row>
    <row r="179" spans="1:25">
      <c r="A179" s="231"/>
      <c r="B179" s="272"/>
      <c r="C179" s="231"/>
      <c r="D179" s="273"/>
      <c r="E179" s="168"/>
      <c r="F179" s="274"/>
      <c r="G179" s="231"/>
      <c r="H179" s="231"/>
      <c r="I179" s="231"/>
      <c r="J179" s="231"/>
      <c r="K179" s="167"/>
      <c r="L179" s="167"/>
      <c r="M179" s="167"/>
      <c r="N179" s="167"/>
      <c r="O179" s="231"/>
      <c r="P179" s="166"/>
      <c r="Q179" s="166"/>
      <c r="R179" s="166"/>
      <c r="S179" s="277"/>
      <c r="T179" s="231"/>
      <c r="U179" s="231"/>
      <c r="V179" s="231"/>
      <c r="W179" s="231"/>
      <c r="X179" s="167"/>
      <c r="Y179" s="231"/>
    </row>
    <row r="180" spans="1:25">
      <c r="A180" s="231"/>
      <c r="B180" s="272"/>
      <c r="C180" s="231"/>
      <c r="D180" s="273"/>
      <c r="E180" s="168"/>
      <c r="F180" s="274"/>
      <c r="G180" s="231"/>
      <c r="H180" s="231"/>
      <c r="I180" s="231"/>
      <c r="J180" s="231"/>
      <c r="K180" s="167"/>
      <c r="L180" s="167"/>
      <c r="M180" s="167"/>
      <c r="N180" s="167"/>
      <c r="O180" s="231"/>
      <c r="P180" s="166"/>
      <c r="Q180" s="166"/>
      <c r="R180" s="166"/>
      <c r="S180" s="277"/>
      <c r="T180" s="231"/>
      <c r="U180" s="231"/>
      <c r="V180" s="231"/>
      <c r="W180" s="231"/>
      <c r="X180" s="167"/>
      <c r="Y180" s="231"/>
    </row>
    <row r="181" spans="1:25">
      <c r="A181" s="231"/>
      <c r="B181" s="272"/>
      <c r="C181" s="231"/>
      <c r="D181" s="273"/>
      <c r="E181" s="168"/>
      <c r="F181" s="274"/>
      <c r="G181" s="231"/>
      <c r="H181" s="231"/>
      <c r="I181" s="231"/>
      <c r="J181" s="231"/>
      <c r="K181" s="167"/>
      <c r="L181" s="167"/>
      <c r="M181" s="167"/>
      <c r="N181" s="167"/>
      <c r="O181" s="231"/>
      <c r="P181" s="166"/>
      <c r="Q181" s="166"/>
      <c r="R181" s="166"/>
      <c r="S181" s="277"/>
      <c r="T181" s="231"/>
      <c r="U181" s="231"/>
      <c r="V181" s="231"/>
      <c r="W181" s="231"/>
      <c r="X181" s="167"/>
      <c r="Y181" s="231"/>
    </row>
    <row r="182" spans="1:25">
      <c r="A182" s="231"/>
      <c r="B182" s="272"/>
      <c r="C182" s="231"/>
      <c r="D182" s="273"/>
      <c r="E182" s="168"/>
      <c r="F182" s="274"/>
      <c r="G182" s="231"/>
      <c r="H182" s="231"/>
      <c r="I182" s="231"/>
      <c r="J182" s="231"/>
      <c r="K182" s="167"/>
      <c r="L182" s="167"/>
      <c r="M182" s="167"/>
      <c r="N182" s="167"/>
      <c r="O182" s="231"/>
      <c r="P182" s="166"/>
      <c r="Q182" s="166"/>
      <c r="R182" s="166"/>
      <c r="S182" s="277"/>
      <c r="T182" s="231"/>
      <c r="U182" s="231"/>
      <c r="V182" s="231"/>
      <c r="W182" s="231"/>
      <c r="X182" s="167"/>
      <c r="Y182" s="231"/>
    </row>
    <row r="183" spans="1:25">
      <c r="A183" s="231"/>
      <c r="B183" s="272"/>
      <c r="C183" s="231"/>
      <c r="D183" s="273"/>
      <c r="E183" s="168"/>
      <c r="F183" s="274"/>
      <c r="G183" s="231"/>
      <c r="H183" s="231"/>
      <c r="I183" s="231"/>
      <c r="J183" s="231"/>
      <c r="K183" s="167"/>
      <c r="L183" s="167"/>
      <c r="M183" s="167"/>
      <c r="N183" s="167"/>
      <c r="O183" s="231"/>
      <c r="P183" s="166"/>
      <c r="Q183" s="166"/>
      <c r="R183" s="166"/>
      <c r="S183" s="277"/>
      <c r="T183" s="231"/>
      <c r="U183" s="231"/>
      <c r="V183" s="231"/>
      <c r="W183" s="231"/>
      <c r="X183" s="167"/>
      <c r="Y183" s="231"/>
    </row>
    <row r="184" spans="1:25">
      <c r="A184" s="231"/>
      <c r="B184" s="272"/>
      <c r="C184" s="231"/>
      <c r="D184" s="273"/>
      <c r="E184" s="168"/>
      <c r="F184" s="274"/>
      <c r="G184" s="231"/>
      <c r="H184" s="231"/>
      <c r="I184" s="231"/>
      <c r="J184" s="231"/>
      <c r="K184" s="167"/>
      <c r="L184" s="167"/>
      <c r="M184" s="167"/>
      <c r="N184" s="167"/>
      <c r="O184" s="231"/>
      <c r="P184" s="166"/>
      <c r="Q184" s="166"/>
      <c r="R184" s="166"/>
      <c r="S184" s="277"/>
      <c r="T184" s="231"/>
      <c r="U184" s="231"/>
      <c r="V184" s="231"/>
      <c r="W184" s="231"/>
      <c r="X184" s="167"/>
      <c r="Y184" s="231"/>
    </row>
    <row r="185" spans="1:25">
      <c r="A185" s="231"/>
      <c r="B185" s="272"/>
      <c r="C185" s="231"/>
      <c r="D185" s="273"/>
      <c r="E185" s="168"/>
      <c r="F185" s="274"/>
      <c r="G185" s="231"/>
      <c r="H185" s="231"/>
      <c r="I185" s="231"/>
      <c r="J185" s="231"/>
      <c r="K185" s="167"/>
      <c r="L185" s="167"/>
      <c r="M185" s="167"/>
      <c r="N185" s="167"/>
      <c r="O185" s="231"/>
      <c r="P185" s="166"/>
      <c r="Q185" s="166"/>
      <c r="R185" s="166"/>
      <c r="S185" s="277"/>
      <c r="T185" s="231"/>
      <c r="U185" s="231"/>
      <c r="V185" s="231"/>
      <c r="W185" s="231"/>
      <c r="X185" s="167"/>
      <c r="Y185" s="231"/>
    </row>
    <row r="186" spans="1:25">
      <c r="A186" s="231"/>
      <c r="B186" s="272"/>
      <c r="C186" s="231"/>
      <c r="D186" s="273"/>
      <c r="E186" s="168"/>
      <c r="F186" s="274"/>
      <c r="G186" s="231"/>
      <c r="H186" s="231"/>
      <c r="I186" s="231"/>
      <c r="J186" s="231"/>
      <c r="K186" s="167"/>
      <c r="L186" s="167"/>
      <c r="M186" s="167"/>
      <c r="N186" s="167"/>
      <c r="O186" s="231"/>
      <c r="P186" s="166"/>
      <c r="Q186" s="166"/>
      <c r="R186" s="166"/>
      <c r="S186" s="277"/>
      <c r="T186" s="231"/>
      <c r="U186" s="231"/>
      <c r="V186" s="231"/>
      <c r="W186" s="231"/>
      <c r="X186" s="167"/>
      <c r="Y186" s="231"/>
    </row>
    <row r="187" spans="1:25">
      <c r="A187" s="231"/>
      <c r="B187" s="272"/>
      <c r="C187" s="231"/>
      <c r="D187" s="273"/>
      <c r="E187" s="168"/>
      <c r="F187" s="274"/>
      <c r="G187" s="231"/>
      <c r="H187" s="231"/>
      <c r="I187" s="231"/>
      <c r="J187" s="231"/>
      <c r="K187" s="167"/>
      <c r="L187" s="167"/>
      <c r="M187" s="167"/>
      <c r="N187" s="167"/>
      <c r="O187" s="231"/>
      <c r="P187" s="166"/>
      <c r="Q187" s="166"/>
      <c r="R187" s="166"/>
      <c r="S187" s="277"/>
      <c r="T187" s="231"/>
      <c r="U187" s="231"/>
      <c r="V187" s="231"/>
      <c r="W187" s="231"/>
      <c r="X187" s="167"/>
      <c r="Y187" s="231"/>
    </row>
    <row r="188" spans="1:25">
      <c r="A188" s="231"/>
      <c r="B188" s="272"/>
      <c r="C188" s="231"/>
      <c r="D188" s="273"/>
      <c r="E188" s="168"/>
      <c r="F188" s="274"/>
      <c r="G188" s="231"/>
      <c r="H188" s="231"/>
      <c r="I188" s="231"/>
      <c r="J188" s="231"/>
      <c r="K188" s="167"/>
      <c r="L188" s="167"/>
      <c r="M188" s="167"/>
      <c r="N188" s="167"/>
      <c r="O188" s="231"/>
      <c r="P188" s="166"/>
      <c r="Q188" s="166"/>
      <c r="R188" s="166"/>
      <c r="S188" s="277"/>
      <c r="T188" s="231"/>
      <c r="U188" s="231"/>
      <c r="V188" s="231"/>
      <c r="W188" s="231"/>
      <c r="X188" s="167"/>
      <c r="Y188" s="231"/>
    </row>
    <row r="189" spans="1:25">
      <c r="A189" s="231"/>
      <c r="B189" s="272"/>
      <c r="C189" s="231"/>
      <c r="D189" s="273"/>
      <c r="E189" s="168"/>
      <c r="F189" s="274"/>
      <c r="G189" s="231"/>
      <c r="H189" s="231"/>
      <c r="I189" s="231"/>
      <c r="J189" s="231"/>
      <c r="K189" s="167"/>
      <c r="L189" s="167"/>
      <c r="M189" s="167"/>
      <c r="N189" s="167"/>
      <c r="O189" s="231"/>
      <c r="P189" s="166"/>
      <c r="Q189" s="166"/>
      <c r="R189" s="166"/>
      <c r="S189" s="277"/>
      <c r="T189" s="231"/>
      <c r="U189" s="231"/>
      <c r="V189" s="231"/>
      <c r="W189" s="231"/>
      <c r="X189" s="167"/>
      <c r="Y189" s="231"/>
    </row>
    <row r="190" spans="1:25">
      <c r="A190" s="231"/>
      <c r="B190" s="272"/>
      <c r="C190" s="231"/>
      <c r="D190" s="273"/>
      <c r="E190" s="168"/>
      <c r="F190" s="274"/>
      <c r="G190" s="231"/>
      <c r="H190" s="231"/>
      <c r="I190" s="231"/>
      <c r="J190" s="231"/>
      <c r="K190" s="167"/>
      <c r="L190" s="167"/>
      <c r="M190" s="167"/>
      <c r="N190" s="167"/>
      <c r="O190" s="231"/>
      <c r="P190" s="166"/>
      <c r="Q190" s="166"/>
      <c r="R190" s="166"/>
      <c r="S190" s="277"/>
      <c r="T190" s="231"/>
      <c r="U190" s="231"/>
      <c r="V190" s="231"/>
      <c r="W190" s="231"/>
      <c r="X190" s="167"/>
      <c r="Y190" s="231"/>
    </row>
    <row r="191" spans="1:25">
      <c r="A191" s="231"/>
      <c r="B191" s="272"/>
      <c r="C191" s="231"/>
      <c r="D191" s="273"/>
      <c r="E191" s="168"/>
      <c r="F191" s="274"/>
      <c r="G191" s="231"/>
      <c r="H191" s="231"/>
      <c r="I191" s="231"/>
      <c r="J191" s="231"/>
      <c r="K191" s="167"/>
      <c r="L191" s="167"/>
      <c r="M191" s="167"/>
      <c r="N191" s="167"/>
      <c r="O191" s="231"/>
      <c r="P191" s="166"/>
      <c r="Q191" s="166"/>
      <c r="R191" s="166"/>
      <c r="S191" s="277"/>
      <c r="T191" s="231"/>
      <c r="U191" s="231"/>
      <c r="V191" s="231"/>
      <c r="W191" s="231"/>
      <c r="X191" s="167"/>
      <c r="Y191" s="231"/>
    </row>
    <row r="192" spans="1:25">
      <c r="A192" s="231"/>
      <c r="B192" s="272"/>
      <c r="C192" s="231"/>
      <c r="D192" s="273"/>
      <c r="E192" s="168"/>
      <c r="F192" s="274"/>
      <c r="G192" s="231"/>
      <c r="H192" s="231"/>
      <c r="I192" s="231"/>
      <c r="J192" s="231"/>
      <c r="K192" s="167"/>
      <c r="L192" s="167"/>
      <c r="M192" s="167"/>
      <c r="N192" s="167"/>
      <c r="O192" s="231"/>
      <c r="P192" s="166"/>
      <c r="Q192" s="166"/>
      <c r="R192" s="166"/>
      <c r="S192" s="277"/>
      <c r="T192" s="231"/>
      <c r="U192" s="231"/>
      <c r="V192" s="231"/>
      <c r="W192" s="231"/>
      <c r="X192" s="167"/>
      <c r="Y192" s="231"/>
    </row>
    <row r="193" spans="1:25">
      <c r="A193" s="231"/>
      <c r="B193" s="272"/>
      <c r="C193" s="231"/>
      <c r="D193" s="273"/>
      <c r="E193" s="168"/>
      <c r="F193" s="274"/>
      <c r="G193" s="231"/>
      <c r="H193" s="231"/>
      <c r="I193" s="231"/>
      <c r="J193" s="231"/>
      <c r="K193" s="167"/>
      <c r="L193" s="167"/>
      <c r="M193" s="167"/>
      <c r="N193" s="167"/>
      <c r="O193" s="231"/>
      <c r="P193" s="166"/>
      <c r="Q193" s="166"/>
      <c r="R193" s="166"/>
      <c r="S193" s="277"/>
      <c r="T193" s="231"/>
      <c r="U193" s="231"/>
      <c r="V193" s="231"/>
      <c r="W193" s="231"/>
      <c r="X193" s="167"/>
      <c r="Y193" s="231"/>
    </row>
    <row r="194" spans="1:25">
      <c r="A194" s="231"/>
      <c r="B194" s="272"/>
      <c r="C194" s="231"/>
      <c r="D194" s="273"/>
      <c r="E194" s="168"/>
      <c r="F194" s="274"/>
      <c r="G194" s="231"/>
      <c r="H194" s="231"/>
      <c r="I194" s="231"/>
      <c r="J194" s="231"/>
      <c r="K194" s="167"/>
      <c r="L194" s="167"/>
      <c r="M194" s="167"/>
      <c r="N194" s="167"/>
      <c r="O194" s="231"/>
      <c r="P194" s="166"/>
      <c r="Q194" s="166"/>
      <c r="R194" s="166"/>
      <c r="S194" s="277"/>
      <c r="T194" s="231"/>
      <c r="U194" s="231"/>
      <c r="V194" s="231"/>
      <c r="W194" s="231"/>
      <c r="X194" s="167"/>
      <c r="Y194" s="231"/>
    </row>
    <row r="195" spans="1:25">
      <c r="A195" s="231"/>
      <c r="B195" s="272"/>
      <c r="C195" s="231"/>
      <c r="D195" s="273"/>
      <c r="E195" s="168"/>
      <c r="F195" s="274"/>
      <c r="G195" s="231"/>
      <c r="H195" s="231"/>
      <c r="I195" s="231"/>
      <c r="J195" s="231"/>
      <c r="K195" s="167"/>
      <c r="L195" s="167"/>
      <c r="M195" s="167"/>
      <c r="N195" s="167"/>
      <c r="O195" s="231"/>
      <c r="P195" s="166"/>
      <c r="Q195" s="166"/>
      <c r="R195" s="166"/>
      <c r="S195" s="277"/>
      <c r="T195" s="231"/>
      <c r="U195" s="231"/>
      <c r="V195" s="231"/>
      <c r="W195" s="231"/>
      <c r="X195" s="167"/>
      <c r="Y195" s="231"/>
    </row>
    <row r="196" spans="1:25">
      <c r="A196" s="231"/>
      <c r="B196" s="272"/>
      <c r="C196" s="231"/>
      <c r="D196" s="273"/>
      <c r="E196" s="168"/>
      <c r="F196" s="274"/>
      <c r="G196" s="231"/>
      <c r="H196" s="231"/>
      <c r="I196" s="231"/>
      <c r="J196" s="231"/>
      <c r="K196" s="167"/>
      <c r="L196" s="167"/>
      <c r="M196" s="167"/>
      <c r="N196" s="167"/>
      <c r="O196" s="231"/>
      <c r="P196" s="166"/>
      <c r="Q196" s="166"/>
      <c r="R196" s="166"/>
      <c r="S196" s="277"/>
      <c r="T196" s="231"/>
      <c r="U196" s="231"/>
      <c r="V196" s="231"/>
      <c r="W196" s="231"/>
      <c r="X196" s="167"/>
      <c r="Y196" s="231"/>
    </row>
    <row r="197" spans="1:25">
      <c r="A197" s="231"/>
      <c r="B197" s="272"/>
      <c r="C197" s="231"/>
      <c r="D197" s="273"/>
      <c r="E197" s="168"/>
      <c r="F197" s="274"/>
      <c r="G197" s="231"/>
      <c r="H197" s="231"/>
      <c r="I197" s="231"/>
      <c r="J197" s="231"/>
      <c r="K197" s="167"/>
      <c r="L197" s="167"/>
      <c r="M197" s="167"/>
      <c r="N197" s="167"/>
      <c r="O197" s="231"/>
      <c r="P197" s="166"/>
      <c r="Q197" s="166"/>
      <c r="R197" s="166"/>
      <c r="S197" s="277"/>
      <c r="T197" s="231"/>
      <c r="U197" s="231"/>
      <c r="V197" s="231"/>
      <c r="W197" s="231"/>
      <c r="X197" s="167"/>
      <c r="Y197" s="231"/>
    </row>
    <row r="198" spans="1:25">
      <c r="A198" s="231"/>
      <c r="B198" s="272"/>
      <c r="C198" s="231"/>
      <c r="D198" s="273"/>
      <c r="E198" s="168"/>
      <c r="F198" s="274"/>
      <c r="G198" s="231"/>
      <c r="H198" s="231"/>
      <c r="I198" s="231"/>
      <c r="J198" s="231"/>
      <c r="K198" s="167"/>
      <c r="L198" s="167"/>
      <c r="M198" s="167"/>
      <c r="N198" s="167"/>
      <c r="O198" s="231"/>
      <c r="P198" s="166"/>
      <c r="Q198" s="166"/>
      <c r="R198" s="166"/>
      <c r="S198" s="277"/>
      <c r="T198" s="231"/>
      <c r="U198" s="231"/>
      <c r="V198" s="231"/>
      <c r="W198" s="231"/>
      <c r="X198" s="167"/>
      <c r="Y198" s="231"/>
    </row>
    <row r="199" spans="1:25">
      <c r="A199" s="231"/>
      <c r="B199" s="272"/>
      <c r="C199" s="231"/>
      <c r="D199" s="273"/>
      <c r="E199" s="168"/>
      <c r="F199" s="274"/>
      <c r="G199" s="231"/>
      <c r="H199" s="231"/>
      <c r="I199" s="231"/>
      <c r="J199" s="231"/>
      <c r="K199" s="167"/>
      <c r="L199" s="167"/>
      <c r="M199" s="167"/>
      <c r="N199" s="167"/>
      <c r="O199" s="231"/>
      <c r="P199" s="166"/>
      <c r="Q199" s="166"/>
      <c r="R199" s="166"/>
      <c r="S199" s="277"/>
      <c r="T199" s="231"/>
      <c r="U199" s="231"/>
      <c r="V199" s="231"/>
      <c r="W199" s="231"/>
      <c r="X199" s="167"/>
      <c r="Y199" s="231"/>
    </row>
    <row r="200" spans="1:25">
      <c r="A200" s="231"/>
      <c r="B200" s="272"/>
      <c r="C200" s="231"/>
      <c r="D200" s="273"/>
      <c r="E200" s="168"/>
      <c r="F200" s="274"/>
      <c r="G200" s="231"/>
      <c r="H200" s="231"/>
      <c r="I200" s="231"/>
      <c r="J200" s="231"/>
      <c r="K200" s="167"/>
      <c r="L200" s="167"/>
      <c r="M200" s="167"/>
      <c r="N200" s="167"/>
      <c r="O200" s="231"/>
      <c r="P200" s="166"/>
      <c r="Q200" s="166"/>
      <c r="R200" s="166"/>
      <c r="S200" s="277"/>
      <c r="T200" s="231"/>
      <c r="U200" s="231"/>
      <c r="V200" s="231"/>
      <c r="W200" s="231"/>
      <c r="X200" s="167"/>
      <c r="Y200" s="231"/>
    </row>
    <row r="201" spans="1:25">
      <c r="A201" s="231"/>
      <c r="B201" s="272"/>
      <c r="C201" s="231"/>
      <c r="D201" s="273"/>
      <c r="E201" s="168"/>
      <c r="F201" s="274"/>
      <c r="G201" s="231"/>
      <c r="H201" s="231"/>
      <c r="I201" s="231"/>
      <c r="J201" s="231"/>
      <c r="K201" s="167"/>
      <c r="L201" s="167"/>
      <c r="M201" s="167"/>
      <c r="N201" s="167"/>
      <c r="O201" s="231"/>
      <c r="P201" s="166"/>
      <c r="Q201" s="166"/>
      <c r="R201" s="166"/>
      <c r="S201" s="277"/>
      <c r="T201" s="231"/>
      <c r="U201" s="231"/>
      <c r="V201" s="231"/>
      <c r="W201" s="231"/>
      <c r="X201" s="167"/>
      <c r="Y201" s="231"/>
    </row>
    <row r="202" spans="1:25">
      <c r="A202" s="231"/>
      <c r="B202" s="272"/>
      <c r="C202" s="231"/>
      <c r="D202" s="273"/>
      <c r="E202" s="168"/>
      <c r="F202" s="274"/>
      <c r="G202" s="231"/>
      <c r="H202" s="231"/>
      <c r="I202" s="231"/>
      <c r="J202" s="231"/>
      <c r="K202" s="167"/>
      <c r="L202" s="167"/>
      <c r="M202" s="167"/>
      <c r="N202" s="167"/>
      <c r="O202" s="231"/>
      <c r="P202" s="166"/>
      <c r="Q202" s="166"/>
      <c r="R202" s="166"/>
      <c r="S202" s="277"/>
      <c r="T202" s="231"/>
      <c r="U202" s="231"/>
      <c r="V202" s="231"/>
      <c r="W202" s="231"/>
      <c r="X202" s="167"/>
      <c r="Y202" s="231"/>
    </row>
    <row r="203" spans="1:25">
      <c r="A203" s="231"/>
      <c r="B203" s="272"/>
      <c r="C203" s="231"/>
      <c r="D203" s="273"/>
      <c r="E203" s="168"/>
      <c r="F203" s="274"/>
      <c r="G203" s="231"/>
      <c r="H203" s="231"/>
      <c r="I203" s="231"/>
      <c r="J203" s="231"/>
      <c r="K203" s="167"/>
      <c r="L203" s="167"/>
      <c r="M203" s="167"/>
      <c r="N203" s="167"/>
      <c r="O203" s="231"/>
      <c r="P203" s="166"/>
      <c r="Q203" s="166"/>
      <c r="R203" s="166"/>
      <c r="S203" s="277"/>
      <c r="T203" s="231"/>
      <c r="U203" s="231"/>
      <c r="V203" s="231"/>
      <c r="W203" s="231"/>
      <c r="X203" s="167"/>
      <c r="Y203" s="231"/>
    </row>
    <row r="204" spans="1:25">
      <c r="A204" s="231"/>
      <c r="B204" s="272"/>
      <c r="C204" s="231"/>
      <c r="D204" s="273"/>
      <c r="E204" s="168"/>
      <c r="F204" s="274"/>
      <c r="G204" s="231"/>
      <c r="H204" s="231"/>
      <c r="I204" s="231"/>
      <c r="J204" s="231"/>
      <c r="K204" s="167"/>
      <c r="L204" s="167"/>
      <c r="M204" s="167"/>
      <c r="N204" s="167"/>
      <c r="O204" s="231"/>
      <c r="P204" s="166"/>
      <c r="Q204" s="166"/>
      <c r="R204" s="166"/>
      <c r="S204" s="277"/>
      <c r="T204" s="231"/>
      <c r="U204" s="231"/>
      <c r="V204" s="231"/>
      <c r="W204" s="231"/>
      <c r="X204" s="167"/>
      <c r="Y204" s="231"/>
    </row>
    <row r="205" spans="1:25">
      <c r="A205" s="231"/>
      <c r="B205" s="272"/>
      <c r="C205" s="231"/>
      <c r="D205" s="273"/>
      <c r="E205" s="168"/>
      <c r="F205" s="274"/>
      <c r="G205" s="231"/>
      <c r="H205" s="231"/>
      <c r="I205" s="231"/>
      <c r="J205" s="231"/>
      <c r="K205" s="167"/>
      <c r="L205" s="167"/>
      <c r="M205" s="167"/>
      <c r="N205" s="167"/>
      <c r="O205" s="231"/>
      <c r="P205" s="166"/>
      <c r="Q205" s="166"/>
      <c r="R205" s="166"/>
      <c r="S205" s="277"/>
      <c r="T205" s="231"/>
      <c r="U205" s="231"/>
      <c r="V205" s="231"/>
      <c r="W205" s="231"/>
      <c r="X205" s="167"/>
      <c r="Y205" s="231"/>
    </row>
    <row r="206" spans="1:25">
      <c r="A206" s="231"/>
      <c r="B206" s="272"/>
      <c r="C206" s="231"/>
      <c r="D206" s="273"/>
      <c r="E206" s="168"/>
      <c r="F206" s="274"/>
      <c r="G206" s="231"/>
      <c r="H206" s="231"/>
      <c r="I206" s="231"/>
      <c r="J206" s="231"/>
      <c r="K206" s="167"/>
      <c r="L206" s="167"/>
      <c r="M206" s="167"/>
      <c r="N206" s="167"/>
      <c r="O206" s="231"/>
      <c r="P206" s="166"/>
      <c r="Q206" s="166"/>
      <c r="R206" s="166"/>
      <c r="S206" s="277"/>
      <c r="T206" s="231"/>
      <c r="U206" s="231"/>
      <c r="V206" s="231"/>
      <c r="W206" s="231"/>
      <c r="X206" s="167"/>
      <c r="Y206" s="231"/>
    </row>
    <row r="207" spans="1:25">
      <c r="A207" s="231"/>
      <c r="B207" s="272"/>
      <c r="C207" s="231"/>
      <c r="D207" s="273"/>
      <c r="E207" s="168"/>
      <c r="F207" s="274"/>
      <c r="G207" s="231"/>
      <c r="H207" s="231"/>
      <c r="I207" s="231"/>
      <c r="J207" s="231"/>
      <c r="K207" s="167"/>
      <c r="L207" s="167"/>
      <c r="M207" s="167"/>
      <c r="N207" s="167"/>
      <c r="O207" s="231"/>
      <c r="P207" s="166"/>
      <c r="Q207" s="166"/>
      <c r="R207" s="166"/>
      <c r="S207" s="277"/>
      <c r="T207" s="231"/>
      <c r="U207" s="231"/>
      <c r="V207" s="231"/>
      <c r="W207" s="231"/>
      <c r="X207" s="167"/>
      <c r="Y207" s="231"/>
    </row>
    <row r="208" spans="1:25">
      <c r="A208" s="231"/>
      <c r="B208" s="272"/>
      <c r="C208" s="231"/>
      <c r="D208" s="273"/>
      <c r="E208" s="168"/>
      <c r="F208" s="274"/>
      <c r="G208" s="231"/>
      <c r="H208" s="231"/>
      <c r="I208" s="231"/>
      <c r="J208" s="231"/>
      <c r="K208" s="167"/>
      <c r="L208" s="167"/>
      <c r="M208" s="167"/>
      <c r="N208" s="167"/>
      <c r="O208" s="231"/>
      <c r="P208" s="166"/>
      <c r="Q208" s="166"/>
      <c r="R208" s="166"/>
      <c r="S208" s="277"/>
      <c r="T208" s="231"/>
      <c r="U208" s="231"/>
      <c r="V208" s="231"/>
      <c r="W208" s="231"/>
      <c r="X208" s="167"/>
      <c r="Y208" s="231"/>
    </row>
    <row r="209" spans="1:25">
      <c r="A209" s="231"/>
      <c r="B209" s="272"/>
      <c r="C209" s="231"/>
      <c r="D209" s="273"/>
      <c r="E209" s="168"/>
      <c r="F209" s="274"/>
      <c r="G209" s="231"/>
      <c r="H209" s="231"/>
      <c r="I209" s="231"/>
      <c r="J209" s="231"/>
      <c r="K209" s="167"/>
      <c r="L209" s="167"/>
      <c r="M209" s="167"/>
      <c r="N209" s="167"/>
      <c r="O209" s="231"/>
      <c r="P209" s="166"/>
      <c r="Q209" s="166"/>
      <c r="R209" s="166"/>
      <c r="S209" s="277"/>
      <c r="T209" s="231"/>
      <c r="U209" s="231"/>
      <c r="V209" s="231"/>
      <c r="W209" s="231"/>
      <c r="X209" s="167"/>
      <c r="Y209" s="231"/>
    </row>
    <row r="210" spans="1:25">
      <c r="A210" s="231"/>
      <c r="B210" s="272"/>
      <c r="C210" s="231"/>
      <c r="D210" s="273"/>
      <c r="E210" s="168"/>
      <c r="F210" s="274"/>
      <c r="G210" s="231"/>
      <c r="H210" s="231"/>
      <c r="I210" s="231"/>
      <c r="J210" s="231"/>
      <c r="K210" s="167"/>
      <c r="L210" s="167"/>
      <c r="M210" s="167"/>
      <c r="N210" s="167"/>
      <c r="O210" s="231"/>
      <c r="P210" s="166"/>
      <c r="Q210" s="166"/>
      <c r="R210" s="166"/>
      <c r="S210" s="277"/>
      <c r="T210" s="231"/>
      <c r="U210" s="231"/>
      <c r="V210" s="231"/>
      <c r="W210" s="231"/>
      <c r="X210" s="167"/>
      <c r="Y210" s="231"/>
    </row>
    <row r="211" spans="1:25">
      <c r="A211" s="231"/>
      <c r="B211" s="272"/>
      <c r="C211" s="231"/>
      <c r="D211" s="273"/>
      <c r="E211" s="168"/>
      <c r="F211" s="274"/>
      <c r="G211" s="231"/>
      <c r="H211" s="231"/>
      <c r="I211" s="231"/>
      <c r="J211" s="231"/>
      <c r="K211" s="167"/>
      <c r="L211" s="167"/>
      <c r="M211" s="167"/>
      <c r="N211" s="167"/>
      <c r="O211" s="231"/>
      <c r="P211" s="166"/>
      <c r="Q211" s="166"/>
      <c r="R211" s="166"/>
      <c r="S211" s="277"/>
      <c r="T211" s="231"/>
      <c r="U211" s="231"/>
      <c r="V211" s="231"/>
      <c r="W211" s="231"/>
      <c r="X211" s="167"/>
      <c r="Y211" s="231"/>
    </row>
    <row r="212" spans="1:25">
      <c r="A212" s="231"/>
      <c r="B212" s="272"/>
      <c r="C212" s="231"/>
      <c r="D212" s="273"/>
      <c r="E212" s="168"/>
      <c r="F212" s="274"/>
      <c r="G212" s="231"/>
      <c r="H212" s="231"/>
      <c r="I212" s="231"/>
      <c r="J212" s="231"/>
      <c r="K212" s="167"/>
      <c r="L212" s="167"/>
      <c r="M212" s="167"/>
      <c r="N212" s="167"/>
      <c r="O212" s="231"/>
      <c r="P212" s="166"/>
      <c r="Q212" s="166"/>
      <c r="R212" s="166"/>
      <c r="S212" s="277"/>
      <c r="T212" s="231"/>
      <c r="U212" s="231"/>
      <c r="V212" s="231"/>
      <c r="W212" s="231"/>
      <c r="X212" s="167"/>
      <c r="Y212" s="231"/>
    </row>
    <row r="213" spans="1:25">
      <c r="A213" s="231"/>
      <c r="B213" s="272"/>
      <c r="C213" s="231"/>
      <c r="D213" s="273"/>
      <c r="E213" s="168"/>
      <c r="F213" s="274"/>
      <c r="G213" s="231"/>
      <c r="H213" s="231"/>
      <c r="I213" s="231"/>
      <c r="J213" s="231"/>
      <c r="K213" s="167"/>
      <c r="L213" s="167"/>
      <c r="M213" s="167"/>
      <c r="N213" s="167"/>
      <c r="O213" s="231"/>
      <c r="P213" s="166"/>
      <c r="Q213" s="166"/>
      <c r="R213" s="166"/>
      <c r="S213" s="277"/>
      <c r="T213" s="231"/>
      <c r="U213" s="231"/>
      <c r="V213" s="231"/>
      <c r="W213" s="231"/>
      <c r="X213" s="167"/>
      <c r="Y213" s="231"/>
    </row>
    <row r="214" spans="1:25">
      <c r="A214" s="231"/>
      <c r="B214" s="272"/>
      <c r="C214" s="231"/>
      <c r="D214" s="273"/>
      <c r="E214" s="168"/>
      <c r="F214" s="274"/>
      <c r="G214" s="231"/>
      <c r="H214" s="231"/>
      <c r="I214" s="231"/>
      <c r="J214" s="231"/>
      <c r="K214" s="167"/>
      <c r="L214" s="167"/>
      <c r="M214" s="167"/>
      <c r="N214" s="167"/>
      <c r="O214" s="231"/>
      <c r="P214" s="166"/>
      <c r="Q214" s="166"/>
      <c r="R214" s="166"/>
      <c r="S214" s="277"/>
      <c r="T214" s="231"/>
      <c r="U214" s="231"/>
      <c r="V214" s="231"/>
      <c r="W214" s="231"/>
      <c r="X214" s="167"/>
      <c r="Y214" s="231"/>
    </row>
    <row r="215" spans="1:25">
      <c r="A215" s="231"/>
      <c r="B215" s="272"/>
      <c r="C215" s="231"/>
      <c r="D215" s="273"/>
      <c r="E215" s="168"/>
      <c r="F215" s="274"/>
      <c r="G215" s="231"/>
      <c r="H215" s="231"/>
      <c r="I215" s="231"/>
      <c r="J215" s="231"/>
      <c r="K215" s="167"/>
      <c r="L215" s="167"/>
      <c r="M215" s="167"/>
      <c r="N215" s="167"/>
      <c r="O215" s="231"/>
      <c r="P215" s="166"/>
      <c r="Q215" s="166"/>
      <c r="R215" s="166"/>
      <c r="S215" s="277"/>
      <c r="T215" s="231"/>
      <c r="U215" s="231"/>
      <c r="V215" s="231"/>
      <c r="W215" s="231"/>
      <c r="X215" s="167"/>
      <c r="Y215" s="231"/>
    </row>
    <row r="216" spans="1:25">
      <c r="A216" s="231"/>
      <c r="B216" s="272"/>
      <c r="C216" s="231"/>
      <c r="D216" s="273"/>
      <c r="E216" s="168"/>
      <c r="F216" s="274"/>
      <c r="G216" s="231"/>
      <c r="H216" s="231"/>
      <c r="I216" s="231"/>
      <c r="J216" s="231"/>
      <c r="K216" s="167"/>
      <c r="L216" s="167"/>
      <c r="M216" s="167"/>
      <c r="N216" s="167"/>
      <c r="O216" s="231"/>
      <c r="P216" s="166"/>
      <c r="Q216" s="166"/>
      <c r="R216" s="166"/>
      <c r="S216" s="277"/>
      <c r="T216" s="231"/>
      <c r="U216" s="231"/>
      <c r="V216" s="231"/>
      <c r="W216" s="231"/>
      <c r="X216" s="167"/>
      <c r="Y216" s="231"/>
    </row>
    <row r="217" spans="1:25">
      <c r="A217" s="231"/>
      <c r="B217" s="272"/>
      <c r="C217" s="231"/>
      <c r="D217" s="273"/>
      <c r="E217" s="168"/>
      <c r="F217" s="274"/>
      <c r="G217" s="231"/>
      <c r="H217" s="231"/>
      <c r="I217" s="231"/>
      <c r="J217" s="231"/>
      <c r="K217" s="167"/>
      <c r="L217" s="167"/>
      <c r="M217" s="167"/>
      <c r="N217" s="167"/>
      <c r="O217" s="231"/>
      <c r="P217" s="166"/>
      <c r="Q217" s="166"/>
      <c r="R217" s="166"/>
      <c r="S217" s="277"/>
      <c r="T217" s="231"/>
      <c r="U217" s="231"/>
      <c r="V217" s="231"/>
      <c r="W217" s="231"/>
      <c r="X217" s="167"/>
      <c r="Y217" s="231"/>
    </row>
    <row r="218" spans="1:25">
      <c r="A218" s="231"/>
      <c r="B218" s="272"/>
      <c r="C218" s="231"/>
      <c r="D218" s="273"/>
      <c r="E218" s="168"/>
      <c r="F218" s="274"/>
      <c r="G218" s="231"/>
      <c r="H218" s="231"/>
      <c r="I218" s="231"/>
      <c r="J218" s="231"/>
      <c r="K218" s="167"/>
      <c r="L218" s="167"/>
      <c r="M218" s="167"/>
      <c r="N218" s="167"/>
      <c r="O218" s="231"/>
      <c r="P218" s="166"/>
      <c r="Q218" s="166"/>
      <c r="R218" s="166"/>
      <c r="S218" s="277"/>
      <c r="T218" s="231"/>
      <c r="U218" s="231"/>
      <c r="V218" s="231"/>
      <c r="W218" s="231"/>
      <c r="X218" s="167"/>
      <c r="Y218" s="231"/>
    </row>
    <row r="219" spans="1:25">
      <c r="A219" s="231"/>
      <c r="B219" s="272"/>
      <c r="C219" s="231"/>
      <c r="D219" s="273"/>
      <c r="E219" s="168"/>
      <c r="F219" s="274"/>
      <c r="G219" s="231"/>
      <c r="H219" s="231"/>
      <c r="I219" s="231"/>
      <c r="J219" s="231"/>
      <c r="K219" s="167"/>
      <c r="L219" s="167"/>
      <c r="M219" s="167"/>
      <c r="N219" s="167"/>
      <c r="O219" s="231"/>
      <c r="P219" s="166"/>
      <c r="Q219" s="166"/>
      <c r="R219" s="166"/>
      <c r="S219" s="277"/>
      <c r="T219" s="231"/>
      <c r="U219" s="231"/>
      <c r="V219" s="231"/>
      <c r="W219" s="231"/>
      <c r="X219" s="167"/>
      <c r="Y219" s="231"/>
    </row>
    <row r="220" spans="1:25">
      <c r="A220" s="231"/>
      <c r="B220" s="272"/>
      <c r="C220" s="231"/>
      <c r="D220" s="273"/>
      <c r="E220" s="168"/>
      <c r="F220" s="274"/>
      <c r="G220" s="231"/>
      <c r="H220" s="231"/>
      <c r="I220" s="231"/>
      <c r="J220" s="231"/>
      <c r="K220" s="167"/>
      <c r="L220" s="167"/>
      <c r="M220" s="167"/>
      <c r="N220" s="167"/>
      <c r="O220" s="231"/>
      <c r="P220" s="166"/>
      <c r="Q220" s="166"/>
      <c r="R220" s="166"/>
      <c r="S220" s="277"/>
      <c r="T220" s="231"/>
      <c r="U220" s="231"/>
      <c r="V220" s="231"/>
      <c r="W220" s="231"/>
      <c r="X220" s="167"/>
      <c r="Y220" s="231"/>
    </row>
    <row r="221" spans="1:25">
      <c r="A221" s="231"/>
      <c r="B221" s="272"/>
      <c r="C221" s="231"/>
      <c r="D221" s="273"/>
      <c r="E221" s="168"/>
      <c r="F221" s="274"/>
      <c r="G221" s="231"/>
      <c r="H221" s="231"/>
      <c r="I221" s="231"/>
      <c r="J221" s="231"/>
      <c r="K221" s="167"/>
      <c r="L221" s="167"/>
      <c r="M221" s="167"/>
      <c r="N221" s="167"/>
      <c r="O221" s="231"/>
      <c r="P221" s="166"/>
      <c r="Q221" s="166"/>
      <c r="R221" s="166"/>
      <c r="S221" s="277"/>
      <c r="T221" s="231"/>
      <c r="U221" s="231"/>
      <c r="V221" s="231"/>
      <c r="W221" s="231"/>
      <c r="X221" s="167"/>
      <c r="Y221" s="231"/>
    </row>
    <row r="222" spans="1:25">
      <c r="A222" s="231"/>
      <c r="B222" s="272"/>
      <c r="C222" s="231"/>
      <c r="D222" s="273"/>
      <c r="E222" s="168"/>
      <c r="F222" s="274"/>
      <c r="G222" s="231"/>
      <c r="H222" s="231"/>
      <c r="I222" s="231"/>
      <c r="J222" s="231"/>
      <c r="K222" s="167"/>
      <c r="L222" s="167"/>
      <c r="M222" s="167"/>
      <c r="N222" s="167"/>
      <c r="O222" s="231"/>
      <c r="P222" s="166"/>
      <c r="Q222" s="166"/>
      <c r="R222" s="166"/>
      <c r="S222" s="277"/>
      <c r="T222" s="231"/>
      <c r="U222" s="231"/>
      <c r="V222" s="231"/>
      <c r="W222" s="231"/>
      <c r="X222" s="167"/>
      <c r="Y222" s="231"/>
    </row>
    <row r="223" spans="1:25">
      <c r="A223" s="231"/>
      <c r="B223" s="272"/>
      <c r="C223" s="231"/>
      <c r="D223" s="273"/>
      <c r="E223" s="168"/>
      <c r="F223" s="274"/>
      <c r="G223" s="231"/>
      <c r="H223" s="231"/>
      <c r="I223" s="231"/>
      <c r="J223" s="231"/>
      <c r="K223" s="167"/>
      <c r="L223" s="167"/>
      <c r="M223" s="167"/>
      <c r="N223" s="167"/>
      <c r="O223" s="231"/>
      <c r="P223" s="166"/>
      <c r="Q223" s="166"/>
      <c r="R223" s="166"/>
      <c r="S223" s="277"/>
      <c r="T223" s="231"/>
      <c r="U223" s="231"/>
      <c r="V223" s="231"/>
      <c r="W223" s="231"/>
      <c r="X223" s="167"/>
      <c r="Y223" s="231"/>
    </row>
    <row r="224" spans="1:25">
      <c r="A224" s="231"/>
      <c r="B224" s="272"/>
      <c r="C224" s="231"/>
      <c r="D224" s="273"/>
      <c r="E224" s="168"/>
      <c r="F224" s="274"/>
      <c r="G224" s="231"/>
      <c r="H224" s="231"/>
      <c r="I224" s="231"/>
      <c r="J224" s="231"/>
      <c r="K224" s="167"/>
      <c r="L224" s="167"/>
      <c r="M224" s="167"/>
      <c r="N224" s="167"/>
      <c r="O224" s="231"/>
      <c r="P224" s="166"/>
      <c r="Q224" s="166"/>
      <c r="R224" s="166"/>
      <c r="S224" s="277"/>
      <c r="T224" s="231"/>
      <c r="U224" s="231"/>
      <c r="V224" s="231"/>
      <c r="W224" s="231"/>
      <c r="X224" s="167"/>
      <c r="Y224" s="231"/>
    </row>
    <row r="225" spans="1:25">
      <c r="A225" s="231"/>
      <c r="B225" s="272"/>
      <c r="C225" s="231"/>
      <c r="D225" s="273"/>
      <c r="E225" s="168"/>
      <c r="F225" s="274"/>
      <c r="G225" s="231"/>
      <c r="H225" s="231"/>
      <c r="I225" s="231"/>
      <c r="J225" s="231"/>
      <c r="K225" s="167"/>
      <c r="L225" s="167"/>
      <c r="M225" s="167"/>
      <c r="N225" s="167"/>
      <c r="O225" s="231"/>
      <c r="P225" s="166"/>
      <c r="Q225" s="166"/>
      <c r="R225" s="166"/>
      <c r="S225" s="277"/>
      <c r="T225" s="231"/>
      <c r="U225" s="231"/>
      <c r="V225" s="231"/>
      <c r="W225" s="231"/>
      <c r="X225" s="167"/>
      <c r="Y225" s="231"/>
    </row>
    <row r="226" spans="1:25">
      <c r="A226" s="231"/>
      <c r="B226" s="272"/>
      <c r="C226" s="231"/>
      <c r="D226" s="273"/>
      <c r="E226" s="168"/>
      <c r="F226" s="274"/>
      <c r="G226" s="231"/>
      <c r="H226" s="231"/>
      <c r="I226" s="231"/>
      <c r="J226" s="231"/>
      <c r="K226" s="167"/>
      <c r="L226" s="167"/>
      <c r="M226" s="167"/>
      <c r="N226" s="167"/>
      <c r="O226" s="231"/>
      <c r="P226" s="166"/>
      <c r="Q226" s="166"/>
      <c r="R226" s="166"/>
      <c r="S226" s="277"/>
      <c r="T226" s="231"/>
      <c r="U226" s="231"/>
      <c r="V226" s="231"/>
      <c r="W226" s="231"/>
      <c r="X226" s="167"/>
      <c r="Y226" s="231"/>
    </row>
    <row r="227" spans="1:25">
      <c r="A227" s="231"/>
      <c r="B227" s="272"/>
      <c r="C227" s="231"/>
      <c r="D227" s="273"/>
      <c r="E227" s="168"/>
      <c r="F227" s="274"/>
      <c r="G227" s="231"/>
      <c r="H227" s="231"/>
      <c r="I227" s="231"/>
      <c r="J227" s="231"/>
      <c r="K227" s="167"/>
      <c r="L227" s="167"/>
      <c r="M227" s="167"/>
      <c r="N227" s="167"/>
      <c r="O227" s="231"/>
      <c r="P227" s="166"/>
      <c r="Q227" s="166"/>
      <c r="R227" s="166"/>
      <c r="S227" s="277"/>
      <c r="T227" s="231"/>
      <c r="U227" s="231"/>
      <c r="V227" s="231"/>
      <c r="W227" s="231"/>
      <c r="X227" s="167"/>
      <c r="Y227" s="231"/>
    </row>
    <row r="228" spans="1:25">
      <c r="A228" s="231"/>
      <c r="B228" s="272"/>
      <c r="C228" s="231"/>
      <c r="D228" s="273"/>
      <c r="E228" s="168"/>
      <c r="F228" s="274"/>
      <c r="G228" s="231"/>
      <c r="H228" s="231"/>
      <c r="I228" s="231"/>
      <c r="J228" s="231"/>
      <c r="K228" s="167"/>
      <c r="L228" s="167"/>
      <c r="M228" s="167"/>
      <c r="N228" s="167"/>
      <c r="O228" s="231"/>
      <c r="P228" s="166"/>
      <c r="Q228" s="166"/>
      <c r="R228" s="166"/>
      <c r="S228" s="277"/>
      <c r="T228" s="231"/>
      <c r="U228" s="231"/>
      <c r="V228" s="231"/>
      <c r="W228" s="231"/>
      <c r="X228" s="167"/>
      <c r="Y228" s="231"/>
    </row>
    <row r="229" spans="1:25">
      <c r="A229" s="231"/>
      <c r="B229" s="272"/>
      <c r="C229" s="231"/>
      <c r="D229" s="273"/>
      <c r="E229" s="168"/>
      <c r="F229" s="274"/>
      <c r="G229" s="231"/>
      <c r="H229" s="231"/>
      <c r="I229" s="231"/>
      <c r="J229" s="231"/>
      <c r="K229" s="167"/>
      <c r="L229" s="167"/>
      <c r="M229" s="167"/>
      <c r="N229" s="167"/>
      <c r="O229" s="231"/>
      <c r="P229" s="166"/>
      <c r="Q229" s="166"/>
      <c r="R229" s="166"/>
      <c r="S229" s="277"/>
      <c r="T229" s="231"/>
      <c r="U229" s="231"/>
      <c r="V229" s="231"/>
      <c r="W229" s="231"/>
      <c r="X229" s="167"/>
      <c r="Y229" s="231"/>
    </row>
    <row r="230" spans="1:25">
      <c r="A230" s="231"/>
      <c r="B230" s="272"/>
      <c r="C230" s="231"/>
      <c r="D230" s="273"/>
      <c r="E230" s="168"/>
      <c r="F230" s="274"/>
      <c r="G230" s="231"/>
      <c r="H230" s="231"/>
      <c r="I230" s="231"/>
      <c r="J230" s="231"/>
      <c r="K230" s="167"/>
      <c r="L230" s="167"/>
      <c r="M230" s="167"/>
      <c r="N230" s="167"/>
      <c r="O230" s="231"/>
      <c r="P230" s="166"/>
      <c r="Q230" s="166"/>
      <c r="R230" s="166"/>
      <c r="S230" s="277"/>
      <c r="T230" s="231"/>
      <c r="U230" s="231"/>
      <c r="V230" s="231"/>
      <c r="W230" s="231"/>
      <c r="X230" s="167"/>
      <c r="Y230" s="231"/>
    </row>
    <row r="231" spans="1:25">
      <c r="A231" s="231"/>
      <c r="B231" s="272"/>
      <c r="C231" s="231"/>
      <c r="D231" s="273"/>
      <c r="E231" s="168"/>
      <c r="F231" s="274"/>
      <c r="G231" s="231"/>
      <c r="H231" s="231"/>
      <c r="I231" s="231"/>
      <c r="J231" s="231"/>
      <c r="K231" s="167"/>
      <c r="L231" s="167"/>
      <c r="M231" s="167"/>
      <c r="N231" s="167"/>
      <c r="O231" s="231"/>
      <c r="P231" s="166"/>
      <c r="Q231" s="166"/>
      <c r="R231" s="166"/>
      <c r="S231" s="277"/>
      <c r="T231" s="231"/>
      <c r="U231" s="231"/>
      <c r="V231" s="231"/>
      <c r="W231" s="231"/>
      <c r="X231" s="167"/>
      <c r="Y231" s="231"/>
    </row>
    <row r="232" spans="1:25">
      <c r="A232" s="231"/>
      <c r="B232" s="272"/>
      <c r="C232" s="231"/>
      <c r="D232" s="273"/>
      <c r="E232" s="168"/>
      <c r="F232" s="274"/>
      <c r="G232" s="231"/>
      <c r="H232" s="231"/>
      <c r="I232" s="231"/>
      <c r="J232" s="231"/>
      <c r="K232" s="167"/>
      <c r="L232" s="167"/>
      <c r="M232" s="167"/>
      <c r="N232" s="167"/>
      <c r="O232" s="231"/>
      <c r="P232" s="166"/>
      <c r="Q232" s="166"/>
      <c r="R232" s="166"/>
      <c r="S232" s="277"/>
      <c r="T232" s="231"/>
      <c r="U232" s="231"/>
      <c r="V232" s="231"/>
      <c r="W232" s="231"/>
      <c r="X232" s="167"/>
      <c r="Y232" s="231"/>
    </row>
    <row r="233" spans="1:25">
      <c r="A233" s="231"/>
      <c r="B233" s="272"/>
      <c r="C233" s="231"/>
      <c r="D233" s="273"/>
      <c r="E233" s="168"/>
      <c r="F233" s="274"/>
      <c r="G233" s="231"/>
      <c r="H233" s="231"/>
      <c r="I233" s="231"/>
      <c r="J233" s="231"/>
      <c r="K233" s="167"/>
      <c r="L233" s="167"/>
      <c r="M233" s="167"/>
      <c r="N233" s="167"/>
      <c r="O233" s="231"/>
      <c r="P233" s="166"/>
      <c r="Q233" s="166"/>
      <c r="R233" s="166"/>
      <c r="S233" s="277"/>
      <c r="T233" s="231"/>
      <c r="U233" s="231"/>
      <c r="V233" s="231"/>
      <c r="W233" s="231"/>
      <c r="X233" s="167"/>
      <c r="Y233" s="231"/>
    </row>
    <row r="234" spans="1:25">
      <c r="A234" s="231"/>
      <c r="B234" s="272"/>
      <c r="C234" s="231"/>
      <c r="D234" s="273"/>
      <c r="E234" s="168"/>
      <c r="F234" s="274"/>
      <c r="G234" s="231"/>
      <c r="H234" s="231"/>
      <c r="I234" s="231"/>
      <c r="J234" s="231"/>
      <c r="K234" s="167"/>
      <c r="L234" s="167"/>
      <c r="M234" s="167"/>
      <c r="N234" s="167"/>
      <c r="O234" s="231"/>
      <c r="P234" s="166"/>
      <c r="Q234" s="166"/>
      <c r="R234" s="166"/>
      <c r="S234" s="277"/>
      <c r="T234" s="231"/>
      <c r="U234" s="231"/>
      <c r="V234" s="231"/>
      <c r="W234" s="231"/>
      <c r="X234" s="167"/>
      <c r="Y234" s="231"/>
    </row>
    <row r="235" spans="1:25">
      <c r="A235" s="231"/>
      <c r="B235" s="272"/>
      <c r="C235" s="231"/>
      <c r="D235" s="273"/>
      <c r="E235" s="168"/>
      <c r="F235" s="274"/>
      <c r="G235" s="231"/>
      <c r="H235" s="231"/>
      <c r="I235" s="231"/>
      <c r="J235" s="231"/>
      <c r="K235" s="167"/>
      <c r="L235" s="167"/>
      <c r="M235" s="167"/>
      <c r="N235" s="167"/>
      <c r="O235" s="231"/>
      <c r="P235" s="166"/>
      <c r="Q235" s="166"/>
      <c r="R235" s="166"/>
      <c r="S235" s="277"/>
      <c r="T235" s="231"/>
      <c r="U235" s="231"/>
      <c r="V235" s="231"/>
      <c r="W235" s="231"/>
      <c r="X235" s="167"/>
      <c r="Y235" s="231"/>
    </row>
    <row r="236" spans="1:25">
      <c r="A236" s="231"/>
      <c r="B236" s="272"/>
      <c r="C236" s="231"/>
      <c r="D236" s="273"/>
      <c r="E236" s="168"/>
      <c r="F236" s="274"/>
      <c r="G236" s="231"/>
      <c r="H236" s="231"/>
      <c r="I236" s="231"/>
      <c r="J236" s="231"/>
      <c r="K236" s="167"/>
      <c r="L236" s="167"/>
      <c r="M236" s="167"/>
      <c r="N236" s="167"/>
      <c r="O236" s="231"/>
      <c r="P236" s="166"/>
      <c r="Q236" s="166"/>
      <c r="R236" s="166"/>
      <c r="S236" s="277"/>
      <c r="T236" s="231"/>
      <c r="U236" s="231"/>
      <c r="V236" s="231"/>
      <c r="W236" s="231"/>
      <c r="X236" s="167"/>
      <c r="Y236" s="231"/>
    </row>
    <row r="237" spans="1:25">
      <c r="A237" s="231"/>
      <c r="B237" s="272"/>
      <c r="C237" s="231"/>
      <c r="D237" s="273"/>
      <c r="E237" s="168"/>
      <c r="F237" s="274"/>
      <c r="G237" s="231"/>
      <c r="H237" s="231"/>
      <c r="I237" s="231"/>
      <c r="J237" s="231"/>
      <c r="K237" s="167"/>
      <c r="L237" s="167"/>
      <c r="M237" s="167"/>
      <c r="N237" s="167"/>
      <c r="O237" s="231"/>
      <c r="P237" s="166"/>
      <c r="Q237" s="166"/>
      <c r="R237" s="166"/>
      <c r="S237" s="277"/>
      <c r="T237" s="231"/>
      <c r="U237" s="231"/>
      <c r="V237" s="231"/>
      <c r="W237" s="231"/>
      <c r="X237" s="167"/>
      <c r="Y237" s="231"/>
    </row>
    <row r="238" spans="1:25">
      <c r="A238" s="231"/>
      <c r="B238" s="272"/>
      <c r="C238" s="231"/>
      <c r="D238" s="273"/>
      <c r="E238" s="168"/>
      <c r="F238" s="274"/>
      <c r="G238" s="231"/>
      <c r="H238" s="231"/>
      <c r="I238" s="231"/>
      <c r="J238" s="231"/>
      <c r="K238" s="167"/>
      <c r="L238" s="167"/>
      <c r="M238" s="167"/>
      <c r="N238" s="167"/>
      <c r="O238" s="231"/>
      <c r="P238" s="166"/>
      <c r="Q238" s="166"/>
      <c r="R238" s="166"/>
      <c r="S238" s="277"/>
      <c r="T238" s="231"/>
      <c r="U238" s="231"/>
      <c r="V238" s="231"/>
      <c r="W238" s="231"/>
      <c r="X238" s="167"/>
      <c r="Y238" s="231"/>
    </row>
    <row r="239" spans="1:25">
      <c r="A239" s="231"/>
      <c r="B239" s="272"/>
      <c r="C239" s="231"/>
      <c r="D239" s="273"/>
      <c r="E239" s="168"/>
      <c r="F239" s="274"/>
      <c r="G239" s="231"/>
      <c r="H239" s="231"/>
      <c r="I239" s="231"/>
      <c r="J239" s="231"/>
      <c r="K239" s="167"/>
      <c r="L239" s="167"/>
      <c r="M239" s="167"/>
      <c r="N239" s="167"/>
      <c r="O239" s="231"/>
      <c r="P239" s="166"/>
      <c r="Q239" s="166"/>
      <c r="R239" s="166"/>
      <c r="S239" s="277"/>
      <c r="T239" s="231"/>
      <c r="U239" s="231"/>
      <c r="V239" s="231"/>
      <c r="W239" s="231"/>
      <c r="X239" s="167"/>
      <c r="Y239" s="231"/>
    </row>
    <row r="240" spans="1:25">
      <c r="A240" s="231"/>
      <c r="B240" s="272"/>
      <c r="C240" s="231"/>
      <c r="D240" s="273"/>
      <c r="E240" s="168"/>
      <c r="F240" s="274"/>
      <c r="G240" s="231"/>
      <c r="H240" s="231"/>
      <c r="I240" s="231"/>
      <c r="J240" s="231"/>
      <c r="K240" s="167"/>
      <c r="L240" s="167"/>
      <c r="M240" s="167"/>
      <c r="N240" s="167"/>
      <c r="O240" s="231"/>
      <c r="P240" s="166"/>
      <c r="Q240" s="166"/>
      <c r="R240" s="166"/>
      <c r="S240" s="277"/>
      <c r="T240" s="231"/>
      <c r="U240" s="231"/>
      <c r="V240" s="231"/>
      <c r="W240" s="231"/>
      <c r="X240" s="167"/>
      <c r="Y240" s="231"/>
    </row>
    <row r="241" spans="1:25">
      <c r="A241" s="231"/>
      <c r="B241" s="272"/>
      <c r="C241" s="231"/>
      <c r="D241" s="273"/>
      <c r="E241" s="168"/>
      <c r="F241" s="274"/>
      <c r="G241" s="231"/>
      <c r="H241" s="231"/>
      <c r="I241" s="231"/>
      <c r="J241" s="231"/>
      <c r="K241" s="167"/>
      <c r="L241" s="167"/>
      <c r="M241" s="167"/>
      <c r="N241" s="167"/>
      <c r="O241" s="231"/>
      <c r="P241" s="166"/>
      <c r="Q241" s="166"/>
      <c r="R241" s="166"/>
      <c r="S241" s="277"/>
      <c r="T241" s="231"/>
      <c r="U241" s="231"/>
      <c r="V241" s="231"/>
      <c r="W241" s="231"/>
      <c r="X241" s="167"/>
      <c r="Y241" s="231"/>
    </row>
    <row r="242" spans="1:25">
      <c r="A242" s="231"/>
      <c r="B242" s="272"/>
      <c r="C242" s="231"/>
      <c r="D242" s="273"/>
      <c r="E242" s="168"/>
      <c r="F242" s="274"/>
      <c r="G242" s="231"/>
      <c r="H242" s="231"/>
      <c r="I242" s="231"/>
      <c r="J242" s="231"/>
      <c r="K242" s="167"/>
      <c r="L242" s="167"/>
      <c r="M242" s="167"/>
      <c r="N242" s="167"/>
      <c r="O242" s="231"/>
      <c r="P242" s="166"/>
      <c r="Q242" s="166"/>
      <c r="R242" s="166"/>
      <c r="S242" s="277"/>
      <c r="T242" s="231"/>
      <c r="U242" s="231"/>
      <c r="V242" s="231"/>
      <c r="W242" s="231"/>
      <c r="X242" s="167"/>
      <c r="Y242" s="231"/>
    </row>
    <row r="243" spans="1:25">
      <c r="A243" s="231"/>
      <c r="B243" s="272"/>
      <c r="C243" s="231"/>
      <c r="D243" s="273"/>
      <c r="E243" s="168"/>
      <c r="F243" s="274"/>
      <c r="G243" s="231"/>
      <c r="H243" s="231"/>
      <c r="I243" s="231"/>
      <c r="J243" s="231"/>
      <c r="K243" s="167"/>
      <c r="L243" s="167"/>
      <c r="M243" s="167"/>
      <c r="N243" s="167"/>
      <c r="O243" s="231"/>
      <c r="P243" s="166"/>
      <c r="Q243" s="166"/>
      <c r="R243" s="166"/>
      <c r="S243" s="277"/>
      <c r="T243" s="231"/>
      <c r="U243" s="231"/>
      <c r="V243" s="231"/>
      <c r="W243" s="231"/>
      <c r="X243" s="167"/>
      <c r="Y243" s="231"/>
    </row>
    <row r="244" spans="1:25">
      <c r="A244" s="231"/>
      <c r="B244" s="272"/>
      <c r="C244" s="231"/>
      <c r="D244" s="273"/>
      <c r="E244" s="168"/>
      <c r="F244" s="274"/>
      <c r="G244" s="231"/>
      <c r="H244" s="231"/>
      <c r="I244" s="231"/>
      <c r="J244" s="231"/>
      <c r="K244" s="167"/>
      <c r="L244" s="167"/>
      <c r="M244" s="167"/>
      <c r="N244" s="167"/>
      <c r="O244" s="231"/>
      <c r="P244" s="166"/>
      <c r="Q244" s="166"/>
      <c r="R244" s="166"/>
      <c r="S244" s="277"/>
      <c r="T244" s="231"/>
      <c r="U244" s="231"/>
      <c r="V244" s="231"/>
      <c r="W244" s="231"/>
      <c r="X244" s="167"/>
      <c r="Y244" s="231"/>
    </row>
    <row r="245" spans="1:25">
      <c r="A245" s="231"/>
      <c r="B245" s="272"/>
      <c r="C245" s="231"/>
      <c r="D245" s="273"/>
      <c r="E245" s="168"/>
      <c r="F245" s="274"/>
      <c r="G245" s="231"/>
      <c r="H245" s="231"/>
      <c r="I245" s="231"/>
      <c r="J245" s="231"/>
      <c r="K245" s="167"/>
      <c r="L245" s="167"/>
      <c r="M245" s="167"/>
      <c r="N245" s="167"/>
      <c r="O245" s="231"/>
      <c r="P245" s="166"/>
      <c r="Q245" s="166"/>
      <c r="R245" s="166"/>
      <c r="S245" s="277"/>
      <c r="T245" s="231"/>
      <c r="U245" s="231"/>
      <c r="V245" s="231"/>
      <c r="W245" s="231"/>
      <c r="X245" s="167"/>
      <c r="Y245" s="231"/>
    </row>
    <row r="246" spans="1:25">
      <c r="A246" s="231"/>
      <c r="B246" s="272"/>
      <c r="C246" s="231"/>
      <c r="D246" s="273"/>
      <c r="E246" s="168"/>
      <c r="F246" s="274"/>
      <c r="G246" s="231"/>
      <c r="H246" s="231"/>
      <c r="I246" s="231"/>
      <c r="J246" s="231"/>
      <c r="K246" s="167"/>
      <c r="L246" s="167"/>
      <c r="M246" s="167"/>
      <c r="N246" s="167"/>
      <c r="O246" s="231"/>
      <c r="P246" s="166"/>
      <c r="Q246" s="166"/>
      <c r="R246" s="166"/>
      <c r="S246" s="277"/>
      <c r="T246" s="231"/>
      <c r="U246" s="231"/>
      <c r="V246" s="231"/>
      <c r="W246" s="231"/>
      <c r="X246" s="167"/>
      <c r="Y246" s="231"/>
    </row>
    <row r="247" spans="1:25">
      <c r="A247" s="231"/>
      <c r="B247" s="272"/>
      <c r="C247" s="231"/>
      <c r="D247" s="273"/>
      <c r="E247" s="168"/>
      <c r="F247" s="274"/>
      <c r="G247" s="231"/>
      <c r="H247" s="231"/>
      <c r="I247" s="231"/>
      <c r="J247" s="231"/>
      <c r="K247" s="167"/>
      <c r="L247" s="167"/>
      <c r="M247" s="167"/>
      <c r="N247" s="167"/>
      <c r="O247" s="231"/>
      <c r="P247" s="166"/>
      <c r="Q247" s="166"/>
      <c r="R247" s="166"/>
      <c r="S247" s="277"/>
      <c r="T247" s="231"/>
      <c r="U247" s="231"/>
      <c r="V247" s="231"/>
      <c r="W247" s="231"/>
      <c r="X247" s="167"/>
      <c r="Y247" s="231"/>
    </row>
    <row r="248" spans="1:25">
      <c r="A248" s="231"/>
      <c r="B248" s="272"/>
      <c r="C248" s="231"/>
      <c r="D248" s="273"/>
      <c r="E248" s="168"/>
      <c r="F248" s="274"/>
      <c r="G248" s="231"/>
      <c r="H248" s="231"/>
      <c r="I248" s="231"/>
      <c r="J248" s="231"/>
      <c r="K248" s="167"/>
      <c r="L248" s="167"/>
      <c r="M248" s="167"/>
      <c r="N248" s="167"/>
      <c r="O248" s="231"/>
      <c r="P248" s="166"/>
      <c r="Q248" s="166"/>
      <c r="R248" s="166"/>
      <c r="S248" s="277"/>
      <c r="T248" s="231"/>
      <c r="U248" s="231"/>
      <c r="V248" s="231"/>
      <c r="W248" s="231"/>
      <c r="X248" s="167"/>
      <c r="Y248" s="231"/>
    </row>
    <row r="249" spans="1:25">
      <c r="A249" s="231"/>
      <c r="B249" s="272"/>
      <c r="C249" s="231"/>
      <c r="D249" s="273"/>
      <c r="E249" s="168"/>
      <c r="F249" s="274"/>
      <c r="G249" s="231"/>
      <c r="H249" s="231"/>
      <c r="I249" s="231"/>
      <c r="J249" s="231"/>
      <c r="K249" s="167"/>
      <c r="L249" s="167"/>
      <c r="M249" s="167"/>
      <c r="N249" s="167"/>
      <c r="O249" s="231"/>
      <c r="P249" s="166"/>
      <c r="Q249" s="166"/>
      <c r="R249" s="166"/>
      <c r="S249" s="277"/>
      <c r="T249" s="231"/>
      <c r="U249" s="231"/>
      <c r="V249" s="231"/>
      <c r="W249" s="231"/>
      <c r="X249" s="167"/>
      <c r="Y249" s="231"/>
    </row>
    <row r="250" spans="1:25">
      <c r="A250" s="231"/>
      <c r="B250" s="272"/>
      <c r="C250" s="231"/>
      <c r="D250" s="273"/>
      <c r="E250" s="168"/>
      <c r="F250" s="274"/>
      <c r="G250" s="231"/>
      <c r="H250" s="231"/>
      <c r="I250" s="231"/>
      <c r="J250" s="231"/>
      <c r="K250" s="167"/>
      <c r="L250" s="167"/>
      <c r="M250" s="167"/>
      <c r="N250" s="167"/>
      <c r="O250" s="231"/>
      <c r="P250" s="166"/>
      <c r="Q250" s="166"/>
      <c r="R250" s="166"/>
      <c r="S250" s="277"/>
      <c r="T250" s="231"/>
      <c r="U250" s="231"/>
      <c r="V250" s="231"/>
      <c r="W250" s="231"/>
      <c r="X250" s="167"/>
      <c r="Y250" s="231"/>
    </row>
    <row r="251" spans="1:25">
      <c r="A251" s="231"/>
      <c r="B251" s="272"/>
      <c r="C251" s="231"/>
      <c r="D251" s="273"/>
      <c r="E251" s="168"/>
      <c r="F251" s="274"/>
      <c r="G251" s="231"/>
      <c r="H251" s="231"/>
      <c r="I251" s="231"/>
      <c r="J251" s="231"/>
      <c r="K251" s="167"/>
      <c r="L251" s="167"/>
      <c r="M251" s="167"/>
      <c r="N251" s="167"/>
      <c r="O251" s="231"/>
      <c r="P251" s="166"/>
      <c r="Q251" s="166"/>
      <c r="R251" s="166"/>
      <c r="S251" s="277"/>
      <c r="T251" s="231"/>
      <c r="U251" s="231"/>
      <c r="V251" s="231"/>
      <c r="W251" s="231"/>
      <c r="X251" s="167"/>
      <c r="Y251" s="231"/>
    </row>
    <row r="252" spans="1:25">
      <c r="A252" s="231"/>
      <c r="B252" s="272"/>
      <c r="C252" s="231"/>
      <c r="D252" s="273"/>
      <c r="E252" s="168"/>
      <c r="F252" s="274"/>
      <c r="G252" s="231"/>
      <c r="H252" s="231"/>
      <c r="I252" s="231"/>
      <c r="J252" s="231"/>
      <c r="K252" s="167"/>
      <c r="L252" s="167"/>
      <c r="M252" s="167"/>
      <c r="N252" s="167"/>
      <c r="O252" s="231"/>
      <c r="P252" s="166"/>
      <c r="Q252" s="166"/>
      <c r="R252" s="166"/>
      <c r="S252" s="277"/>
      <c r="T252" s="231"/>
      <c r="U252" s="231"/>
      <c r="V252" s="231"/>
      <c r="W252" s="231"/>
      <c r="X252" s="167"/>
      <c r="Y252" s="231"/>
    </row>
  </sheetData>
  <mergeCells count="14">
    <mergeCell ref="A1:Y1"/>
    <mergeCell ref="A28:Y28"/>
    <mergeCell ref="A3:A6"/>
    <mergeCell ref="A7:A10"/>
    <mergeCell ref="A11:A14"/>
    <mergeCell ref="A15:A18"/>
    <mergeCell ref="A19:A22"/>
    <mergeCell ref="A23:A26"/>
    <mergeCell ref="A29:A32"/>
    <mergeCell ref="A33:A36"/>
    <mergeCell ref="A37:A40"/>
    <mergeCell ref="A41:A44"/>
    <mergeCell ref="A45:A48"/>
    <mergeCell ref="A49:A5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92"/>
  <sheetViews>
    <sheetView workbookViewId="0">
      <pane ySplit="2" topLeftCell="A3" activePane="bottomLeft" state="frozen"/>
      <selection/>
      <selection pane="bottomLeft" activeCell="A1" sqref="A1:U1"/>
    </sheetView>
  </sheetViews>
  <sheetFormatPr defaultColWidth="9" defaultRowHeight="15.75"/>
  <cols>
    <col min="1" max="3" width="10.425" customWidth="1"/>
    <col min="4" max="4" width="9.06666666666667" customWidth="1"/>
    <col min="5" max="5" width="8.61666666666667" customWidth="1"/>
    <col min="6" max="21" width="10.425" customWidth="1"/>
  </cols>
  <sheetData>
    <row r="1" ht="25" customHeight="1" spans="1:21">
      <c r="A1" s="315" t="s">
        <v>170</v>
      </c>
      <c r="B1" s="315"/>
      <c r="C1" s="315"/>
      <c r="D1" s="315"/>
      <c r="E1" s="315"/>
      <c r="F1" s="315"/>
      <c r="G1" s="315"/>
      <c r="H1" s="315"/>
      <c r="I1" s="315"/>
      <c r="J1" s="315"/>
      <c r="K1" s="315"/>
      <c r="L1" s="315"/>
      <c r="M1" s="315"/>
      <c r="N1" s="315"/>
      <c r="O1" s="315"/>
      <c r="P1" s="315"/>
      <c r="Q1" s="315"/>
      <c r="R1" s="315"/>
      <c r="S1" s="315"/>
      <c r="T1" s="315"/>
      <c r="U1" s="315"/>
    </row>
    <row r="2" ht="44.65" customHeight="1" spans="1:21">
      <c r="A2" s="309" t="s">
        <v>49</v>
      </c>
      <c r="B2" s="316" t="s">
        <v>96</v>
      </c>
      <c r="C2" s="317" t="s">
        <v>50</v>
      </c>
      <c r="D2" s="318" t="s">
        <v>51</v>
      </c>
      <c r="E2" s="319" t="s">
        <v>52</v>
      </c>
      <c r="F2" s="320" t="s">
        <v>53</v>
      </c>
      <c r="G2" s="320" t="s">
        <v>54</v>
      </c>
      <c r="H2" s="320" t="s">
        <v>55</v>
      </c>
      <c r="I2" s="320" t="s">
        <v>56</v>
      </c>
      <c r="J2" s="320" t="s">
        <v>57</v>
      </c>
      <c r="K2" s="320" t="s">
        <v>58</v>
      </c>
      <c r="L2" s="320" t="s">
        <v>171</v>
      </c>
      <c r="M2" s="320" t="s">
        <v>60</v>
      </c>
      <c r="N2" s="320" t="s">
        <v>61</v>
      </c>
      <c r="O2" s="319" t="s">
        <v>62</v>
      </c>
      <c r="P2" s="320" t="s">
        <v>63</v>
      </c>
      <c r="Q2" s="320" t="s">
        <v>64</v>
      </c>
      <c r="R2" s="319" t="s">
        <v>65</v>
      </c>
      <c r="S2" s="321" t="s">
        <v>66</v>
      </c>
      <c r="T2" s="320" t="s">
        <v>67</v>
      </c>
      <c r="U2" s="322" t="s">
        <v>68</v>
      </c>
    </row>
    <row r="3" ht="22.6" customHeight="1" spans="1:21">
      <c r="A3" s="231" t="s">
        <v>23</v>
      </c>
      <c r="B3" s="272" t="s">
        <v>172</v>
      </c>
      <c r="C3" s="231">
        <v>89.99</v>
      </c>
      <c r="D3" s="273">
        <v>0.3</v>
      </c>
      <c r="E3" s="168">
        <v>0</v>
      </c>
      <c r="F3" s="274">
        <f t="shared" ref="F3:F26" si="0">SUM(C3*(1-D3-E3))</f>
        <v>62.993</v>
      </c>
      <c r="G3" s="274">
        <v>10.51</v>
      </c>
      <c r="H3" s="274">
        <f t="shared" ref="H3:H26" si="1">SUM(F3*8%)</f>
        <v>5.03944</v>
      </c>
      <c r="I3" s="274">
        <f t="shared" ref="I3:I26" si="2">SUM(F3-G3-H3)</f>
        <v>47.44356</v>
      </c>
      <c r="J3" s="274">
        <v>0.5</v>
      </c>
      <c r="K3" s="274">
        <v>0.6</v>
      </c>
      <c r="L3" s="274">
        <v>40</v>
      </c>
      <c r="M3" s="274">
        <v>3</v>
      </c>
      <c r="N3" s="274">
        <f t="shared" ref="N3:N26" si="3">SUM(20%*15%*F3+G3+J3+L3+M3+1.04)</f>
        <v>56.93979</v>
      </c>
      <c r="O3" s="323">
        <v>0.044</v>
      </c>
      <c r="P3" s="274">
        <f t="shared" ref="P3:P26" si="4">SUM(N3*O3/(1-O3))</f>
        <v>2.62065979079498</v>
      </c>
      <c r="Q3" s="274">
        <f t="shared" ref="Q3:Q26" si="5">SUM(I3-J3-K3-L3-M3-P3)</f>
        <v>0.722900209205017</v>
      </c>
      <c r="R3" s="323">
        <f t="shared" ref="R3:R26" si="6">SUM(Q3/C3)</f>
        <v>0.00803311711529078</v>
      </c>
      <c r="S3" s="324">
        <f>'总表（阶段盈亏）'!I3</f>
        <v>21</v>
      </c>
      <c r="T3" s="274">
        <f t="shared" ref="T3:T26" si="7">SUM(Q3*S3)</f>
        <v>15.1809043933054</v>
      </c>
      <c r="U3" s="325">
        <f t="shared" ref="U3:U26" si="8">SUM(T3)</f>
        <v>15.1809043933054</v>
      </c>
    </row>
    <row r="4" ht="22.6" customHeight="1" spans="1:21">
      <c r="A4" s="231"/>
      <c r="B4" s="272" t="s">
        <v>173</v>
      </c>
      <c r="C4" s="231">
        <v>89.99</v>
      </c>
      <c r="D4" s="273">
        <v>0.3</v>
      </c>
      <c r="E4" s="168">
        <v>0</v>
      </c>
      <c r="F4" s="274">
        <f t="shared" si="0"/>
        <v>62.993</v>
      </c>
      <c r="G4" s="274">
        <v>10.51</v>
      </c>
      <c r="H4" s="274">
        <f t="shared" si="1"/>
        <v>5.03944</v>
      </c>
      <c r="I4" s="274">
        <f t="shared" si="2"/>
        <v>47.44356</v>
      </c>
      <c r="J4" s="274">
        <v>0.5</v>
      </c>
      <c r="K4" s="274">
        <v>0.6</v>
      </c>
      <c r="L4" s="274">
        <v>40</v>
      </c>
      <c r="M4" s="274">
        <v>3</v>
      </c>
      <c r="N4" s="274">
        <f t="shared" si="3"/>
        <v>56.93979</v>
      </c>
      <c r="O4" s="323">
        <v>0.044</v>
      </c>
      <c r="P4" s="274">
        <f t="shared" si="4"/>
        <v>2.62065979079498</v>
      </c>
      <c r="Q4" s="274">
        <f t="shared" si="5"/>
        <v>0.722900209205017</v>
      </c>
      <c r="R4" s="323">
        <f t="shared" si="6"/>
        <v>0.00803311711529078</v>
      </c>
      <c r="S4" s="324">
        <f>'总表（阶段盈亏）'!I4</f>
        <v>49</v>
      </c>
      <c r="T4" s="274">
        <f t="shared" si="7"/>
        <v>35.4221102510459</v>
      </c>
      <c r="U4" s="326">
        <f t="shared" si="8"/>
        <v>35.4221102510459</v>
      </c>
    </row>
    <row r="5" ht="22.6" customHeight="1" spans="1:21">
      <c r="A5" s="231"/>
      <c r="B5" s="272" t="s">
        <v>174</v>
      </c>
      <c r="C5" s="231">
        <v>89.99</v>
      </c>
      <c r="D5" s="273">
        <v>0.3</v>
      </c>
      <c r="E5" s="168">
        <v>0</v>
      </c>
      <c r="F5" s="274">
        <f t="shared" si="0"/>
        <v>62.993</v>
      </c>
      <c r="G5" s="274">
        <v>10.51</v>
      </c>
      <c r="H5" s="274">
        <f t="shared" si="1"/>
        <v>5.03944</v>
      </c>
      <c r="I5" s="274">
        <f t="shared" si="2"/>
        <v>47.44356</v>
      </c>
      <c r="J5" s="274">
        <v>0.5</v>
      </c>
      <c r="K5" s="274">
        <v>0.6</v>
      </c>
      <c r="L5" s="274">
        <v>40</v>
      </c>
      <c r="M5" s="274">
        <v>3</v>
      </c>
      <c r="N5" s="274">
        <f t="shared" si="3"/>
        <v>56.93979</v>
      </c>
      <c r="O5" s="323">
        <v>0.044</v>
      </c>
      <c r="P5" s="274">
        <f t="shared" si="4"/>
        <v>2.62065979079498</v>
      </c>
      <c r="Q5" s="274">
        <f t="shared" si="5"/>
        <v>0.722900209205017</v>
      </c>
      <c r="R5" s="323">
        <f t="shared" si="6"/>
        <v>0.00803311711529078</v>
      </c>
      <c r="S5" s="324">
        <f>'总表（阶段盈亏）'!I5</f>
        <v>70</v>
      </c>
      <c r="T5" s="274">
        <f t="shared" si="7"/>
        <v>50.6030146443512</v>
      </c>
      <c r="U5" s="326">
        <f t="shared" si="8"/>
        <v>50.6030146443512</v>
      </c>
    </row>
    <row r="6" ht="22.6" customHeight="1" spans="1:21">
      <c r="A6" s="231"/>
      <c r="B6" s="272" t="s">
        <v>175</v>
      </c>
      <c r="C6" s="231">
        <v>89.99</v>
      </c>
      <c r="D6" s="273">
        <v>0.3</v>
      </c>
      <c r="E6" s="168">
        <v>0</v>
      </c>
      <c r="F6" s="274">
        <f t="shared" si="0"/>
        <v>62.993</v>
      </c>
      <c r="G6" s="274">
        <v>10.51</v>
      </c>
      <c r="H6" s="274">
        <f t="shared" si="1"/>
        <v>5.03944</v>
      </c>
      <c r="I6" s="274">
        <f t="shared" si="2"/>
        <v>47.44356</v>
      </c>
      <c r="J6" s="274">
        <v>0.5</v>
      </c>
      <c r="K6" s="274">
        <v>0.6</v>
      </c>
      <c r="L6" s="274">
        <v>40</v>
      </c>
      <c r="M6" s="274">
        <v>3</v>
      </c>
      <c r="N6" s="274">
        <f t="shared" si="3"/>
        <v>56.93979</v>
      </c>
      <c r="O6" s="323">
        <v>0.044</v>
      </c>
      <c r="P6" s="274">
        <f t="shared" si="4"/>
        <v>2.62065979079498</v>
      </c>
      <c r="Q6" s="274">
        <f t="shared" si="5"/>
        <v>0.722900209205017</v>
      </c>
      <c r="R6" s="323">
        <f t="shared" si="6"/>
        <v>0.00803311711529078</v>
      </c>
      <c r="S6" s="324">
        <f>'总表（阶段盈亏）'!I6</f>
        <v>84</v>
      </c>
      <c r="T6" s="274">
        <f t="shared" si="7"/>
        <v>60.7236175732215</v>
      </c>
      <c r="U6" s="326">
        <f t="shared" si="8"/>
        <v>60.7236175732215</v>
      </c>
    </row>
    <row r="7" ht="22.6" customHeight="1" spans="1:21">
      <c r="A7" s="231" t="s">
        <v>25</v>
      </c>
      <c r="B7" s="272" t="s">
        <v>176</v>
      </c>
      <c r="C7" s="231">
        <v>89.99</v>
      </c>
      <c r="D7" s="273">
        <v>0.2</v>
      </c>
      <c r="E7" s="168">
        <v>0</v>
      </c>
      <c r="F7" s="274">
        <f t="shared" si="0"/>
        <v>71.992</v>
      </c>
      <c r="G7" s="274">
        <v>10.51</v>
      </c>
      <c r="H7" s="274">
        <f t="shared" si="1"/>
        <v>5.75936</v>
      </c>
      <c r="I7" s="274">
        <f t="shared" si="2"/>
        <v>55.72264</v>
      </c>
      <c r="J7" s="274">
        <v>0.5</v>
      </c>
      <c r="K7" s="274">
        <v>0.6</v>
      </c>
      <c r="L7" s="274">
        <v>40</v>
      </c>
      <c r="M7" s="274">
        <v>3</v>
      </c>
      <c r="N7" s="274">
        <f t="shared" si="3"/>
        <v>57.20976</v>
      </c>
      <c r="O7" s="323">
        <v>0.044</v>
      </c>
      <c r="P7" s="274">
        <f t="shared" si="4"/>
        <v>2.63308518828452</v>
      </c>
      <c r="Q7" s="274">
        <f t="shared" si="5"/>
        <v>8.98955481171549</v>
      </c>
      <c r="R7" s="323">
        <f t="shared" si="6"/>
        <v>0.0998950418014833</v>
      </c>
      <c r="S7" s="324">
        <f>'总表（阶段盈亏）'!I7</f>
        <v>105</v>
      </c>
      <c r="T7" s="274">
        <f t="shared" si="7"/>
        <v>943.903255230126</v>
      </c>
      <c r="U7" s="326">
        <f t="shared" si="8"/>
        <v>943.903255230126</v>
      </c>
    </row>
    <row r="8" ht="22.6" customHeight="1" spans="1:21">
      <c r="A8" s="231"/>
      <c r="B8" s="272" t="s">
        <v>177</v>
      </c>
      <c r="C8" s="231">
        <v>89.99</v>
      </c>
      <c r="D8" s="273">
        <v>0.2</v>
      </c>
      <c r="E8" s="168">
        <v>0</v>
      </c>
      <c r="F8" s="274">
        <f t="shared" si="0"/>
        <v>71.992</v>
      </c>
      <c r="G8" s="274">
        <v>10.51</v>
      </c>
      <c r="H8" s="274">
        <f t="shared" si="1"/>
        <v>5.75936</v>
      </c>
      <c r="I8" s="274">
        <f t="shared" si="2"/>
        <v>55.72264</v>
      </c>
      <c r="J8" s="274">
        <v>0.5</v>
      </c>
      <c r="K8" s="274">
        <v>0.6</v>
      </c>
      <c r="L8" s="274">
        <v>40</v>
      </c>
      <c r="M8" s="274">
        <v>3</v>
      </c>
      <c r="N8" s="274">
        <f t="shared" si="3"/>
        <v>57.20976</v>
      </c>
      <c r="O8" s="323">
        <v>0.044</v>
      </c>
      <c r="P8" s="274">
        <f t="shared" si="4"/>
        <v>2.63308518828452</v>
      </c>
      <c r="Q8" s="274">
        <f t="shared" si="5"/>
        <v>8.98955481171549</v>
      </c>
      <c r="R8" s="323">
        <f t="shared" si="6"/>
        <v>0.0998950418014833</v>
      </c>
      <c r="S8" s="324">
        <f>'总表（阶段盈亏）'!I8</f>
        <v>126</v>
      </c>
      <c r="T8" s="274">
        <f t="shared" si="7"/>
        <v>1132.68390627615</v>
      </c>
      <c r="U8" s="326">
        <f t="shared" si="8"/>
        <v>1132.68390627615</v>
      </c>
    </row>
    <row r="9" ht="22.6" customHeight="1" spans="1:21">
      <c r="A9" s="231"/>
      <c r="B9" s="272" t="s">
        <v>178</v>
      </c>
      <c r="C9" s="231">
        <v>89.99</v>
      </c>
      <c r="D9" s="273">
        <v>0.2</v>
      </c>
      <c r="E9" s="168">
        <v>0</v>
      </c>
      <c r="F9" s="274">
        <f t="shared" si="0"/>
        <v>71.992</v>
      </c>
      <c r="G9" s="274">
        <v>10.51</v>
      </c>
      <c r="H9" s="274">
        <f t="shared" si="1"/>
        <v>5.75936</v>
      </c>
      <c r="I9" s="274">
        <f t="shared" si="2"/>
        <v>55.72264</v>
      </c>
      <c r="J9" s="274">
        <v>0.5</v>
      </c>
      <c r="K9" s="274">
        <v>0.6</v>
      </c>
      <c r="L9" s="274">
        <v>40</v>
      </c>
      <c r="M9" s="274">
        <v>3</v>
      </c>
      <c r="N9" s="274">
        <f t="shared" si="3"/>
        <v>57.20976</v>
      </c>
      <c r="O9" s="323">
        <v>0.044</v>
      </c>
      <c r="P9" s="274">
        <f t="shared" si="4"/>
        <v>2.63308518828452</v>
      </c>
      <c r="Q9" s="274">
        <f t="shared" si="5"/>
        <v>8.98955481171549</v>
      </c>
      <c r="R9" s="323">
        <f t="shared" si="6"/>
        <v>0.0998950418014833</v>
      </c>
      <c r="S9" s="324">
        <f>'总表（阶段盈亏）'!I9</f>
        <v>140</v>
      </c>
      <c r="T9" s="274">
        <f t="shared" si="7"/>
        <v>1258.53767364017</v>
      </c>
      <c r="U9" s="326">
        <f t="shared" si="8"/>
        <v>1258.53767364017</v>
      </c>
    </row>
    <row r="10" ht="22.6" customHeight="1" spans="1:21">
      <c r="A10" s="231"/>
      <c r="B10" s="272" t="s">
        <v>179</v>
      </c>
      <c r="C10" s="231">
        <v>89.99</v>
      </c>
      <c r="D10" s="273">
        <v>0.2</v>
      </c>
      <c r="E10" s="168">
        <v>0</v>
      </c>
      <c r="F10" s="274">
        <f t="shared" si="0"/>
        <v>71.992</v>
      </c>
      <c r="G10" s="274">
        <v>10.51</v>
      </c>
      <c r="H10" s="274">
        <f t="shared" si="1"/>
        <v>5.75936</v>
      </c>
      <c r="I10" s="274">
        <f t="shared" si="2"/>
        <v>55.72264</v>
      </c>
      <c r="J10" s="274">
        <v>0.5</v>
      </c>
      <c r="K10" s="274">
        <v>0.6</v>
      </c>
      <c r="L10" s="274">
        <v>40</v>
      </c>
      <c r="M10" s="274">
        <v>3</v>
      </c>
      <c r="N10" s="274">
        <f t="shared" si="3"/>
        <v>57.20976</v>
      </c>
      <c r="O10" s="323">
        <v>0.044</v>
      </c>
      <c r="P10" s="274">
        <f t="shared" si="4"/>
        <v>2.63308518828452</v>
      </c>
      <c r="Q10" s="274">
        <f t="shared" si="5"/>
        <v>8.98955481171549</v>
      </c>
      <c r="R10" s="323">
        <f t="shared" si="6"/>
        <v>0.0998950418014833</v>
      </c>
      <c r="S10" s="324">
        <f>'总表（阶段盈亏）'!I10</f>
        <v>168</v>
      </c>
      <c r="T10" s="274">
        <f t="shared" si="7"/>
        <v>1510.2452083682</v>
      </c>
      <c r="U10" s="326">
        <f t="shared" si="8"/>
        <v>1510.2452083682</v>
      </c>
    </row>
    <row r="11" ht="22.6" customHeight="1" spans="1:21">
      <c r="A11" s="231" t="s">
        <v>27</v>
      </c>
      <c r="B11" s="272" t="s">
        <v>180</v>
      </c>
      <c r="C11" s="231">
        <v>89.99</v>
      </c>
      <c r="D11" s="273">
        <v>0.1</v>
      </c>
      <c r="E11" s="168">
        <v>0</v>
      </c>
      <c r="F11" s="274">
        <f t="shared" si="0"/>
        <v>80.991</v>
      </c>
      <c r="G11" s="274">
        <v>10.51</v>
      </c>
      <c r="H11" s="274">
        <f t="shared" si="1"/>
        <v>6.47928</v>
      </c>
      <c r="I11" s="274">
        <f t="shared" si="2"/>
        <v>64.00172</v>
      </c>
      <c r="J11" s="274">
        <v>0.5</v>
      </c>
      <c r="K11" s="274">
        <v>0.6</v>
      </c>
      <c r="L11" s="274">
        <v>40</v>
      </c>
      <c r="M11" s="274">
        <v>3</v>
      </c>
      <c r="N11" s="274">
        <f t="shared" si="3"/>
        <v>57.47973</v>
      </c>
      <c r="O11" s="323">
        <v>0.044</v>
      </c>
      <c r="P11" s="274">
        <f t="shared" si="4"/>
        <v>2.64551058577406</v>
      </c>
      <c r="Q11" s="274">
        <f t="shared" si="5"/>
        <v>17.2562094142259</v>
      </c>
      <c r="R11" s="323">
        <f t="shared" si="6"/>
        <v>0.191756966487676</v>
      </c>
      <c r="S11" s="324">
        <f>'总表（阶段盈亏）'!I11</f>
        <v>182</v>
      </c>
      <c r="T11" s="274">
        <f t="shared" si="7"/>
        <v>3140.63011338912</v>
      </c>
      <c r="U11" s="326">
        <f t="shared" si="8"/>
        <v>3140.63011338912</v>
      </c>
    </row>
    <row r="12" ht="22.6" customHeight="1" spans="1:21">
      <c r="A12" s="231"/>
      <c r="B12" s="272" t="s">
        <v>181</v>
      </c>
      <c r="C12" s="231">
        <v>89.99</v>
      </c>
      <c r="D12" s="273">
        <v>0.1</v>
      </c>
      <c r="E12" s="168">
        <v>0</v>
      </c>
      <c r="F12" s="274">
        <f t="shared" si="0"/>
        <v>80.991</v>
      </c>
      <c r="G12" s="274">
        <v>10.51</v>
      </c>
      <c r="H12" s="274">
        <f t="shared" si="1"/>
        <v>6.47928</v>
      </c>
      <c r="I12" s="274">
        <f t="shared" si="2"/>
        <v>64.00172</v>
      </c>
      <c r="J12" s="274">
        <v>0.5</v>
      </c>
      <c r="K12" s="274">
        <v>0.6</v>
      </c>
      <c r="L12" s="274">
        <v>40</v>
      </c>
      <c r="M12" s="274">
        <v>3</v>
      </c>
      <c r="N12" s="274">
        <f t="shared" si="3"/>
        <v>57.47973</v>
      </c>
      <c r="O12" s="323">
        <v>0.044</v>
      </c>
      <c r="P12" s="274">
        <f t="shared" si="4"/>
        <v>2.64551058577406</v>
      </c>
      <c r="Q12" s="274">
        <f t="shared" si="5"/>
        <v>17.2562094142259</v>
      </c>
      <c r="R12" s="323">
        <f t="shared" si="6"/>
        <v>0.191756966487676</v>
      </c>
      <c r="S12" s="324">
        <f>'总表（阶段盈亏）'!I12</f>
        <v>259</v>
      </c>
      <c r="T12" s="274">
        <f t="shared" si="7"/>
        <v>4469.35823828452</v>
      </c>
      <c r="U12" s="326">
        <f t="shared" si="8"/>
        <v>4469.35823828452</v>
      </c>
    </row>
    <row r="13" ht="22.6" customHeight="1" spans="1:21">
      <c r="A13" s="231"/>
      <c r="B13" s="272" t="s">
        <v>182</v>
      </c>
      <c r="C13" s="231">
        <v>89.99</v>
      </c>
      <c r="D13" s="273">
        <v>0.1</v>
      </c>
      <c r="E13" s="168">
        <v>0</v>
      </c>
      <c r="F13" s="274">
        <f t="shared" si="0"/>
        <v>80.991</v>
      </c>
      <c r="G13" s="274">
        <v>10.51</v>
      </c>
      <c r="H13" s="274">
        <f t="shared" si="1"/>
        <v>6.47928</v>
      </c>
      <c r="I13" s="274">
        <f t="shared" si="2"/>
        <v>64.00172</v>
      </c>
      <c r="J13" s="274">
        <v>0.5</v>
      </c>
      <c r="K13" s="274">
        <v>0.6</v>
      </c>
      <c r="L13" s="274">
        <v>40</v>
      </c>
      <c r="M13" s="274">
        <v>3</v>
      </c>
      <c r="N13" s="274">
        <f t="shared" si="3"/>
        <v>57.47973</v>
      </c>
      <c r="O13" s="323">
        <v>0.044</v>
      </c>
      <c r="P13" s="274">
        <f t="shared" si="4"/>
        <v>2.64551058577406</v>
      </c>
      <c r="Q13" s="274">
        <f t="shared" si="5"/>
        <v>17.2562094142259</v>
      </c>
      <c r="R13" s="323">
        <f t="shared" si="6"/>
        <v>0.191756966487676</v>
      </c>
      <c r="S13" s="324">
        <f>'总表（阶段盈亏）'!I13</f>
        <v>210</v>
      </c>
      <c r="T13" s="274">
        <f t="shared" si="7"/>
        <v>3623.80397698745</v>
      </c>
      <c r="U13" s="326">
        <f t="shared" si="8"/>
        <v>3623.80397698745</v>
      </c>
    </row>
    <row r="14" ht="22.6" customHeight="1" spans="1:21">
      <c r="A14" s="231"/>
      <c r="B14" s="272" t="s">
        <v>183</v>
      </c>
      <c r="C14" s="231">
        <v>89.99</v>
      </c>
      <c r="D14" s="273">
        <v>0.1</v>
      </c>
      <c r="E14" s="168">
        <v>0</v>
      </c>
      <c r="F14" s="274">
        <f t="shared" si="0"/>
        <v>80.991</v>
      </c>
      <c r="G14" s="274">
        <v>10.51</v>
      </c>
      <c r="H14" s="274">
        <f t="shared" si="1"/>
        <v>6.47928</v>
      </c>
      <c r="I14" s="274">
        <f t="shared" si="2"/>
        <v>64.00172</v>
      </c>
      <c r="J14" s="274">
        <v>0.5</v>
      </c>
      <c r="K14" s="274">
        <v>0.6</v>
      </c>
      <c r="L14" s="274">
        <v>40</v>
      </c>
      <c r="M14" s="274">
        <v>3</v>
      </c>
      <c r="N14" s="274">
        <f t="shared" si="3"/>
        <v>57.47973</v>
      </c>
      <c r="O14" s="323">
        <v>0.044</v>
      </c>
      <c r="P14" s="274">
        <f t="shared" si="4"/>
        <v>2.64551058577406</v>
      </c>
      <c r="Q14" s="274">
        <f t="shared" si="5"/>
        <v>17.2562094142259</v>
      </c>
      <c r="R14" s="323">
        <f t="shared" si="6"/>
        <v>0.191756966487676</v>
      </c>
      <c r="S14" s="324">
        <f>'总表（阶段盈亏）'!I14</f>
        <v>371</v>
      </c>
      <c r="T14" s="274">
        <f t="shared" si="7"/>
        <v>6402.05369267782</v>
      </c>
      <c r="U14" s="326">
        <f t="shared" si="8"/>
        <v>6402.05369267782</v>
      </c>
    </row>
    <row r="15" ht="22.6" customHeight="1" spans="1:21">
      <c r="A15" s="231" t="s">
        <v>29</v>
      </c>
      <c r="B15" s="272" t="s">
        <v>184</v>
      </c>
      <c r="C15" s="231">
        <v>79.99</v>
      </c>
      <c r="D15" s="273">
        <v>0</v>
      </c>
      <c r="E15" s="168">
        <v>0</v>
      </c>
      <c r="F15" s="274">
        <f t="shared" si="0"/>
        <v>79.99</v>
      </c>
      <c r="G15" s="274">
        <v>10.51</v>
      </c>
      <c r="H15" s="274">
        <f t="shared" si="1"/>
        <v>6.3992</v>
      </c>
      <c r="I15" s="274">
        <f t="shared" si="2"/>
        <v>63.0808</v>
      </c>
      <c r="J15" s="274">
        <v>0.5</v>
      </c>
      <c r="K15" s="274">
        <v>0</v>
      </c>
      <c r="L15" s="274">
        <v>40</v>
      </c>
      <c r="M15" s="274">
        <v>3</v>
      </c>
      <c r="N15" s="274">
        <f t="shared" si="3"/>
        <v>57.4497</v>
      </c>
      <c r="O15" s="323">
        <v>0.044</v>
      </c>
      <c r="P15" s="274">
        <f t="shared" si="4"/>
        <v>2.64412845188285</v>
      </c>
      <c r="Q15" s="274">
        <f t="shared" si="5"/>
        <v>16.9366715481171</v>
      </c>
      <c r="R15" s="323">
        <f t="shared" si="6"/>
        <v>0.211734861209115</v>
      </c>
      <c r="S15" s="324">
        <f>'总表（阶段盈亏）'!I15</f>
        <v>280</v>
      </c>
      <c r="T15" s="274">
        <f t="shared" si="7"/>
        <v>4742.2680334728</v>
      </c>
      <c r="U15" s="326">
        <f t="shared" si="8"/>
        <v>4742.2680334728</v>
      </c>
    </row>
    <row r="16" ht="22.6" customHeight="1" spans="1:21">
      <c r="A16" s="231"/>
      <c r="B16" s="272" t="s">
        <v>185</v>
      </c>
      <c r="C16" s="231">
        <v>79.99</v>
      </c>
      <c r="D16" s="273">
        <v>0</v>
      </c>
      <c r="E16" s="168">
        <v>0</v>
      </c>
      <c r="F16" s="274">
        <f t="shared" si="0"/>
        <v>79.99</v>
      </c>
      <c r="G16" s="274">
        <v>10.51</v>
      </c>
      <c r="H16" s="274">
        <f t="shared" si="1"/>
        <v>6.3992</v>
      </c>
      <c r="I16" s="274">
        <f t="shared" si="2"/>
        <v>63.0808</v>
      </c>
      <c r="J16" s="274">
        <v>0.5</v>
      </c>
      <c r="K16" s="274">
        <v>0</v>
      </c>
      <c r="L16" s="274">
        <v>40</v>
      </c>
      <c r="M16" s="274">
        <v>3</v>
      </c>
      <c r="N16" s="274">
        <f t="shared" si="3"/>
        <v>57.4497</v>
      </c>
      <c r="O16" s="323">
        <v>0.044</v>
      </c>
      <c r="P16" s="274">
        <f t="shared" si="4"/>
        <v>2.64412845188285</v>
      </c>
      <c r="Q16" s="274">
        <f t="shared" si="5"/>
        <v>16.9366715481171</v>
      </c>
      <c r="R16" s="323">
        <f t="shared" si="6"/>
        <v>0.211734861209115</v>
      </c>
      <c r="S16" s="324">
        <f>'总表（阶段盈亏）'!I16</f>
        <v>315</v>
      </c>
      <c r="T16" s="274">
        <f t="shared" si="7"/>
        <v>5335.0515376569</v>
      </c>
      <c r="U16" s="326">
        <f t="shared" si="8"/>
        <v>5335.0515376569</v>
      </c>
    </row>
    <row r="17" ht="22.6" customHeight="1" spans="1:21">
      <c r="A17" s="231"/>
      <c r="B17" s="272" t="s">
        <v>186</v>
      </c>
      <c r="C17" s="231">
        <v>79.99</v>
      </c>
      <c r="D17" s="273">
        <v>0</v>
      </c>
      <c r="E17" s="168">
        <v>0</v>
      </c>
      <c r="F17" s="274">
        <f t="shared" si="0"/>
        <v>79.99</v>
      </c>
      <c r="G17" s="274">
        <v>10.51</v>
      </c>
      <c r="H17" s="274">
        <f t="shared" si="1"/>
        <v>6.3992</v>
      </c>
      <c r="I17" s="274">
        <f t="shared" si="2"/>
        <v>63.0808</v>
      </c>
      <c r="J17" s="274">
        <v>0.5</v>
      </c>
      <c r="K17" s="274">
        <v>0</v>
      </c>
      <c r="L17" s="274">
        <v>40</v>
      </c>
      <c r="M17" s="274">
        <v>3</v>
      </c>
      <c r="N17" s="274">
        <f t="shared" si="3"/>
        <v>57.4497</v>
      </c>
      <c r="O17" s="323">
        <v>0.044</v>
      </c>
      <c r="P17" s="274">
        <f t="shared" si="4"/>
        <v>2.64412845188285</v>
      </c>
      <c r="Q17" s="274">
        <f t="shared" si="5"/>
        <v>16.9366715481171</v>
      </c>
      <c r="R17" s="323">
        <f t="shared" si="6"/>
        <v>0.211734861209115</v>
      </c>
      <c r="S17" s="324">
        <f>'总表（阶段盈亏）'!I17</f>
        <v>350</v>
      </c>
      <c r="T17" s="274">
        <f t="shared" si="7"/>
        <v>5927.835041841</v>
      </c>
      <c r="U17" s="326">
        <f t="shared" si="8"/>
        <v>5927.835041841</v>
      </c>
    </row>
    <row r="18" ht="22.6" customHeight="1" spans="1:21">
      <c r="A18" s="231"/>
      <c r="B18" s="272" t="s">
        <v>187</v>
      </c>
      <c r="C18" s="231">
        <v>79.99</v>
      </c>
      <c r="D18" s="273">
        <v>0</v>
      </c>
      <c r="E18" s="168">
        <v>0</v>
      </c>
      <c r="F18" s="274">
        <f t="shared" si="0"/>
        <v>79.99</v>
      </c>
      <c r="G18" s="274">
        <v>10.51</v>
      </c>
      <c r="H18" s="274">
        <f t="shared" si="1"/>
        <v>6.3992</v>
      </c>
      <c r="I18" s="274">
        <f t="shared" si="2"/>
        <v>63.0808</v>
      </c>
      <c r="J18" s="274">
        <v>0.5</v>
      </c>
      <c r="K18" s="274">
        <v>0</v>
      </c>
      <c r="L18" s="274">
        <v>40</v>
      </c>
      <c r="M18" s="274">
        <v>3</v>
      </c>
      <c r="N18" s="274">
        <f t="shared" si="3"/>
        <v>57.4497</v>
      </c>
      <c r="O18" s="323">
        <v>0.044</v>
      </c>
      <c r="P18" s="274">
        <f t="shared" si="4"/>
        <v>2.64412845188285</v>
      </c>
      <c r="Q18" s="274">
        <f t="shared" si="5"/>
        <v>16.9366715481171</v>
      </c>
      <c r="R18" s="323">
        <f t="shared" si="6"/>
        <v>0.211734861209115</v>
      </c>
      <c r="S18" s="324">
        <f>'总表（阶段盈亏）'!I18</f>
        <v>490</v>
      </c>
      <c r="T18" s="274">
        <f t="shared" si="7"/>
        <v>8298.9690585774</v>
      </c>
      <c r="U18" s="326">
        <f t="shared" si="8"/>
        <v>8298.9690585774</v>
      </c>
    </row>
    <row r="19" ht="22.6" customHeight="1" spans="1:21">
      <c r="A19" s="231" t="s">
        <v>31</v>
      </c>
      <c r="B19" s="272" t="s">
        <v>188</v>
      </c>
      <c r="C19" s="231">
        <v>79.99</v>
      </c>
      <c r="D19" s="273">
        <v>0</v>
      </c>
      <c r="E19" s="168">
        <v>0</v>
      </c>
      <c r="F19" s="274">
        <f t="shared" si="0"/>
        <v>79.99</v>
      </c>
      <c r="G19" s="274">
        <v>10.51</v>
      </c>
      <c r="H19" s="274">
        <f t="shared" si="1"/>
        <v>6.3992</v>
      </c>
      <c r="I19" s="274">
        <f t="shared" si="2"/>
        <v>63.0808</v>
      </c>
      <c r="J19" s="274">
        <v>0.5</v>
      </c>
      <c r="K19" s="274">
        <v>0</v>
      </c>
      <c r="L19" s="274">
        <v>40</v>
      </c>
      <c r="M19" s="274">
        <v>3</v>
      </c>
      <c r="N19" s="274">
        <f t="shared" si="3"/>
        <v>57.4497</v>
      </c>
      <c r="O19" s="323">
        <v>0.044</v>
      </c>
      <c r="P19" s="274">
        <f t="shared" si="4"/>
        <v>2.64412845188285</v>
      </c>
      <c r="Q19" s="274">
        <f t="shared" si="5"/>
        <v>16.9366715481171</v>
      </c>
      <c r="R19" s="323">
        <f t="shared" si="6"/>
        <v>0.211734861209115</v>
      </c>
      <c r="S19" s="324">
        <f>'总表（阶段盈亏）'!I19</f>
        <v>490</v>
      </c>
      <c r="T19" s="274">
        <f t="shared" si="7"/>
        <v>8298.9690585774</v>
      </c>
      <c r="U19" s="326">
        <f t="shared" si="8"/>
        <v>8298.9690585774</v>
      </c>
    </row>
    <row r="20" ht="22.6" customHeight="1" spans="1:21">
      <c r="A20" s="231"/>
      <c r="B20" s="272" t="s">
        <v>189</v>
      </c>
      <c r="C20" s="231">
        <v>79.99</v>
      </c>
      <c r="D20" s="273">
        <v>0</v>
      </c>
      <c r="E20" s="168">
        <v>0</v>
      </c>
      <c r="F20" s="274">
        <f t="shared" si="0"/>
        <v>79.99</v>
      </c>
      <c r="G20" s="274">
        <v>10.51</v>
      </c>
      <c r="H20" s="274">
        <f t="shared" si="1"/>
        <v>6.3992</v>
      </c>
      <c r="I20" s="274">
        <f t="shared" si="2"/>
        <v>63.0808</v>
      </c>
      <c r="J20" s="274">
        <v>0.5</v>
      </c>
      <c r="K20" s="274">
        <v>0</v>
      </c>
      <c r="L20" s="274">
        <v>40</v>
      </c>
      <c r="M20" s="274">
        <v>3</v>
      </c>
      <c r="N20" s="274">
        <f t="shared" si="3"/>
        <v>57.4497</v>
      </c>
      <c r="O20" s="323">
        <v>0.044</v>
      </c>
      <c r="P20" s="274">
        <f t="shared" si="4"/>
        <v>2.64412845188285</v>
      </c>
      <c r="Q20" s="274">
        <f t="shared" si="5"/>
        <v>16.9366715481171</v>
      </c>
      <c r="R20" s="323">
        <f t="shared" si="6"/>
        <v>0.211734861209115</v>
      </c>
      <c r="S20" s="324">
        <f>'总表（阶段盈亏）'!I20</f>
        <v>490</v>
      </c>
      <c r="T20" s="274">
        <f t="shared" si="7"/>
        <v>8298.9690585774</v>
      </c>
      <c r="U20" s="326">
        <f t="shared" si="8"/>
        <v>8298.9690585774</v>
      </c>
    </row>
    <row r="21" ht="22.6" customHeight="1" spans="1:21">
      <c r="A21" s="231"/>
      <c r="B21" s="272" t="s">
        <v>190</v>
      </c>
      <c r="C21" s="231">
        <v>79.99</v>
      </c>
      <c r="D21" s="273">
        <v>0</v>
      </c>
      <c r="E21" s="168">
        <v>0</v>
      </c>
      <c r="F21" s="274">
        <f t="shared" si="0"/>
        <v>79.99</v>
      </c>
      <c r="G21" s="274">
        <v>10.51</v>
      </c>
      <c r="H21" s="274">
        <f t="shared" si="1"/>
        <v>6.3992</v>
      </c>
      <c r="I21" s="274">
        <f t="shared" si="2"/>
        <v>63.0808</v>
      </c>
      <c r="J21" s="274">
        <v>0.5</v>
      </c>
      <c r="K21" s="274">
        <v>0</v>
      </c>
      <c r="L21" s="274">
        <v>40</v>
      </c>
      <c r="M21" s="274">
        <v>3</v>
      </c>
      <c r="N21" s="274">
        <f t="shared" si="3"/>
        <v>57.4497</v>
      </c>
      <c r="O21" s="323">
        <v>0.044</v>
      </c>
      <c r="P21" s="274">
        <f t="shared" si="4"/>
        <v>2.64412845188285</v>
      </c>
      <c r="Q21" s="274">
        <f t="shared" si="5"/>
        <v>16.9366715481171</v>
      </c>
      <c r="R21" s="323">
        <f t="shared" si="6"/>
        <v>0.211734861209115</v>
      </c>
      <c r="S21" s="324">
        <f>'总表（阶段盈亏）'!I21</f>
        <v>490</v>
      </c>
      <c r="T21" s="274">
        <f t="shared" si="7"/>
        <v>8298.9690585774</v>
      </c>
      <c r="U21" s="326">
        <f t="shared" si="8"/>
        <v>8298.9690585774</v>
      </c>
    </row>
    <row r="22" ht="22.6" customHeight="1" spans="1:21">
      <c r="A22" s="231"/>
      <c r="B22" s="272" t="s">
        <v>191</v>
      </c>
      <c r="C22" s="231">
        <v>79.99</v>
      </c>
      <c r="D22" s="273">
        <v>0</v>
      </c>
      <c r="E22" s="168">
        <v>0</v>
      </c>
      <c r="F22" s="274">
        <f t="shared" si="0"/>
        <v>79.99</v>
      </c>
      <c r="G22" s="274">
        <v>10.51</v>
      </c>
      <c r="H22" s="274">
        <f t="shared" si="1"/>
        <v>6.3992</v>
      </c>
      <c r="I22" s="274">
        <f t="shared" si="2"/>
        <v>63.0808</v>
      </c>
      <c r="J22" s="274">
        <v>0.5</v>
      </c>
      <c r="K22" s="274">
        <v>0</v>
      </c>
      <c r="L22" s="274">
        <v>40</v>
      </c>
      <c r="M22" s="274">
        <v>3</v>
      </c>
      <c r="N22" s="274">
        <f t="shared" si="3"/>
        <v>57.4497</v>
      </c>
      <c r="O22" s="323">
        <v>0.044</v>
      </c>
      <c r="P22" s="274">
        <f t="shared" si="4"/>
        <v>2.64412845188285</v>
      </c>
      <c r="Q22" s="274">
        <f t="shared" si="5"/>
        <v>16.9366715481171</v>
      </c>
      <c r="R22" s="323">
        <f t="shared" si="6"/>
        <v>0.211734861209115</v>
      </c>
      <c r="S22" s="324">
        <f>'总表（阶段盈亏）'!I22</f>
        <v>490</v>
      </c>
      <c r="T22" s="274">
        <f t="shared" si="7"/>
        <v>8298.9690585774</v>
      </c>
      <c r="U22" s="326">
        <f t="shared" si="8"/>
        <v>8298.9690585774</v>
      </c>
    </row>
    <row r="23" ht="22.6" customHeight="1" spans="1:21">
      <c r="A23" s="231" t="s">
        <v>33</v>
      </c>
      <c r="B23" s="272" t="s">
        <v>192</v>
      </c>
      <c r="C23" s="231">
        <v>79.99</v>
      </c>
      <c r="D23" s="273">
        <v>0</v>
      </c>
      <c r="E23" s="168">
        <v>0</v>
      </c>
      <c r="F23" s="274">
        <f t="shared" si="0"/>
        <v>79.99</v>
      </c>
      <c r="G23" s="274">
        <v>10.51</v>
      </c>
      <c r="H23" s="274">
        <f t="shared" si="1"/>
        <v>6.3992</v>
      </c>
      <c r="I23" s="274">
        <f t="shared" si="2"/>
        <v>63.0808</v>
      </c>
      <c r="J23" s="274">
        <v>0.5</v>
      </c>
      <c r="K23" s="274">
        <v>0</v>
      </c>
      <c r="L23" s="274">
        <v>40</v>
      </c>
      <c r="M23" s="274">
        <v>3</v>
      </c>
      <c r="N23" s="274">
        <f t="shared" si="3"/>
        <v>57.4497</v>
      </c>
      <c r="O23" s="323">
        <v>0.044</v>
      </c>
      <c r="P23" s="274">
        <f t="shared" si="4"/>
        <v>2.64412845188285</v>
      </c>
      <c r="Q23" s="274">
        <f t="shared" si="5"/>
        <v>16.9366715481171</v>
      </c>
      <c r="R23" s="323">
        <f t="shared" si="6"/>
        <v>0.211734861209115</v>
      </c>
      <c r="S23" s="324">
        <f>'总表（阶段盈亏）'!I23</f>
        <v>490</v>
      </c>
      <c r="T23" s="274">
        <f t="shared" si="7"/>
        <v>8298.9690585774</v>
      </c>
      <c r="U23" s="326">
        <f t="shared" si="8"/>
        <v>8298.9690585774</v>
      </c>
    </row>
    <row r="24" ht="22.6" customHeight="1" spans="1:21">
      <c r="A24" s="231"/>
      <c r="B24" s="272" t="s">
        <v>193</v>
      </c>
      <c r="C24" s="231">
        <v>79.99</v>
      </c>
      <c r="D24" s="273">
        <v>0</v>
      </c>
      <c r="E24" s="168">
        <v>0</v>
      </c>
      <c r="F24" s="274">
        <f t="shared" si="0"/>
        <v>79.99</v>
      </c>
      <c r="G24" s="274">
        <v>10.51</v>
      </c>
      <c r="H24" s="274">
        <f t="shared" si="1"/>
        <v>6.3992</v>
      </c>
      <c r="I24" s="274">
        <f t="shared" si="2"/>
        <v>63.0808</v>
      </c>
      <c r="J24" s="274">
        <v>0.5</v>
      </c>
      <c r="K24" s="274">
        <v>0</v>
      </c>
      <c r="L24" s="274">
        <v>40</v>
      </c>
      <c r="M24" s="274">
        <v>3</v>
      </c>
      <c r="N24" s="274">
        <f t="shared" si="3"/>
        <v>57.4497</v>
      </c>
      <c r="O24" s="323">
        <v>0.044</v>
      </c>
      <c r="P24" s="274">
        <f t="shared" si="4"/>
        <v>2.64412845188285</v>
      </c>
      <c r="Q24" s="274">
        <f t="shared" si="5"/>
        <v>16.9366715481171</v>
      </c>
      <c r="R24" s="323">
        <f t="shared" si="6"/>
        <v>0.211734861209115</v>
      </c>
      <c r="S24" s="324">
        <f>'总表（阶段盈亏）'!I24</f>
        <v>490</v>
      </c>
      <c r="T24" s="274">
        <f t="shared" si="7"/>
        <v>8298.9690585774</v>
      </c>
      <c r="U24" s="326">
        <f t="shared" si="8"/>
        <v>8298.9690585774</v>
      </c>
    </row>
    <row r="25" ht="22.6" customHeight="1" spans="1:21">
      <c r="A25" s="231"/>
      <c r="B25" s="272" t="s">
        <v>194</v>
      </c>
      <c r="C25" s="231">
        <v>79.99</v>
      </c>
      <c r="D25" s="273">
        <v>0</v>
      </c>
      <c r="E25" s="168">
        <v>0</v>
      </c>
      <c r="F25" s="274">
        <f t="shared" si="0"/>
        <v>79.99</v>
      </c>
      <c r="G25" s="274">
        <v>10.51</v>
      </c>
      <c r="H25" s="274">
        <f t="shared" si="1"/>
        <v>6.3992</v>
      </c>
      <c r="I25" s="274">
        <f t="shared" si="2"/>
        <v>63.0808</v>
      </c>
      <c r="J25" s="274">
        <v>0.5</v>
      </c>
      <c r="K25" s="274">
        <v>0</v>
      </c>
      <c r="L25" s="274">
        <v>40</v>
      </c>
      <c r="M25" s="274">
        <v>3</v>
      </c>
      <c r="N25" s="274">
        <f t="shared" si="3"/>
        <v>57.4497</v>
      </c>
      <c r="O25" s="323">
        <v>0.044</v>
      </c>
      <c r="P25" s="274">
        <f t="shared" si="4"/>
        <v>2.64412845188285</v>
      </c>
      <c r="Q25" s="274">
        <f t="shared" si="5"/>
        <v>16.9366715481171</v>
      </c>
      <c r="R25" s="323">
        <f t="shared" si="6"/>
        <v>0.211734861209115</v>
      </c>
      <c r="S25" s="324">
        <f>'总表（阶段盈亏）'!I25</f>
        <v>490</v>
      </c>
      <c r="T25" s="274">
        <f t="shared" si="7"/>
        <v>8298.9690585774</v>
      </c>
      <c r="U25" s="326">
        <f t="shared" si="8"/>
        <v>8298.9690585774</v>
      </c>
    </row>
    <row r="26" ht="22.6" customHeight="1" spans="1:21">
      <c r="A26" s="231"/>
      <c r="B26" s="272" t="s">
        <v>195</v>
      </c>
      <c r="C26" s="231">
        <v>79.99</v>
      </c>
      <c r="D26" s="273">
        <v>0</v>
      </c>
      <c r="E26" s="168">
        <v>0</v>
      </c>
      <c r="F26" s="274">
        <f t="shared" si="0"/>
        <v>79.99</v>
      </c>
      <c r="G26" s="274">
        <v>10.51</v>
      </c>
      <c r="H26" s="274">
        <f t="shared" si="1"/>
        <v>6.3992</v>
      </c>
      <c r="I26" s="274">
        <f t="shared" si="2"/>
        <v>63.0808</v>
      </c>
      <c r="J26" s="274">
        <v>0.5</v>
      </c>
      <c r="K26" s="274">
        <v>0</v>
      </c>
      <c r="L26" s="274">
        <v>40</v>
      </c>
      <c r="M26" s="274">
        <v>3</v>
      </c>
      <c r="N26" s="274">
        <f t="shared" si="3"/>
        <v>57.4497</v>
      </c>
      <c r="O26" s="323">
        <v>0.044</v>
      </c>
      <c r="P26" s="274">
        <f t="shared" si="4"/>
        <v>2.64412845188285</v>
      </c>
      <c r="Q26" s="274">
        <f t="shared" si="5"/>
        <v>16.9366715481171</v>
      </c>
      <c r="R26" s="323">
        <f t="shared" si="6"/>
        <v>0.211734861209115</v>
      </c>
      <c r="S26" s="324">
        <f>'总表（阶段盈亏）'!I26</f>
        <v>490</v>
      </c>
      <c r="T26" s="274">
        <f t="shared" si="7"/>
        <v>8298.9690585774</v>
      </c>
      <c r="U26" s="326">
        <f t="shared" si="8"/>
        <v>8298.9690585774</v>
      </c>
    </row>
    <row r="27" ht="14.3" customHeight="1" spans="1:21">
      <c r="A27" s="221"/>
      <c r="B27" s="221"/>
      <c r="C27" s="221"/>
      <c r="D27" s="221"/>
      <c r="E27" s="221"/>
      <c r="F27" s="221"/>
      <c r="G27" s="221"/>
      <c r="H27" s="221"/>
      <c r="I27" s="221"/>
      <c r="J27" s="221"/>
      <c r="K27" s="221"/>
      <c r="L27" s="221"/>
      <c r="M27" s="221"/>
      <c r="N27" s="221"/>
      <c r="O27" s="221"/>
      <c r="P27" s="221"/>
      <c r="Q27" s="221"/>
      <c r="R27" s="221"/>
      <c r="S27" s="221"/>
      <c r="T27" s="221"/>
      <c r="U27" s="221"/>
    </row>
    <row r="28" ht="23.8" customHeight="1" spans="1:21">
      <c r="A28" s="327" t="s">
        <v>196</v>
      </c>
      <c r="B28" s="327"/>
      <c r="C28" s="327"/>
      <c r="D28" s="327"/>
      <c r="E28" s="327"/>
      <c r="F28" s="327"/>
      <c r="G28" s="327"/>
      <c r="H28" s="327"/>
      <c r="I28" s="327"/>
      <c r="J28" s="327"/>
      <c r="K28" s="327"/>
      <c r="L28" s="327"/>
      <c r="M28" s="327"/>
      <c r="N28" s="327"/>
      <c r="O28" s="327"/>
      <c r="P28" s="327"/>
      <c r="Q28" s="327"/>
      <c r="R28" s="327"/>
      <c r="S28" s="327"/>
      <c r="T28" s="327"/>
      <c r="U28" s="327"/>
    </row>
    <row r="29" ht="22.6" customHeight="1" spans="1:21">
      <c r="A29" s="297" t="s">
        <v>23</v>
      </c>
      <c r="B29" s="311" t="s">
        <v>146</v>
      </c>
      <c r="C29" s="297">
        <v>89.99</v>
      </c>
      <c r="D29" s="312">
        <v>0.3</v>
      </c>
      <c r="E29" s="153">
        <v>0</v>
      </c>
      <c r="F29" s="313">
        <v>62.993</v>
      </c>
      <c r="G29" s="313">
        <v>10.51</v>
      </c>
      <c r="H29" s="313">
        <v>5.03944</v>
      </c>
      <c r="I29" s="313">
        <v>47.44356</v>
      </c>
      <c r="J29" s="313">
        <v>0.5</v>
      </c>
      <c r="K29" s="313">
        <v>0.6</v>
      </c>
      <c r="L29" s="313">
        <v>40</v>
      </c>
      <c r="M29" s="313">
        <v>3</v>
      </c>
      <c r="N29" s="313">
        <v>56.93979</v>
      </c>
      <c r="O29" s="328">
        <v>0.044</v>
      </c>
      <c r="P29" s="313">
        <v>2.62065979079498</v>
      </c>
      <c r="Q29" s="313">
        <v>0.722900209205017</v>
      </c>
      <c r="R29" s="328">
        <v>0.00803311711529078</v>
      </c>
      <c r="S29" s="329">
        <v>21</v>
      </c>
      <c r="T29" s="313">
        <v>15.1809043933054</v>
      </c>
      <c r="U29" s="330">
        <v>15.1809043933054</v>
      </c>
    </row>
    <row r="30" ht="22.6" customHeight="1" spans="1:21">
      <c r="A30" s="231"/>
      <c r="B30" s="272" t="s">
        <v>147</v>
      </c>
      <c r="C30" s="231">
        <v>89.99</v>
      </c>
      <c r="D30" s="273">
        <v>0.3</v>
      </c>
      <c r="E30" s="168">
        <v>0</v>
      </c>
      <c r="F30" s="274">
        <v>62.993</v>
      </c>
      <c r="G30" s="274">
        <v>10.51</v>
      </c>
      <c r="H30" s="274">
        <v>5.03944</v>
      </c>
      <c r="I30" s="274">
        <v>47.44356</v>
      </c>
      <c r="J30" s="274">
        <v>0.5</v>
      </c>
      <c r="K30" s="274">
        <v>0.6</v>
      </c>
      <c r="L30" s="274">
        <v>40</v>
      </c>
      <c r="M30" s="274">
        <v>3</v>
      </c>
      <c r="N30" s="274">
        <v>56.93979</v>
      </c>
      <c r="O30" s="323">
        <v>0.044</v>
      </c>
      <c r="P30" s="274">
        <v>2.62065979079498</v>
      </c>
      <c r="Q30" s="274">
        <v>0.722900209205017</v>
      </c>
      <c r="R30" s="323">
        <v>0.00803311711529078</v>
      </c>
      <c r="S30" s="324">
        <v>49</v>
      </c>
      <c r="T30" s="274">
        <v>35.4221102510459</v>
      </c>
      <c r="U30" s="326">
        <v>35.4221102510459</v>
      </c>
    </row>
    <row r="31" ht="22.6" customHeight="1" spans="1:21">
      <c r="A31" s="231"/>
      <c r="B31" s="272" t="s">
        <v>148</v>
      </c>
      <c r="C31" s="231">
        <v>89.99</v>
      </c>
      <c r="D31" s="273">
        <v>0.3</v>
      </c>
      <c r="E31" s="168">
        <v>0</v>
      </c>
      <c r="F31" s="274">
        <v>62.993</v>
      </c>
      <c r="G31" s="274">
        <v>10.51</v>
      </c>
      <c r="H31" s="274">
        <v>5.03944</v>
      </c>
      <c r="I31" s="274">
        <v>47.44356</v>
      </c>
      <c r="J31" s="274">
        <v>0.5</v>
      </c>
      <c r="K31" s="274">
        <v>0.6</v>
      </c>
      <c r="L31" s="274">
        <v>40</v>
      </c>
      <c r="M31" s="274">
        <v>3</v>
      </c>
      <c r="N31" s="274">
        <v>56.93979</v>
      </c>
      <c r="O31" s="323">
        <v>0.044</v>
      </c>
      <c r="P31" s="274">
        <v>2.62065979079498</v>
      </c>
      <c r="Q31" s="274">
        <v>0.722900209205017</v>
      </c>
      <c r="R31" s="323">
        <v>0.00803311711529078</v>
      </c>
      <c r="S31" s="324">
        <v>70</v>
      </c>
      <c r="T31" s="274">
        <v>50.6030146443512</v>
      </c>
      <c r="U31" s="326">
        <v>50.6030146443512</v>
      </c>
    </row>
    <row r="32" ht="22.6" customHeight="1" spans="1:21">
      <c r="A32" s="231"/>
      <c r="B32" s="272" t="s">
        <v>149</v>
      </c>
      <c r="C32" s="231">
        <v>89.99</v>
      </c>
      <c r="D32" s="273">
        <v>0.3</v>
      </c>
      <c r="E32" s="168">
        <v>0</v>
      </c>
      <c r="F32" s="274">
        <v>62.993</v>
      </c>
      <c r="G32" s="274">
        <v>10.51</v>
      </c>
      <c r="H32" s="274">
        <v>5.03944</v>
      </c>
      <c r="I32" s="274">
        <v>47.44356</v>
      </c>
      <c r="J32" s="274">
        <v>0.5</v>
      </c>
      <c r="K32" s="274">
        <v>0.6</v>
      </c>
      <c r="L32" s="274">
        <v>40</v>
      </c>
      <c r="M32" s="274">
        <v>3</v>
      </c>
      <c r="N32" s="274">
        <v>56.93979</v>
      </c>
      <c r="O32" s="323">
        <v>0.044</v>
      </c>
      <c r="P32" s="274">
        <v>2.62065979079498</v>
      </c>
      <c r="Q32" s="274">
        <v>0.722900209205017</v>
      </c>
      <c r="R32" s="323">
        <v>0.00803311711529078</v>
      </c>
      <c r="S32" s="324">
        <v>84</v>
      </c>
      <c r="T32" s="274">
        <v>60.7236175732215</v>
      </c>
      <c r="U32" s="326">
        <v>60.7236175732215</v>
      </c>
    </row>
    <row r="33" ht="22.6" customHeight="1" spans="1:21">
      <c r="A33" s="231" t="s">
        <v>25</v>
      </c>
      <c r="B33" s="272" t="s">
        <v>150</v>
      </c>
      <c r="C33" s="231">
        <v>89.99</v>
      </c>
      <c r="D33" s="273">
        <v>0.2</v>
      </c>
      <c r="E33" s="168">
        <v>0</v>
      </c>
      <c r="F33" s="274">
        <v>71.992</v>
      </c>
      <c r="G33" s="274">
        <v>10.51</v>
      </c>
      <c r="H33" s="274">
        <v>5.75936</v>
      </c>
      <c r="I33" s="274">
        <v>55.72264</v>
      </c>
      <c r="J33" s="274">
        <v>0.5</v>
      </c>
      <c r="K33" s="274">
        <v>0.6</v>
      </c>
      <c r="L33" s="274">
        <v>40</v>
      </c>
      <c r="M33" s="274">
        <v>3</v>
      </c>
      <c r="N33" s="274">
        <v>57.20976</v>
      </c>
      <c r="O33" s="323">
        <v>0.044</v>
      </c>
      <c r="P33" s="274">
        <v>2.63308518828452</v>
      </c>
      <c r="Q33" s="274">
        <v>8.98955481171549</v>
      </c>
      <c r="R33" s="323">
        <v>0.0998950418014833</v>
      </c>
      <c r="S33" s="324">
        <v>105</v>
      </c>
      <c r="T33" s="274">
        <v>943.903255230126</v>
      </c>
      <c r="U33" s="326">
        <v>943.903255230126</v>
      </c>
    </row>
    <row r="34" ht="22.6" customHeight="1" spans="1:21">
      <c r="A34" s="231"/>
      <c r="B34" s="272" t="s">
        <v>151</v>
      </c>
      <c r="C34" s="231">
        <v>89.99</v>
      </c>
      <c r="D34" s="273">
        <v>0.2</v>
      </c>
      <c r="E34" s="168">
        <v>0</v>
      </c>
      <c r="F34" s="274">
        <v>71.992</v>
      </c>
      <c r="G34" s="274">
        <v>10.51</v>
      </c>
      <c r="H34" s="274">
        <v>5.75936</v>
      </c>
      <c r="I34" s="274">
        <v>55.72264</v>
      </c>
      <c r="J34" s="274">
        <v>0.5</v>
      </c>
      <c r="K34" s="274">
        <v>0.6</v>
      </c>
      <c r="L34" s="274">
        <v>40</v>
      </c>
      <c r="M34" s="274">
        <v>3</v>
      </c>
      <c r="N34" s="274">
        <v>57.20976</v>
      </c>
      <c r="O34" s="323">
        <v>0.044</v>
      </c>
      <c r="P34" s="274">
        <v>2.63308518828452</v>
      </c>
      <c r="Q34" s="274">
        <v>8.98955481171549</v>
      </c>
      <c r="R34" s="323">
        <v>0.0998950418014833</v>
      </c>
      <c r="S34" s="324">
        <v>126</v>
      </c>
      <c r="T34" s="274">
        <v>1132.68390627615</v>
      </c>
      <c r="U34" s="326">
        <v>1132.68390627615</v>
      </c>
    </row>
    <row r="35" ht="22.6" customHeight="1" spans="1:21">
      <c r="A35" s="231"/>
      <c r="B35" s="272" t="s">
        <v>152</v>
      </c>
      <c r="C35" s="231">
        <v>89.99</v>
      </c>
      <c r="D35" s="273">
        <v>0.2</v>
      </c>
      <c r="E35" s="168">
        <v>0</v>
      </c>
      <c r="F35" s="274">
        <v>71.992</v>
      </c>
      <c r="G35" s="274">
        <v>10.51</v>
      </c>
      <c r="H35" s="274">
        <v>5.75936</v>
      </c>
      <c r="I35" s="274">
        <v>55.72264</v>
      </c>
      <c r="J35" s="274">
        <v>0.5</v>
      </c>
      <c r="K35" s="274">
        <v>0.6</v>
      </c>
      <c r="L35" s="274">
        <v>40</v>
      </c>
      <c r="M35" s="274">
        <v>3</v>
      </c>
      <c r="N35" s="274">
        <v>57.20976</v>
      </c>
      <c r="O35" s="323">
        <v>0.044</v>
      </c>
      <c r="P35" s="274">
        <v>2.63308518828452</v>
      </c>
      <c r="Q35" s="274">
        <v>8.98955481171549</v>
      </c>
      <c r="R35" s="323">
        <v>0.0998950418014833</v>
      </c>
      <c r="S35" s="324">
        <v>140</v>
      </c>
      <c r="T35" s="274">
        <v>1258.53767364017</v>
      </c>
      <c r="U35" s="326">
        <v>1258.53767364017</v>
      </c>
    </row>
    <row r="36" ht="22.6" customHeight="1" spans="1:21">
      <c r="A36" s="231"/>
      <c r="B36" s="272" t="s">
        <v>153</v>
      </c>
      <c r="C36" s="231">
        <v>89.99</v>
      </c>
      <c r="D36" s="273">
        <v>0.2</v>
      </c>
      <c r="E36" s="168">
        <v>0</v>
      </c>
      <c r="F36" s="274">
        <v>71.992</v>
      </c>
      <c r="G36" s="274">
        <v>10.51</v>
      </c>
      <c r="H36" s="274">
        <v>5.75936</v>
      </c>
      <c r="I36" s="274">
        <v>55.72264</v>
      </c>
      <c r="J36" s="274">
        <v>0.5</v>
      </c>
      <c r="K36" s="274">
        <v>0.6</v>
      </c>
      <c r="L36" s="274">
        <v>40</v>
      </c>
      <c r="M36" s="274">
        <v>3</v>
      </c>
      <c r="N36" s="274">
        <v>57.20976</v>
      </c>
      <c r="O36" s="323">
        <v>0.044</v>
      </c>
      <c r="P36" s="274">
        <v>2.63308518828452</v>
      </c>
      <c r="Q36" s="274">
        <v>8.98955481171549</v>
      </c>
      <c r="R36" s="323">
        <v>0.0998950418014833</v>
      </c>
      <c r="S36" s="324">
        <v>168</v>
      </c>
      <c r="T36" s="274">
        <v>1510.2452083682</v>
      </c>
      <c r="U36" s="326">
        <v>1510.2452083682</v>
      </c>
    </row>
    <row r="37" ht="22.6" customHeight="1" spans="1:21">
      <c r="A37" s="231" t="s">
        <v>27</v>
      </c>
      <c r="B37" s="272" t="s">
        <v>154</v>
      </c>
      <c r="C37" s="231">
        <v>89.99</v>
      </c>
      <c r="D37" s="273">
        <v>0.1</v>
      </c>
      <c r="E37" s="168">
        <v>0</v>
      </c>
      <c r="F37" s="274">
        <v>80.991</v>
      </c>
      <c r="G37" s="274">
        <v>10.51</v>
      </c>
      <c r="H37" s="274">
        <v>6.47928</v>
      </c>
      <c r="I37" s="274">
        <v>64.00172</v>
      </c>
      <c r="J37" s="274">
        <v>0.5</v>
      </c>
      <c r="K37" s="274">
        <v>0.6</v>
      </c>
      <c r="L37" s="274">
        <v>40</v>
      </c>
      <c r="M37" s="274">
        <v>3</v>
      </c>
      <c r="N37" s="274">
        <v>57.47973</v>
      </c>
      <c r="O37" s="323">
        <v>0.044</v>
      </c>
      <c r="P37" s="274">
        <v>2.64551058577406</v>
      </c>
      <c r="Q37" s="274">
        <v>17.2562094142259</v>
      </c>
      <c r="R37" s="323">
        <v>0.191756966487676</v>
      </c>
      <c r="S37" s="324">
        <v>182</v>
      </c>
      <c r="T37" s="274">
        <v>3140.63011338912</v>
      </c>
      <c r="U37" s="326">
        <v>3140.63011338912</v>
      </c>
    </row>
    <row r="38" ht="22.6" customHeight="1" spans="1:21">
      <c r="A38" s="231"/>
      <c r="B38" s="272" t="s">
        <v>155</v>
      </c>
      <c r="C38" s="231">
        <v>89.99</v>
      </c>
      <c r="D38" s="273">
        <v>0.1</v>
      </c>
      <c r="E38" s="168">
        <v>0</v>
      </c>
      <c r="F38" s="274">
        <v>80.991</v>
      </c>
      <c r="G38" s="274">
        <v>10.51</v>
      </c>
      <c r="H38" s="274">
        <v>6.47928</v>
      </c>
      <c r="I38" s="274">
        <v>64.00172</v>
      </c>
      <c r="J38" s="274">
        <v>0.5</v>
      </c>
      <c r="K38" s="274">
        <v>0.6</v>
      </c>
      <c r="L38" s="274">
        <v>40</v>
      </c>
      <c r="M38" s="274">
        <v>3</v>
      </c>
      <c r="N38" s="274">
        <v>57.47973</v>
      </c>
      <c r="O38" s="323">
        <v>0.044</v>
      </c>
      <c r="P38" s="274">
        <v>2.64551058577406</v>
      </c>
      <c r="Q38" s="274">
        <v>17.2562094142259</v>
      </c>
      <c r="R38" s="323">
        <v>0.191756966487676</v>
      </c>
      <c r="S38" s="324">
        <v>259</v>
      </c>
      <c r="T38" s="274">
        <v>4469.35823828452</v>
      </c>
      <c r="U38" s="326">
        <v>4469.35823828452</v>
      </c>
    </row>
    <row r="39" ht="22.6" customHeight="1" spans="1:21">
      <c r="A39" s="231"/>
      <c r="B39" s="272" t="s">
        <v>156</v>
      </c>
      <c r="C39" s="231">
        <v>89.99</v>
      </c>
      <c r="D39" s="273">
        <v>0.1</v>
      </c>
      <c r="E39" s="168">
        <v>0</v>
      </c>
      <c r="F39" s="274">
        <v>80.991</v>
      </c>
      <c r="G39" s="274">
        <v>10.51</v>
      </c>
      <c r="H39" s="274">
        <v>6.47928</v>
      </c>
      <c r="I39" s="274">
        <v>64.00172</v>
      </c>
      <c r="J39" s="274">
        <v>0.5</v>
      </c>
      <c r="K39" s="274">
        <v>0.6</v>
      </c>
      <c r="L39" s="274">
        <v>40</v>
      </c>
      <c r="M39" s="274">
        <v>3</v>
      </c>
      <c r="N39" s="274">
        <v>57.47973</v>
      </c>
      <c r="O39" s="323">
        <v>0.044</v>
      </c>
      <c r="P39" s="274">
        <v>2.64551058577406</v>
      </c>
      <c r="Q39" s="274">
        <v>17.2562094142259</v>
      </c>
      <c r="R39" s="323">
        <v>0.191756966487676</v>
      </c>
      <c r="S39" s="324">
        <v>210</v>
      </c>
      <c r="T39" s="274">
        <v>3623.80397698745</v>
      </c>
      <c r="U39" s="326">
        <v>3623.80397698745</v>
      </c>
    </row>
    <row r="40" ht="22.6" customHeight="1" spans="1:21">
      <c r="A40" s="231"/>
      <c r="B40" s="272" t="s">
        <v>157</v>
      </c>
      <c r="C40" s="231">
        <v>89.99</v>
      </c>
      <c r="D40" s="273">
        <v>0.1</v>
      </c>
      <c r="E40" s="168">
        <v>0</v>
      </c>
      <c r="F40" s="274">
        <v>80.991</v>
      </c>
      <c r="G40" s="274">
        <v>10.51</v>
      </c>
      <c r="H40" s="274">
        <v>6.47928</v>
      </c>
      <c r="I40" s="274">
        <v>64.00172</v>
      </c>
      <c r="J40" s="274">
        <v>0.5</v>
      </c>
      <c r="K40" s="274">
        <v>0.6</v>
      </c>
      <c r="L40" s="274">
        <v>40</v>
      </c>
      <c r="M40" s="274">
        <v>3</v>
      </c>
      <c r="N40" s="274">
        <v>57.47973</v>
      </c>
      <c r="O40" s="323">
        <v>0.044</v>
      </c>
      <c r="P40" s="274">
        <v>2.64551058577406</v>
      </c>
      <c r="Q40" s="274">
        <v>17.2562094142259</v>
      </c>
      <c r="R40" s="323">
        <v>0.191756966487676</v>
      </c>
      <c r="S40" s="324">
        <v>371</v>
      </c>
      <c r="T40" s="274">
        <v>6402.05369267782</v>
      </c>
      <c r="U40" s="326">
        <v>6402.05369267782</v>
      </c>
    </row>
    <row r="41" ht="22.6" customHeight="1" spans="1:21">
      <c r="A41" s="231" t="s">
        <v>29</v>
      </c>
      <c r="B41" s="272" t="s">
        <v>158</v>
      </c>
      <c r="C41" s="231">
        <v>79.99</v>
      </c>
      <c r="D41" s="273">
        <v>0</v>
      </c>
      <c r="E41" s="168">
        <v>0</v>
      </c>
      <c r="F41" s="274">
        <v>79.99</v>
      </c>
      <c r="G41" s="274">
        <v>10.51</v>
      </c>
      <c r="H41" s="274">
        <v>6.3992</v>
      </c>
      <c r="I41" s="274">
        <v>63.0808</v>
      </c>
      <c r="J41" s="274">
        <v>0.5</v>
      </c>
      <c r="K41" s="274">
        <v>0</v>
      </c>
      <c r="L41" s="274">
        <v>40</v>
      </c>
      <c r="M41" s="274">
        <v>3</v>
      </c>
      <c r="N41" s="274">
        <v>57.4497</v>
      </c>
      <c r="O41" s="323">
        <v>0.044</v>
      </c>
      <c r="P41" s="274">
        <v>2.64412845188285</v>
      </c>
      <c r="Q41" s="274">
        <v>16.9366715481171</v>
      </c>
      <c r="R41" s="323">
        <v>0.211734861209115</v>
      </c>
      <c r="S41" s="324">
        <v>280</v>
      </c>
      <c r="T41" s="274">
        <v>4742.2680334728</v>
      </c>
      <c r="U41" s="326">
        <v>4742.2680334728</v>
      </c>
    </row>
    <row r="42" ht="22.6" customHeight="1" spans="1:21">
      <c r="A42" s="231"/>
      <c r="B42" s="272" t="s">
        <v>159</v>
      </c>
      <c r="C42" s="231">
        <v>79.99</v>
      </c>
      <c r="D42" s="273">
        <v>0</v>
      </c>
      <c r="E42" s="168">
        <v>0</v>
      </c>
      <c r="F42" s="274">
        <v>79.99</v>
      </c>
      <c r="G42" s="274">
        <v>10.51</v>
      </c>
      <c r="H42" s="274">
        <v>6.3992</v>
      </c>
      <c r="I42" s="274">
        <v>63.0808</v>
      </c>
      <c r="J42" s="274">
        <v>0.5</v>
      </c>
      <c r="K42" s="274">
        <v>0</v>
      </c>
      <c r="L42" s="274">
        <v>40</v>
      </c>
      <c r="M42" s="274">
        <v>3</v>
      </c>
      <c r="N42" s="274">
        <v>57.4497</v>
      </c>
      <c r="O42" s="323">
        <v>0.044</v>
      </c>
      <c r="P42" s="274">
        <v>2.64412845188285</v>
      </c>
      <c r="Q42" s="274">
        <v>16.9366715481171</v>
      </c>
      <c r="R42" s="323">
        <v>0.211734861209115</v>
      </c>
      <c r="S42" s="324">
        <v>315</v>
      </c>
      <c r="T42" s="274">
        <v>5335.0515376569</v>
      </c>
      <c r="U42" s="326">
        <v>5335.0515376569</v>
      </c>
    </row>
    <row r="43" ht="22.6" customHeight="1" spans="1:21">
      <c r="A43" s="231"/>
      <c r="B43" s="272" t="s">
        <v>160</v>
      </c>
      <c r="C43" s="231">
        <v>79.99</v>
      </c>
      <c r="D43" s="273">
        <v>0</v>
      </c>
      <c r="E43" s="168">
        <v>0</v>
      </c>
      <c r="F43" s="274">
        <v>79.99</v>
      </c>
      <c r="G43" s="274">
        <v>10.51</v>
      </c>
      <c r="H43" s="274">
        <v>6.3992</v>
      </c>
      <c r="I43" s="274">
        <v>63.0808</v>
      </c>
      <c r="J43" s="274">
        <v>0.5</v>
      </c>
      <c r="K43" s="274">
        <v>0</v>
      </c>
      <c r="L43" s="274">
        <v>40</v>
      </c>
      <c r="M43" s="274">
        <v>3</v>
      </c>
      <c r="N43" s="274">
        <v>57.4497</v>
      </c>
      <c r="O43" s="323">
        <v>0.044</v>
      </c>
      <c r="P43" s="274">
        <v>2.64412845188285</v>
      </c>
      <c r="Q43" s="274">
        <v>16.9366715481171</v>
      </c>
      <c r="R43" s="323">
        <v>0.211734861209115</v>
      </c>
      <c r="S43" s="324">
        <v>350</v>
      </c>
      <c r="T43" s="274">
        <v>5927.835041841</v>
      </c>
      <c r="U43" s="326">
        <v>5927.835041841</v>
      </c>
    </row>
    <row r="44" ht="22.6" customHeight="1" spans="1:21">
      <c r="A44" s="231"/>
      <c r="B44" s="272" t="s">
        <v>161</v>
      </c>
      <c r="C44" s="231">
        <v>79.99</v>
      </c>
      <c r="D44" s="273">
        <v>0</v>
      </c>
      <c r="E44" s="168">
        <v>0</v>
      </c>
      <c r="F44" s="274">
        <v>79.99</v>
      </c>
      <c r="G44" s="274">
        <v>10.51</v>
      </c>
      <c r="H44" s="274">
        <v>6.3992</v>
      </c>
      <c r="I44" s="274">
        <v>63.0808</v>
      </c>
      <c r="J44" s="274">
        <v>0.5</v>
      </c>
      <c r="K44" s="274">
        <v>0</v>
      </c>
      <c r="L44" s="274">
        <v>40</v>
      </c>
      <c r="M44" s="274">
        <v>3</v>
      </c>
      <c r="N44" s="274">
        <v>57.4497</v>
      </c>
      <c r="O44" s="323">
        <v>0.044</v>
      </c>
      <c r="P44" s="274">
        <v>2.64412845188285</v>
      </c>
      <c r="Q44" s="274">
        <v>16.9366715481171</v>
      </c>
      <c r="R44" s="323">
        <v>0.211734861209115</v>
      </c>
      <c r="S44" s="324">
        <v>490</v>
      </c>
      <c r="T44" s="274">
        <v>8298.9690585774</v>
      </c>
      <c r="U44" s="326">
        <v>8298.9690585774</v>
      </c>
    </row>
    <row r="45" ht="22.6" customHeight="1" spans="1:21">
      <c r="A45" s="231" t="s">
        <v>31</v>
      </c>
      <c r="B45" s="272" t="s">
        <v>162</v>
      </c>
      <c r="C45" s="231">
        <v>79.99</v>
      </c>
      <c r="D45" s="273">
        <v>0</v>
      </c>
      <c r="E45" s="168">
        <v>0</v>
      </c>
      <c r="F45" s="274">
        <v>79.99</v>
      </c>
      <c r="G45" s="274">
        <v>10.51</v>
      </c>
      <c r="H45" s="274">
        <v>6.3992</v>
      </c>
      <c r="I45" s="274">
        <v>63.0808</v>
      </c>
      <c r="J45" s="274">
        <v>0.5</v>
      </c>
      <c r="K45" s="274">
        <v>0</v>
      </c>
      <c r="L45" s="274">
        <v>40</v>
      </c>
      <c r="M45" s="274">
        <v>3</v>
      </c>
      <c r="N45" s="274">
        <v>57.4497</v>
      </c>
      <c r="O45" s="323">
        <v>0.044</v>
      </c>
      <c r="P45" s="274">
        <v>2.64412845188285</v>
      </c>
      <c r="Q45" s="274">
        <v>16.9366715481171</v>
      </c>
      <c r="R45" s="323">
        <v>0.211734861209115</v>
      </c>
      <c r="S45" s="324">
        <v>490</v>
      </c>
      <c r="T45" s="274">
        <v>8298.9690585774</v>
      </c>
      <c r="U45" s="326">
        <v>8298.9690585774</v>
      </c>
    </row>
    <row r="46" ht="22.6" customHeight="1" spans="1:21">
      <c r="A46" s="231"/>
      <c r="B46" s="272" t="s">
        <v>163</v>
      </c>
      <c r="C46" s="231">
        <v>79.99</v>
      </c>
      <c r="D46" s="273">
        <v>0</v>
      </c>
      <c r="E46" s="168">
        <v>0</v>
      </c>
      <c r="F46" s="274">
        <v>79.99</v>
      </c>
      <c r="G46" s="274">
        <v>10.51</v>
      </c>
      <c r="H46" s="274">
        <v>6.3992</v>
      </c>
      <c r="I46" s="274">
        <v>63.0808</v>
      </c>
      <c r="J46" s="274">
        <v>0.5</v>
      </c>
      <c r="K46" s="274">
        <v>0</v>
      </c>
      <c r="L46" s="274">
        <v>40</v>
      </c>
      <c r="M46" s="274">
        <v>3</v>
      </c>
      <c r="N46" s="274">
        <v>57.4497</v>
      </c>
      <c r="O46" s="323">
        <v>0.044</v>
      </c>
      <c r="P46" s="274">
        <v>2.64412845188285</v>
      </c>
      <c r="Q46" s="274">
        <v>16.9366715481171</v>
      </c>
      <c r="R46" s="323">
        <v>0.211734861209115</v>
      </c>
      <c r="S46" s="324">
        <v>490</v>
      </c>
      <c r="T46" s="274">
        <v>8298.9690585774</v>
      </c>
      <c r="U46" s="326">
        <v>8298.9690585774</v>
      </c>
    </row>
    <row r="47" ht="22.6" customHeight="1" spans="1:21">
      <c r="A47" s="231"/>
      <c r="B47" s="272" t="s">
        <v>164</v>
      </c>
      <c r="C47" s="231">
        <v>79.99</v>
      </c>
      <c r="D47" s="273">
        <v>0</v>
      </c>
      <c r="E47" s="168">
        <v>0</v>
      </c>
      <c r="F47" s="274">
        <v>79.99</v>
      </c>
      <c r="G47" s="274">
        <v>10.51</v>
      </c>
      <c r="H47" s="274">
        <v>6.3992</v>
      </c>
      <c r="I47" s="274">
        <v>63.0808</v>
      </c>
      <c r="J47" s="274">
        <v>0.5</v>
      </c>
      <c r="K47" s="274">
        <v>0</v>
      </c>
      <c r="L47" s="274">
        <v>40</v>
      </c>
      <c r="M47" s="274">
        <v>3</v>
      </c>
      <c r="N47" s="274">
        <v>57.4497</v>
      </c>
      <c r="O47" s="323">
        <v>0.044</v>
      </c>
      <c r="P47" s="274">
        <v>2.64412845188285</v>
      </c>
      <c r="Q47" s="274">
        <v>16.9366715481171</v>
      </c>
      <c r="R47" s="323">
        <v>0.211734861209115</v>
      </c>
      <c r="S47" s="324">
        <v>490</v>
      </c>
      <c r="T47" s="274">
        <v>8298.9690585774</v>
      </c>
      <c r="U47" s="326">
        <v>8298.9690585774</v>
      </c>
    </row>
    <row r="48" ht="22.6" customHeight="1" spans="1:21">
      <c r="A48" s="231"/>
      <c r="B48" s="272" t="s">
        <v>165</v>
      </c>
      <c r="C48" s="231">
        <v>79.99</v>
      </c>
      <c r="D48" s="273">
        <v>0</v>
      </c>
      <c r="E48" s="168">
        <v>0</v>
      </c>
      <c r="F48" s="274">
        <v>79.99</v>
      </c>
      <c r="G48" s="274">
        <v>10.51</v>
      </c>
      <c r="H48" s="274">
        <v>6.3992</v>
      </c>
      <c r="I48" s="274">
        <v>63.0808</v>
      </c>
      <c r="J48" s="274">
        <v>0.5</v>
      </c>
      <c r="K48" s="274">
        <v>0</v>
      </c>
      <c r="L48" s="274">
        <v>40</v>
      </c>
      <c r="M48" s="274">
        <v>3</v>
      </c>
      <c r="N48" s="274">
        <v>57.4497</v>
      </c>
      <c r="O48" s="323">
        <v>0.044</v>
      </c>
      <c r="P48" s="274">
        <v>2.64412845188285</v>
      </c>
      <c r="Q48" s="274">
        <v>16.9366715481171</v>
      </c>
      <c r="R48" s="323">
        <v>0.211734861209115</v>
      </c>
      <c r="S48" s="324">
        <v>490</v>
      </c>
      <c r="T48" s="274">
        <v>8298.9690585774</v>
      </c>
      <c r="U48" s="326">
        <v>8298.9690585774</v>
      </c>
    </row>
    <row r="49" ht="22.6" customHeight="1" spans="1:21">
      <c r="A49" s="231" t="s">
        <v>33</v>
      </c>
      <c r="B49" s="272" t="s">
        <v>166</v>
      </c>
      <c r="C49" s="231">
        <v>79.99</v>
      </c>
      <c r="D49" s="273">
        <v>0</v>
      </c>
      <c r="E49" s="168">
        <v>0</v>
      </c>
      <c r="F49" s="274">
        <v>79.99</v>
      </c>
      <c r="G49" s="274">
        <v>10.51</v>
      </c>
      <c r="H49" s="274">
        <v>6.3992</v>
      </c>
      <c r="I49" s="274">
        <v>63.0808</v>
      </c>
      <c r="J49" s="274">
        <v>0.5</v>
      </c>
      <c r="K49" s="274">
        <v>0</v>
      </c>
      <c r="L49" s="274">
        <v>40</v>
      </c>
      <c r="M49" s="274">
        <v>3</v>
      </c>
      <c r="N49" s="274">
        <v>57.4497</v>
      </c>
      <c r="O49" s="323">
        <v>0.044</v>
      </c>
      <c r="P49" s="274">
        <v>2.64412845188285</v>
      </c>
      <c r="Q49" s="274">
        <v>16.9366715481171</v>
      </c>
      <c r="R49" s="323">
        <v>0.211734861209115</v>
      </c>
      <c r="S49" s="324">
        <v>490</v>
      </c>
      <c r="T49" s="274">
        <v>8298.9690585774</v>
      </c>
      <c r="U49" s="326">
        <v>8298.9690585774</v>
      </c>
    </row>
    <row r="50" ht="22.6" customHeight="1" spans="1:21">
      <c r="A50" s="231"/>
      <c r="B50" s="272" t="s">
        <v>167</v>
      </c>
      <c r="C50" s="231">
        <v>79.99</v>
      </c>
      <c r="D50" s="273">
        <v>0</v>
      </c>
      <c r="E50" s="168">
        <v>0</v>
      </c>
      <c r="F50" s="274">
        <v>79.99</v>
      </c>
      <c r="G50" s="274">
        <v>10.51</v>
      </c>
      <c r="H50" s="274">
        <v>6.3992</v>
      </c>
      <c r="I50" s="274">
        <v>63.0808</v>
      </c>
      <c r="J50" s="274">
        <v>0.5</v>
      </c>
      <c r="K50" s="274">
        <v>0</v>
      </c>
      <c r="L50" s="274">
        <v>40</v>
      </c>
      <c r="M50" s="274">
        <v>3</v>
      </c>
      <c r="N50" s="274">
        <v>57.4497</v>
      </c>
      <c r="O50" s="323">
        <v>0.044</v>
      </c>
      <c r="P50" s="274">
        <v>2.64412845188285</v>
      </c>
      <c r="Q50" s="274">
        <v>16.9366715481171</v>
      </c>
      <c r="R50" s="323">
        <v>0.211734861209115</v>
      </c>
      <c r="S50" s="324">
        <v>490</v>
      </c>
      <c r="T50" s="274">
        <v>8298.9690585774</v>
      </c>
      <c r="U50" s="326">
        <v>8298.9690585774</v>
      </c>
    </row>
    <row r="51" ht="22.6" customHeight="1" spans="1:21">
      <c r="A51" s="231"/>
      <c r="B51" s="272" t="s">
        <v>168</v>
      </c>
      <c r="C51" s="231">
        <v>79.99</v>
      </c>
      <c r="D51" s="273">
        <v>0</v>
      </c>
      <c r="E51" s="168">
        <v>0</v>
      </c>
      <c r="F51" s="274">
        <v>79.99</v>
      </c>
      <c r="G51" s="274">
        <v>10.51</v>
      </c>
      <c r="H51" s="274">
        <v>6.3992</v>
      </c>
      <c r="I51" s="274">
        <v>63.0808</v>
      </c>
      <c r="J51" s="274">
        <v>0.5</v>
      </c>
      <c r="K51" s="274">
        <v>0</v>
      </c>
      <c r="L51" s="274">
        <v>40</v>
      </c>
      <c r="M51" s="274">
        <v>3</v>
      </c>
      <c r="N51" s="274">
        <v>57.4497</v>
      </c>
      <c r="O51" s="323">
        <v>0.044</v>
      </c>
      <c r="P51" s="274">
        <v>2.64412845188285</v>
      </c>
      <c r="Q51" s="274">
        <v>16.9366715481171</v>
      </c>
      <c r="R51" s="323">
        <v>0.211734861209115</v>
      </c>
      <c r="S51" s="324">
        <v>490</v>
      </c>
      <c r="T51" s="274">
        <v>8298.9690585774</v>
      </c>
      <c r="U51" s="326">
        <v>8298.9690585774</v>
      </c>
    </row>
    <row r="52" ht="22.6" customHeight="1" spans="1:21">
      <c r="A52" s="231"/>
      <c r="B52" s="272" t="s">
        <v>169</v>
      </c>
      <c r="C52" s="231">
        <v>79.99</v>
      </c>
      <c r="D52" s="273">
        <v>0</v>
      </c>
      <c r="E52" s="168">
        <v>0</v>
      </c>
      <c r="F52" s="274">
        <v>79.99</v>
      </c>
      <c r="G52" s="274">
        <v>10.51</v>
      </c>
      <c r="H52" s="274">
        <v>6.3992</v>
      </c>
      <c r="I52" s="274">
        <v>63.0808</v>
      </c>
      <c r="J52" s="274">
        <v>0.5</v>
      </c>
      <c r="K52" s="274">
        <v>0</v>
      </c>
      <c r="L52" s="274">
        <v>40</v>
      </c>
      <c r="M52" s="274">
        <v>3</v>
      </c>
      <c r="N52" s="274">
        <v>57.4497</v>
      </c>
      <c r="O52" s="323">
        <v>0.044</v>
      </c>
      <c r="P52" s="274">
        <v>2.64412845188285</v>
      </c>
      <c r="Q52" s="274">
        <v>16.9366715481171</v>
      </c>
      <c r="R52" s="323">
        <v>0.211734861209115</v>
      </c>
      <c r="S52" s="324">
        <v>490</v>
      </c>
      <c r="T52" s="274">
        <v>8298.9690585774</v>
      </c>
      <c r="U52" s="326">
        <v>8298.9690585774</v>
      </c>
    </row>
    <row r="53" spans="1:21">
      <c r="A53" s="231"/>
      <c r="B53" s="272"/>
      <c r="C53" s="231"/>
      <c r="D53" s="273"/>
      <c r="E53" s="168"/>
      <c r="F53" s="274"/>
      <c r="G53" s="274"/>
      <c r="H53" s="274"/>
      <c r="I53" s="274"/>
      <c r="J53" s="274"/>
      <c r="K53" s="274"/>
      <c r="L53" s="274"/>
      <c r="M53" s="274"/>
      <c r="N53" s="274"/>
      <c r="O53" s="323"/>
      <c r="P53" s="274"/>
      <c r="Q53" s="274"/>
      <c r="R53" s="323"/>
      <c r="S53" s="324"/>
      <c r="T53" s="274"/>
      <c r="U53" s="326"/>
    </row>
    <row r="54" spans="1:21">
      <c r="A54" s="231"/>
      <c r="B54" s="272"/>
      <c r="C54" s="231"/>
      <c r="D54" s="273"/>
      <c r="E54" s="168"/>
      <c r="F54" s="274"/>
      <c r="G54" s="274"/>
      <c r="H54" s="274"/>
      <c r="I54" s="274"/>
      <c r="J54" s="274"/>
      <c r="K54" s="274"/>
      <c r="L54" s="274"/>
      <c r="M54" s="274"/>
      <c r="N54" s="274"/>
      <c r="O54" s="323"/>
      <c r="P54" s="274"/>
      <c r="Q54" s="274"/>
      <c r="R54" s="323"/>
      <c r="S54" s="324"/>
      <c r="T54" s="274"/>
      <c r="U54" s="326"/>
    </row>
    <row r="55" spans="1:21">
      <c r="A55" s="231"/>
      <c r="B55" s="272"/>
      <c r="C55" s="231"/>
      <c r="D55" s="273"/>
      <c r="E55" s="168"/>
      <c r="F55" s="274"/>
      <c r="G55" s="274"/>
      <c r="H55" s="274"/>
      <c r="I55" s="274"/>
      <c r="J55" s="274"/>
      <c r="K55" s="274"/>
      <c r="L55" s="274"/>
      <c r="M55" s="274"/>
      <c r="N55" s="274"/>
      <c r="O55" s="323"/>
      <c r="P55" s="274"/>
      <c r="Q55" s="274"/>
      <c r="R55" s="323"/>
      <c r="S55" s="324"/>
      <c r="T55" s="274"/>
      <c r="U55" s="326"/>
    </row>
    <row r="56" spans="1:21">
      <c r="A56" s="231"/>
      <c r="B56" s="272"/>
      <c r="C56" s="231"/>
      <c r="D56" s="273"/>
      <c r="E56" s="168"/>
      <c r="F56" s="274"/>
      <c r="G56" s="274"/>
      <c r="H56" s="274"/>
      <c r="I56" s="274"/>
      <c r="J56" s="274"/>
      <c r="K56" s="274"/>
      <c r="L56" s="274"/>
      <c r="M56" s="274"/>
      <c r="N56" s="274"/>
      <c r="O56" s="323"/>
      <c r="P56" s="274"/>
      <c r="Q56" s="274"/>
      <c r="R56" s="323"/>
      <c r="S56" s="324"/>
      <c r="T56" s="274"/>
      <c r="U56" s="326"/>
    </row>
    <row r="57" spans="1:21">
      <c r="A57" s="231"/>
      <c r="B57" s="272"/>
      <c r="C57" s="231"/>
      <c r="D57" s="273"/>
      <c r="E57" s="168"/>
      <c r="F57" s="274"/>
      <c r="G57" s="274"/>
      <c r="H57" s="274"/>
      <c r="I57" s="274"/>
      <c r="J57" s="274"/>
      <c r="K57" s="274"/>
      <c r="L57" s="274"/>
      <c r="M57" s="274"/>
      <c r="N57" s="274"/>
      <c r="O57" s="323"/>
      <c r="P57" s="274"/>
      <c r="Q57" s="274"/>
      <c r="R57" s="323"/>
      <c r="S57" s="324"/>
      <c r="T57" s="274"/>
      <c r="U57" s="326"/>
    </row>
    <row r="58" spans="1:21">
      <c r="A58" s="231"/>
      <c r="B58" s="272"/>
      <c r="C58" s="231"/>
      <c r="D58" s="273"/>
      <c r="E58" s="168"/>
      <c r="F58" s="274"/>
      <c r="G58" s="274"/>
      <c r="H58" s="274"/>
      <c r="I58" s="274"/>
      <c r="J58" s="274"/>
      <c r="K58" s="274"/>
      <c r="L58" s="274"/>
      <c r="M58" s="274"/>
      <c r="N58" s="274"/>
      <c r="O58" s="323"/>
      <c r="P58" s="274"/>
      <c r="Q58" s="274"/>
      <c r="R58" s="323"/>
      <c r="S58" s="324"/>
      <c r="T58" s="274"/>
      <c r="U58" s="326"/>
    </row>
    <row r="59" spans="1:21">
      <c r="A59" s="231"/>
      <c r="B59" s="272"/>
      <c r="C59" s="231"/>
      <c r="D59" s="273"/>
      <c r="E59" s="168"/>
      <c r="F59" s="274"/>
      <c r="G59" s="274"/>
      <c r="H59" s="274"/>
      <c r="I59" s="274"/>
      <c r="J59" s="274"/>
      <c r="K59" s="274"/>
      <c r="L59" s="274"/>
      <c r="M59" s="274"/>
      <c r="N59" s="274"/>
      <c r="O59" s="323"/>
      <c r="P59" s="274"/>
      <c r="Q59" s="274"/>
      <c r="R59" s="323"/>
      <c r="S59" s="324"/>
      <c r="T59" s="274"/>
      <c r="U59" s="326"/>
    </row>
    <row r="60" spans="1:21">
      <c r="A60" s="231"/>
      <c r="B60" s="272"/>
      <c r="C60" s="231"/>
      <c r="D60" s="273"/>
      <c r="E60" s="168"/>
      <c r="F60" s="274"/>
      <c r="G60" s="274"/>
      <c r="H60" s="274"/>
      <c r="I60" s="274"/>
      <c r="J60" s="274"/>
      <c r="K60" s="274"/>
      <c r="L60" s="274"/>
      <c r="M60" s="274"/>
      <c r="N60" s="274"/>
      <c r="O60" s="323"/>
      <c r="P60" s="274"/>
      <c r="Q60" s="274"/>
      <c r="R60" s="323"/>
      <c r="S60" s="324"/>
      <c r="T60" s="274"/>
      <c r="U60" s="326"/>
    </row>
    <row r="61" spans="1:21">
      <c r="A61" s="231"/>
      <c r="B61" s="272"/>
      <c r="C61" s="231"/>
      <c r="D61" s="273"/>
      <c r="E61" s="168"/>
      <c r="F61" s="274"/>
      <c r="G61" s="274"/>
      <c r="H61" s="274"/>
      <c r="I61" s="274"/>
      <c r="J61" s="274"/>
      <c r="K61" s="274"/>
      <c r="L61" s="274"/>
      <c r="M61" s="274"/>
      <c r="N61" s="274"/>
      <c r="O61" s="323"/>
      <c r="P61" s="274"/>
      <c r="Q61" s="274"/>
      <c r="R61" s="323"/>
      <c r="S61" s="324"/>
      <c r="T61" s="274"/>
      <c r="U61" s="326"/>
    </row>
    <row r="62" spans="1:21">
      <c r="A62" s="231"/>
      <c r="B62" s="272"/>
      <c r="C62" s="231"/>
      <c r="D62" s="273"/>
      <c r="E62" s="168"/>
      <c r="F62" s="274"/>
      <c r="G62" s="274"/>
      <c r="H62" s="274"/>
      <c r="I62" s="274"/>
      <c r="J62" s="274"/>
      <c r="K62" s="274"/>
      <c r="L62" s="274"/>
      <c r="M62" s="274"/>
      <c r="N62" s="274"/>
      <c r="O62" s="323"/>
      <c r="P62" s="274"/>
      <c r="Q62" s="274"/>
      <c r="R62" s="323"/>
      <c r="S62" s="324"/>
      <c r="T62" s="274"/>
      <c r="U62" s="326"/>
    </row>
    <row r="63" spans="1:21">
      <c r="A63" s="231"/>
      <c r="B63" s="272"/>
      <c r="C63" s="231"/>
      <c r="D63" s="273"/>
      <c r="E63" s="168"/>
      <c r="F63" s="274"/>
      <c r="G63" s="274"/>
      <c r="H63" s="274"/>
      <c r="I63" s="274"/>
      <c r="J63" s="274"/>
      <c r="K63" s="274"/>
      <c r="L63" s="274"/>
      <c r="M63" s="274"/>
      <c r="N63" s="274"/>
      <c r="O63" s="323"/>
      <c r="P63" s="274"/>
      <c r="Q63" s="274"/>
      <c r="R63" s="323"/>
      <c r="S63" s="324"/>
      <c r="T63" s="274"/>
      <c r="U63" s="326"/>
    </row>
    <row r="64" spans="1:21">
      <c r="A64" s="231"/>
      <c r="B64" s="272"/>
      <c r="C64" s="231"/>
      <c r="D64" s="273"/>
      <c r="E64" s="168"/>
      <c r="F64" s="274"/>
      <c r="G64" s="274"/>
      <c r="H64" s="274"/>
      <c r="I64" s="274"/>
      <c r="J64" s="274"/>
      <c r="K64" s="274"/>
      <c r="L64" s="274"/>
      <c r="M64" s="274"/>
      <c r="N64" s="274"/>
      <c r="O64" s="323"/>
      <c r="P64" s="274"/>
      <c r="Q64" s="274"/>
      <c r="R64" s="323"/>
      <c r="S64" s="324"/>
      <c r="T64" s="274"/>
      <c r="U64" s="326"/>
    </row>
    <row r="65" spans="1:21">
      <c r="A65" s="231"/>
      <c r="B65" s="272"/>
      <c r="C65" s="231"/>
      <c r="D65" s="273"/>
      <c r="E65" s="168"/>
      <c r="F65" s="274"/>
      <c r="G65" s="274"/>
      <c r="H65" s="274"/>
      <c r="I65" s="274"/>
      <c r="J65" s="274"/>
      <c r="K65" s="274"/>
      <c r="L65" s="274"/>
      <c r="M65" s="274"/>
      <c r="N65" s="274"/>
      <c r="O65" s="323"/>
      <c r="P65" s="274"/>
      <c r="Q65" s="274"/>
      <c r="R65" s="323"/>
      <c r="S65" s="324"/>
      <c r="T65" s="274"/>
      <c r="U65" s="326"/>
    </row>
    <row r="66" spans="1:21">
      <c r="A66" s="231"/>
      <c r="B66" s="272"/>
      <c r="C66" s="231"/>
      <c r="D66" s="273"/>
      <c r="E66" s="168"/>
      <c r="F66" s="274"/>
      <c r="G66" s="274"/>
      <c r="H66" s="274"/>
      <c r="I66" s="274"/>
      <c r="J66" s="274"/>
      <c r="K66" s="274"/>
      <c r="L66" s="274"/>
      <c r="M66" s="274"/>
      <c r="N66" s="274"/>
      <c r="O66" s="323"/>
      <c r="P66" s="274"/>
      <c r="Q66" s="274"/>
      <c r="R66" s="323"/>
      <c r="S66" s="324"/>
      <c r="T66" s="274"/>
      <c r="U66" s="326"/>
    </row>
    <row r="67" spans="1:21">
      <c r="A67" s="231"/>
      <c r="B67" s="272"/>
      <c r="C67" s="231"/>
      <c r="D67" s="273"/>
      <c r="E67" s="168"/>
      <c r="F67" s="274"/>
      <c r="G67" s="274"/>
      <c r="H67" s="274"/>
      <c r="I67" s="274"/>
      <c r="J67" s="274"/>
      <c r="K67" s="274"/>
      <c r="L67" s="274"/>
      <c r="M67" s="274"/>
      <c r="N67" s="274"/>
      <c r="O67" s="323"/>
      <c r="P67" s="274"/>
      <c r="Q67" s="274"/>
      <c r="R67" s="323"/>
      <c r="S67" s="324"/>
      <c r="T67" s="274"/>
      <c r="U67" s="326"/>
    </row>
    <row r="68" spans="1:21">
      <c r="A68" s="231"/>
      <c r="B68" s="272"/>
      <c r="C68" s="231"/>
      <c r="D68" s="273"/>
      <c r="E68" s="168"/>
      <c r="F68" s="274"/>
      <c r="G68" s="274"/>
      <c r="H68" s="274"/>
      <c r="I68" s="274"/>
      <c r="J68" s="274"/>
      <c r="K68" s="274"/>
      <c r="L68" s="274"/>
      <c r="M68" s="274"/>
      <c r="N68" s="274"/>
      <c r="O68" s="323"/>
      <c r="P68" s="274"/>
      <c r="Q68" s="274"/>
      <c r="R68" s="323"/>
      <c r="S68" s="324"/>
      <c r="T68" s="274"/>
      <c r="U68" s="326"/>
    </row>
    <row r="69" spans="1:21">
      <c r="A69" s="231"/>
      <c r="B69" s="272"/>
      <c r="C69" s="231"/>
      <c r="D69" s="273"/>
      <c r="E69" s="168"/>
      <c r="F69" s="274"/>
      <c r="G69" s="274"/>
      <c r="H69" s="274"/>
      <c r="I69" s="274"/>
      <c r="J69" s="274"/>
      <c r="K69" s="274"/>
      <c r="L69" s="274"/>
      <c r="M69" s="274"/>
      <c r="N69" s="274"/>
      <c r="O69" s="323"/>
      <c r="P69" s="274"/>
      <c r="Q69" s="274"/>
      <c r="R69" s="323"/>
      <c r="S69" s="324"/>
      <c r="T69" s="274"/>
      <c r="U69" s="326"/>
    </row>
    <row r="70" spans="1:21">
      <c r="A70" s="231"/>
      <c r="B70" s="272"/>
      <c r="C70" s="231"/>
      <c r="D70" s="273"/>
      <c r="E70" s="168"/>
      <c r="F70" s="274"/>
      <c r="G70" s="274"/>
      <c r="H70" s="274"/>
      <c r="I70" s="274"/>
      <c r="J70" s="274"/>
      <c r="K70" s="274"/>
      <c r="L70" s="274"/>
      <c r="M70" s="274"/>
      <c r="N70" s="274"/>
      <c r="O70" s="323"/>
      <c r="P70" s="274"/>
      <c r="Q70" s="274"/>
      <c r="R70" s="323"/>
      <c r="S70" s="324"/>
      <c r="T70" s="274"/>
      <c r="U70" s="326"/>
    </row>
    <row r="71" spans="1:21">
      <c r="A71" s="231"/>
      <c r="B71" s="272"/>
      <c r="C71" s="231"/>
      <c r="D71" s="273"/>
      <c r="E71" s="168"/>
      <c r="F71" s="274"/>
      <c r="G71" s="274"/>
      <c r="H71" s="274"/>
      <c r="I71" s="274"/>
      <c r="J71" s="274"/>
      <c r="K71" s="274"/>
      <c r="L71" s="274"/>
      <c r="M71" s="274"/>
      <c r="N71" s="274"/>
      <c r="O71" s="323"/>
      <c r="P71" s="274"/>
      <c r="Q71" s="274"/>
      <c r="R71" s="323"/>
      <c r="S71" s="324"/>
      <c r="T71" s="274"/>
      <c r="U71" s="326"/>
    </row>
    <row r="72" spans="1:21">
      <c r="A72" s="231"/>
      <c r="B72" s="272"/>
      <c r="C72" s="231"/>
      <c r="D72" s="273"/>
      <c r="E72" s="168"/>
      <c r="F72" s="274"/>
      <c r="G72" s="274"/>
      <c r="H72" s="274"/>
      <c r="I72" s="274"/>
      <c r="J72" s="274"/>
      <c r="K72" s="274"/>
      <c r="L72" s="274"/>
      <c r="M72" s="274"/>
      <c r="N72" s="274"/>
      <c r="O72" s="323"/>
      <c r="P72" s="274"/>
      <c r="Q72" s="274"/>
      <c r="R72" s="323"/>
      <c r="S72" s="324"/>
      <c r="T72" s="274"/>
      <c r="U72" s="326"/>
    </row>
    <row r="73" spans="1:21">
      <c r="A73" s="231"/>
      <c r="B73" s="272"/>
      <c r="C73" s="231"/>
      <c r="D73" s="273"/>
      <c r="E73" s="168"/>
      <c r="F73" s="274"/>
      <c r="G73" s="274"/>
      <c r="H73" s="274"/>
      <c r="I73" s="274"/>
      <c r="J73" s="274"/>
      <c r="K73" s="274"/>
      <c r="L73" s="274"/>
      <c r="M73" s="274"/>
      <c r="N73" s="274"/>
      <c r="O73" s="323"/>
      <c r="P73" s="274"/>
      <c r="Q73" s="274"/>
      <c r="R73" s="323"/>
      <c r="S73" s="324"/>
      <c r="T73" s="274"/>
      <c r="U73" s="326"/>
    </row>
    <row r="74" spans="1:21">
      <c r="A74" s="231"/>
      <c r="B74" s="272"/>
      <c r="C74" s="231"/>
      <c r="D74" s="273"/>
      <c r="E74" s="168"/>
      <c r="F74" s="274"/>
      <c r="G74" s="274"/>
      <c r="H74" s="274"/>
      <c r="I74" s="274"/>
      <c r="J74" s="274"/>
      <c r="K74" s="274"/>
      <c r="L74" s="274"/>
      <c r="M74" s="274"/>
      <c r="N74" s="274"/>
      <c r="O74" s="323"/>
      <c r="P74" s="274"/>
      <c r="Q74" s="274"/>
      <c r="R74" s="323"/>
      <c r="S74" s="324"/>
      <c r="T74" s="274"/>
      <c r="U74" s="326"/>
    </row>
    <row r="75" spans="1:21">
      <c r="A75" s="231"/>
      <c r="B75" s="272"/>
      <c r="C75" s="231"/>
      <c r="D75" s="273"/>
      <c r="E75" s="168"/>
      <c r="F75" s="274"/>
      <c r="G75" s="274"/>
      <c r="H75" s="274"/>
      <c r="I75" s="274"/>
      <c r="J75" s="274"/>
      <c r="K75" s="274"/>
      <c r="L75" s="274"/>
      <c r="M75" s="274"/>
      <c r="N75" s="274"/>
      <c r="O75" s="323"/>
      <c r="P75" s="274"/>
      <c r="Q75" s="274"/>
      <c r="R75" s="323"/>
      <c r="S75" s="324"/>
      <c r="T75" s="274"/>
      <c r="U75" s="326"/>
    </row>
    <row r="76" spans="1:21">
      <c r="A76" s="231"/>
      <c r="B76" s="272"/>
      <c r="C76" s="231"/>
      <c r="D76" s="273"/>
      <c r="E76" s="168"/>
      <c r="F76" s="274"/>
      <c r="G76" s="274"/>
      <c r="H76" s="274"/>
      <c r="I76" s="274"/>
      <c r="J76" s="274"/>
      <c r="K76" s="274"/>
      <c r="L76" s="274"/>
      <c r="M76" s="274"/>
      <c r="N76" s="274"/>
      <c r="O76" s="323"/>
      <c r="P76" s="274"/>
      <c r="Q76" s="274"/>
      <c r="R76" s="323"/>
      <c r="S76" s="324"/>
      <c r="T76" s="274"/>
      <c r="U76" s="326"/>
    </row>
    <row r="77" spans="1:21">
      <c r="A77" s="231"/>
      <c r="B77" s="272"/>
      <c r="C77" s="231"/>
      <c r="D77" s="273"/>
      <c r="E77" s="168"/>
      <c r="F77" s="274"/>
      <c r="G77" s="274"/>
      <c r="H77" s="274"/>
      <c r="I77" s="274"/>
      <c r="J77" s="274"/>
      <c r="K77" s="274"/>
      <c r="L77" s="274"/>
      <c r="M77" s="274"/>
      <c r="N77" s="274"/>
      <c r="O77" s="323"/>
      <c r="P77" s="274"/>
      <c r="Q77" s="274"/>
      <c r="R77" s="323"/>
      <c r="S77" s="324"/>
      <c r="T77" s="274"/>
      <c r="U77" s="326"/>
    </row>
    <row r="78" spans="1:21">
      <c r="A78" s="231"/>
      <c r="B78" s="272"/>
      <c r="C78" s="231"/>
      <c r="D78" s="273"/>
      <c r="E78" s="168"/>
      <c r="F78" s="274"/>
      <c r="G78" s="274"/>
      <c r="H78" s="274"/>
      <c r="I78" s="274"/>
      <c r="J78" s="274"/>
      <c r="K78" s="274"/>
      <c r="L78" s="274"/>
      <c r="M78" s="274"/>
      <c r="N78" s="274"/>
      <c r="O78" s="323"/>
      <c r="P78" s="274"/>
      <c r="Q78" s="274"/>
      <c r="R78" s="323"/>
      <c r="S78" s="324"/>
      <c r="T78" s="274"/>
      <c r="U78" s="326"/>
    </row>
    <row r="79" spans="1:21">
      <c r="A79" s="231"/>
      <c r="B79" s="272"/>
      <c r="C79" s="231"/>
      <c r="D79" s="273"/>
      <c r="E79" s="168"/>
      <c r="F79" s="274"/>
      <c r="G79" s="274"/>
      <c r="H79" s="274"/>
      <c r="I79" s="274"/>
      <c r="J79" s="274"/>
      <c r="K79" s="274"/>
      <c r="L79" s="274"/>
      <c r="M79" s="274"/>
      <c r="N79" s="274"/>
      <c r="O79" s="323"/>
      <c r="P79" s="274"/>
      <c r="Q79" s="274"/>
      <c r="R79" s="323"/>
      <c r="S79" s="324"/>
      <c r="T79" s="274"/>
      <c r="U79" s="326"/>
    </row>
    <row r="80" spans="1:21">
      <c r="A80" s="231"/>
      <c r="B80" s="272"/>
      <c r="C80" s="231"/>
      <c r="D80" s="273"/>
      <c r="E80" s="168"/>
      <c r="F80" s="274"/>
      <c r="G80" s="274"/>
      <c r="H80" s="274"/>
      <c r="I80" s="274"/>
      <c r="J80" s="274"/>
      <c r="K80" s="274"/>
      <c r="L80" s="274"/>
      <c r="M80" s="274"/>
      <c r="N80" s="274"/>
      <c r="O80" s="323"/>
      <c r="P80" s="274"/>
      <c r="Q80" s="274"/>
      <c r="R80" s="323"/>
      <c r="S80" s="324"/>
      <c r="T80" s="274"/>
      <c r="U80" s="326"/>
    </row>
    <row r="81" spans="1:21">
      <c r="A81" s="231"/>
      <c r="B81" s="272"/>
      <c r="C81" s="231"/>
      <c r="D81" s="273"/>
      <c r="E81" s="168"/>
      <c r="F81" s="274"/>
      <c r="G81" s="274"/>
      <c r="H81" s="274"/>
      <c r="I81" s="274"/>
      <c r="J81" s="274"/>
      <c r="K81" s="274"/>
      <c r="L81" s="274"/>
      <c r="M81" s="274"/>
      <c r="N81" s="274"/>
      <c r="O81" s="323"/>
      <c r="P81" s="274"/>
      <c r="Q81" s="274"/>
      <c r="R81" s="323"/>
      <c r="S81" s="324"/>
      <c r="T81" s="274"/>
      <c r="U81" s="326"/>
    </row>
    <row r="82" spans="1:21">
      <c r="A82" s="231"/>
      <c r="B82" s="272"/>
      <c r="C82" s="231"/>
      <c r="D82" s="273"/>
      <c r="E82" s="168"/>
      <c r="F82" s="274"/>
      <c r="G82" s="274"/>
      <c r="H82" s="274"/>
      <c r="I82" s="274"/>
      <c r="J82" s="274"/>
      <c r="K82" s="274"/>
      <c r="L82" s="274"/>
      <c r="M82" s="274"/>
      <c r="N82" s="274"/>
      <c r="O82" s="323"/>
      <c r="P82" s="274"/>
      <c r="Q82" s="274"/>
      <c r="R82" s="323"/>
      <c r="S82" s="324"/>
      <c r="T82" s="274"/>
      <c r="U82" s="326"/>
    </row>
    <row r="83" spans="1:21">
      <c r="A83" s="231"/>
      <c r="B83" s="272"/>
      <c r="C83" s="231"/>
      <c r="D83" s="273"/>
      <c r="E83" s="168"/>
      <c r="F83" s="274"/>
      <c r="G83" s="274"/>
      <c r="H83" s="274"/>
      <c r="I83" s="274"/>
      <c r="J83" s="274"/>
      <c r="K83" s="274"/>
      <c r="L83" s="274"/>
      <c r="M83" s="274"/>
      <c r="N83" s="274"/>
      <c r="O83" s="323"/>
      <c r="P83" s="274"/>
      <c r="Q83" s="274"/>
      <c r="R83" s="323"/>
      <c r="S83" s="324"/>
      <c r="T83" s="274"/>
      <c r="U83" s="326"/>
    </row>
    <row r="84" spans="1:21">
      <c r="A84" s="231"/>
      <c r="B84" s="272"/>
      <c r="C84" s="231"/>
      <c r="D84" s="273"/>
      <c r="E84" s="168"/>
      <c r="F84" s="274"/>
      <c r="G84" s="274"/>
      <c r="H84" s="274"/>
      <c r="I84" s="274"/>
      <c r="J84" s="274"/>
      <c r="K84" s="274"/>
      <c r="L84" s="274"/>
      <c r="M84" s="274"/>
      <c r="N84" s="274"/>
      <c r="O84" s="323"/>
      <c r="P84" s="274"/>
      <c r="Q84" s="274"/>
      <c r="R84" s="323"/>
      <c r="S84" s="324"/>
      <c r="T84" s="274"/>
      <c r="U84" s="326"/>
    </row>
    <row r="85" spans="1:21">
      <c r="A85" s="231"/>
      <c r="B85" s="272"/>
      <c r="C85" s="231"/>
      <c r="D85" s="273"/>
      <c r="E85" s="168"/>
      <c r="F85" s="274"/>
      <c r="G85" s="274"/>
      <c r="H85" s="274"/>
      <c r="I85" s="274"/>
      <c r="J85" s="274"/>
      <c r="K85" s="274"/>
      <c r="L85" s="274"/>
      <c r="M85" s="274"/>
      <c r="N85" s="274"/>
      <c r="O85" s="323"/>
      <c r="P85" s="274"/>
      <c r="Q85" s="274"/>
      <c r="R85" s="323"/>
      <c r="S85" s="324"/>
      <c r="T85" s="274"/>
      <c r="U85" s="326"/>
    </row>
    <row r="86" spans="1:21">
      <c r="A86" s="231"/>
      <c r="B86" s="272"/>
      <c r="C86" s="231"/>
      <c r="D86" s="273"/>
      <c r="E86" s="168"/>
      <c r="F86" s="274"/>
      <c r="G86" s="274"/>
      <c r="H86" s="274"/>
      <c r="I86" s="274"/>
      <c r="J86" s="274"/>
      <c r="K86" s="274"/>
      <c r="L86" s="274"/>
      <c r="M86" s="274"/>
      <c r="N86" s="274"/>
      <c r="O86" s="323"/>
      <c r="P86" s="274"/>
      <c r="Q86" s="274"/>
      <c r="R86" s="323"/>
      <c r="S86" s="324"/>
      <c r="T86" s="274"/>
      <c r="U86" s="326"/>
    </row>
    <row r="87" spans="1:21">
      <c r="A87" s="231"/>
      <c r="B87" s="272"/>
      <c r="C87" s="231"/>
      <c r="D87" s="273"/>
      <c r="E87" s="168"/>
      <c r="F87" s="274"/>
      <c r="G87" s="274"/>
      <c r="H87" s="274"/>
      <c r="I87" s="274"/>
      <c r="J87" s="274"/>
      <c r="K87" s="274"/>
      <c r="L87" s="274"/>
      <c r="M87" s="274"/>
      <c r="N87" s="274"/>
      <c r="O87" s="323"/>
      <c r="P87" s="274"/>
      <c r="Q87" s="274"/>
      <c r="R87" s="323"/>
      <c r="S87" s="324"/>
      <c r="T87" s="274"/>
      <c r="U87" s="326"/>
    </row>
    <row r="88" spans="1:21">
      <c r="A88" s="231"/>
      <c r="B88" s="272"/>
      <c r="C88" s="231"/>
      <c r="D88" s="273"/>
      <c r="E88" s="168"/>
      <c r="F88" s="274"/>
      <c r="G88" s="274"/>
      <c r="H88" s="274"/>
      <c r="I88" s="274"/>
      <c r="J88" s="274"/>
      <c r="K88" s="274"/>
      <c r="L88" s="274"/>
      <c r="M88" s="274"/>
      <c r="N88" s="274"/>
      <c r="O88" s="323"/>
      <c r="P88" s="274"/>
      <c r="Q88" s="274"/>
      <c r="R88" s="323"/>
      <c r="S88" s="324"/>
      <c r="T88" s="274"/>
      <c r="U88" s="326"/>
    </row>
    <row r="89" spans="1:21">
      <c r="A89" s="231"/>
      <c r="B89" s="272"/>
      <c r="C89" s="231"/>
      <c r="D89" s="273"/>
      <c r="E89" s="168"/>
      <c r="F89" s="274"/>
      <c r="G89" s="274"/>
      <c r="H89" s="274"/>
      <c r="I89" s="274"/>
      <c r="J89" s="274"/>
      <c r="K89" s="274"/>
      <c r="L89" s="274"/>
      <c r="M89" s="274"/>
      <c r="N89" s="274"/>
      <c r="O89" s="323"/>
      <c r="P89" s="274"/>
      <c r="Q89" s="274"/>
      <c r="R89" s="323"/>
      <c r="S89" s="324"/>
      <c r="T89" s="274"/>
      <c r="U89" s="326"/>
    </row>
    <row r="90" spans="1:21">
      <c r="A90" s="231"/>
      <c r="B90" s="272"/>
      <c r="C90" s="231"/>
      <c r="D90" s="273"/>
      <c r="E90" s="168"/>
      <c r="F90" s="274"/>
      <c r="G90" s="274"/>
      <c r="H90" s="274"/>
      <c r="I90" s="274"/>
      <c r="J90" s="274"/>
      <c r="K90" s="274"/>
      <c r="L90" s="274"/>
      <c r="M90" s="274"/>
      <c r="N90" s="274"/>
      <c r="O90" s="323"/>
      <c r="P90" s="274"/>
      <c r="Q90" s="274"/>
      <c r="R90" s="323"/>
      <c r="S90" s="324"/>
      <c r="T90" s="274"/>
      <c r="U90" s="326"/>
    </row>
    <row r="91" spans="1:21">
      <c r="A91" s="231"/>
      <c r="B91" s="272"/>
      <c r="C91" s="231"/>
      <c r="D91" s="273"/>
      <c r="E91" s="168"/>
      <c r="F91" s="274"/>
      <c r="G91" s="274"/>
      <c r="H91" s="274"/>
      <c r="I91" s="274"/>
      <c r="J91" s="274"/>
      <c r="K91" s="274"/>
      <c r="L91" s="274"/>
      <c r="M91" s="274"/>
      <c r="N91" s="274"/>
      <c r="O91" s="323"/>
      <c r="P91" s="274"/>
      <c r="Q91" s="274"/>
      <c r="R91" s="323"/>
      <c r="S91" s="324"/>
      <c r="T91" s="274"/>
      <c r="U91" s="326"/>
    </row>
    <row r="92" spans="1:21">
      <c r="A92" s="231"/>
      <c r="B92" s="272"/>
      <c r="C92" s="231"/>
      <c r="D92" s="273"/>
      <c r="E92" s="168"/>
      <c r="F92" s="274"/>
      <c r="G92" s="274"/>
      <c r="H92" s="274"/>
      <c r="I92" s="274"/>
      <c r="J92" s="274"/>
      <c r="K92" s="274"/>
      <c r="L92" s="274"/>
      <c r="M92" s="274"/>
      <c r="N92" s="274"/>
      <c r="O92" s="323"/>
      <c r="P92" s="274"/>
      <c r="Q92" s="274"/>
      <c r="R92" s="323"/>
      <c r="S92" s="324"/>
      <c r="T92" s="274"/>
      <c r="U92" s="326"/>
    </row>
  </sheetData>
  <mergeCells count="14">
    <mergeCell ref="A1:U1"/>
    <mergeCell ref="A28:U28"/>
    <mergeCell ref="A3:A6"/>
    <mergeCell ref="A7:A10"/>
    <mergeCell ref="A11:A14"/>
    <mergeCell ref="A15:A18"/>
    <mergeCell ref="A19:A22"/>
    <mergeCell ref="A23:A26"/>
    <mergeCell ref="A29:A32"/>
    <mergeCell ref="A33:A36"/>
    <mergeCell ref="A37:A40"/>
    <mergeCell ref="A41:A44"/>
    <mergeCell ref="A45:A48"/>
    <mergeCell ref="A49:A5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N91"/>
  <sheetViews>
    <sheetView workbookViewId="0">
      <pane xSplit="2" ySplit="2" topLeftCell="C3" activePane="bottomRight" state="frozen"/>
      <selection/>
      <selection pane="topRight"/>
      <selection pane="bottomLeft"/>
      <selection pane="bottomRight" activeCell="A1" sqref="A1:Z1"/>
    </sheetView>
  </sheetViews>
  <sheetFormatPr defaultColWidth="9" defaultRowHeight="15.75"/>
  <cols>
    <col min="1" max="1" width="19.4333333333333" customWidth="1"/>
    <col min="2" max="2" width="20.3416666666667" customWidth="1"/>
    <col min="3" max="3" width="6.36666666666667" customWidth="1"/>
    <col min="4" max="4" width="5.8" customWidth="1"/>
    <col min="5" max="5" width="5.125" customWidth="1"/>
    <col min="6" max="6" width="6.93333333333333" customWidth="1"/>
    <col min="7" max="7" width="7.15833333333333" customWidth="1"/>
    <col min="8" max="8" width="5.8" customWidth="1"/>
    <col min="9" max="9" width="6.025" customWidth="1"/>
    <col min="10" max="10" width="7.60833333333333" customWidth="1"/>
    <col min="11" max="11" width="6.93333333333333" customWidth="1"/>
    <col min="12" max="12" width="9.63333333333333" customWidth="1"/>
    <col min="13" max="13" width="5.91666666666667" customWidth="1"/>
    <col min="14" max="14" width="8.95833333333333" customWidth="1"/>
    <col min="15" max="15" width="6.475" customWidth="1"/>
    <col min="16" max="16" width="6.93333333333333" customWidth="1"/>
    <col min="17" max="17" width="6.025" customWidth="1"/>
    <col min="18" max="18" width="6.93333333333333" customWidth="1"/>
    <col min="19" max="19" width="8.05833333333333" customWidth="1"/>
    <col min="20" max="20" width="12.5666666666667" customWidth="1"/>
    <col min="21" max="21" width="12.45" customWidth="1"/>
    <col min="22" max="22" width="13.9166666666667" customWidth="1"/>
    <col min="23" max="23" width="20.5666666666667" customWidth="1"/>
    <col min="24" max="25" width="15.6083333333333" customWidth="1"/>
    <col min="26" max="26" width="12.675" customWidth="1"/>
    <col min="27" max="28" width="15.2666666666667" customWidth="1"/>
    <col min="29" max="40" width="7.38333333333333" customWidth="1"/>
    <col min="41" max="42" width="7.15833333333333" customWidth="1"/>
  </cols>
  <sheetData>
    <row r="1" ht="26.8" customHeight="1" spans="1:40">
      <c r="A1" s="284" t="s">
        <v>197</v>
      </c>
      <c r="B1" s="285"/>
      <c r="C1" s="285"/>
      <c r="D1" s="285"/>
      <c r="E1" s="285"/>
      <c r="F1" s="286"/>
      <c r="G1" s="285"/>
      <c r="H1" s="285"/>
      <c r="I1" s="285"/>
      <c r="J1" s="285"/>
      <c r="K1" s="285"/>
      <c r="L1" s="285"/>
      <c r="M1" s="285"/>
      <c r="N1" s="285"/>
      <c r="O1" s="285"/>
      <c r="P1" s="285"/>
      <c r="Q1" s="285"/>
      <c r="R1" s="285"/>
      <c r="S1" s="285"/>
      <c r="T1" s="285"/>
      <c r="U1" s="285"/>
      <c r="V1" s="285"/>
      <c r="W1" s="285"/>
      <c r="X1" s="285"/>
      <c r="Y1" s="285"/>
      <c r="Z1" s="287"/>
      <c r="AA1" s="221"/>
      <c r="AB1" s="288" t="s">
        <v>198</v>
      </c>
      <c r="AC1" s="221"/>
      <c r="AD1" s="221"/>
      <c r="AE1" s="221"/>
      <c r="AF1" s="221"/>
      <c r="AG1" s="221"/>
      <c r="AH1" s="221"/>
      <c r="AI1" s="221"/>
      <c r="AJ1" s="221"/>
      <c r="AK1" s="221"/>
      <c r="AL1" s="221"/>
      <c r="AM1" s="221"/>
      <c r="AN1" s="221"/>
    </row>
    <row r="2" ht="50" customHeight="1" spans="1:40">
      <c r="A2" s="289" t="s">
        <v>199</v>
      </c>
      <c r="B2" s="290" t="s">
        <v>200</v>
      </c>
      <c r="C2" s="290" t="s">
        <v>201</v>
      </c>
      <c r="D2" s="290" t="s">
        <v>202</v>
      </c>
      <c r="E2" s="291" t="s">
        <v>203</v>
      </c>
      <c r="F2" s="292" t="s">
        <v>204</v>
      </c>
      <c r="G2" s="293" t="s">
        <v>205</v>
      </c>
      <c r="H2" s="293" t="s">
        <v>206</v>
      </c>
      <c r="I2" s="293" t="s">
        <v>207</v>
      </c>
      <c r="J2" s="293" t="s">
        <v>208</v>
      </c>
      <c r="K2" s="294" t="s">
        <v>209</v>
      </c>
      <c r="L2" s="294" t="s">
        <v>210</v>
      </c>
      <c r="M2" s="294" t="s">
        <v>211</v>
      </c>
      <c r="N2" s="294" t="s">
        <v>212</v>
      </c>
      <c r="O2" s="293" t="s">
        <v>213</v>
      </c>
      <c r="P2" s="295" t="s">
        <v>214</v>
      </c>
      <c r="Q2" s="295" t="s">
        <v>215</v>
      </c>
      <c r="R2" s="295" t="s">
        <v>216</v>
      </c>
      <c r="S2" s="296" t="s">
        <v>217</v>
      </c>
      <c r="T2" s="293" t="s">
        <v>218</v>
      </c>
      <c r="U2" s="293" t="s">
        <v>219</v>
      </c>
      <c r="V2" s="297" t="s">
        <v>220</v>
      </c>
      <c r="W2" s="298" t="s">
        <v>221</v>
      </c>
      <c r="X2" s="152" t="s">
        <v>222</v>
      </c>
      <c r="Y2" s="152" t="s">
        <v>223</v>
      </c>
      <c r="Z2" s="297" t="s">
        <v>224</v>
      </c>
      <c r="AA2" s="299" t="s">
        <v>225</v>
      </c>
      <c r="AB2" s="288" t="s">
        <v>225</v>
      </c>
      <c r="AC2" s="221"/>
      <c r="AD2" s="221"/>
      <c r="AE2" s="221"/>
      <c r="AF2" s="221"/>
      <c r="AG2" s="221"/>
      <c r="AH2" s="221"/>
      <c r="AI2" s="221"/>
      <c r="AJ2" s="221"/>
      <c r="AK2" s="221"/>
      <c r="AL2" s="221"/>
      <c r="AM2" s="221"/>
      <c r="AN2" s="221"/>
    </row>
    <row r="3" ht="22.6" customHeight="1" spans="1:40">
      <c r="A3" s="300" t="s">
        <v>226</v>
      </c>
      <c r="B3" s="272" t="s">
        <v>227</v>
      </c>
      <c r="C3" s="231"/>
      <c r="D3" s="273"/>
      <c r="E3" s="168"/>
      <c r="F3" s="167"/>
      <c r="G3" s="231"/>
      <c r="H3" s="231"/>
      <c r="I3" s="231"/>
      <c r="J3" s="231"/>
      <c r="K3" s="167"/>
      <c r="L3" s="167"/>
      <c r="M3" s="167"/>
      <c r="N3" s="167"/>
      <c r="O3" s="231"/>
      <c r="P3" s="166"/>
      <c r="Q3" s="166"/>
      <c r="R3" s="166"/>
      <c r="S3" s="277"/>
      <c r="T3" s="231"/>
      <c r="U3" s="231"/>
      <c r="V3" s="231"/>
      <c r="W3" s="231"/>
      <c r="X3" s="167"/>
      <c r="Y3" s="167"/>
      <c r="Z3" s="231"/>
      <c r="AA3" s="301"/>
      <c r="AB3" s="301" t="s">
        <v>228</v>
      </c>
      <c r="AC3" s="221"/>
      <c r="AD3" s="221"/>
      <c r="AE3" s="221"/>
      <c r="AF3" s="221"/>
      <c r="AG3" s="221"/>
      <c r="AH3" s="221"/>
      <c r="AI3" s="221"/>
      <c r="AJ3" s="221"/>
      <c r="AK3" s="221"/>
      <c r="AL3" s="221"/>
      <c r="AM3" s="221"/>
      <c r="AN3" s="221"/>
    </row>
    <row r="4" ht="22.6" customHeight="1" spans="1:40">
      <c r="A4" s="302"/>
      <c r="B4" s="272" t="s">
        <v>229</v>
      </c>
      <c r="C4" s="231"/>
      <c r="D4" s="273"/>
      <c r="E4" s="168"/>
      <c r="F4" s="167"/>
      <c r="G4" s="231"/>
      <c r="H4" s="231"/>
      <c r="I4" s="231"/>
      <c r="J4" s="231"/>
      <c r="K4" s="167"/>
      <c r="L4" s="167"/>
      <c r="M4" s="167"/>
      <c r="N4" s="167"/>
      <c r="O4" s="231"/>
      <c r="P4" s="166"/>
      <c r="Q4" s="166"/>
      <c r="R4" s="166"/>
      <c r="S4" s="277"/>
      <c r="T4" s="231"/>
      <c r="U4" s="231"/>
      <c r="V4" s="231"/>
      <c r="W4" s="231"/>
      <c r="X4" s="167"/>
      <c r="Y4" s="167"/>
      <c r="Z4" s="231"/>
      <c r="AA4" s="221"/>
      <c r="AB4" s="221"/>
      <c r="AC4" s="221"/>
      <c r="AD4" s="221"/>
      <c r="AE4" s="221"/>
      <c r="AF4" s="221"/>
      <c r="AG4" s="221"/>
      <c r="AH4" s="221"/>
      <c r="AI4" s="221"/>
      <c r="AJ4" s="221"/>
      <c r="AK4" s="221"/>
      <c r="AL4" s="221"/>
      <c r="AM4" s="221"/>
      <c r="AN4" s="221"/>
    </row>
    <row r="5" ht="22.6" customHeight="1" spans="1:40">
      <c r="A5" s="302"/>
      <c r="B5" s="272" t="s">
        <v>230</v>
      </c>
      <c r="C5" s="231"/>
      <c r="D5" s="273"/>
      <c r="E5" s="168"/>
      <c r="F5" s="167"/>
      <c r="G5" s="231"/>
      <c r="H5" s="231"/>
      <c r="I5" s="231"/>
      <c r="J5" s="231"/>
      <c r="K5" s="167"/>
      <c r="L5" s="167"/>
      <c r="M5" s="167"/>
      <c r="N5" s="167"/>
      <c r="O5" s="231"/>
      <c r="P5" s="166"/>
      <c r="Q5" s="166"/>
      <c r="R5" s="166"/>
      <c r="S5" s="277"/>
      <c r="T5" s="231"/>
      <c r="U5" s="231"/>
      <c r="V5" s="231"/>
      <c r="W5" s="231"/>
      <c r="X5" s="167"/>
      <c r="Y5" s="167"/>
      <c r="Z5" s="231"/>
      <c r="AA5" s="221"/>
      <c r="AB5" s="221"/>
      <c r="AC5" s="221"/>
      <c r="AD5" s="221"/>
      <c r="AE5" s="221"/>
      <c r="AF5" s="221"/>
      <c r="AG5" s="221"/>
      <c r="AH5" s="221"/>
      <c r="AI5" s="221"/>
      <c r="AJ5" s="221"/>
      <c r="AK5" s="221"/>
      <c r="AL5" s="221"/>
      <c r="AM5" s="221"/>
      <c r="AN5" s="221"/>
    </row>
    <row r="6" ht="22.6" customHeight="1" spans="1:40">
      <c r="A6" s="302"/>
      <c r="B6" s="272" t="s">
        <v>231</v>
      </c>
      <c r="C6" s="231"/>
      <c r="D6" s="273"/>
      <c r="E6" s="168"/>
      <c r="F6" s="167"/>
      <c r="G6" s="231"/>
      <c r="H6" s="231"/>
      <c r="I6" s="231"/>
      <c r="J6" s="231"/>
      <c r="K6" s="167"/>
      <c r="L6" s="167"/>
      <c r="M6" s="167"/>
      <c r="N6" s="167"/>
      <c r="O6" s="231"/>
      <c r="P6" s="166"/>
      <c r="Q6" s="166"/>
      <c r="R6" s="166"/>
      <c r="S6" s="277"/>
      <c r="T6" s="231"/>
      <c r="U6" s="231"/>
      <c r="V6" s="231"/>
      <c r="W6" s="231"/>
      <c r="X6" s="167"/>
      <c r="Y6" s="167"/>
      <c r="Z6" s="231"/>
      <c r="AA6" s="221"/>
      <c r="AB6" s="221"/>
      <c r="AC6" s="221"/>
      <c r="AD6" s="221"/>
      <c r="AE6" s="221"/>
      <c r="AF6" s="221"/>
      <c r="AG6" s="221"/>
      <c r="AH6" s="221"/>
      <c r="AI6" s="221"/>
      <c r="AJ6" s="221"/>
      <c r="AK6" s="221"/>
      <c r="AL6" s="221"/>
      <c r="AM6" s="221"/>
      <c r="AN6" s="221"/>
    </row>
    <row r="7" ht="22.6" customHeight="1" spans="1:40">
      <c r="A7" s="302"/>
      <c r="B7" s="272" t="s">
        <v>232</v>
      </c>
      <c r="C7" s="231"/>
      <c r="D7" s="273"/>
      <c r="E7" s="168"/>
      <c r="F7" s="167"/>
      <c r="G7" s="231"/>
      <c r="H7" s="231"/>
      <c r="I7" s="231"/>
      <c r="J7" s="231"/>
      <c r="K7" s="167"/>
      <c r="L7" s="167"/>
      <c r="M7" s="167"/>
      <c r="N7" s="167"/>
      <c r="O7" s="231"/>
      <c r="P7" s="166"/>
      <c r="Q7" s="166"/>
      <c r="R7" s="166"/>
      <c r="S7" s="277"/>
      <c r="T7" s="231"/>
      <c r="U7" s="231"/>
      <c r="V7" s="231"/>
      <c r="W7" s="231"/>
      <c r="X7" s="167"/>
      <c r="Y7" s="167"/>
      <c r="Z7" s="231"/>
      <c r="AA7" s="221"/>
      <c r="AB7" s="221"/>
      <c r="AC7" s="221"/>
      <c r="AD7" s="221"/>
      <c r="AE7" s="221"/>
      <c r="AF7" s="221"/>
      <c r="AG7" s="221"/>
      <c r="AH7" s="221"/>
      <c r="AI7" s="221"/>
      <c r="AJ7" s="221"/>
      <c r="AK7" s="221"/>
      <c r="AL7" s="221"/>
      <c r="AM7" s="221"/>
      <c r="AN7" s="221"/>
    </row>
    <row r="8" ht="22.6" customHeight="1" spans="1:40">
      <c r="A8" s="302"/>
      <c r="B8" s="272" t="s">
        <v>233</v>
      </c>
      <c r="C8" s="231"/>
      <c r="D8" s="273"/>
      <c r="E8" s="168"/>
      <c r="F8" s="167"/>
      <c r="G8" s="231"/>
      <c r="H8" s="231"/>
      <c r="I8" s="231"/>
      <c r="J8" s="231"/>
      <c r="K8" s="167"/>
      <c r="L8" s="167"/>
      <c r="M8" s="167"/>
      <c r="N8" s="167"/>
      <c r="O8" s="231"/>
      <c r="P8" s="166"/>
      <c r="Q8" s="166"/>
      <c r="R8" s="166"/>
      <c r="S8" s="277"/>
      <c r="T8" s="231"/>
      <c r="U8" s="231"/>
      <c r="V8" s="231"/>
      <c r="W8" s="231"/>
      <c r="X8" s="167"/>
      <c r="Y8" s="167"/>
      <c r="Z8" s="231"/>
      <c r="AA8" s="221"/>
      <c r="AB8" s="221"/>
      <c r="AC8" s="221"/>
      <c r="AD8" s="221"/>
      <c r="AE8" s="221"/>
      <c r="AF8" s="221"/>
      <c r="AG8" s="221"/>
      <c r="AH8" s="221"/>
      <c r="AI8" s="221"/>
      <c r="AJ8" s="221"/>
      <c r="AK8" s="221"/>
      <c r="AL8" s="221"/>
      <c r="AM8" s="221"/>
      <c r="AN8" s="221"/>
    </row>
    <row r="9" ht="22.6" customHeight="1" spans="1:40">
      <c r="A9" s="297"/>
      <c r="B9" s="272" t="s">
        <v>234</v>
      </c>
      <c r="C9" s="231"/>
      <c r="D9" s="273"/>
      <c r="E9" s="168"/>
      <c r="F9" s="167"/>
      <c r="G9" s="231"/>
      <c r="H9" s="231"/>
      <c r="I9" s="231"/>
      <c r="J9" s="231"/>
      <c r="K9" s="167"/>
      <c r="L9" s="167"/>
      <c r="M9" s="167"/>
      <c r="N9" s="167"/>
      <c r="O9" s="231"/>
      <c r="P9" s="166"/>
      <c r="Q9" s="166"/>
      <c r="R9" s="166"/>
      <c r="S9" s="277"/>
      <c r="T9" s="231"/>
      <c r="U9" s="231"/>
      <c r="V9" s="231"/>
      <c r="W9" s="231"/>
      <c r="X9" s="167"/>
      <c r="Y9" s="167"/>
      <c r="Z9" s="231"/>
      <c r="AA9" s="221"/>
      <c r="AB9" s="221"/>
      <c r="AC9" s="221"/>
      <c r="AD9" s="221"/>
      <c r="AE9" s="221"/>
      <c r="AF9" s="221"/>
      <c r="AG9" s="221"/>
      <c r="AH9" s="221"/>
      <c r="AI9" s="221"/>
      <c r="AJ9" s="221"/>
      <c r="AK9" s="221"/>
      <c r="AL9" s="221"/>
      <c r="AM9" s="221"/>
      <c r="AN9" s="221"/>
    </row>
    <row r="10" ht="22.6" customHeight="1" spans="1:40">
      <c r="A10" s="231" t="s">
        <v>235</v>
      </c>
      <c r="B10" s="272"/>
      <c r="C10" s="231"/>
      <c r="D10" s="273"/>
      <c r="E10" s="168"/>
      <c r="F10" s="167"/>
      <c r="G10" s="231"/>
      <c r="H10" s="231"/>
      <c r="I10" s="231"/>
      <c r="J10" s="231"/>
      <c r="K10" s="167"/>
      <c r="L10" s="167"/>
      <c r="M10" s="167"/>
      <c r="N10" s="167"/>
      <c r="O10" s="231"/>
      <c r="P10" s="166"/>
      <c r="Q10" s="166"/>
      <c r="R10" s="166"/>
      <c r="S10" s="277"/>
      <c r="T10" s="231"/>
      <c r="U10" s="231"/>
      <c r="V10" s="231"/>
      <c r="W10" s="231"/>
      <c r="X10" s="167"/>
      <c r="Y10" s="167"/>
      <c r="Z10" s="231"/>
      <c r="AA10" s="221"/>
      <c r="AB10" s="221"/>
      <c r="AC10" s="221"/>
      <c r="AD10" s="221"/>
      <c r="AE10" s="221"/>
      <c r="AF10" s="221"/>
      <c r="AG10" s="221"/>
      <c r="AH10" s="221"/>
      <c r="AI10" s="221"/>
      <c r="AJ10" s="221"/>
      <c r="AK10" s="221"/>
      <c r="AL10" s="221"/>
      <c r="AM10" s="221"/>
      <c r="AN10" s="221"/>
    </row>
    <row r="11" ht="22.6" customHeight="1" spans="1:40">
      <c r="A11" s="300" t="s">
        <v>236</v>
      </c>
      <c r="B11" s="272" t="s">
        <v>227</v>
      </c>
      <c r="C11" s="231"/>
      <c r="D11" s="273"/>
      <c r="E11" s="168"/>
      <c r="F11" s="167"/>
      <c r="G11" s="231"/>
      <c r="H11" s="231"/>
      <c r="I11" s="231"/>
      <c r="J11" s="231"/>
      <c r="K11" s="167"/>
      <c r="L11" s="167"/>
      <c r="M11" s="167"/>
      <c r="N11" s="167"/>
      <c r="O11" s="231"/>
      <c r="P11" s="166"/>
      <c r="Q11" s="166"/>
      <c r="R11" s="166"/>
      <c r="S11" s="277"/>
      <c r="T11" s="231"/>
      <c r="U11" s="231"/>
      <c r="V11" s="231"/>
      <c r="W11" s="231"/>
      <c r="X11" s="167"/>
      <c r="Y11" s="167"/>
      <c r="Z11" s="231"/>
      <c r="AA11" s="221"/>
      <c r="AB11" s="221"/>
      <c r="AC11" s="221"/>
      <c r="AD11" s="221"/>
      <c r="AE11" s="221"/>
      <c r="AF11" s="221"/>
      <c r="AG11" s="221"/>
      <c r="AH11" s="221"/>
      <c r="AI11" s="221"/>
      <c r="AJ11" s="221"/>
      <c r="AK11" s="221"/>
      <c r="AL11" s="221"/>
      <c r="AM11" s="221"/>
      <c r="AN11" s="221"/>
    </row>
    <row r="12" ht="22.6" customHeight="1" spans="1:40">
      <c r="A12" s="302"/>
      <c r="B12" s="272" t="s">
        <v>229</v>
      </c>
      <c r="C12" s="231"/>
      <c r="D12" s="273"/>
      <c r="E12" s="168"/>
      <c r="F12" s="167"/>
      <c r="G12" s="231"/>
      <c r="H12" s="231"/>
      <c r="I12" s="231"/>
      <c r="J12" s="231"/>
      <c r="K12" s="167"/>
      <c r="L12" s="167"/>
      <c r="M12" s="167"/>
      <c r="N12" s="167"/>
      <c r="O12" s="231"/>
      <c r="P12" s="166"/>
      <c r="Q12" s="166"/>
      <c r="R12" s="166"/>
      <c r="S12" s="277"/>
      <c r="T12" s="231"/>
      <c r="U12" s="231"/>
      <c r="V12" s="231"/>
      <c r="W12" s="231"/>
      <c r="X12" s="167"/>
      <c r="Y12" s="167"/>
      <c r="Z12" s="231"/>
      <c r="AA12" s="221"/>
      <c r="AB12" s="221"/>
      <c r="AC12" s="221"/>
      <c r="AD12" s="221"/>
      <c r="AE12" s="221"/>
      <c r="AF12" s="221"/>
      <c r="AG12" s="221"/>
      <c r="AH12" s="221"/>
      <c r="AI12" s="221"/>
      <c r="AJ12" s="221"/>
      <c r="AK12" s="221"/>
      <c r="AL12" s="221"/>
      <c r="AM12" s="221"/>
      <c r="AN12" s="221"/>
    </row>
    <row r="13" ht="22.6" customHeight="1" spans="1:40">
      <c r="A13" s="302"/>
      <c r="B13" s="272" t="s">
        <v>230</v>
      </c>
      <c r="C13" s="231"/>
      <c r="D13" s="273"/>
      <c r="E13" s="168"/>
      <c r="F13" s="167"/>
      <c r="G13" s="231"/>
      <c r="H13" s="231"/>
      <c r="I13" s="231"/>
      <c r="J13" s="231"/>
      <c r="K13" s="167"/>
      <c r="L13" s="167"/>
      <c r="M13" s="167"/>
      <c r="N13" s="167"/>
      <c r="O13" s="231"/>
      <c r="P13" s="166"/>
      <c r="Q13" s="166"/>
      <c r="R13" s="166"/>
      <c r="S13" s="277"/>
      <c r="T13" s="231"/>
      <c r="U13" s="231"/>
      <c r="V13" s="231"/>
      <c r="W13" s="231"/>
      <c r="X13" s="167"/>
      <c r="Y13" s="167"/>
      <c r="Z13" s="231"/>
      <c r="AA13" s="221"/>
      <c r="AB13" s="221"/>
      <c r="AC13" s="221"/>
      <c r="AD13" s="221"/>
      <c r="AE13" s="221"/>
      <c r="AF13" s="221"/>
      <c r="AG13" s="221"/>
      <c r="AH13" s="221"/>
      <c r="AI13" s="221"/>
      <c r="AJ13" s="221"/>
      <c r="AK13" s="221"/>
      <c r="AL13" s="221"/>
      <c r="AM13" s="221"/>
      <c r="AN13" s="221"/>
    </row>
    <row r="14" ht="22.6" customHeight="1" spans="1:40">
      <c r="A14" s="302"/>
      <c r="B14" s="272" t="s">
        <v>231</v>
      </c>
      <c r="C14" s="231"/>
      <c r="D14" s="273"/>
      <c r="E14" s="168"/>
      <c r="F14" s="167"/>
      <c r="G14" s="231"/>
      <c r="H14" s="231"/>
      <c r="I14" s="231"/>
      <c r="J14" s="231"/>
      <c r="K14" s="167"/>
      <c r="L14" s="167"/>
      <c r="M14" s="167"/>
      <c r="N14" s="167"/>
      <c r="O14" s="231"/>
      <c r="P14" s="166"/>
      <c r="Q14" s="166"/>
      <c r="R14" s="166"/>
      <c r="S14" s="277"/>
      <c r="T14" s="231"/>
      <c r="U14" s="231"/>
      <c r="V14" s="231"/>
      <c r="W14" s="231"/>
      <c r="X14" s="167"/>
      <c r="Y14" s="167"/>
      <c r="Z14" s="231"/>
      <c r="AA14" s="221"/>
      <c r="AB14" s="221"/>
      <c r="AC14" s="221"/>
      <c r="AD14" s="221"/>
      <c r="AE14" s="221"/>
      <c r="AF14" s="221"/>
      <c r="AG14" s="221"/>
      <c r="AH14" s="221"/>
      <c r="AI14" s="221"/>
      <c r="AJ14" s="221"/>
      <c r="AK14" s="221"/>
      <c r="AL14" s="221"/>
      <c r="AM14" s="221"/>
      <c r="AN14" s="221"/>
    </row>
    <row r="15" ht="22.6" customHeight="1" spans="1:40">
      <c r="A15" s="302"/>
      <c r="B15" s="272" t="s">
        <v>232</v>
      </c>
      <c r="C15" s="231"/>
      <c r="D15" s="273"/>
      <c r="E15" s="168"/>
      <c r="F15" s="167"/>
      <c r="G15" s="231"/>
      <c r="H15" s="231"/>
      <c r="I15" s="231"/>
      <c r="J15" s="231"/>
      <c r="K15" s="167"/>
      <c r="L15" s="167"/>
      <c r="M15" s="167"/>
      <c r="N15" s="167"/>
      <c r="O15" s="231"/>
      <c r="P15" s="166"/>
      <c r="Q15" s="166"/>
      <c r="R15" s="166"/>
      <c r="S15" s="277"/>
      <c r="T15" s="231"/>
      <c r="U15" s="231"/>
      <c r="V15" s="231"/>
      <c r="W15" s="231"/>
      <c r="X15" s="167"/>
      <c r="Y15" s="167"/>
      <c r="Z15" s="231"/>
      <c r="AA15" s="221"/>
      <c r="AB15" s="221"/>
      <c r="AC15" s="221"/>
      <c r="AD15" s="221"/>
      <c r="AE15" s="221"/>
      <c r="AF15" s="221"/>
      <c r="AG15" s="221"/>
      <c r="AH15" s="221"/>
      <c r="AI15" s="221"/>
      <c r="AJ15" s="221"/>
      <c r="AK15" s="221"/>
      <c r="AL15" s="221"/>
      <c r="AM15" s="221"/>
      <c r="AN15" s="221"/>
    </row>
    <row r="16" ht="22.6" customHeight="1" spans="1:40">
      <c r="A16" s="302"/>
      <c r="B16" s="272" t="s">
        <v>233</v>
      </c>
      <c r="C16" s="231"/>
      <c r="D16" s="273"/>
      <c r="E16" s="168"/>
      <c r="F16" s="167"/>
      <c r="G16" s="231"/>
      <c r="H16" s="231"/>
      <c r="I16" s="231"/>
      <c r="J16" s="231"/>
      <c r="K16" s="167"/>
      <c r="L16" s="167"/>
      <c r="M16" s="167"/>
      <c r="N16" s="167"/>
      <c r="O16" s="231"/>
      <c r="P16" s="166"/>
      <c r="Q16" s="166"/>
      <c r="R16" s="166"/>
      <c r="S16" s="277"/>
      <c r="T16" s="231"/>
      <c r="U16" s="231"/>
      <c r="V16" s="231"/>
      <c r="W16" s="231"/>
      <c r="X16" s="167"/>
      <c r="Y16" s="167"/>
      <c r="Z16" s="231"/>
      <c r="AA16" s="221"/>
      <c r="AB16" s="221"/>
      <c r="AC16" s="221"/>
      <c r="AD16" s="221"/>
      <c r="AE16" s="221"/>
      <c r="AF16" s="221"/>
      <c r="AG16" s="221"/>
      <c r="AH16" s="221"/>
      <c r="AI16" s="221"/>
      <c r="AJ16" s="221"/>
      <c r="AK16" s="221"/>
      <c r="AL16" s="221"/>
      <c r="AM16" s="221"/>
      <c r="AN16" s="221"/>
    </row>
    <row r="17" ht="22.6" customHeight="1" spans="1:40">
      <c r="A17" s="297"/>
      <c r="B17" s="272" t="s">
        <v>234</v>
      </c>
      <c r="C17" s="231"/>
      <c r="D17" s="273"/>
      <c r="E17" s="168"/>
      <c r="F17" s="167"/>
      <c r="G17" s="231"/>
      <c r="H17" s="231"/>
      <c r="I17" s="231"/>
      <c r="J17" s="231"/>
      <c r="K17" s="167"/>
      <c r="L17" s="167"/>
      <c r="M17" s="167"/>
      <c r="N17" s="167"/>
      <c r="O17" s="231"/>
      <c r="P17" s="166"/>
      <c r="Q17" s="166"/>
      <c r="R17" s="166"/>
      <c r="S17" s="277"/>
      <c r="T17" s="231"/>
      <c r="U17" s="231"/>
      <c r="V17" s="231"/>
      <c r="W17" s="231"/>
      <c r="X17" s="167"/>
      <c r="Y17" s="167"/>
      <c r="Z17" s="231"/>
      <c r="AA17" s="221"/>
      <c r="AB17" s="221"/>
      <c r="AC17" s="221"/>
      <c r="AD17" s="221"/>
      <c r="AE17" s="221"/>
      <c r="AF17" s="221"/>
      <c r="AG17" s="221"/>
      <c r="AH17" s="221"/>
      <c r="AI17" s="221"/>
      <c r="AJ17" s="221"/>
      <c r="AK17" s="221"/>
      <c r="AL17" s="221"/>
      <c r="AM17" s="221"/>
      <c r="AN17" s="221"/>
    </row>
    <row r="18" ht="22.6" customHeight="1" spans="1:40">
      <c r="A18" s="231" t="s">
        <v>237</v>
      </c>
      <c r="B18" s="272"/>
      <c r="C18" s="231"/>
      <c r="D18" s="273"/>
      <c r="E18" s="168"/>
      <c r="F18" s="167"/>
      <c r="G18" s="231"/>
      <c r="H18" s="231"/>
      <c r="I18" s="231"/>
      <c r="J18" s="231"/>
      <c r="K18" s="167"/>
      <c r="L18" s="167"/>
      <c r="M18" s="167"/>
      <c r="N18" s="167"/>
      <c r="O18" s="231"/>
      <c r="P18" s="166"/>
      <c r="Q18" s="166"/>
      <c r="R18" s="166"/>
      <c r="S18" s="277"/>
      <c r="T18" s="231"/>
      <c r="U18" s="231"/>
      <c r="V18" s="231"/>
      <c r="W18" s="231"/>
      <c r="X18" s="167"/>
      <c r="Y18" s="167"/>
      <c r="Z18" s="231"/>
      <c r="AA18" s="221"/>
      <c r="AB18" s="221"/>
      <c r="AC18" s="221"/>
      <c r="AD18" s="221"/>
      <c r="AE18" s="221"/>
      <c r="AF18" s="221"/>
      <c r="AG18" s="221"/>
      <c r="AH18" s="221"/>
      <c r="AI18" s="221"/>
      <c r="AJ18" s="221"/>
      <c r="AK18" s="221"/>
      <c r="AL18" s="221"/>
      <c r="AM18" s="221"/>
      <c r="AN18" s="221"/>
    </row>
    <row r="19" ht="22.6" customHeight="1" spans="1:40">
      <c r="A19" s="300" t="s">
        <v>238</v>
      </c>
      <c r="B19" s="272" t="s">
        <v>227</v>
      </c>
      <c r="C19" s="231"/>
      <c r="D19" s="273"/>
      <c r="E19" s="168"/>
      <c r="F19" s="167"/>
      <c r="G19" s="231"/>
      <c r="H19" s="231"/>
      <c r="I19" s="231"/>
      <c r="J19" s="231"/>
      <c r="K19" s="167"/>
      <c r="L19" s="167"/>
      <c r="M19" s="167"/>
      <c r="N19" s="167"/>
      <c r="O19" s="231"/>
      <c r="P19" s="166"/>
      <c r="Q19" s="166"/>
      <c r="R19" s="166"/>
      <c r="S19" s="277"/>
      <c r="T19" s="231"/>
      <c r="U19" s="231"/>
      <c r="V19" s="231"/>
      <c r="W19" s="231"/>
      <c r="X19" s="167"/>
      <c r="Y19" s="167"/>
      <c r="Z19" s="231"/>
      <c r="AA19" s="221"/>
      <c r="AB19" s="221"/>
      <c r="AC19" s="221"/>
      <c r="AD19" s="221"/>
      <c r="AE19" s="221"/>
      <c r="AF19" s="221"/>
      <c r="AG19" s="221"/>
      <c r="AH19" s="221"/>
      <c r="AI19" s="221"/>
      <c r="AJ19" s="221"/>
      <c r="AK19" s="221"/>
      <c r="AL19" s="221"/>
      <c r="AM19" s="221"/>
      <c r="AN19" s="221"/>
    </row>
    <row r="20" ht="22.6" customHeight="1" spans="1:40">
      <c r="A20" s="302"/>
      <c r="B20" s="272" t="s">
        <v>229</v>
      </c>
      <c r="C20" s="231"/>
      <c r="D20" s="273"/>
      <c r="E20" s="168"/>
      <c r="F20" s="167"/>
      <c r="G20" s="231"/>
      <c r="H20" s="231"/>
      <c r="I20" s="231"/>
      <c r="J20" s="231"/>
      <c r="K20" s="167"/>
      <c r="L20" s="167"/>
      <c r="M20" s="167"/>
      <c r="N20" s="167"/>
      <c r="O20" s="231"/>
      <c r="P20" s="166"/>
      <c r="Q20" s="166"/>
      <c r="R20" s="166"/>
      <c r="S20" s="277"/>
      <c r="T20" s="231"/>
      <c r="U20" s="231"/>
      <c r="V20" s="231"/>
      <c r="W20" s="231"/>
      <c r="X20" s="167"/>
      <c r="Y20" s="167"/>
      <c r="Z20" s="231"/>
      <c r="AA20" s="221"/>
      <c r="AB20" s="221"/>
      <c r="AC20" s="221"/>
      <c r="AD20" s="221"/>
      <c r="AE20" s="221"/>
      <c r="AF20" s="221"/>
      <c r="AG20" s="221"/>
      <c r="AH20" s="221"/>
      <c r="AI20" s="221"/>
      <c r="AJ20" s="221"/>
      <c r="AK20" s="221"/>
      <c r="AL20" s="221"/>
      <c r="AM20" s="221"/>
      <c r="AN20" s="221"/>
    </row>
    <row r="21" ht="22.6" customHeight="1" spans="1:40">
      <c r="A21" s="302"/>
      <c r="B21" s="272" t="s">
        <v>230</v>
      </c>
      <c r="C21" s="231"/>
      <c r="D21" s="273"/>
      <c r="E21" s="168"/>
      <c r="F21" s="167"/>
      <c r="G21" s="231"/>
      <c r="H21" s="231"/>
      <c r="I21" s="231"/>
      <c r="J21" s="231"/>
      <c r="K21" s="167"/>
      <c r="L21" s="167"/>
      <c r="M21" s="167"/>
      <c r="N21" s="167"/>
      <c r="O21" s="231"/>
      <c r="P21" s="166"/>
      <c r="Q21" s="166"/>
      <c r="R21" s="166"/>
      <c r="S21" s="277"/>
      <c r="T21" s="231"/>
      <c r="U21" s="231"/>
      <c r="V21" s="231"/>
      <c r="W21" s="231"/>
      <c r="X21" s="167"/>
      <c r="Y21" s="167"/>
      <c r="Z21" s="231"/>
      <c r="AA21" s="221"/>
      <c r="AB21" s="221"/>
      <c r="AC21" s="221"/>
      <c r="AD21" s="221"/>
      <c r="AE21" s="221"/>
      <c r="AF21" s="221"/>
      <c r="AG21" s="221"/>
      <c r="AH21" s="221"/>
      <c r="AI21" s="221"/>
      <c r="AJ21" s="221"/>
      <c r="AK21" s="221"/>
      <c r="AL21" s="221"/>
      <c r="AM21" s="221"/>
      <c r="AN21" s="221"/>
    </row>
    <row r="22" ht="22.6" customHeight="1" spans="1:40">
      <c r="A22" s="302"/>
      <c r="B22" s="272" t="s">
        <v>231</v>
      </c>
      <c r="C22" s="231"/>
      <c r="D22" s="273"/>
      <c r="E22" s="168"/>
      <c r="F22" s="167"/>
      <c r="G22" s="231"/>
      <c r="H22" s="231"/>
      <c r="I22" s="231"/>
      <c r="J22" s="231"/>
      <c r="K22" s="167"/>
      <c r="L22" s="167"/>
      <c r="M22" s="167"/>
      <c r="N22" s="167"/>
      <c r="O22" s="231"/>
      <c r="P22" s="166"/>
      <c r="Q22" s="166"/>
      <c r="R22" s="166"/>
      <c r="S22" s="277"/>
      <c r="T22" s="231"/>
      <c r="U22" s="231"/>
      <c r="V22" s="231"/>
      <c r="W22" s="231"/>
      <c r="X22" s="167"/>
      <c r="Y22" s="167"/>
      <c r="Z22" s="231"/>
      <c r="AA22" s="221"/>
      <c r="AB22" s="221"/>
      <c r="AC22" s="221"/>
      <c r="AD22" s="221"/>
      <c r="AE22" s="221"/>
      <c r="AF22" s="221"/>
      <c r="AG22" s="221"/>
      <c r="AH22" s="221"/>
      <c r="AI22" s="221"/>
      <c r="AJ22" s="221"/>
      <c r="AK22" s="221"/>
      <c r="AL22" s="221"/>
      <c r="AM22" s="221"/>
      <c r="AN22" s="221"/>
    </row>
    <row r="23" ht="22.6" customHeight="1" spans="1:40">
      <c r="A23" s="302"/>
      <c r="B23" s="272" t="s">
        <v>232</v>
      </c>
      <c r="C23" s="231"/>
      <c r="D23" s="273"/>
      <c r="E23" s="168"/>
      <c r="F23" s="167"/>
      <c r="G23" s="231"/>
      <c r="H23" s="231"/>
      <c r="I23" s="231"/>
      <c r="J23" s="231"/>
      <c r="K23" s="167"/>
      <c r="L23" s="167"/>
      <c r="M23" s="167"/>
      <c r="N23" s="167"/>
      <c r="O23" s="231"/>
      <c r="P23" s="166"/>
      <c r="Q23" s="166"/>
      <c r="R23" s="166"/>
      <c r="S23" s="277"/>
      <c r="T23" s="231"/>
      <c r="U23" s="231"/>
      <c r="V23" s="231"/>
      <c r="W23" s="231"/>
      <c r="X23" s="167"/>
      <c r="Y23" s="167"/>
      <c r="Z23" s="231"/>
      <c r="AA23" s="221"/>
      <c r="AB23" s="221"/>
      <c r="AC23" s="221"/>
      <c r="AD23" s="221"/>
      <c r="AE23" s="221"/>
      <c r="AF23" s="221"/>
      <c r="AG23" s="221"/>
      <c r="AH23" s="221"/>
      <c r="AI23" s="221"/>
      <c r="AJ23" s="221"/>
      <c r="AK23" s="221"/>
      <c r="AL23" s="221"/>
      <c r="AM23" s="221"/>
      <c r="AN23" s="221"/>
    </row>
    <row r="24" ht="22.6" customHeight="1" spans="1:40">
      <c r="A24" s="302"/>
      <c r="B24" s="272" t="s">
        <v>233</v>
      </c>
      <c r="C24" s="231"/>
      <c r="D24" s="273"/>
      <c r="E24" s="168"/>
      <c r="F24" s="167"/>
      <c r="G24" s="231"/>
      <c r="H24" s="231"/>
      <c r="I24" s="231"/>
      <c r="J24" s="231"/>
      <c r="K24" s="167"/>
      <c r="L24" s="167"/>
      <c r="M24" s="167"/>
      <c r="N24" s="167"/>
      <c r="O24" s="231"/>
      <c r="P24" s="166"/>
      <c r="Q24" s="166"/>
      <c r="R24" s="166"/>
      <c r="S24" s="277"/>
      <c r="T24" s="231"/>
      <c r="U24" s="231"/>
      <c r="V24" s="231"/>
      <c r="W24" s="231"/>
      <c r="X24" s="167"/>
      <c r="Y24" s="167"/>
      <c r="Z24" s="231"/>
      <c r="AA24" s="221"/>
      <c r="AB24" s="221"/>
      <c r="AC24" s="221"/>
      <c r="AD24" s="221"/>
      <c r="AE24" s="221"/>
      <c r="AF24" s="221"/>
      <c r="AG24" s="221"/>
      <c r="AH24" s="221"/>
      <c r="AI24" s="221"/>
      <c r="AJ24" s="221"/>
      <c r="AK24" s="221"/>
      <c r="AL24" s="221"/>
      <c r="AM24" s="221"/>
      <c r="AN24" s="221"/>
    </row>
    <row r="25" ht="22.6" customHeight="1" spans="1:40">
      <c r="A25" s="297"/>
      <c r="B25" s="272" t="s">
        <v>234</v>
      </c>
      <c r="C25" s="231"/>
      <c r="D25" s="273"/>
      <c r="E25" s="168"/>
      <c r="F25" s="167"/>
      <c r="G25" s="231"/>
      <c r="H25" s="231"/>
      <c r="I25" s="231"/>
      <c r="J25" s="231"/>
      <c r="K25" s="167"/>
      <c r="L25" s="167"/>
      <c r="M25" s="167"/>
      <c r="N25" s="167"/>
      <c r="O25" s="231"/>
      <c r="P25" s="166"/>
      <c r="Q25" s="166"/>
      <c r="R25" s="166"/>
      <c r="S25" s="277"/>
      <c r="T25" s="231"/>
      <c r="U25" s="231"/>
      <c r="V25" s="231"/>
      <c r="W25" s="231"/>
      <c r="X25" s="167"/>
      <c r="Y25" s="167"/>
      <c r="Z25" s="231"/>
      <c r="AA25" s="221"/>
      <c r="AB25" s="221"/>
      <c r="AC25" s="221"/>
      <c r="AD25" s="221"/>
      <c r="AE25" s="221"/>
      <c r="AF25" s="221"/>
      <c r="AG25" s="221"/>
      <c r="AH25" s="221"/>
      <c r="AI25" s="221"/>
      <c r="AJ25" s="221"/>
      <c r="AK25" s="221"/>
      <c r="AL25" s="221"/>
      <c r="AM25" s="221"/>
      <c r="AN25" s="221"/>
    </row>
    <row r="26" ht="22.6" customHeight="1" spans="1:40">
      <c r="A26" s="231" t="s">
        <v>239</v>
      </c>
      <c r="B26" s="272"/>
      <c r="C26" s="231"/>
      <c r="D26" s="273"/>
      <c r="E26" s="168"/>
      <c r="F26" s="167"/>
      <c r="G26" s="231"/>
      <c r="H26" s="231"/>
      <c r="I26" s="231"/>
      <c r="J26" s="231"/>
      <c r="K26" s="167"/>
      <c r="L26" s="167"/>
      <c r="M26" s="167"/>
      <c r="N26" s="167"/>
      <c r="O26" s="231"/>
      <c r="P26" s="166"/>
      <c r="Q26" s="166"/>
      <c r="R26" s="166"/>
      <c r="S26" s="277"/>
      <c r="T26" s="231"/>
      <c r="U26" s="231"/>
      <c r="V26" s="231"/>
      <c r="W26" s="231"/>
      <c r="X26" s="167"/>
      <c r="Y26" s="167"/>
      <c r="Z26" s="231"/>
      <c r="AA26" s="221"/>
      <c r="AB26" s="221"/>
      <c r="AC26" s="221"/>
      <c r="AD26" s="221"/>
      <c r="AE26" s="221"/>
      <c r="AF26" s="221"/>
      <c r="AG26" s="221"/>
      <c r="AH26" s="221"/>
      <c r="AI26" s="221"/>
      <c r="AJ26" s="221"/>
      <c r="AK26" s="221"/>
      <c r="AL26" s="221"/>
      <c r="AM26" s="221"/>
      <c r="AN26" s="221"/>
    </row>
    <row r="27" ht="22.6" customHeight="1" spans="1:40">
      <c r="A27" s="300" t="s">
        <v>240</v>
      </c>
      <c r="B27" s="272" t="s">
        <v>227</v>
      </c>
      <c r="C27" s="231"/>
      <c r="D27" s="273"/>
      <c r="E27" s="168"/>
      <c r="F27" s="167"/>
      <c r="G27" s="231"/>
      <c r="H27" s="231"/>
      <c r="I27" s="231"/>
      <c r="J27" s="231"/>
      <c r="K27" s="167"/>
      <c r="L27" s="167"/>
      <c r="M27" s="167"/>
      <c r="N27" s="167"/>
      <c r="O27" s="231"/>
      <c r="P27" s="166"/>
      <c r="Q27" s="166"/>
      <c r="R27" s="166"/>
      <c r="S27" s="277"/>
      <c r="T27" s="231"/>
      <c r="U27" s="231"/>
      <c r="V27" s="231"/>
      <c r="W27" s="231"/>
      <c r="X27" s="167"/>
      <c r="Y27" s="167"/>
      <c r="Z27" s="231"/>
      <c r="AA27" s="221"/>
      <c r="AB27" s="221"/>
      <c r="AC27" s="221"/>
      <c r="AD27" s="221"/>
      <c r="AE27" s="221"/>
      <c r="AF27" s="221"/>
      <c r="AG27" s="221"/>
      <c r="AH27" s="221"/>
      <c r="AI27" s="221"/>
      <c r="AJ27" s="221"/>
      <c r="AK27" s="221"/>
      <c r="AL27" s="221"/>
      <c r="AM27" s="221"/>
      <c r="AN27" s="221"/>
    </row>
    <row r="28" ht="22.6" customHeight="1" spans="1:40">
      <c r="A28" s="302"/>
      <c r="B28" s="272" t="s">
        <v>229</v>
      </c>
      <c r="C28" s="231"/>
      <c r="D28" s="273"/>
      <c r="E28" s="168"/>
      <c r="F28" s="167"/>
      <c r="G28" s="231"/>
      <c r="H28" s="231"/>
      <c r="I28" s="231"/>
      <c r="J28" s="231"/>
      <c r="K28" s="167"/>
      <c r="L28" s="167"/>
      <c r="M28" s="167"/>
      <c r="N28" s="167"/>
      <c r="O28" s="231"/>
      <c r="P28" s="166"/>
      <c r="Q28" s="166"/>
      <c r="R28" s="166"/>
      <c r="S28" s="277"/>
      <c r="T28" s="231"/>
      <c r="U28" s="231"/>
      <c r="V28" s="231"/>
      <c r="W28" s="231"/>
      <c r="X28" s="167"/>
      <c r="Y28" s="167"/>
      <c r="Z28" s="231"/>
      <c r="AA28" s="221"/>
      <c r="AB28" s="221"/>
      <c r="AC28" s="221"/>
      <c r="AD28" s="221"/>
      <c r="AE28" s="221"/>
      <c r="AF28" s="221"/>
      <c r="AG28" s="221"/>
      <c r="AH28" s="221"/>
      <c r="AI28" s="221"/>
      <c r="AJ28" s="221"/>
      <c r="AK28" s="221"/>
      <c r="AL28" s="221"/>
      <c r="AM28" s="221"/>
      <c r="AN28" s="221"/>
    </row>
    <row r="29" ht="22.6" customHeight="1" spans="1:40">
      <c r="A29" s="302"/>
      <c r="B29" s="272" t="s">
        <v>230</v>
      </c>
      <c r="C29" s="231"/>
      <c r="D29" s="273"/>
      <c r="E29" s="168"/>
      <c r="F29" s="167"/>
      <c r="G29" s="231"/>
      <c r="H29" s="231"/>
      <c r="I29" s="231"/>
      <c r="J29" s="231"/>
      <c r="K29" s="167"/>
      <c r="L29" s="167"/>
      <c r="M29" s="167"/>
      <c r="N29" s="167"/>
      <c r="O29" s="231"/>
      <c r="P29" s="166"/>
      <c r="Q29" s="166"/>
      <c r="R29" s="166"/>
      <c r="S29" s="277"/>
      <c r="T29" s="231"/>
      <c r="U29" s="231"/>
      <c r="V29" s="231"/>
      <c r="W29" s="231"/>
      <c r="X29" s="167"/>
      <c r="Y29" s="167"/>
      <c r="Z29" s="231"/>
      <c r="AA29" s="221"/>
      <c r="AB29" s="221"/>
      <c r="AC29" s="221"/>
      <c r="AD29" s="221"/>
      <c r="AE29" s="221"/>
      <c r="AF29" s="221"/>
      <c r="AG29" s="221"/>
      <c r="AH29" s="221"/>
      <c r="AI29" s="221"/>
      <c r="AJ29" s="221"/>
      <c r="AK29" s="221"/>
      <c r="AL29" s="221"/>
      <c r="AM29" s="221"/>
      <c r="AN29" s="221"/>
    </row>
    <row r="30" ht="22.6" customHeight="1" spans="1:40">
      <c r="A30" s="302"/>
      <c r="B30" s="272" t="s">
        <v>231</v>
      </c>
      <c r="C30" s="231"/>
      <c r="D30" s="273"/>
      <c r="E30" s="168"/>
      <c r="F30" s="167"/>
      <c r="G30" s="231"/>
      <c r="H30" s="231"/>
      <c r="I30" s="231"/>
      <c r="J30" s="231"/>
      <c r="K30" s="167"/>
      <c r="L30" s="167"/>
      <c r="M30" s="167"/>
      <c r="N30" s="167"/>
      <c r="O30" s="231"/>
      <c r="P30" s="166"/>
      <c r="Q30" s="166"/>
      <c r="R30" s="166"/>
      <c r="S30" s="277"/>
      <c r="T30" s="231"/>
      <c r="U30" s="231"/>
      <c r="V30" s="231"/>
      <c r="W30" s="231"/>
      <c r="X30" s="167"/>
      <c r="Y30" s="167"/>
      <c r="Z30" s="231"/>
      <c r="AA30" s="221"/>
      <c r="AB30" s="221"/>
      <c r="AC30" s="221"/>
      <c r="AD30" s="221"/>
      <c r="AE30" s="221"/>
      <c r="AF30" s="221"/>
      <c r="AG30" s="221"/>
      <c r="AH30" s="221"/>
      <c r="AI30" s="221"/>
      <c r="AJ30" s="221"/>
      <c r="AK30" s="221"/>
      <c r="AL30" s="221"/>
      <c r="AM30" s="221"/>
      <c r="AN30" s="221"/>
    </row>
    <row r="31" ht="22.6" customHeight="1" spans="1:40">
      <c r="A31" s="302"/>
      <c r="B31" s="272" t="s">
        <v>232</v>
      </c>
      <c r="C31" s="167"/>
      <c r="D31" s="273"/>
      <c r="E31" s="168"/>
      <c r="F31" s="167"/>
      <c r="G31" s="231"/>
      <c r="H31" s="231"/>
      <c r="I31" s="231"/>
      <c r="J31" s="231"/>
      <c r="K31" s="167"/>
      <c r="L31" s="167"/>
      <c r="M31" s="167"/>
      <c r="N31" s="167"/>
      <c r="O31" s="231"/>
      <c r="P31" s="166"/>
      <c r="Q31" s="166"/>
      <c r="R31" s="166"/>
      <c r="S31" s="277"/>
      <c r="T31" s="231"/>
      <c r="U31" s="231"/>
      <c r="V31" s="231"/>
      <c r="W31" s="231"/>
      <c r="X31" s="167"/>
      <c r="Y31" s="167"/>
      <c r="Z31" s="231"/>
      <c r="AA31" s="221"/>
      <c r="AB31" s="221"/>
      <c r="AC31" s="221"/>
      <c r="AD31" s="221"/>
      <c r="AE31" s="221"/>
      <c r="AF31" s="221"/>
      <c r="AG31" s="221"/>
      <c r="AH31" s="221"/>
      <c r="AI31" s="221"/>
      <c r="AJ31" s="221"/>
      <c r="AK31" s="221"/>
      <c r="AL31" s="221"/>
      <c r="AM31" s="221"/>
      <c r="AN31" s="221"/>
    </row>
    <row r="32" ht="22.6" customHeight="1" spans="1:40">
      <c r="A32" s="302"/>
      <c r="B32" s="272" t="s">
        <v>233</v>
      </c>
      <c r="C32" s="167"/>
      <c r="D32" s="273"/>
      <c r="E32" s="168"/>
      <c r="F32" s="167"/>
      <c r="G32" s="231"/>
      <c r="H32" s="231"/>
      <c r="I32" s="231"/>
      <c r="J32" s="231"/>
      <c r="K32" s="167"/>
      <c r="L32" s="167"/>
      <c r="M32" s="167"/>
      <c r="N32" s="167"/>
      <c r="O32" s="231"/>
      <c r="P32" s="166"/>
      <c r="Q32" s="166"/>
      <c r="R32" s="166"/>
      <c r="S32" s="277"/>
      <c r="T32" s="231"/>
      <c r="U32" s="231"/>
      <c r="V32" s="231"/>
      <c r="W32" s="231"/>
      <c r="X32" s="167"/>
      <c r="Y32" s="167"/>
      <c r="Z32" s="231"/>
      <c r="AA32" s="221"/>
      <c r="AB32" s="221"/>
      <c r="AC32" s="221"/>
      <c r="AD32" s="221"/>
      <c r="AE32" s="221"/>
      <c r="AF32" s="221"/>
      <c r="AG32" s="221"/>
      <c r="AH32" s="221"/>
      <c r="AI32" s="221"/>
      <c r="AJ32" s="221"/>
      <c r="AK32" s="221"/>
      <c r="AL32" s="221"/>
      <c r="AM32" s="221"/>
      <c r="AN32" s="221"/>
    </row>
    <row r="33" ht="22.6" customHeight="1" spans="1:40">
      <c r="A33" s="297"/>
      <c r="B33" s="272" t="s">
        <v>234</v>
      </c>
      <c r="C33" s="167"/>
      <c r="D33" s="273"/>
      <c r="E33" s="168"/>
      <c r="F33" s="167"/>
      <c r="G33" s="231"/>
      <c r="H33" s="231"/>
      <c r="I33" s="231"/>
      <c r="J33" s="231"/>
      <c r="K33" s="167"/>
      <c r="L33" s="167"/>
      <c r="M33" s="167"/>
      <c r="N33" s="167"/>
      <c r="O33" s="231"/>
      <c r="P33" s="166"/>
      <c r="Q33" s="166"/>
      <c r="R33" s="166"/>
      <c r="S33" s="277"/>
      <c r="T33" s="231"/>
      <c r="U33" s="231"/>
      <c r="V33" s="231"/>
      <c r="W33" s="231"/>
      <c r="X33" s="167"/>
      <c r="Y33" s="167"/>
      <c r="Z33" s="231"/>
      <c r="AA33" s="221"/>
      <c r="AB33" s="221"/>
      <c r="AC33" s="221"/>
      <c r="AD33" s="221"/>
      <c r="AE33" s="221"/>
      <c r="AF33" s="221"/>
      <c r="AG33" s="221"/>
      <c r="AH33" s="221"/>
      <c r="AI33" s="221"/>
      <c r="AJ33" s="221"/>
      <c r="AK33" s="221"/>
      <c r="AL33" s="221"/>
      <c r="AM33" s="221"/>
      <c r="AN33" s="221"/>
    </row>
    <row r="34" ht="22.6" customHeight="1" spans="1:40">
      <c r="A34" s="231" t="s">
        <v>241</v>
      </c>
      <c r="B34" s="272"/>
      <c r="C34" s="167"/>
      <c r="D34" s="273"/>
      <c r="E34" s="168"/>
      <c r="F34" s="167"/>
      <c r="G34" s="231"/>
      <c r="H34" s="231"/>
      <c r="I34" s="231"/>
      <c r="J34" s="231"/>
      <c r="K34" s="167"/>
      <c r="L34" s="167"/>
      <c r="M34" s="167"/>
      <c r="N34" s="167"/>
      <c r="O34" s="231"/>
      <c r="P34" s="166"/>
      <c r="Q34" s="166"/>
      <c r="R34" s="166"/>
      <c r="S34" s="277"/>
      <c r="T34" s="231"/>
      <c r="U34" s="231"/>
      <c r="V34" s="231"/>
      <c r="W34" s="231"/>
      <c r="X34" s="167"/>
      <c r="Y34" s="167"/>
      <c r="Z34" s="231"/>
      <c r="AA34" s="221"/>
      <c r="AB34" s="221"/>
      <c r="AC34" s="221"/>
      <c r="AD34" s="221"/>
      <c r="AE34" s="221"/>
      <c r="AF34" s="221"/>
      <c r="AG34" s="221"/>
      <c r="AH34" s="221"/>
      <c r="AI34" s="221"/>
      <c r="AJ34" s="221"/>
      <c r="AK34" s="221"/>
      <c r="AL34" s="221"/>
      <c r="AM34" s="221"/>
      <c r="AN34" s="221"/>
    </row>
    <row r="35" ht="22.6" customHeight="1" spans="1:40">
      <c r="A35" s="300" t="s">
        <v>242</v>
      </c>
      <c r="B35" s="272" t="s">
        <v>227</v>
      </c>
      <c r="C35" s="167"/>
      <c r="D35" s="273"/>
      <c r="E35" s="168"/>
      <c r="F35" s="167"/>
      <c r="G35" s="231"/>
      <c r="H35" s="231"/>
      <c r="I35" s="231"/>
      <c r="J35" s="231"/>
      <c r="K35" s="167"/>
      <c r="L35" s="167"/>
      <c r="M35" s="167"/>
      <c r="N35" s="167"/>
      <c r="O35" s="231"/>
      <c r="P35" s="166"/>
      <c r="Q35" s="166"/>
      <c r="R35" s="166"/>
      <c r="S35" s="277"/>
      <c r="T35" s="231"/>
      <c r="U35" s="231"/>
      <c r="V35" s="231"/>
      <c r="W35" s="231"/>
      <c r="X35" s="167"/>
      <c r="Y35" s="167"/>
      <c r="Z35" s="231"/>
      <c r="AA35" s="221"/>
      <c r="AB35" s="221"/>
      <c r="AC35" s="221"/>
      <c r="AD35" s="221"/>
      <c r="AE35" s="221"/>
      <c r="AF35" s="221"/>
      <c r="AG35" s="221"/>
      <c r="AH35" s="221"/>
      <c r="AI35" s="221"/>
      <c r="AJ35" s="221"/>
      <c r="AK35" s="221"/>
      <c r="AL35" s="221"/>
      <c r="AM35" s="221"/>
      <c r="AN35" s="221"/>
    </row>
    <row r="36" ht="22.6" customHeight="1" spans="1:40">
      <c r="A36" s="302"/>
      <c r="B36" s="272" t="s">
        <v>229</v>
      </c>
      <c r="C36" s="167"/>
      <c r="D36" s="273"/>
      <c r="E36" s="168"/>
      <c r="F36" s="167"/>
      <c r="G36" s="231"/>
      <c r="H36" s="231"/>
      <c r="I36" s="231"/>
      <c r="J36" s="231"/>
      <c r="K36" s="167"/>
      <c r="L36" s="167"/>
      <c r="M36" s="167"/>
      <c r="N36" s="167"/>
      <c r="O36" s="231"/>
      <c r="P36" s="166"/>
      <c r="Q36" s="166"/>
      <c r="R36" s="166"/>
      <c r="S36" s="277"/>
      <c r="T36" s="231"/>
      <c r="U36" s="231"/>
      <c r="V36" s="231"/>
      <c r="W36" s="231"/>
      <c r="X36" s="167"/>
      <c r="Y36" s="167"/>
      <c r="Z36" s="231"/>
      <c r="AA36" s="221"/>
      <c r="AB36" s="221"/>
      <c r="AC36" s="221"/>
      <c r="AD36" s="221"/>
      <c r="AE36" s="221"/>
      <c r="AF36" s="221"/>
      <c r="AG36" s="221"/>
      <c r="AH36" s="221"/>
      <c r="AI36" s="221"/>
      <c r="AJ36" s="221"/>
      <c r="AK36" s="221"/>
      <c r="AL36" s="221"/>
      <c r="AM36" s="221"/>
      <c r="AN36" s="221"/>
    </row>
    <row r="37" ht="22.6" customHeight="1" spans="1:40">
      <c r="A37" s="302"/>
      <c r="B37" s="272" t="s">
        <v>230</v>
      </c>
      <c r="C37" s="167"/>
      <c r="D37" s="273"/>
      <c r="E37" s="168"/>
      <c r="F37" s="167"/>
      <c r="G37" s="231"/>
      <c r="H37" s="231"/>
      <c r="I37" s="231"/>
      <c r="J37" s="231"/>
      <c r="K37" s="167"/>
      <c r="L37" s="167"/>
      <c r="M37" s="167"/>
      <c r="N37" s="167"/>
      <c r="O37" s="231"/>
      <c r="P37" s="166"/>
      <c r="Q37" s="166"/>
      <c r="R37" s="166"/>
      <c r="S37" s="277"/>
      <c r="T37" s="231"/>
      <c r="U37" s="231"/>
      <c r="V37" s="231"/>
      <c r="W37" s="231"/>
      <c r="X37" s="167"/>
      <c r="Y37" s="167"/>
      <c r="Z37" s="231"/>
      <c r="AA37" s="221"/>
      <c r="AB37" s="221"/>
      <c r="AC37" s="221"/>
      <c r="AD37" s="221"/>
      <c r="AE37" s="221"/>
      <c r="AF37" s="221"/>
      <c r="AG37" s="221"/>
      <c r="AH37" s="221"/>
      <c r="AI37" s="221"/>
      <c r="AJ37" s="221"/>
      <c r="AK37" s="221"/>
      <c r="AL37" s="221"/>
      <c r="AM37" s="221"/>
      <c r="AN37" s="221"/>
    </row>
    <row r="38" ht="22.6" customHeight="1" spans="1:40">
      <c r="A38" s="302"/>
      <c r="B38" s="272" t="s">
        <v>231</v>
      </c>
      <c r="C38" s="167"/>
      <c r="D38" s="273"/>
      <c r="E38" s="168"/>
      <c r="F38" s="167"/>
      <c r="G38" s="231"/>
      <c r="H38" s="231"/>
      <c r="I38" s="231"/>
      <c r="J38" s="231"/>
      <c r="K38" s="167"/>
      <c r="L38" s="167"/>
      <c r="M38" s="167"/>
      <c r="N38" s="167"/>
      <c r="O38" s="231"/>
      <c r="P38" s="166"/>
      <c r="Q38" s="166"/>
      <c r="R38" s="166"/>
      <c r="S38" s="277"/>
      <c r="T38" s="231"/>
      <c r="U38" s="231"/>
      <c r="V38" s="231"/>
      <c r="W38" s="231"/>
      <c r="X38" s="167"/>
      <c r="Y38" s="167"/>
      <c r="Z38" s="231"/>
      <c r="AA38" s="221"/>
      <c r="AB38" s="221"/>
      <c r="AC38" s="221"/>
      <c r="AD38" s="221"/>
      <c r="AE38" s="221"/>
      <c r="AF38" s="221"/>
      <c r="AG38" s="221"/>
      <c r="AH38" s="221"/>
      <c r="AI38" s="221"/>
      <c r="AJ38" s="221"/>
      <c r="AK38" s="221"/>
      <c r="AL38" s="221"/>
      <c r="AM38" s="221"/>
      <c r="AN38" s="221"/>
    </row>
    <row r="39" ht="22.6" customHeight="1" spans="1:40">
      <c r="A39" s="302"/>
      <c r="B39" s="272" t="s">
        <v>232</v>
      </c>
      <c r="C39" s="167"/>
      <c r="D39" s="273"/>
      <c r="E39" s="168"/>
      <c r="F39" s="167"/>
      <c r="G39" s="231"/>
      <c r="H39" s="231"/>
      <c r="I39" s="231"/>
      <c r="J39" s="231"/>
      <c r="K39" s="167"/>
      <c r="L39" s="167"/>
      <c r="M39" s="167"/>
      <c r="N39" s="167"/>
      <c r="O39" s="231"/>
      <c r="P39" s="166"/>
      <c r="Q39" s="166"/>
      <c r="R39" s="166"/>
      <c r="S39" s="277"/>
      <c r="T39" s="231"/>
      <c r="U39" s="231"/>
      <c r="V39" s="231"/>
      <c r="W39" s="231"/>
      <c r="X39" s="167"/>
      <c r="Y39" s="167"/>
      <c r="Z39" s="231"/>
      <c r="AA39" s="221"/>
      <c r="AB39" s="221"/>
      <c r="AC39" s="221"/>
      <c r="AD39" s="221"/>
      <c r="AE39" s="221"/>
      <c r="AF39" s="221"/>
      <c r="AG39" s="221"/>
      <c r="AH39" s="221"/>
      <c r="AI39" s="221"/>
      <c r="AJ39" s="221"/>
      <c r="AK39" s="221"/>
      <c r="AL39" s="221"/>
      <c r="AM39" s="221"/>
      <c r="AN39" s="221"/>
    </row>
    <row r="40" ht="22.6" customHeight="1" spans="1:40">
      <c r="A40" s="302"/>
      <c r="B40" s="272" t="s">
        <v>233</v>
      </c>
      <c r="C40" s="167"/>
      <c r="D40" s="273"/>
      <c r="E40" s="168"/>
      <c r="F40" s="167"/>
      <c r="G40" s="231"/>
      <c r="H40" s="231"/>
      <c r="I40" s="231"/>
      <c r="J40" s="231"/>
      <c r="K40" s="167"/>
      <c r="L40" s="167"/>
      <c r="M40" s="167"/>
      <c r="N40" s="167"/>
      <c r="O40" s="231"/>
      <c r="P40" s="166"/>
      <c r="Q40" s="166"/>
      <c r="R40" s="166"/>
      <c r="S40" s="277"/>
      <c r="T40" s="231"/>
      <c r="U40" s="231"/>
      <c r="V40" s="231"/>
      <c r="W40" s="231"/>
      <c r="X40" s="167"/>
      <c r="Y40" s="167"/>
      <c r="Z40" s="231"/>
      <c r="AA40" s="221"/>
      <c r="AB40" s="221"/>
      <c r="AC40" s="221"/>
      <c r="AD40" s="221"/>
      <c r="AE40" s="221"/>
      <c r="AF40" s="221"/>
      <c r="AG40" s="221"/>
      <c r="AH40" s="221"/>
      <c r="AI40" s="221"/>
      <c r="AJ40" s="221"/>
      <c r="AK40" s="221"/>
      <c r="AL40" s="221"/>
      <c r="AM40" s="221"/>
      <c r="AN40" s="221"/>
    </row>
    <row r="41" ht="22.6" customHeight="1" spans="1:40">
      <c r="A41" s="297"/>
      <c r="B41" s="272" t="s">
        <v>234</v>
      </c>
      <c r="C41" s="167"/>
      <c r="D41" s="273"/>
      <c r="E41" s="168"/>
      <c r="F41" s="167"/>
      <c r="G41" s="231"/>
      <c r="H41" s="231"/>
      <c r="I41" s="231"/>
      <c r="J41" s="231"/>
      <c r="K41" s="167"/>
      <c r="L41" s="167"/>
      <c r="M41" s="167"/>
      <c r="N41" s="167"/>
      <c r="O41" s="231"/>
      <c r="P41" s="166"/>
      <c r="Q41" s="166"/>
      <c r="R41" s="166"/>
      <c r="S41" s="277"/>
      <c r="T41" s="231"/>
      <c r="U41" s="231"/>
      <c r="V41" s="231"/>
      <c r="W41" s="231"/>
      <c r="X41" s="167"/>
      <c r="Y41" s="167"/>
      <c r="Z41" s="231"/>
      <c r="AA41" s="221"/>
      <c r="AB41" s="221"/>
      <c r="AC41" s="221"/>
      <c r="AD41" s="221"/>
      <c r="AE41" s="221"/>
      <c r="AF41" s="221"/>
      <c r="AG41" s="221"/>
      <c r="AH41" s="221"/>
      <c r="AI41" s="221"/>
      <c r="AJ41" s="221"/>
      <c r="AK41" s="221"/>
      <c r="AL41" s="221"/>
      <c r="AM41" s="221"/>
      <c r="AN41" s="221"/>
    </row>
    <row r="42" ht="22.6" customHeight="1" spans="1:40">
      <c r="A42" s="231" t="s">
        <v>243</v>
      </c>
      <c r="B42" s="272"/>
      <c r="C42" s="167"/>
      <c r="D42" s="273"/>
      <c r="E42" s="168"/>
      <c r="F42" s="167"/>
      <c r="G42" s="231"/>
      <c r="H42" s="231"/>
      <c r="I42" s="231"/>
      <c r="J42" s="231"/>
      <c r="K42" s="167"/>
      <c r="L42" s="167"/>
      <c r="M42" s="167"/>
      <c r="N42" s="167"/>
      <c r="O42" s="231"/>
      <c r="P42" s="166"/>
      <c r="Q42" s="166"/>
      <c r="R42" s="166"/>
      <c r="S42" s="277"/>
      <c r="T42" s="231"/>
      <c r="U42" s="231"/>
      <c r="V42" s="231"/>
      <c r="W42" s="231"/>
      <c r="X42" s="167"/>
      <c r="Y42" s="167"/>
      <c r="Z42" s="231"/>
      <c r="AA42" s="221"/>
      <c r="AB42" s="221"/>
      <c r="AC42" s="221"/>
      <c r="AD42" s="221"/>
      <c r="AE42" s="221"/>
      <c r="AF42" s="221"/>
      <c r="AG42" s="221"/>
      <c r="AH42" s="221"/>
      <c r="AI42" s="221"/>
      <c r="AJ42" s="221"/>
      <c r="AK42" s="221"/>
      <c r="AL42" s="221"/>
      <c r="AM42" s="221"/>
      <c r="AN42" s="221"/>
    </row>
    <row r="43" ht="22.6" customHeight="1" spans="1:40">
      <c r="A43" s="300" t="s">
        <v>244</v>
      </c>
      <c r="B43" s="272" t="s">
        <v>227</v>
      </c>
      <c r="C43" s="167"/>
      <c r="D43" s="273"/>
      <c r="E43" s="168"/>
      <c r="F43" s="167"/>
      <c r="G43" s="231"/>
      <c r="H43" s="231"/>
      <c r="I43" s="231"/>
      <c r="J43" s="231"/>
      <c r="K43" s="167"/>
      <c r="L43" s="167"/>
      <c r="M43" s="167"/>
      <c r="N43" s="167"/>
      <c r="O43" s="231"/>
      <c r="P43" s="166"/>
      <c r="Q43" s="166"/>
      <c r="R43" s="166"/>
      <c r="S43" s="277"/>
      <c r="T43" s="231"/>
      <c r="U43" s="231"/>
      <c r="V43" s="231"/>
      <c r="W43" s="231"/>
      <c r="X43" s="167"/>
      <c r="Y43" s="167"/>
      <c r="Z43" s="231"/>
      <c r="AA43" s="221"/>
      <c r="AB43" s="221"/>
      <c r="AC43" s="221"/>
      <c r="AD43" s="221"/>
      <c r="AE43" s="221"/>
      <c r="AF43" s="221"/>
      <c r="AG43" s="221"/>
      <c r="AH43" s="221"/>
      <c r="AI43" s="221"/>
      <c r="AJ43" s="221"/>
      <c r="AK43" s="221"/>
      <c r="AL43" s="221"/>
      <c r="AM43" s="221"/>
      <c r="AN43" s="221"/>
    </row>
    <row r="44" ht="22.6" customHeight="1" spans="1:40">
      <c r="A44" s="302"/>
      <c r="B44" s="272" t="s">
        <v>229</v>
      </c>
      <c r="C44" s="167"/>
      <c r="D44" s="273"/>
      <c r="E44" s="168"/>
      <c r="F44" s="167"/>
      <c r="G44" s="231"/>
      <c r="H44" s="231"/>
      <c r="I44" s="231"/>
      <c r="J44" s="231"/>
      <c r="K44" s="167"/>
      <c r="L44" s="167"/>
      <c r="M44" s="167"/>
      <c r="N44" s="167"/>
      <c r="O44" s="231"/>
      <c r="P44" s="166"/>
      <c r="Q44" s="166"/>
      <c r="R44" s="166"/>
      <c r="S44" s="277"/>
      <c r="T44" s="231"/>
      <c r="U44" s="231"/>
      <c r="V44" s="231"/>
      <c r="W44" s="231"/>
      <c r="X44" s="167"/>
      <c r="Y44" s="167"/>
      <c r="Z44" s="231"/>
      <c r="AA44" s="221"/>
      <c r="AB44" s="221"/>
      <c r="AC44" s="221"/>
      <c r="AD44" s="221"/>
      <c r="AE44" s="221"/>
      <c r="AF44" s="221"/>
      <c r="AG44" s="221"/>
      <c r="AH44" s="221"/>
      <c r="AI44" s="221"/>
      <c r="AJ44" s="221"/>
      <c r="AK44" s="221"/>
      <c r="AL44" s="221"/>
      <c r="AM44" s="221"/>
      <c r="AN44" s="221"/>
    </row>
    <row r="45" ht="22.6" customHeight="1" spans="1:40">
      <c r="A45" s="302"/>
      <c r="B45" s="272" t="s">
        <v>230</v>
      </c>
      <c r="C45" s="167"/>
      <c r="D45" s="273"/>
      <c r="E45" s="168"/>
      <c r="F45" s="167"/>
      <c r="G45" s="231"/>
      <c r="H45" s="231"/>
      <c r="I45" s="231"/>
      <c r="J45" s="231"/>
      <c r="K45" s="167"/>
      <c r="L45" s="167"/>
      <c r="M45" s="167"/>
      <c r="N45" s="167"/>
      <c r="O45" s="231"/>
      <c r="P45" s="166"/>
      <c r="Q45" s="166"/>
      <c r="R45" s="166"/>
      <c r="S45" s="277"/>
      <c r="T45" s="231"/>
      <c r="U45" s="231"/>
      <c r="V45" s="231"/>
      <c r="W45" s="231"/>
      <c r="X45" s="167"/>
      <c r="Y45" s="167"/>
      <c r="Z45" s="231"/>
      <c r="AA45" s="221"/>
      <c r="AB45" s="221"/>
      <c r="AC45" s="221"/>
      <c r="AD45" s="221"/>
      <c r="AE45" s="221"/>
      <c r="AF45" s="221"/>
      <c r="AG45" s="221"/>
      <c r="AH45" s="221"/>
      <c r="AI45" s="221"/>
      <c r="AJ45" s="221"/>
      <c r="AK45" s="221"/>
      <c r="AL45" s="221"/>
      <c r="AM45" s="221"/>
      <c r="AN45" s="221"/>
    </row>
    <row r="46" ht="22.6" customHeight="1" spans="1:40">
      <c r="A46" s="302"/>
      <c r="B46" s="272" t="s">
        <v>231</v>
      </c>
      <c r="C46" s="167"/>
      <c r="D46" s="273"/>
      <c r="E46" s="168"/>
      <c r="F46" s="167"/>
      <c r="G46" s="231"/>
      <c r="H46" s="231"/>
      <c r="I46" s="231"/>
      <c r="J46" s="231"/>
      <c r="K46" s="167"/>
      <c r="L46" s="167"/>
      <c r="M46" s="167"/>
      <c r="N46" s="167"/>
      <c r="O46" s="231"/>
      <c r="P46" s="166"/>
      <c r="Q46" s="166"/>
      <c r="R46" s="166"/>
      <c r="S46" s="277"/>
      <c r="T46" s="231"/>
      <c r="U46" s="231"/>
      <c r="V46" s="231"/>
      <c r="W46" s="231"/>
      <c r="X46" s="167"/>
      <c r="Y46" s="167"/>
      <c r="Z46" s="231"/>
      <c r="AA46" s="221"/>
      <c r="AB46" s="221"/>
      <c r="AC46" s="221"/>
      <c r="AD46" s="221"/>
      <c r="AE46" s="221"/>
      <c r="AF46" s="221"/>
      <c r="AG46" s="221"/>
      <c r="AH46" s="221"/>
      <c r="AI46" s="221"/>
      <c r="AJ46" s="221"/>
      <c r="AK46" s="221"/>
      <c r="AL46" s="221"/>
      <c r="AM46" s="221"/>
      <c r="AN46" s="221"/>
    </row>
    <row r="47" ht="26.8" customHeight="1" spans="1:40">
      <c r="A47" s="302"/>
      <c r="B47" s="272" t="s">
        <v>232</v>
      </c>
      <c r="C47" s="167"/>
      <c r="D47" s="273"/>
      <c r="E47" s="168"/>
      <c r="F47" s="167"/>
      <c r="G47" s="231"/>
      <c r="H47" s="231"/>
      <c r="I47" s="231"/>
      <c r="J47" s="231"/>
      <c r="K47" s="167"/>
      <c r="L47" s="167"/>
      <c r="M47" s="167"/>
      <c r="N47" s="167"/>
      <c r="O47" s="231"/>
      <c r="P47" s="166"/>
      <c r="Q47" s="166"/>
      <c r="R47" s="166"/>
      <c r="S47" s="277"/>
      <c r="T47" s="231"/>
      <c r="U47" s="231"/>
      <c r="V47" s="231"/>
      <c r="W47" s="231"/>
      <c r="X47" s="167"/>
      <c r="Y47" s="167"/>
      <c r="Z47" s="231"/>
      <c r="AA47" s="221"/>
      <c r="AB47" s="221"/>
      <c r="AC47" s="221"/>
      <c r="AD47" s="221"/>
      <c r="AE47" s="221"/>
      <c r="AF47" s="221"/>
      <c r="AG47" s="221"/>
      <c r="AH47" s="221"/>
      <c r="AI47" s="221"/>
      <c r="AJ47" s="221"/>
      <c r="AK47" s="221"/>
      <c r="AL47" s="221"/>
      <c r="AM47" s="221"/>
      <c r="AN47" s="221"/>
    </row>
    <row r="48" ht="26.8" customHeight="1" spans="1:40">
      <c r="A48" s="302"/>
      <c r="B48" s="272" t="s">
        <v>233</v>
      </c>
      <c r="C48" s="167"/>
      <c r="D48" s="273"/>
      <c r="E48" s="168"/>
      <c r="F48" s="167"/>
      <c r="G48" s="231"/>
      <c r="H48" s="231"/>
      <c r="I48" s="231"/>
      <c r="J48" s="231"/>
      <c r="K48" s="167"/>
      <c r="L48" s="167"/>
      <c r="M48" s="167"/>
      <c r="N48" s="167"/>
      <c r="O48" s="231"/>
      <c r="P48" s="166"/>
      <c r="Q48" s="166"/>
      <c r="R48" s="166"/>
      <c r="S48" s="277"/>
      <c r="T48" s="231"/>
      <c r="U48" s="231"/>
      <c r="V48" s="231"/>
      <c r="W48" s="231"/>
      <c r="X48" s="167"/>
      <c r="Y48" s="167"/>
      <c r="Z48" s="231"/>
      <c r="AA48" s="221"/>
      <c r="AB48" s="221"/>
      <c r="AC48" s="221"/>
      <c r="AD48" s="221"/>
      <c r="AE48" s="221"/>
      <c r="AF48" s="221"/>
      <c r="AG48" s="221"/>
      <c r="AH48" s="221"/>
      <c r="AI48" s="221"/>
      <c r="AJ48" s="221"/>
      <c r="AK48" s="221"/>
      <c r="AL48" s="221"/>
      <c r="AM48" s="221"/>
      <c r="AN48" s="221"/>
    </row>
    <row r="49" ht="26.8" customHeight="1" spans="1:40">
      <c r="A49" s="297"/>
      <c r="B49" s="272" t="s">
        <v>234</v>
      </c>
      <c r="C49" s="167"/>
      <c r="D49" s="273"/>
      <c r="E49" s="168"/>
      <c r="F49" s="167"/>
      <c r="G49" s="231"/>
      <c r="H49" s="231"/>
      <c r="I49" s="231"/>
      <c r="J49" s="231"/>
      <c r="K49" s="167"/>
      <c r="L49" s="167"/>
      <c r="M49" s="167"/>
      <c r="N49" s="167"/>
      <c r="O49" s="231"/>
      <c r="P49" s="166"/>
      <c r="Q49" s="166"/>
      <c r="R49" s="166"/>
      <c r="S49" s="277"/>
      <c r="T49" s="231"/>
      <c r="U49" s="231"/>
      <c r="V49" s="231"/>
      <c r="W49" s="231"/>
      <c r="X49" s="167"/>
      <c r="Y49" s="167"/>
      <c r="Z49" s="231"/>
      <c r="AA49" s="221"/>
      <c r="AB49" s="221"/>
      <c r="AC49" s="221"/>
      <c r="AD49" s="221"/>
      <c r="AE49" s="221"/>
      <c r="AF49" s="221"/>
      <c r="AG49" s="221"/>
      <c r="AH49" s="221"/>
      <c r="AI49" s="221"/>
      <c r="AJ49" s="221"/>
      <c r="AK49" s="221"/>
      <c r="AL49" s="221"/>
      <c r="AM49" s="221"/>
      <c r="AN49" s="221"/>
    </row>
    <row r="50" ht="26.8" customHeight="1" spans="1:40">
      <c r="A50" s="221" t="s">
        <v>245</v>
      </c>
      <c r="B50" s="221"/>
      <c r="C50" s="221"/>
      <c r="D50" s="303"/>
      <c r="E50" s="303"/>
      <c r="F50" s="304"/>
      <c r="G50" s="221"/>
      <c r="H50" s="221"/>
      <c r="I50" s="221"/>
      <c r="J50" s="221"/>
      <c r="K50" s="304"/>
      <c r="L50" s="304"/>
      <c r="M50" s="304"/>
      <c r="N50" s="304"/>
      <c r="O50" s="221"/>
      <c r="P50" s="305"/>
      <c r="Q50" s="305"/>
      <c r="R50" s="305"/>
      <c r="S50" s="306"/>
      <c r="T50" s="221"/>
      <c r="U50" s="221"/>
      <c r="V50" s="221"/>
      <c r="W50" s="221"/>
      <c r="X50" s="304"/>
      <c r="Y50" s="304"/>
      <c r="Z50" s="221"/>
      <c r="AA50" s="221"/>
      <c r="AB50" s="221"/>
      <c r="AC50" s="221"/>
      <c r="AD50" s="221"/>
      <c r="AE50" s="221"/>
      <c r="AF50" s="221"/>
      <c r="AG50" s="221"/>
      <c r="AH50" s="221"/>
      <c r="AI50" s="221"/>
      <c r="AJ50" s="221"/>
      <c r="AK50" s="221"/>
      <c r="AL50" s="221"/>
      <c r="AM50" s="221"/>
      <c r="AN50" s="221"/>
    </row>
    <row r="51" ht="26.8" customHeight="1" spans="1:40">
      <c r="A51" s="221"/>
      <c r="B51" s="221"/>
      <c r="C51" s="221"/>
      <c r="D51" s="303"/>
      <c r="E51" s="303"/>
      <c r="F51" s="304"/>
      <c r="G51" s="221"/>
      <c r="H51" s="221"/>
      <c r="I51" s="221"/>
      <c r="J51" s="221"/>
      <c r="K51" s="304"/>
      <c r="L51" s="304"/>
      <c r="M51" s="304"/>
      <c r="N51" s="304"/>
      <c r="O51" s="221"/>
      <c r="P51" s="305"/>
      <c r="Q51" s="305"/>
      <c r="R51" s="305"/>
      <c r="S51" s="306"/>
      <c r="T51" s="221"/>
      <c r="U51" s="221"/>
      <c r="V51" s="221"/>
      <c r="W51" s="221"/>
      <c r="X51" s="304"/>
      <c r="Y51" s="304"/>
      <c r="Z51" s="221"/>
      <c r="AA51" s="221"/>
      <c r="AB51" s="221"/>
      <c r="AC51" s="221"/>
      <c r="AD51" s="221"/>
      <c r="AE51" s="221"/>
      <c r="AF51" s="221"/>
      <c r="AG51" s="221"/>
      <c r="AH51" s="221"/>
      <c r="AI51" s="221"/>
      <c r="AJ51" s="221"/>
      <c r="AK51" s="221"/>
      <c r="AL51" s="221"/>
      <c r="AM51" s="221"/>
      <c r="AN51" s="221"/>
    </row>
    <row r="52" ht="26.8" customHeight="1" spans="1:40">
      <c r="A52" s="221"/>
      <c r="B52" s="221"/>
      <c r="C52" s="221"/>
      <c r="D52" s="303"/>
      <c r="E52" s="303"/>
      <c r="F52" s="304"/>
      <c r="G52" s="221"/>
      <c r="H52" s="221"/>
      <c r="I52" s="221"/>
      <c r="J52" s="221"/>
      <c r="K52" s="304"/>
      <c r="L52" s="304"/>
      <c r="M52" s="304"/>
      <c r="N52" s="304"/>
      <c r="O52" s="221"/>
      <c r="P52" s="305"/>
      <c r="Q52" s="305"/>
      <c r="R52" s="305"/>
      <c r="S52" s="306"/>
      <c r="T52" s="221"/>
      <c r="U52" s="221"/>
      <c r="V52" s="221"/>
      <c r="W52" s="221"/>
      <c r="X52" s="304"/>
      <c r="Y52" s="304"/>
      <c r="Z52" s="221"/>
      <c r="AA52" s="221"/>
      <c r="AB52" s="221"/>
      <c r="AC52" s="221"/>
      <c r="AD52" s="221"/>
      <c r="AE52" s="221"/>
      <c r="AF52" s="221"/>
      <c r="AG52" s="221"/>
      <c r="AH52" s="221"/>
      <c r="AI52" s="221"/>
      <c r="AJ52" s="221"/>
      <c r="AK52" s="221"/>
      <c r="AL52" s="221"/>
      <c r="AM52" s="221"/>
      <c r="AN52" s="221"/>
    </row>
    <row r="53" ht="26.8" customHeight="1" spans="1:40">
      <c r="A53" s="221"/>
      <c r="B53" s="221"/>
      <c r="C53" s="221"/>
      <c r="D53" s="303"/>
      <c r="E53" s="303"/>
      <c r="F53" s="304"/>
      <c r="G53" s="221"/>
      <c r="H53" s="221"/>
      <c r="I53" s="221"/>
      <c r="J53" s="221"/>
      <c r="K53" s="304"/>
      <c r="L53" s="304"/>
      <c r="M53" s="304"/>
      <c r="N53" s="304"/>
      <c r="O53" s="221"/>
      <c r="P53" s="305"/>
      <c r="Q53" s="305"/>
      <c r="R53" s="305"/>
      <c r="S53" s="306"/>
      <c r="T53" s="221"/>
      <c r="U53" s="221"/>
      <c r="V53" s="221"/>
      <c r="W53" s="221"/>
      <c r="X53" s="304"/>
      <c r="Y53" s="304"/>
      <c r="Z53" s="221"/>
      <c r="AA53" s="221"/>
      <c r="AB53" s="221"/>
      <c r="AC53" s="221"/>
      <c r="AD53" s="221"/>
      <c r="AE53" s="221"/>
      <c r="AF53" s="221"/>
      <c r="AG53" s="221"/>
      <c r="AH53" s="221"/>
      <c r="AI53" s="221"/>
      <c r="AJ53" s="221"/>
      <c r="AK53" s="221"/>
      <c r="AL53" s="221"/>
      <c r="AM53" s="221"/>
      <c r="AN53" s="221"/>
    </row>
    <row r="54" ht="26.8" customHeight="1" spans="1:40">
      <c r="A54" s="221"/>
      <c r="B54" s="221"/>
      <c r="C54" s="221"/>
      <c r="D54" s="303"/>
      <c r="E54" s="303"/>
      <c r="F54" s="304"/>
      <c r="G54" s="221"/>
      <c r="H54" s="221"/>
      <c r="I54" s="221"/>
      <c r="J54" s="221"/>
      <c r="K54" s="304"/>
      <c r="L54" s="304"/>
      <c r="M54" s="304"/>
      <c r="N54" s="304"/>
      <c r="O54" s="221"/>
      <c r="P54" s="305"/>
      <c r="Q54" s="305"/>
      <c r="R54" s="305"/>
      <c r="S54" s="306"/>
      <c r="T54" s="221"/>
      <c r="U54" s="221"/>
      <c r="V54" s="221"/>
      <c r="W54" s="221"/>
      <c r="X54" s="304"/>
      <c r="Y54" s="304"/>
      <c r="Z54" s="221"/>
      <c r="AA54" s="221"/>
      <c r="AB54" s="221"/>
      <c r="AC54" s="221"/>
      <c r="AD54" s="221"/>
      <c r="AE54" s="221"/>
      <c r="AF54" s="221"/>
      <c r="AG54" s="221"/>
      <c r="AH54" s="221"/>
      <c r="AI54" s="221"/>
      <c r="AJ54" s="221"/>
      <c r="AK54" s="221"/>
      <c r="AL54" s="221"/>
      <c r="AM54" s="221"/>
      <c r="AN54" s="221"/>
    </row>
    <row r="55" ht="26.8" customHeight="1" spans="1:40">
      <c r="A55" s="221"/>
      <c r="B55" s="221"/>
      <c r="C55" s="221"/>
      <c r="D55" s="221"/>
      <c r="E55" s="221"/>
      <c r="F55" s="221"/>
      <c r="G55" s="221"/>
      <c r="H55" s="221"/>
      <c r="I55" s="221"/>
      <c r="J55" s="221"/>
      <c r="K55" s="221"/>
      <c r="L55" s="221"/>
      <c r="M55" s="221"/>
      <c r="N55" s="221"/>
      <c r="O55" s="221"/>
      <c r="P55" s="221"/>
      <c r="Q55" s="221"/>
      <c r="R55" s="221"/>
      <c r="S55" s="221"/>
      <c r="T55" s="221"/>
      <c r="U55" s="221"/>
      <c r="V55" s="221"/>
      <c r="W55" s="221"/>
      <c r="X55" s="221"/>
      <c r="Y55" s="221"/>
      <c r="Z55" s="221"/>
      <c r="AA55" s="221"/>
      <c r="AB55" s="221"/>
      <c r="AC55" s="221"/>
      <c r="AD55" s="221"/>
      <c r="AE55" s="221"/>
      <c r="AF55" s="221"/>
      <c r="AG55" s="221"/>
      <c r="AH55" s="221"/>
      <c r="AI55" s="221"/>
      <c r="AJ55" s="221"/>
      <c r="AK55" s="221"/>
      <c r="AL55" s="221"/>
      <c r="AM55" s="221"/>
      <c r="AN55" s="221"/>
    </row>
    <row r="56" ht="26.8" customHeight="1" spans="1:40">
      <c r="A56" s="307"/>
      <c r="B56" s="307"/>
      <c r="C56" s="307"/>
      <c r="D56" s="307"/>
      <c r="E56" s="307"/>
      <c r="F56" s="308"/>
      <c r="G56" s="307"/>
      <c r="H56" s="307"/>
      <c r="I56" s="307"/>
      <c r="J56" s="307"/>
      <c r="K56" s="307"/>
      <c r="L56" s="307"/>
      <c r="M56" s="307"/>
      <c r="N56" s="307"/>
      <c r="O56" s="307"/>
      <c r="P56" s="307"/>
      <c r="Q56" s="307"/>
      <c r="R56" s="307"/>
      <c r="S56" s="307"/>
      <c r="T56" s="307"/>
      <c r="U56" s="307"/>
      <c r="V56" s="307"/>
      <c r="W56" s="307"/>
      <c r="X56" s="307"/>
      <c r="Y56" s="307"/>
      <c r="Z56" s="307"/>
      <c r="AA56" s="221"/>
      <c r="AB56" s="221"/>
      <c r="AC56" s="221"/>
      <c r="AD56" s="221"/>
      <c r="AE56" s="221"/>
      <c r="AF56" s="221"/>
      <c r="AG56" s="221"/>
      <c r="AH56" s="221"/>
      <c r="AI56" s="221"/>
      <c r="AJ56" s="221"/>
      <c r="AK56" s="221"/>
      <c r="AL56" s="221"/>
      <c r="AM56" s="221"/>
      <c r="AN56" s="221"/>
    </row>
    <row r="57" ht="26.8" customHeight="1" spans="1:40">
      <c r="A57" s="307"/>
      <c r="B57" s="307"/>
      <c r="C57" s="307"/>
      <c r="D57" s="307"/>
      <c r="E57" s="307"/>
      <c r="F57" s="308"/>
      <c r="G57" s="307"/>
      <c r="H57" s="307"/>
      <c r="I57" s="307"/>
      <c r="J57" s="307"/>
      <c r="K57" s="307"/>
      <c r="L57" s="307"/>
      <c r="M57" s="307"/>
      <c r="N57" s="307"/>
      <c r="O57" s="307"/>
      <c r="P57" s="307"/>
      <c r="Q57" s="307"/>
      <c r="R57" s="307"/>
      <c r="S57" s="307"/>
      <c r="T57" s="307"/>
      <c r="U57" s="307"/>
      <c r="V57" s="307"/>
      <c r="W57" s="307"/>
      <c r="X57" s="307"/>
      <c r="Y57" s="307"/>
      <c r="Z57" s="307"/>
      <c r="AA57" s="221"/>
      <c r="AB57" s="221"/>
      <c r="AC57" s="221"/>
      <c r="AD57" s="221"/>
      <c r="AE57" s="221"/>
      <c r="AF57" s="221"/>
      <c r="AG57" s="221"/>
      <c r="AH57" s="221"/>
      <c r="AI57" s="221"/>
      <c r="AJ57" s="221"/>
      <c r="AK57" s="221"/>
      <c r="AL57" s="221"/>
      <c r="AM57" s="221"/>
      <c r="AN57" s="221"/>
    </row>
    <row r="58" ht="26.8" customHeight="1" spans="1:40">
      <c r="A58" s="307"/>
      <c r="B58" s="307"/>
      <c r="C58" s="307"/>
      <c r="D58" s="307"/>
      <c r="E58" s="307"/>
      <c r="F58" s="308"/>
      <c r="G58" s="307"/>
      <c r="H58" s="307"/>
      <c r="I58" s="307"/>
      <c r="J58" s="307"/>
      <c r="K58" s="307"/>
      <c r="L58" s="307"/>
      <c r="M58" s="307"/>
      <c r="N58" s="307"/>
      <c r="O58" s="307"/>
      <c r="P58" s="307"/>
      <c r="Q58" s="307"/>
      <c r="R58" s="307"/>
      <c r="S58" s="307"/>
      <c r="T58" s="307"/>
      <c r="U58" s="307"/>
      <c r="V58" s="307"/>
      <c r="W58" s="307"/>
      <c r="X58" s="307"/>
      <c r="Y58" s="307"/>
      <c r="Z58" s="307"/>
      <c r="AA58" s="221"/>
      <c r="AB58" s="221"/>
      <c r="AC58" s="221"/>
      <c r="AD58" s="221"/>
      <c r="AE58" s="221"/>
      <c r="AF58" s="221"/>
      <c r="AG58" s="221"/>
      <c r="AH58" s="221"/>
      <c r="AI58" s="221"/>
      <c r="AJ58" s="221"/>
      <c r="AK58" s="221"/>
      <c r="AL58" s="221"/>
      <c r="AM58" s="221"/>
      <c r="AN58" s="221"/>
    </row>
    <row r="59" ht="26.8" customHeight="1" spans="1:40">
      <c r="A59" s="307"/>
      <c r="B59" s="307"/>
      <c r="C59" s="307"/>
      <c r="D59" s="307"/>
      <c r="E59" s="307"/>
      <c r="F59" s="308"/>
      <c r="G59" s="307"/>
      <c r="H59" s="307"/>
      <c r="I59" s="307"/>
      <c r="J59" s="307"/>
      <c r="K59" s="307"/>
      <c r="L59" s="307"/>
      <c r="M59" s="307"/>
      <c r="N59" s="307"/>
      <c r="O59" s="307"/>
      <c r="P59" s="307"/>
      <c r="Q59" s="307"/>
      <c r="R59" s="307"/>
      <c r="S59" s="307"/>
      <c r="T59" s="307"/>
      <c r="U59" s="307"/>
      <c r="V59" s="307"/>
      <c r="W59" s="307"/>
      <c r="X59" s="307"/>
      <c r="Y59" s="307"/>
      <c r="Z59" s="307"/>
      <c r="AA59" s="221"/>
      <c r="AB59" s="221"/>
      <c r="AC59" s="221"/>
      <c r="AD59" s="221"/>
      <c r="AE59" s="221"/>
      <c r="AF59" s="221"/>
      <c r="AG59" s="221"/>
      <c r="AH59" s="221"/>
      <c r="AI59" s="221"/>
      <c r="AJ59" s="221"/>
      <c r="AK59" s="221"/>
      <c r="AL59" s="221"/>
      <c r="AM59" s="221"/>
      <c r="AN59" s="221"/>
    </row>
    <row r="60" ht="26.8" customHeight="1" spans="1:40">
      <c r="A60" s="307"/>
      <c r="B60" s="307"/>
      <c r="C60" s="307"/>
      <c r="D60" s="307"/>
      <c r="E60" s="307"/>
      <c r="F60" s="308"/>
      <c r="G60" s="307"/>
      <c r="H60" s="307"/>
      <c r="I60" s="307"/>
      <c r="J60" s="307"/>
      <c r="K60" s="307"/>
      <c r="L60" s="307"/>
      <c r="M60" s="307"/>
      <c r="N60" s="307"/>
      <c r="O60" s="307"/>
      <c r="P60" s="307"/>
      <c r="Q60" s="307"/>
      <c r="R60" s="307"/>
      <c r="S60" s="307"/>
      <c r="T60" s="307"/>
      <c r="U60" s="307"/>
      <c r="V60" s="307"/>
      <c r="W60" s="307"/>
      <c r="X60" s="307"/>
      <c r="Y60" s="307"/>
      <c r="Z60" s="307"/>
      <c r="AA60" s="221"/>
      <c r="AB60" s="221"/>
      <c r="AC60" s="221"/>
      <c r="AD60" s="221"/>
      <c r="AE60" s="221"/>
      <c r="AF60" s="221"/>
      <c r="AG60" s="221"/>
      <c r="AH60" s="221"/>
      <c r="AI60" s="221"/>
      <c r="AJ60" s="221"/>
      <c r="AK60" s="221"/>
      <c r="AL60" s="221"/>
      <c r="AM60" s="221"/>
      <c r="AN60" s="221"/>
    </row>
    <row r="61" ht="26.8" customHeight="1" spans="1:40">
      <c r="A61" s="307"/>
      <c r="B61" s="307"/>
      <c r="C61" s="307"/>
      <c r="D61" s="307"/>
      <c r="E61" s="307"/>
      <c r="F61" s="308"/>
      <c r="G61" s="307"/>
      <c r="H61" s="307"/>
      <c r="I61" s="307"/>
      <c r="J61" s="307"/>
      <c r="K61" s="307"/>
      <c r="L61" s="307"/>
      <c r="M61" s="307"/>
      <c r="N61" s="307"/>
      <c r="O61" s="307"/>
      <c r="P61" s="307"/>
      <c r="Q61" s="307"/>
      <c r="R61" s="307"/>
      <c r="S61" s="307"/>
      <c r="T61" s="307"/>
      <c r="U61" s="307"/>
      <c r="V61" s="307"/>
      <c r="W61" s="307"/>
      <c r="X61" s="307"/>
      <c r="Y61" s="307"/>
      <c r="Z61" s="307"/>
      <c r="AA61" s="221"/>
      <c r="AB61" s="221"/>
      <c r="AC61" s="221"/>
      <c r="AD61" s="221"/>
      <c r="AE61" s="221"/>
      <c r="AF61" s="221"/>
      <c r="AG61" s="221"/>
      <c r="AH61" s="221"/>
      <c r="AI61" s="221"/>
      <c r="AJ61" s="221"/>
      <c r="AK61" s="221"/>
      <c r="AL61" s="221"/>
      <c r="AM61" s="221"/>
      <c r="AN61" s="221"/>
    </row>
    <row r="62" ht="26.8" customHeight="1" spans="1:40">
      <c r="A62" s="307"/>
      <c r="B62" s="307"/>
      <c r="C62" s="307"/>
      <c r="D62" s="307"/>
      <c r="E62" s="307"/>
      <c r="F62" s="308"/>
      <c r="G62" s="307"/>
      <c r="H62" s="307"/>
      <c r="I62" s="307"/>
      <c r="J62" s="307"/>
      <c r="K62" s="307"/>
      <c r="L62" s="307"/>
      <c r="M62" s="307"/>
      <c r="N62" s="307"/>
      <c r="O62" s="307"/>
      <c r="P62" s="307"/>
      <c r="Q62" s="307"/>
      <c r="R62" s="307"/>
      <c r="S62" s="307"/>
      <c r="T62" s="307"/>
      <c r="U62" s="307"/>
      <c r="V62" s="307"/>
      <c r="W62" s="307"/>
      <c r="X62" s="307"/>
      <c r="Y62" s="307"/>
      <c r="Z62" s="307"/>
      <c r="AA62" s="221"/>
      <c r="AB62" s="221"/>
      <c r="AC62" s="221"/>
      <c r="AD62" s="221"/>
      <c r="AE62" s="221"/>
      <c r="AF62" s="221"/>
      <c r="AG62" s="221"/>
      <c r="AH62" s="221"/>
      <c r="AI62" s="221"/>
      <c r="AJ62" s="221"/>
      <c r="AK62" s="221"/>
      <c r="AL62" s="221"/>
      <c r="AM62" s="221"/>
      <c r="AN62" s="221"/>
    </row>
    <row r="63" ht="26.8" customHeight="1" spans="1:40">
      <c r="A63" s="307"/>
      <c r="B63" s="307"/>
      <c r="C63" s="307"/>
      <c r="D63" s="307"/>
      <c r="E63" s="307"/>
      <c r="F63" s="308"/>
      <c r="G63" s="307"/>
      <c r="H63" s="307"/>
      <c r="I63" s="307"/>
      <c r="J63" s="307"/>
      <c r="K63" s="307"/>
      <c r="L63" s="307"/>
      <c r="M63" s="307"/>
      <c r="N63" s="307"/>
      <c r="O63" s="307"/>
      <c r="P63" s="307"/>
      <c r="Q63" s="307"/>
      <c r="R63" s="307"/>
      <c r="S63" s="307"/>
      <c r="T63" s="307"/>
      <c r="U63" s="307"/>
      <c r="V63" s="307"/>
      <c r="W63" s="307"/>
      <c r="X63" s="307"/>
      <c r="Y63" s="307"/>
      <c r="Z63" s="307"/>
      <c r="AA63" s="221"/>
      <c r="AB63" s="221"/>
      <c r="AC63" s="221"/>
      <c r="AD63" s="221"/>
      <c r="AE63" s="221"/>
      <c r="AF63" s="221"/>
      <c r="AG63" s="221"/>
      <c r="AH63" s="221"/>
      <c r="AI63" s="221"/>
      <c r="AJ63" s="221"/>
      <c r="AK63" s="221"/>
      <c r="AL63" s="221"/>
      <c r="AM63" s="221"/>
      <c r="AN63" s="221"/>
    </row>
    <row r="64" ht="26.8" customHeight="1" spans="1:40">
      <c r="A64" s="307"/>
      <c r="B64" s="307"/>
      <c r="C64" s="307"/>
      <c r="D64" s="307"/>
      <c r="E64" s="307"/>
      <c r="F64" s="308"/>
      <c r="G64" s="307"/>
      <c r="H64" s="307"/>
      <c r="I64" s="307"/>
      <c r="J64" s="307"/>
      <c r="K64" s="307"/>
      <c r="L64" s="307"/>
      <c r="M64" s="307"/>
      <c r="N64" s="307"/>
      <c r="O64" s="307"/>
      <c r="P64" s="307"/>
      <c r="Q64" s="307"/>
      <c r="R64" s="307"/>
      <c r="S64" s="307"/>
      <c r="T64" s="307"/>
      <c r="U64" s="307"/>
      <c r="V64" s="307"/>
      <c r="W64" s="307"/>
      <c r="X64" s="307"/>
      <c r="Y64" s="307"/>
      <c r="Z64" s="307"/>
      <c r="AA64" s="221"/>
      <c r="AB64" s="221"/>
      <c r="AC64" s="221"/>
      <c r="AD64" s="221"/>
      <c r="AE64" s="221"/>
      <c r="AF64" s="221"/>
      <c r="AG64" s="221"/>
      <c r="AH64" s="221"/>
      <c r="AI64" s="221"/>
      <c r="AJ64" s="221"/>
      <c r="AK64" s="221"/>
      <c r="AL64" s="221"/>
      <c r="AM64" s="221"/>
      <c r="AN64" s="221"/>
    </row>
    <row r="65" ht="26.8" customHeight="1" spans="1:40">
      <c r="A65" s="307"/>
      <c r="B65" s="307"/>
      <c r="C65" s="307"/>
      <c r="D65" s="307"/>
      <c r="E65" s="307"/>
      <c r="F65" s="308"/>
      <c r="G65" s="307"/>
      <c r="H65" s="307"/>
      <c r="I65" s="307"/>
      <c r="J65" s="307"/>
      <c r="K65" s="307"/>
      <c r="L65" s="307"/>
      <c r="M65" s="307"/>
      <c r="N65" s="307"/>
      <c r="O65" s="307"/>
      <c r="P65" s="307"/>
      <c r="Q65" s="307"/>
      <c r="R65" s="307"/>
      <c r="S65" s="307"/>
      <c r="T65" s="307"/>
      <c r="U65" s="307"/>
      <c r="V65" s="307"/>
      <c r="W65" s="307"/>
      <c r="X65" s="307"/>
      <c r="Y65" s="307"/>
      <c r="Z65" s="307"/>
      <c r="AA65" s="221"/>
      <c r="AB65" s="221"/>
      <c r="AC65" s="221"/>
      <c r="AD65" s="221"/>
      <c r="AE65" s="221"/>
      <c r="AF65" s="221"/>
      <c r="AG65" s="221"/>
      <c r="AH65" s="221"/>
      <c r="AI65" s="221"/>
      <c r="AJ65" s="221"/>
      <c r="AK65" s="221"/>
      <c r="AL65" s="221"/>
      <c r="AM65" s="221"/>
      <c r="AN65" s="221"/>
    </row>
    <row r="66" ht="26.8" customHeight="1" spans="1:40">
      <c r="A66" s="307"/>
      <c r="B66" s="307"/>
      <c r="C66" s="307"/>
      <c r="D66" s="307"/>
      <c r="E66" s="307"/>
      <c r="F66" s="308"/>
      <c r="G66" s="307"/>
      <c r="H66" s="307"/>
      <c r="I66" s="307"/>
      <c r="J66" s="307"/>
      <c r="K66" s="307"/>
      <c r="L66" s="307"/>
      <c r="M66" s="307"/>
      <c r="N66" s="307"/>
      <c r="O66" s="307"/>
      <c r="P66" s="307"/>
      <c r="Q66" s="307"/>
      <c r="R66" s="307"/>
      <c r="S66" s="307"/>
      <c r="T66" s="307"/>
      <c r="U66" s="307"/>
      <c r="V66" s="307"/>
      <c r="W66" s="307"/>
      <c r="X66" s="307"/>
      <c r="Y66" s="307"/>
      <c r="Z66" s="307"/>
      <c r="AA66" s="221"/>
      <c r="AB66" s="221"/>
      <c r="AC66" s="221"/>
      <c r="AD66" s="221"/>
      <c r="AE66" s="221"/>
      <c r="AF66" s="221"/>
      <c r="AG66" s="221"/>
      <c r="AH66" s="221"/>
      <c r="AI66" s="221"/>
      <c r="AJ66" s="221"/>
      <c r="AK66" s="221"/>
      <c r="AL66" s="221"/>
      <c r="AM66" s="221"/>
      <c r="AN66" s="221"/>
    </row>
    <row r="67" ht="26.8" customHeight="1" spans="1:40">
      <c r="A67" s="309" t="s">
        <v>246</v>
      </c>
      <c r="B67" s="309"/>
      <c r="C67" s="309"/>
      <c r="D67" s="309"/>
      <c r="E67" s="309"/>
      <c r="F67" s="310"/>
      <c r="G67" s="309"/>
      <c r="H67" s="309"/>
      <c r="I67" s="309"/>
      <c r="J67" s="309"/>
      <c r="K67" s="309"/>
      <c r="L67" s="309"/>
      <c r="M67" s="309"/>
      <c r="N67" s="309"/>
      <c r="O67" s="309"/>
      <c r="P67" s="309"/>
      <c r="Q67" s="309"/>
      <c r="R67" s="309"/>
      <c r="S67" s="309"/>
      <c r="T67" s="309"/>
      <c r="U67" s="309"/>
      <c r="V67" s="309"/>
      <c r="W67" s="309"/>
      <c r="X67" s="309"/>
      <c r="Y67" s="309"/>
      <c r="Z67" s="309"/>
      <c r="AA67" s="221"/>
      <c r="AB67" s="221"/>
      <c r="AC67" s="221"/>
      <c r="AD67" s="221"/>
      <c r="AE67" s="221"/>
      <c r="AF67" s="221"/>
      <c r="AG67" s="221"/>
      <c r="AH67" s="221"/>
      <c r="AI67" s="221"/>
      <c r="AJ67" s="221"/>
      <c r="AK67" s="221"/>
      <c r="AL67" s="221"/>
      <c r="AM67" s="221"/>
      <c r="AN67" s="221"/>
    </row>
    <row r="68" ht="22.6" customHeight="1" spans="1:40">
      <c r="A68" s="297" t="s">
        <v>235</v>
      </c>
      <c r="B68" s="311" t="s">
        <v>146</v>
      </c>
      <c r="C68" s="297"/>
      <c r="D68" s="312"/>
      <c r="E68" s="153"/>
      <c r="F68" s="313"/>
      <c r="G68" s="297"/>
      <c r="H68" s="297"/>
      <c r="I68" s="297"/>
      <c r="J68" s="297"/>
      <c r="K68" s="152"/>
      <c r="L68" s="152"/>
      <c r="M68" s="152"/>
      <c r="N68" s="152"/>
      <c r="O68" s="297"/>
      <c r="P68" s="151"/>
      <c r="Q68" s="151"/>
      <c r="R68" s="151"/>
      <c r="S68" s="314"/>
      <c r="T68" s="297"/>
      <c r="U68" s="297"/>
      <c r="V68" s="297"/>
      <c r="W68" s="297"/>
      <c r="X68" s="152"/>
      <c r="Y68" s="152"/>
      <c r="Z68" s="297"/>
      <c r="AA68" s="221"/>
      <c r="AB68" s="221"/>
      <c r="AC68" s="221"/>
      <c r="AD68" s="221"/>
      <c r="AE68" s="221"/>
      <c r="AF68" s="221"/>
      <c r="AG68" s="221"/>
      <c r="AH68" s="221"/>
      <c r="AI68" s="221"/>
      <c r="AJ68" s="221"/>
      <c r="AK68" s="221"/>
      <c r="AL68" s="221"/>
      <c r="AM68" s="221"/>
      <c r="AN68" s="221"/>
    </row>
    <row r="69" ht="22.6" customHeight="1" spans="1:40">
      <c r="A69" s="231"/>
      <c r="B69" s="272" t="s">
        <v>147</v>
      </c>
      <c r="C69" s="231"/>
      <c r="D69" s="273"/>
      <c r="E69" s="168"/>
      <c r="F69" s="274"/>
      <c r="G69" s="231"/>
      <c r="H69" s="231"/>
      <c r="I69" s="231"/>
      <c r="J69" s="231"/>
      <c r="K69" s="167"/>
      <c r="L69" s="167"/>
      <c r="M69" s="167"/>
      <c r="N69" s="167"/>
      <c r="O69" s="231"/>
      <c r="P69" s="166"/>
      <c r="Q69" s="166"/>
      <c r="R69" s="166"/>
      <c r="S69" s="277"/>
      <c r="T69" s="231"/>
      <c r="U69" s="231"/>
      <c r="V69" s="231"/>
      <c r="W69" s="231"/>
      <c r="X69" s="167"/>
      <c r="Y69" s="167"/>
      <c r="Z69" s="231"/>
      <c r="AA69" s="221"/>
      <c r="AB69" s="221"/>
      <c r="AC69" s="221"/>
      <c r="AD69" s="221"/>
      <c r="AE69" s="221"/>
      <c r="AF69" s="221"/>
      <c r="AG69" s="221"/>
      <c r="AH69" s="221"/>
      <c r="AI69" s="221"/>
      <c r="AJ69" s="221"/>
      <c r="AK69" s="221"/>
      <c r="AL69" s="221"/>
      <c r="AM69" s="221"/>
      <c r="AN69" s="221"/>
    </row>
    <row r="70" ht="22.6" customHeight="1" spans="1:40">
      <c r="A70" s="231"/>
      <c r="B70" s="272" t="s">
        <v>148</v>
      </c>
      <c r="C70" s="231"/>
      <c r="D70" s="273"/>
      <c r="E70" s="168"/>
      <c r="F70" s="274"/>
      <c r="G70" s="231"/>
      <c r="H70" s="231"/>
      <c r="I70" s="231"/>
      <c r="J70" s="231"/>
      <c r="K70" s="167"/>
      <c r="L70" s="167"/>
      <c r="M70" s="167"/>
      <c r="N70" s="167"/>
      <c r="O70" s="231"/>
      <c r="P70" s="166"/>
      <c r="Q70" s="166"/>
      <c r="R70" s="166"/>
      <c r="S70" s="277"/>
      <c r="T70" s="231"/>
      <c r="U70" s="231"/>
      <c r="V70" s="231"/>
      <c r="W70" s="231"/>
      <c r="X70" s="167"/>
      <c r="Y70" s="167"/>
      <c r="Z70" s="231"/>
      <c r="AA70" s="221"/>
      <c r="AB70" s="221"/>
      <c r="AC70" s="221"/>
      <c r="AD70" s="221"/>
      <c r="AE70" s="221"/>
      <c r="AF70" s="221"/>
      <c r="AG70" s="221"/>
      <c r="AH70" s="221"/>
      <c r="AI70" s="221"/>
      <c r="AJ70" s="221"/>
      <c r="AK70" s="221"/>
      <c r="AL70" s="221"/>
      <c r="AM70" s="221"/>
      <c r="AN70" s="221"/>
    </row>
    <row r="71" ht="22.6" customHeight="1" spans="1:40">
      <c r="A71" s="231"/>
      <c r="B71" s="272" t="s">
        <v>149</v>
      </c>
      <c r="C71" s="231"/>
      <c r="D71" s="273"/>
      <c r="E71" s="168"/>
      <c r="F71" s="274"/>
      <c r="G71" s="231"/>
      <c r="H71" s="231"/>
      <c r="I71" s="231"/>
      <c r="J71" s="231"/>
      <c r="K71" s="167"/>
      <c r="L71" s="167"/>
      <c r="M71" s="167"/>
      <c r="N71" s="167"/>
      <c r="O71" s="231"/>
      <c r="P71" s="166"/>
      <c r="Q71" s="166"/>
      <c r="R71" s="166"/>
      <c r="S71" s="277"/>
      <c r="T71" s="231"/>
      <c r="U71" s="231"/>
      <c r="V71" s="231"/>
      <c r="W71" s="231"/>
      <c r="X71" s="167"/>
      <c r="Y71" s="167"/>
      <c r="Z71" s="231"/>
      <c r="AA71" s="221"/>
      <c r="AB71" s="221"/>
      <c r="AC71" s="221"/>
      <c r="AD71" s="221"/>
      <c r="AE71" s="221"/>
      <c r="AF71" s="221"/>
      <c r="AG71" s="221"/>
      <c r="AH71" s="221"/>
      <c r="AI71" s="221"/>
      <c r="AJ71" s="221"/>
      <c r="AK71" s="221"/>
      <c r="AL71" s="221"/>
      <c r="AM71" s="221"/>
      <c r="AN71" s="221"/>
    </row>
    <row r="72" ht="22.6" customHeight="1" spans="1:40">
      <c r="A72" s="231" t="s">
        <v>237</v>
      </c>
      <c r="B72" s="272" t="s">
        <v>150</v>
      </c>
      <c r="C72" s="231"/>
      <c r="D72" s="273"/>
      <c r="E72" s="168"/>
      <c r="F72" s="274"/>
      <c r="G72" s="231"/>
      <c r="H72" s="231"/>
      <c r="I72" s="231"/>
      <c r="J72" s="231"/>
      <c r="K72" s="167"/>
      <c r="L72" s="167"/>
      <c r="M72" s="167"/>
      <c r="N72" s="167"/>
      <c r="O72" s="231"/>
      <c r="P72" s="166"/>
      <c r="Q72" s="166"/>
      <c r="R72" s="166"/>
      <c r="S72" s="277"/>
      <c r="T72" s="231"/>
      <c r="U72" s="231"/>
      <c r="V72" s="231"/>
      <c r="W72" s="231"/>
      <c r="X72" s="167"/>
      <c r="Y72" s="167"/>
      <c r="Z72" s="231"/>
      <c r="AA72" s="221"/>
      <c r="AB72" s="221"/>
      <c r="AC72" s="221"/>
      <c r="AD72" s="221"/>
      <c r="AE72" s="221"/>
      <c r="AF72" s="221"/>
      <c r="AG72" s="221"/>
      <c r="AH72" s="221"/>
      <c r="AI72" s="221"/>
      <c r="AJ72" s="221"/>
      <c r="AK72" s="221"/>
      <c r="AL72" s="221"/>
      <c r="AM72" s="221"/>
      <c r="AN72" s="221"/>
    </row>
    <row r="73" ht="22.6" customHeight="1" spans="1:40">
      <c r="A73" s="231"/>
      <c r="B73" s="272" t="s">
        <v>151</v>
      </c>
      <c r="C73" s="231"/>
      <c r="D73" s="273"/>
      <c r="E73" s="168"/>
      <c r="F73" s="274"/>
      <c r="G73" s="231"/>
      <c r="H73" s="231"/>
      <c r="I73" s="231"/>
      <c r="J73" s="231"/>
      <c r="K73" s="167"/>
      <c r="L73" s="167"/>
      <c r="M73" s="167"/>
      <c r="N73" s="167"/>
      <c r="O73" s="231"/>
      <c r="P73" s="166"/>
      <c r="Q73" s="166"/>
      <c r="R73" s="166"/>
      <c r="S73" s="277"/>
      <c r="T73" s="231"/>
      <c r="U73" s="231"/>
      <c r="V73" s="231"/>
      <c r="W73" s="231"/>
      <c r="X73" s="167"/>
      <c r="Y73" s="167"/>
      <c r="Z73" s="231"/>
      <c r="AA73" s="221"/>
      <c r="AB73" s="221"/>
      <c r="AC73" s="221"/>
      <c r="AD73" s="221"/>
      <c r="AE73" s="221"/>
      <c r="AF73" s="221"/>
      <c r="AG73" s="221"/>
      <c r="AH73" s="221"/>
      <c r="AI73" s="221"/>
      <c r="AJ73" s="221"/>
      <c r="AK73" s="221"/>
      <c r="AL73" s="221"/>
      <c r="AM73" s="221"/>
      <c r="AN73" s="221"/>
    </row>
    <row r="74" ht="22.6" customHeight="1" spans="1:40">
      <c r="A74" s="231"/>
      <c r="B74" s="272" t="s">
        <v>152</v>
      </c>
      <c r="C74" s="231"/>
      <c r="D74" s="273"/>
      <c r="E74" s="168"/>
      <c r="F74" s="274"/>
      <c r="G74" s="231"/>
      <c r="H74" s="231"/>
      <c r="I74" s="231"/>
      <c r="J74" s="231"/>
      <c r="K74" s="167"/>
      <c r="L74" s="167"/>
      <c r="M74" s="167"/>
      <c r="N74" s="167"/>
      <c r="O74" s="231"/>
      <c r="P74" s="166"/>
      <c r="Q74" s="166"/>
      <c r="R74" s="166"/>
      <c r="S74" s="277"/>
      <c r="T74" s="231"/>
      <c r="U74" s="231"/>
      <c r="V74" s="231"/>
      <c r="W74" s="231"/>
      <c r="X74" s="167"/>
      <c r="Y74" s="167"/>
      <c r="Z74" s="231"/>
      <c r="AA74" s="221"/>
      <c r="AB74" s="221"/>
      <c r="AC74" s="221"/>
      <c r="AD74" s="221"/>
      <c r="AE74" s="221"/>
      <c r="AF74" s="221"/>
      <c r="AG74" s="221"/>
      <c r="AH74" s="221"/>
      <c r="AI74" s="221"/>
      <c r="AJ74" s="221"/>
      <c r="AK74" s="221"/>
      <c r="AL74" s="221"/>
      <c r="AM74" s="221"/>
      <c r="AN74" s="221"/>
    </row>
    <row r="75" ht="22.6" customHeight="1" spans="1:40">
      <c r="A75" s="231"/>
      <c r="B75" s="272" t="s">
        <v>153</v>
      </c>
      <c r="C75" s="231"/>
      <c r="D75" s="273"/>
      <c r="E75" s="168"/>
      <c r="F75" s="274"/>
      <c r="G75" s="231"/>
      <c r="H75" s="231"/>
      <c r="I75" s="231"/>
      <c r="J75" s="231"/>
      <c r="K75" s="167"/>
      <c r="L75" s="167"/>
      <c r="M75" s="167"/>
      <c r="N75" s="167"/>
      <c r="O75" s="231"/>
      <c r="P75" s="166"/>
      <c r="Q75" s="166"/>
      <c r="R75" s="166"/>
      <c r="S75" s="277"/>
      <c r="T75" s="231"/>
      <c r="U75" s="231"/>
      <c r="V75" s="231"/>
      <c r="W75" s="231"/>
      <c r="X75" s="167"/>
      <c r="Y75" s="167"/>
      <c r="Z75" s="231"/>
      <c r="AA75" s="221"/>
      <c r="AB75" s="221"/>
      <c r="AC75" s="221"/>
      <c r="AD75" s="221"/>
      <c r="AE75" s="221"/>
      <c r="AF75" s="221"/>
      <c r="AG75" s="221"/>
      <c r="AH75" s="221"/>
      <c r="AI75" s="221"/>
      <c r="AJ75" s="221"/>
      <c r="AK75" s="221"/>
      <c r="AL75" s="221"/>
      <c r="AM75" s="221"/>
      <c r="AN75" s="221"/>
    </row>
    <row r="76" ht="22.6" customHeight="1" spans="1:40">
      <c r="A76" s="231" t="s">
        <v>239</v>
      </c>
      <c r="B76" s="272" t="s">
        <v>154</v>
      </c>
      <c r="C76" s="231"/>
      <c r="D76" s="273"/>
      <c r="E76" s="168"/>
      <c r="F76" s="274"/>
      <c r="G76" s="231"/>
      <c r="H76" s="231"/>
      <c r="I76" s="231"/>
      <c r="J76" s="231"/>
      <c r="K76" s="167"/>
      <c r="L76" s="167"/>
      <c r="M76" s="167"/>
      <c r="N76" s="167"/>
      <c r="O76" s="231"/>
      <c r="P76" s="166"/>
      <c r="Q76" s="166"/>
      <c r="R76" s="166"/>
      <c r="S76" s="277"/>
      <c r="T76" s="231"/>
      <c r="U76" s="231"/>
      <c r="V76" s="231"/>
      <c r="W76" s="231"/>
      <c r="X76" s="167"/>
      <c r="Y76" s="167"/>
      <c r="Z76" s="231"/>
      <c r="AA76" s="221"/>
      <c r="AB76" s="221"/>
      <c r="AC76" s="221"/>
      <c r="AD76" s="221"/>
      <c r="AE76" s="221"/>
      <c r="AF76" s="221"/>
      <c r="AG76" s="221"/>
      <c r="AH76" s="221"/>
      <c r="AI76" s="221"/>
      <c r="AJ76" s="221"/>
      <c r="AK76" s="221"/>
      <c r="AL76" s="221"/>
      <c r="AM76" s="221"/>
      <c r="AN76" s="221"/>
    </row>
    <row r="77" ht="22.6" customHeight="1" spans="1:40">
      <c r="A77" s="231"/>
      <c r="B77" s="272" t="s">
        <v>155</v>
      </c>
      <c r="C77" s="231"/>
      <c r="D77" s="273"/>
      <c r="E77" s="168"/>
      <c r="F77" s="274"/>
      <c r="G77" s="231"/>
      <c r="H77" s="231"/>
      <c r="I77" s="231"/>
      <c r="J77" s="231"/>
      <c r="K77" s="167"/>
      <c r="L77" s="167"/>
      <c r="M77" s="167"/>
      <c r="N77" s="167"/>
      <c r="O77" s="231"/>
      <c r="P77" s="166"/>
      <c r="Q77" s="166"/>
      <c r="R77" s="166"/>
      <c r="S77" s="277"/>
      <c r="T77" s="231"/>
      <c r="U77" s="231"/>
      <c r="V77" s="231"/>
      <c r="W77" s="231"/>
      <c r="X77" s="167"/>
      <c r="Y77" s="167"/>
      <c r="Z77" s="231"/>
      <c r="AA77" s="221"/>
      <c r="AB77" s="221"/>
      <c r="AC77" s="221"/>
      <c r="AD77" s="221"/>
      <c r="AE77" s="221"/>
      <c r="AF77" s="221"/>
      <c r="AG77" s="221"/>
      <c r="AH77" s="221"/>
      <c r="AI77" s="221"/>
      <c r="AJ77" s="221"/>
      <c r="AK77" s="221"/>
      <c r="AL77" s="221"/>
      <c r="AM77" s="221"/>
      <c r="AN77" s="221"/>
    </row>
    <row r="78" ht="22.6" customHeight="1" spans="1:40">
      <c r="A78" s="231"/>
      <c r="B78" s="272" t="s">
        <v>156</v>
      </c>
      <c r="C78" s="231"/>
      <c r="D78" s="273"/>
      <c r="E78" s="168"/>
      <c r="F78" s="274"/>
      <c r="G78" s="231"/>
      <c r="H78" s="231"/>
      <c r="I78" s="231"/>
      <c r="J78" s="231"/>
      <c r="K78" s="167"/>
      <c r="L78" s="167"/>
      <c r="M78" s="167"/>
      <c r="N78" s="167"/>
      <c r="O78" s="231"/>
      <c r="P78" s="166"/>
      <c r="Q78" s="166"/>
      <c r="R78" s="166"/>
      <c r="S78" s="277"/>
      <c r="T78" s="231"/>
      <c r="U78" s="231"/>
      <c r="V78" s="231"/>
      <c r="W78" s="231"/>
      <c r="X78" s="167"/>
      <c r="Y78" s="167"/>
      <c r="Z78" s="231"/>
      <c r="AA78" s="221"/>
      <c r="AB78" s="221"/>
      <c r="AC78" s="221"/>
      <c r="AD78" s="221"/>
      <c r="AE78" s="221"/>
      <c r="AF78" s="221"/>
      <c r="AG78" s="221"/>
      <c r="AH78" s="221"/>
      <c r="AI78" s="221"/>
      <c r="AJ78" s="221"/>
      <c r="AK78" s="221"/>
      <c r="AL78" s="221"/>
      <c r="AM78" s="221"/>
      <c r="AN78" s="221"/>
    </row>
    <row r="79" ht="22.6" customHeight="1" spans="1:40">
      <c r="A79" s="231"/>
      <c r="B79" s="272" t="s">
        <v>157</v>
      </c>
      <c r="C79" s="231"/>
      <c r="D79" s="273"/>
      <c r="E79" s="168"/>
      <c r="F79" s="274"/>
      <c r="G79" s="231"/>
      <c r="H79" s="231"/>
      <c r="I79" s="231"/>
      <c r="J79" s="231"/>
      <c r="K79" s="167"/>
      <c r="L79" s="167"/>
      <c r="M79" s="167"/>
      <c r="N79" s="167"/>
      <c r="O79" s="231"/>
      <c r="P79" s="166"/>
      <c r="Q79" s="166"/>
      <c r="R79" s="166"/>
      <c r="S79" s="277"/>
      <c r="T79" s="231"/>
      <c r="U79" s="231"/>
      <c r="V79" s="231"/>
      <c r="W79" s="231"/>
      <c r="X79" s="167"/>
      <c r="Y79" s="167"/>
      <c r="Z79" s="231"/>
      <c r="AA79" s="221"/>
      <c r="AB79" s="221"/>
      <c r="AC79" s="221"/>
      <c r="AD79" s="221"/>
      <c r="AE79" s="221"/>
      <c r="AF79" s="221"/>
      <c r="AG79" s="221"/>
      <c r="AH79" s="221"/>
      <c r="AI79" s="221"/>
      <c r="AJ79" s="221"/>
      <c r="AK79" s="221"/>
      <c r="AL79" s="221"/>
      <c r="AM79" s="221"/>
      <c r="AN79" s="221"/>
    </row>
    <row r="80" ht="22.6" customHeight="1" spans="1:40">
      <c r="A80" s="231" t="s">
        <v>241</v>
      </c>
      <c r="B80" s="272" t="s">
        <v>158</v>
      </c>
      <c r="C80" s="231"/>
      <c r="D80" s="273"/>
      <c r="E80" s="168"/>
      <c r="F80" s="274"/>
      <c r="G80" s="231"/>
      <c r="H80" s="231"/>
      <c r="I80" s="231"/>
      <c r="J80" s="231"/>
      <c r="K80" s="167"/>
      <c r="L80" s="167"/>
      <c r="M80" s="167"/>
      <c r="N80" s="167"/>
      <c r="O80" s="231"/>
      <c r="P80" s="166"/>
      <c r="Q80" s="166"/>
      <c r="R80" s="166"/>
      <c r="S80" s="277"/>
      <c r="T80" s="231"/>
      <c r="U80" s="231"/>
      <c r="V80" s="231"/>
      <c r="W80" s="231"/>
      <c r="X80" s="167"/>
      <c r="Y80" s="167"/>
      <c r="Z80" s="231"/>
      <c r="AA80" s="221"/>
      <c r="AB80" s="221"/>
      <c r="AC80" s="221"/>
      <c r="AD80" s="221"/>
      <c r="AE80" s="221"/>
      <c r="AF80" s="221"/>
      <c r="AG80" s="221"/>
      <c r="AH80" s="221"/>
      <c r="AI80" s="221"/>
      <c r="AJ80" s="221"/>
      <c r="AK80" s="221"/>
      <c r="AL80" s="221"/>
      <c r="AM80" s="221"/>
      <c r="AN80" s="221"/>
    </row>
    <row r="81" ht="22.6" customHeight="1" spans="1:40">
      <c r="A81" s="231"/>
      <c r="B81" s="272" t="s">
        <v>159</v>
      </c>
      <c r="C81" s="231"/>
      <c r="D81" s="273"/>
      <c r="E81" s="168"/>
      <c r="F81" s="274"/>
      <c r="G81" s="231"/>
      <c r="H81" s="231"/>
      <c r="I81" s="231"/>
      <c r="J81" s="231"/>
      <c r="K81" s="167"/>
      <c r="L81" s="167"/>
      <c r="M81" s="167"/>
      <c r="N81" s="167"/>
      <c r="O81" s="231"/>
      <c r="P81" s="166"/>
      <c r="Q81" s="166"/>
      <c r="R81" s="166"/>
      <c r="S81" s="277"/>
      <c r="T81" s="231"/>
      <c r="U81" s="231"/>
      <c r="V81" s="231"/>
      <c r="W81" s="231"/>
      <c r="X81" s="167"/>
      <c r="Y81" s="167"/>
      <c r="Z81" s="231"/>
      <c r="AA81" s="221"/>
      <c r="AB81" s="221"/>
      <c r="AC81" s="221"/>
      <c r="AD81" s="221"/>
      <c r="AE81" s="221"/>
      <c r="AF81" s="221"/>
      <c r="AG81" s="221"/>
      <c r="AH81" s="221"/>
      <c r="AI81" s="221"/>
      <c r="AJ81" s="221"/>
      <c r="AK81" s="221"/>
      <c r="AL81" s="221"/>
      <c r="AM81" s="221"/>
      <c r="AN81" s="221"/>
    </row>
    <row r="82" ht="22.6" customHeight="1" spans="1:40">
      <c r="A82" s="231"/>
      <c r="B82" s="272" t="s">
        <v>160</v>
      </c>
      <c r="C82" s="231"/>
      <c r="D82" s="273"/>
      <c r="E82" s="168"/>
      <c r="F82" s="274"/>
      <c r="G82" s="231"/>
      <c r="H82" s="231"/>
      <c r="I82" s="231"/>
      <c r="J82" s="231"/>
      <c r="K82" s="167"/>
      <c r="L82" s="167"/>
      <c r="M82" s="167"/>
      <c r="N82" s="167"/>
      <c r="O82" s="231"/>
      <c r="P82" s="166"/>
      <c r="Q82" s="166"/>
      <c r="R82" s="166"/>
      <c r="S82" s="277"/>
      <c r="T82" s="231"/>
      <c r="U82" s="231"/>
      <c r="V82" s="231"/>
      <c r="W82" s="231"/>
      <c r="X82" s="167"/>
      <c r="Y82" s="167"/>
      <c r="Z82" s="231"/>
      <c r="AA82" s="221"/>
      <c r="AB82" s="221"/>
      <c r="AC82" s="221"/>
      <c r="AD82" s="221"/>
      <c r="AE82" s="221"/>
      <c r="AF82" s="221"/>
      <c r="AG82" s="221"/>
      <c r="AH82" s="221"/>
      <c r="AI82" s="221"/>
      <c r="AJ82" s="221"/>
      <c r="AK82" s="221"/>
      <c r="AL82" s="221"/>
      <c r="AM82" s="221"/>
      <c r="AN82" s="221"/>
    </row>
    <row r="83" ht="22.6" customHeight="1" spans="1:40">
      <c r="A83" s="231"/>
      <c r="B83" s="272" t="s">
        <v>161</v>
      </c>
      <c r="C83" s="231"/>
      <c r="D83" s="273"/>
      <c r="E83" s="168"/>
      <c r="F83" s="274"/>
      <c r="G83" s="231"/>
      <c r="H83" s="231"/>
      <c r="I83" s="231"/>
      <c r="J83" s="231"/>
      <c r="K83" s="167"/>
      <c r="L83" s="167"/>
      <c r="M83" s="167"/>
      <c r="N83" s="167"/>
      <c r="O83" s="231"/>
      <c r="P83" s="166"/>
      <c r="Q83" s="166"/>
      <c r="R83" s="166"/>
      <c r="S83" s="277"/>
      <c r="T83" s="231"/>
      <c r="U83" s="231"/>
      <c r="V83" s="231"/>
      <c r="W83" s="231"/>
      <c r="X83" s="167"/>
      <c r="Y83" s="167"/>
      <c r="Z83" s="231"/>
      <c r="AA83" s="221"/>
      <c r="AB83" s="221"/>
      <c r="AC83" s="221"/>
      <c r="AD83" s="221"/>
      <c r="AE83" s="221"/>
      <c r="AF83" s="221"/>
      <c r="AG83" s="221"/>
      <c r="AH83" s="221"/>
      <c r="AI83" s="221"/>
      <c r="AJ83" s="221"/>
      <c r="AK83" s="221"/>
      <c r="AL83" s="221"/>
      <c r="AM83" s="221"/>
      <c r="AN83" s="221"/>
    </row>
    <row r="84" ht="22.6" customHeight="1" spans="1:40">
      <c r="A84" s="231" t="s">
        <v>243</v>
      </c>
      <c r="B84" s="272" t="s">
        <v>162</v>
      </c>
      <c r="C84" s="231"/>
      <c r="D84" s="273"/>
      <c r="E84" s="168"/>
      <c r="F84" s="274"/>
      <c r="G84" s="231"/>
      <c r="H84" s="231"/>
      <c r="I84" s="231"/>
      <c r="J84" s="231"/>
      <c r="K84" s="167"/>
      <c r="L84" s="167"/>
      <c r="M84" s="167"/>
      <c r="N84" s="167"/>
      <c r="O84" s="231"/>
      <c r="P84" s="166"/>
      <c r="Q84" s="166"/>
      <c r="R84" s="166"/>
      <c r="S84" s="277"/>
      <c r="T84" s="231"/>
      <c r="U84" s="231"/>
      <c r="V84" s="231"/>
      <c r="W84" s="231"/>
      <c r="X84" s="167"/>
      <c r="Y84" s="167"/>
      <c r="Z84" s="231"/>
      <c r="AA84" s="221"/>
      <c r="AB84" s="221"/>
      <c r="AC84" s="221"/>
      <c r="AD84" s="221"/>
      <c r="AE84" s="221"/>
      <c r="AF84" s="221"/>
      <c r="AG84" s="221"/>
      <c r="AH84" s="221"/>
      <c r="AI84" s="221"/>
      <c r="AJ84" s="221"/>
      <c r="AK84" s="221"/>
      <c r="AL84" s="221"/>
      <c r="AM84" s="221"/>
      <c r="AN84" s="221"/>
    </row>
    <row r="85" ht="22.6" customHeight="1" spans="1:40">
      <c r="A85" s="231"/>
      <c r="B85" s="272" t="s">
        <v>163</v>
      </c>
      <c r="C85" s="231"/>
      <c r="D85" s="273"/>
      <c r="E85" s="168"/>
      <c r="F85" s="274"/>
      <c r="G85" s="231"/>
      <c r="H85" s="231"/>
      <c r="I85" s="231"/>
      <c r="J85" s="231"/>
      <c r="K85" s="167"/>
      <c r="L85" s="167"/>
      <c r="M85" s="167"/>
      <c r="N85" s="167"/>
      <c r="O85" s="231"/>
      <c r="P85" s="166"/>
      <c r="Q85" s="166"/>
      <c r="R85" s="166"/>
      <c r="S85" s="277"/>
      <c r="T85" s="231"/>
      <c r="U85" s="231"/>
      <c r="V85" s="231"/>
      <c r="W85" s="231"/>
      <c r="X85" s="167"/>
      <c r="Y85" s="167"/>
      <c r="Z85" s="231"/>
      <c r="AA85" s="221"/>
      <c r="AB85" s="221"/>
      <c r="AC85" s="221"/>
      <c r="AD85" s="221"/>
      <c r="AE85" s="221"/>
      <c r="AF85" s="221"/>
      <c r="AG85" s="221"/>
      <c r="AH85" s="221"/>
      <c r="AI85" s="221"/>
      <c r="AJ85" s="221"/>
      <c r="AK85" s="221"/>
      <c r="AL85" s="221"/>
      <c r="AM85" s="221"/>
      <c r="AN85" s="221"/>
    </row>
    <row r="86" ht="22.6" customHeight="1" spans="1:40">
      <c r="A86" s="231"/>
      <c r="B86" s="272" t="s">
        <v>164</v>
      </c>
      <c r="C86" s="231"/>
      <c r="D86" s="273"/>
      <c r="E86" s="168"/>
      <c r="F86" s="274"/>
      <c r="G86" s="231"/>
      <c r="H86" s="231"/>
      <c r="I86" s="231"/>
      <c r="J86" s="231"/>
      <c r="K86" s="167"/>
      <c r="L86" s="167"/>
      <c r="M86" s="167"/>
      <c r="N86" s="167"/>
      <c r="O86" s="231"/>
      <c r="P86" s="166"/>
      <c r="Q86" s="166"/>
      <c r="R86" s="166"/>
      <c r="S86" s="277"/>
      <c r="T86" s="231"/>
      <c r="U86" s="231"/>
      <c r="V86" s="231"/>
      <c r="W86" s="231"/>
      <c r="X86" s="167"/>
      <c r="Y86" s="167"/>
      <c r="Z86" s="231"/>
      <c r="AA86" s="221"/>
      <c r="AB86" s="221"/>
      <c r="AC86" s="221"/>
      <c r="AD86" s="221"/>
      <c r="AE86" s="221"/>
      <c r="AF86" s="221"/>
      <c r="AG86" s="221"/>
      <c r="AH86" s="221"/>
      <c r="AI86" s="221"/>
      <c r="AJ86" s="221"/>
      <c r="AK86" s="221"/>
      <c r="AL86" s="221"/>
      <c r="AM86" s="221"/>
      <c r="AN86" s="221"/>
    </row>
    <row r="87" ht="22.6" customHeight="1" spans="1:40">
      <c r="A87" s="231"/>
      <c r="B87" s="272" t="s">
        <v>165</v>
      </c>
      <c r="C87" s="231"/>
      <c r="D87" s="273"/>
      <c r="E87" s="168"/>
      <c r="F87" s="274"/>
      <c r="G87" s="231"/>
      <c r="H87" s="231"/>
      <c r="I87" s="231"/>
      <c r="J87" s="231"/>
      <c r="K87" s="167"/>
      <c r="L87" s="167"/>
      <c r="M87" s="167"/>
      <c r="N87" s="167"/>
      <c r="O87" s="231"/>
      <c r="P87" s="166"/>
      <c r="Q87" s="166"/>
      <c r="R87" s="166"/>
      <c r="S87" s="277"/>
      <c r="T87" s="231"/>
      <c r="U87" s="231"/>
      <c r="V87" s="231"/>
      <c r="W87" s="231"/>
      <c r="X87" s="167"/>
      <c r="Y87" s="167"/>
      <c r="Z87" s="231"/>
      <c r="AA87" s="221"/>
      <c r="AB87" s="221"/>
      <c r="AC87" s="221"/>
      <c r="AD87" s="221"/>
      <c r="AE87" s="221"/>
      <c r="AF87" s="221"/>
      <c r="AG87" s="221"/>
      <c r="AH87" s="221"/>
      <c r="AI87" s="221"/>
      <c r="AJ87" s="221"/>
      <c r="AK87" s="221"/>
      <c r="AL87" s="221"/>
      <c r="AM87" s="221"/>
      <c r="AN87" s="221"/>
    </row>
    <row r="88" ht="22.6" customHeight="1" spans="1:40">
      <c r="A88" s="231" t="s">
        <v>245</v>
      </c>
      <c r="B88" s="272" t="s">
        <v>166</v>
      </c>
      <c r="C88" s="231"/>
      <c r="D88" s="273"/>
      <c r="E88" s="168"/>
      <c r="F88" s="274"/>
      <c r="G88" s="231"/>
      <c r="H88" s="231"/>
      <c r="I88" s="231"/>
      <c r="J88" s="231"/>
      <c r="K88" s="167"/>
      <c r="L88" s="167"/>
      <c r="M88" s="167"/>
      <c r="N88" s="167"/>
      <c r="O88" s="231"/>
      <c r="P88" s="166"/>
      <c r="Q88" s="166"/>
      <c r="R88" s="166"/>
      <c r="S88" s="277"/>
      <c r="T88" s="231"/>
      <c r="U88" s="231"/>
      <c r="V88" s="231"/>
      <c r="W88" s="231"/>
      <c r="X88" s="167"/>
      <c r="Y88" s="167"/>
      <c r="Z88" s="231"/>
      <c r="AA88" s="221"/>
      <c r="AB88" s="221"/>
      <c r="AC88" s="221"/>
      <c r="AD88" s="221"/>
      <c r="AE88" s="221"/>
      <c r="AF88" s="221"/>
      <c r="AG88" s="221"/>
      <c r="AH88" s="221"/>
      <c r="AI88" s="221"/>
      <c r="AJ88" s="221"/>
      <c r="AK88" s="221"/>
      <c r="AL88" s="221"/>
      <c r="AM88" s="221"/>
      <c r="AN88" s="221"/>
    </row>
    <row r="89" ht="22.6" customHeight="1" spans="1:40">
      <c r="A89" s="231"/>
      <c r="B89" s="272" t="s">
        <v>167</v>
      </c>
      <c r="C89" s="231"/>
      <c r="D89" s="273"/>
      <c r="E89" s="168"/>
      <c r="F89" s="274"/>
      <c r="G89" s="231"/>
      <c r="H89" s="231"/>
      <c r="I89" s="231"/>
      <c r="J89" s="231"/>
      <c r="K89" s="167"/>
      <c r="L89" s="167"/>
      <c r="M89" s="167"/>
      <c r="N89" s="167"/>
      <c r="O89" s="231"/>
      <c r="P89" s="166"/>
      <c r="Q89" s="166"/>
      <c r="R89" s="166"/>
      <c r="S89" s="277"/>
      <c r="T89" s="231"/>
      <c r="U89" s="231"/>
      <c r="V89" s="231"/>
      <c r="W89" s="231"/>
      <c r="X89" s="167"/>
      <c r="Y89" s="167"/>
      <c r="Z89" s="231"/>
      <c r="AA89" s="221"/>
      <c r="AB89" s="221"/>
      <c r="AC89" s="221"/>
      <c r="AD89" s="221"/>
      <c r="AE89" s="221"/>
      <c r="AF89" s="221"/>
      <c r="AG89" s="221"/>
      <c r="AH89" s="221"/>
      <c r="AI89" s="221"/>
      <c r="AJ89" s="221"/>
      <c r="AK89" s="221"/>
      <c r="AL89" s="221"/>
      <c r="AM89" s="221"/>
      <c r="AN89" s="221"/>
    </row>
    <row r="90" ht="22.6" customHeight="1" spans="1:40">
      <c r="A90" s="231"/>
      <c r="B90" s="272" t="s">
        <v>168</v>
      </c>
      <c r="C90" s="231"/>
      <c r="D90" s="273"/>
      <c r="E90" s="168"/>
      <c r="F90" s="274"/>
      <c r="G90" s="231"/>
      <c r="H90" s="231"/>
      <c r="I90" s="231"/>
      <c r="J90" s="231"/>
      <c r="K90" s="167"/>
      <c r="L90" s="167"/>
      <c r="M90" s="167"/>
      <c r="N90" s="167"/>
      <c r="O90" s="231"/>
      <c r="P90" s="166"/>
      <c r="Q90" s="166"/>
      <c r="R90" s="166"/>
      <c r="S90" s="277"/>
      <c r="T90" s="231"/>
      <c r="U90" s="231"/>
      <c r="V90" s="231"/>
      <c r="W90" s="231"/>
      <c r="X90" s="167"/>
      <c r="Y90" s="167"/>
      <c r="Z90" s="231"/>
      <c r="AA90" s="221"/>
      <c r="AB90" s="221"/>
      <c r="AC90" s="221"/>
      <c r="AD90" s="221"/>
      <c r="AE90" s="221"/>
      <c r="AF90" s="221"/>
      <c r="AG90" s="221"/>
      <c r="AH90" s="221"/>
      <c r="AI90" s="221"/>
      <c r="AJ90" s="221"/>
      <c r="AK90" s="221"/>
      <c r="AL90" s="221"/>
      <c r="AM90" s="221"/>
      <c r="AN90" s="221"/>
    </row>
    <row r="91" ht="22.6" customHeight="1" spans="1:40">
      <c r="A91" s="231"/>
      <c r="B91" s="272" t="s">
        <v>169</v>
      </c>
      <c r="C91" s="231"/>
      <c r="D91" s="273"/>
      <c r="E91" s="168"/>
      <c r="F91" s="274"/>
      <c r="G91" s="231"/>
      <c r="H91" s="231"/>
      <c r="I91" s="231"/>
      <c r="J91" s="231"/>
      <c r="K91" s="167"/>
      <c r="L91" s="167"/>
      <c r="M91" s="167"/>
      <c r="N91" s="167"/>
      <c r="O91" s="231"/>
      <c r="P91" s="166"/>
      <c r="Q91" s="166"/>
      <c r="R91" s="166"/>
      <c r="S91" s="277"/>
      <c r="T91" s="231"/>
      <c r="U91" s="231"/>
      <c r="V91" s="231"/>
      <c r="W91" s="231"/>
      <c r="X91" s="167"/>
      <c r="Y91" s="167"/>
      <c r="Z91" s="231"/>
      <c r="AA91" s="221"/>
      <c r="AB91" s="221"/>
      <c r="AC91" s="221"/>
      <c r="AD91" s="221"/>
      <c r="AE91" s="221"/>
      <c r="AF91" s="221"/>
      <c r="AG91" s="221"/>
      <c r="AH91" s="221"/>
      <c r="AI91" s="221"/>
      <c r="AJ91" s="221"/>
      <c r="AK91" s="221"/>
      <c r="AL91" s="221"/>
      <c r="AM91" s="221"/>
      <c r="AN91" s="221"/>
    </row>
  </sheetData>
  <mergeCells count="14">
    <mergeCell ref="A1:Z1"/>
    <mergeCell ref="A67:Z67"/>
    <mergeCell ref="A3:A9"/>
    <mergeCell ref="A11:A17"/>
    <mergeCell ref="A19:A25"/>
    <mergeCell ref="A27:A33"/>
    <mergeCell ref="A35:A41"/>
    <mergeCell ref="A43:A49"/>
    <mergeCell ref="A68:A71"/>
    <mergeCell ref="A72:A75"/>
    <mergeCell ref="A76:A79"/>
    <mergeCell ref="A80:A83"/>
    <mergeCell ref="A84:A87"/>
    <mergeCell ref="A88:A91"/>
  </mergeCells>
  <hyperlinks>
    <hyperlink ref="AB1" r:id="rId2" display="https://mp.weixin.qq.com/s/hJXWLb-KpYE6J5aK37fUqA?poc_token=HER7cGijba2sEL_p1d8TCVeaPrsbMxX-Mtg-J8JD"/>
  </hyperlink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D75"/>
  <sheetViews>
    <sheetView workbookViewId="0">
      <pane xSplit="2" ySplit="3" topLeftCell="C4" activePane="bottomRight" state="frozen"/>
      <selection/>
      <selection pane="topRight"/>
      <selection pane="bottomLeft"/>
      <selection pane="bottomRight" activeCell="A1" sqref="A1:AD1"/>
    </sheetView>
  </sheetViews>
  <sheetFormatPr defaultColWidth="9" defaultRowHeight="15.75"/>
  <cols>
    <col min="1" max="2" width="7.38333333333333" customWidth="1"/>
    <col min="3" max="3" width="5.575" customWidth="1"/>
    <col min="4" max="5" width="4.56666666666667" customWidth="1"/>
    <col min="6" max="6" width="15.1583333333333" customWidth="1"/>
    <col min="7" max="7" width="5.01666666666667" customWidth="1"/>
    <col min="8" max="8" width="5.575" customWidth="1"/>
    <col min="9" max="9" width="6.025" customWidth="1"/>
    <col min="10" max="10" width="5.125" customWidth="1"/>
    <col min="11" max="11" width="7.04166666666667" customWidth="1"/>
    <col min="12" max="12" width="5.125" customWidth="1"/>
    <col min="13" max="13" width="4.225" customWidth="1"/>
    <col min="14" max="14" width="4.9" customWidth="1"/>
    <col min="15" max="15" width="8.28333333333333" customWidth="1"/>
    <col min="16" max="16" width="4.9" customWidth="1"/>
    <col min="17" max="17" width="9.40833333333333" customWidth="1"/>
    <col min="18" max="18" width="6.81666666666667" customWidth="1"/>
    <col min="19" max="19" width="4.9" customWidth="1"/>
    <col min="20" max="20" width="15.9416666666667" customWidth="1"/>
    <col min="21" max="21" width="8.28333333333333" customWidth="1"/>
    <col min="22" max="23" width="7.71666666666667" customWidth="1"/>
    <col min="24" max="24" width="5.24166666666667" customWidth="1"/>
    <col min="25" max="25" width="6.14166666666667" customWidth="1"/>
    <col min="26" max="26" width="7.26666666666667" customWidth="1"/>
    <col min="27" max="27" width="6.93333333333333" customWidth="1"/>
    <col min="28" max="28" width="7.71666666666667" customWidth="1"/>
    <col min="29" max="29" width="28.675" customWidth="1"/>
    <col min="30" max="30" width="30.5916666666667" customWidth="1"/>
  </cols>
  <sheetData>
    <row r="1" ht="14.3" customHeight="1" spans="1:30">
      <c r="A1" s="83" t="s">
        <v>247</v>
      </c>
      <c r="B1" s="83"/>
      <c r="C1" s="83"/>
      <c r="D1" s="83"/>
      <c r="E1" s="83"/>
      <c r="F1" s="83"/>
      <c r="G1" s="83"/>
      <c r="H1" s="83"/>
      <c r="I1" s="83"/>
      <c r="J1" s="83"/>
      <c r="K1" s="83"/>
      <c r="L1" s="83"/>
      <c r="M1" s="83"/>
      <c r="N1" s="83"/>
      <c r="O1" s="247"/>
      <c r="P1" s="83"/>
      <c r="Q1" s="83"/>
      <c r="R1" s="83"/>
      <c r="S1" s="83"/>
      <c r="T1" s="83"/>
      <c r="U1" s="83"/>
      <c r="V1" s="83"/>
      <c r="W1" s="83"/>
      <c r="X1" s="83"/>
      <c r="Y1" s="83"/>
      <c r="Z1" s="83"/>
      <c r="AA1" s="83"/>
      <c r="AB1" s="83"/>
      <c r="AC1" s="83"/>
      <c r="AD1" s="83"/>
    </row>
    <row r="2" ht="14.3" customHeight="1" spans="1:30">
      <c r="A2" s="248" t="s">
        <v>248</v>
      </c>
      <c r="B2" s="248"/>
      <c r="C2" s="248"/>
      <c r="D2" s="248"/>
      <c r="E2" s="248"/>
      <c r="F2" s="248"/>
      <c r="G2" s="248"/>
      <c r="H2" s="248"/>
      <c r="I2" s="248"/>
      <c r="J2" s="248"/>
      <c r="K2" s="248"/>
      <c r="L2" s="248"/>
      <c r="M2" s="248"/>
      <c r="N2" s="249" t="s">
        <v>249</v>
      </c>
      <c r="O2" s="250"/>
      <c r="P2" s="249"/>
      <c r="Q2" s="249"/>
      <c r="R2" s="249"/>
      <c r="S2" s="249"/>
      <c r="T2" s="249"/>
      <c r="U2" s="249"/>
      <c r="V2" s="249"/>
      <c r="W2" s="249"/>
      <c r="X2" s="221"/>
      <c r="Y2" s="221"/>
      <c r="Z2" s="221"/>
      <c r="AA2" s="221"/>
      <c r="AB2" s="251" t="s">
        <v>250</v>
      </c>
      <c r="AC2" s="252" t="s">
        <v>251</v>
      </c>
      <c r="AD2" s="252"/>
    </row>
    <row r="3" ht="29.15" customHeight="1" spans="1:30">
      <c r="A3" s="253" t="s">
        <v>49</v>
      </c>
      <c r="B3" s="253" t="s">
        <v>199</v>
      </c>
      <c r="C3" s="253" t="s">
        <v>2</v>
      </c>
      <c r="D3" s="254" t="s">
        <v>3</v>
      </c>
      <c r="E3" s="254" t="s">
        <v>4</v>
      </c>
      <c r="F3" s="254" t="s">
        <v>53</v>
      </c>
      <c r="G3" s="255" t="s">
        <v>252</v>
      </c>
      <c r="H3" s="255" t="s">
        <v>21</v>
      </c>
      <c r="I3" s="256" t="s">
        <v>253</v>
      </c>
      <c r="J3" s="255" t="s">
        <v>254</v>
      </c>
      <c r="K3" s="256" t="s">
        <v>220</v>
      </c>
      <c r="L3" s="257" t="s">
        <v>102</v>
      </c>
      <c r="M3" s="258" t="s">
        <v>255</v>
      </c>
      <c r="N3" s="259" t="s">
        <v>216</v>
      </c>
      <c r="O3" s="260" t="s">
        <v>256</v>
      </c>
      <c r="P3" s="259" t="s">
        <v>219</v>
      </c>
      <c r="Q3" s="261" t="s">
        <v>257</v>
      </c>
      <c r="R3" s="262" t="s">
        <v>220</v>
      </c>
      <c r="S3" s="263" t="s">
        <v>258</v>
      </c>
      <c r="T3" s="264" t="s">
        <v>259</v>
      </c>
      <c r="U3" s="262" t="s">
        <v>224</v>
      </c>
      <c r="V3" s="265" t="s">
        <v>98</v>
      </c>
      <c r="W3" s="263" t="s">
        <v>106</v>
      </c>
      <c r="X3" s="266" t="s">
        <v>260</v>
      </c>
      <c r="Y3" s="267" t="s">
        <v>261</v>
      </c>
      <c r="Z3" s="268" t="s">
        <v>262</v>
      </c>
      <c r="AA3" s="269" t="s">
        <v>263</v>
      </c>
      <c r="AB3" s="270" t="s">
        <v>264</v>
      </c>
      <c r="AC3" s="271" t="s">
        <v>265</v>
      </c>
      <c r="AD3" s="271" t="s">
        <v>266</v>
      </c>
    </row>
    <row r="4" ht="17.85" customHeight="1" spans="1:30">
      <c r="A4" s="231" t="s">
        <v>23</v>
      </c>
      <c r="B4" s="272"/>
      <c r="C4" s="231">
        <v>79.99</v>
      </c>
      <c r="D4" s="273">
        <v>0.3</v>
      </c>
      <c r="E4" s="168">
        <v>0</v>
      </c>
      <c r="F4" s="274">
        <f t="shared" ref="F4:F27" si="0">SUM(C4*(1-D4-E4))</f>
        <v>55.993</v>
      </c>
      <c r="G4" s="231"/>
      <c r="H4" s="231"/>
      <c r="I4" s="231"/>
      <c r="J4" s="231"/>
      <c r="K4" s="275"/>
      <c r="L4" s="276"/>
      <c r="M4" s="277"/>
      <c r="N4" s="231"/>
      <c r="O4" s="278">
        <f t="shared" ref="O4:O27" si="1">SUM(Q4/R4)</f>
        <v>262.5</v>
      </c>
      <c r="P4" s="231"/>
      <c r="Q4" s="231">
        <f>'总表（阶段盈亏）'!H3</f>
        <v>21</v>
      </c>
      <c r="R4" s="279">
        <v>0.08</v>
      </c>
      <c r="S4" s="167">
        <v>1.91</v>
      </c>
      <c r="T4" s="231">
        <f t="shared" ref="T4:T27" si="2">SUM(O4*S4)</f>
        <v>501.375</v>
      </c>
      <c r="U4" s="279">
        <f t="shared" ref="U4:U27" si="3">SUM(S4/R4/C4)</f>
        <v>0.298474809351169</v>
      </c>
      <c r="V4" s="280">
        <f t="shared" ref="V4:V27" si="4">SUM(T4/Q4)</f>
        <v>23.875</v>
      </c>
      <c r="W4" s="280">
        <f t="shared" ref="W4:W27" si="5">T4/7</f>
        <v>71.625</v>
      </c>
      <c r="X4" s="276"/>
      <c r="Y4" s="231"/>
      <c r="Z4" s="275"/>
      <c r="AA4" s="280"/>
      <c r="AB4" s="231"/>
      <c r="AC4" s="231"/>
      <c r="AD4" s="231"/>
    </row>
    <row r="5" ht="17.85" customHeight="1" spans="1:30">
      <c r="A5" s="231"/>
      <c r="B5" s="272"/>
      <c r="C5" s="231">
        <v>89.99</v>
      </c>
      <c r="D5" s="273">
        <v>0.3</v>
      </c>
      <c r="E5" s="168">
        <v>0</v>
      </c>
      <c r="F5" s="274">
        <f t="shared" si="0"/>
        <v>62.993</v>
      </c>
      <c r="G5" s="231"/>
      <c r="H5" s="231"/>
      <c r="I5" s="231"/>
      <c r="J5" s="231"/>
      <c r="K5" s="275"/>
      <c r="L5" s="276"/>
      <c r="M5" s="277"/>
      <c r="N5" s="231"/>
      <c r="O5" s="278">
        <f t="shared" si="1"/>
        <v>437.5</v>
      </c>
      <c r="P5" s="231"/>
      <c r="Q5" s="231">
        <f>'总表（阶段盈亏）'!H4</f>
        <v>35</v>
      </c>
      <c r="R5" s="279">
        <v>0.08</v>
      </c>
      <c r="S5" s="167">
        <v>1.91</v>
      </c>
      <c r="T5" s="231">
        <f t="shared" si="2"/>
        <v>835.625</v>
      </c>
      <c r="U5" s="279">
        <f t="shared" si="3"/>
        <v>0.265307256361818</v>
      </c>
      <c r="V5" s="280">
        <f t="shared" si="4"/>
        <v>23.875</v>
      </c>
      <c r="W5" s="280">
        <f t="shared" si="5"/>
        <v>119.375</v>
      </c>
      <c r="X5" s="276"/>
      <c r="Y5" s="231"/>
      <c r="Z5" s="275"/>
      <c r="AA5" s="280"/>
      <c r="AB5" s="231"/>
      <c r="AC5" s="231"/>
      <c r="AD5" s="231"/>
    </row>
    <row r="6" ht="17.85" customHeight="1" spans="1:30">
      <c r="A6" s="231"/>
      <c r="B6" s="272"/>
      <c r="C6" s="231">
        <v>89.99</v>
      </c>
      <c r="D6" s="273">
        <v>0.3</v>
      </c>
      <c r="E6" s="168">
        <v>0</v>
      </c>
      <c r="F6" s="274">
        <f t="shared" si="0"/>
        <v>62.993</v>
      </c>
      <c r="G6" s="231"/>
      <c r="H6" s="231"/>
      <c r="I6" s="231"/>
      <c r="J6" s="231"/>
      <c r="K6" s="275"/>
      <c r="L6" s="276"/>
      <c r="M6" s="277"/>
      <c r="N6" s="231"/>
      <c r="O6" s="278">
        <f t="shared" si="1"/>
        <v>525</v>
      </c>
      <c r="P6" s="231"/>
      <c r="Q6" s="231">
        <f>'总表（阶段盈亏）'!H5</f>
        <v>42</v>
      </c>
      <c r="R6" s="279">
        <v>0.08</v>
      </c>
      <c r="S6" s="167">
        <v>1.91</v>
      </c>
      <c r="T6" s="231">
        <f t="shared" si="2"/>
        <v>1002.75</v>
      </c>
      <c r="U6" s="279">
        <f t="shared" si="3"/>
        <v>0.265307256361818</v>
      </c>
      <c r="V6" s="280">
        <f t="shared" si="4"/>
        <v>23.875</v>
      </c>
      <c r="W6" s="280">
        <f t="shared" si="5"/>
        <v>143.25</v>
      </c>
      <c r="X6" s="276"/>
      <c r="Y6" s="231"/>
      <c r="Z6" s="275"/>
      <c r="AA6" s="280"/>
      <c r="AB6" s="231"/>
      <c r="AC6" s="231"/>
      <c r="AD6" s="231"/>
    </row>
    <row r="7" ht="17.85" customHeight="1" spans="1:30">
      <c r="A7" s="231"/>
      <c r="B7" s="272"/>
      <c r="C7" s="231">
        <v>89.99</v>
      </c>
      <c r="D7" s="273">
        <v>0.3</v>
      </c>
      <c r="E7" s="168">
        <v>0</v>
      </c>
      <c r="F7" s="274">
        <f t="shared" si="0"/>
        <v>62.993</v>
      </c>
      <c r="G7" s="231"/>
      <c r="H7" s="231"/>
      <c r="I7" s="231"/>
      <c r="J7" s="231"/>
      <c r="K7" s="275"/>
      <c r="L7" s="166"/>
      <c r="M7" s="277"/>
      <c r="N7" s="231"/>
      <c r="O7" s="278">
        <f t="shared" si="1"/>
        <v>612.5</v>
      </c>
      <c r="P7" s="231"/>
      <c r="Q7" s="231">
        <f>'总表（阶段盈亏）'!H6</f>
        <v>49</v>
      </c>
      <c r="R7" s="279">
        <v>0.08</v>
      </c>
      <c r="S7" s="167">
        <v>1.91</v>
      </c>
      <c r="T7" s="231">
        <f t="shared" si="2"/>
        <v>1169.875</v>
      </c>
      <c r="U7" s="279">
        <f t="shared" si="3"/>
        <v>0.265307256361818</v>
      </c>
      <c r="V7" s="280">
        <f t="shared" si="4"/>
        <v>23.875</v>
      </c>
      <c r="W7" s="280">
        <f t="shared" si="5"/>
        <v>167.125</v>
      </c>
      <c r="X7" s="166"/>
      <c r="Y7" s="231"/>
      <c r="Z7" s="231"/>
      <c r="AA7" s="167"/>
      <c r="AB7" s="231"/>
      <c r="AC7" s="231"/>
      <c r="AD7" s="231"/>
    </row>
    <row r="8" ht="14.3" customHeight="1" spans="1:30">
      <c r="A8" s="231" t="s">
        <v>25</v>
      </c>
      <c r="B8" s="272"/>
      <c r="C8" s="231">
        <v>85.99</v>
      </c>
      <c r="D8" s="273">
        <v>0.2</v>
      </c>
      <c r="E8" s="168">
        <v>0</v>
      </c>
      <c r="F8" s="274">
        <f t="shared" si="0"/>
        <v>68.792</v>
      </c>
      <c r="G8" s="231"/>
      <c r="H8" s="231"/>
      <c r="I8" s="231"/>
      <c r="J8" s="231"/>
      <c r="K8" s="231"/>
      <c r="L8" s="166"/>
      <c r="M8" s="277"/>
      <c r="N8" s="231"/>
      <c r="O8" s="278">
        <f t="shared" si="1"/>
        <v>741.176470588235</v>
      </c>
      <c r="P8" s="231"/>
      <c r="Q8" s="231">
        <f>'总表（阶段盈亏）'!H7</f>
        <v>63</v>
      </c>
      <c r="R8" s="279">
        <v>0.085</v>
      </c>
      <c r="S8" s="167">
        <v>1.87</v>
      </c>
      <c r="T8" s="231">
        <f t="shared" si="2"/>
        <v>1386</v>
      </c>
      <c r="U8" s="279">
        <f t="shared" si="3"/>
        <v>0.255843702756134</v>
      </c>
      <c r="V8" s="280">
        <f t="shared" si="4"/>
        <v>22</v>
      </c>
      <c r="W8" s="280">
        <f t="shared" si="5"/>
        <v>198</v>
      </c>
      <c r="X8" s="166"/>
      <c r="Y8" s="231"/>
      <c r="Z8" s="231"/>
      <c r="AA8" s="167"/>
      <c r="AB8" s="231"/>
      <c r="AC8" s="231"/>
      <c r="AD8" s="231"/>
    </row>
    <row r="9" ht="14.3" customHeight="1" spans="1:30">
      <c r="A9" s="231"/>
      <c r="B9" s="272"/>
      <c r="C9" s="231">
        <v>85.99</v>
      </c>
      <c r="D9" s="273">
        <v>0.2</v>
      </c>
      <c r="E9" s="168">
        <v>0</v>
      </c>
      <c r="F9" s="274">
        <f t="shared" si="0"/>
        <v>68.792</v>
      </c>
      <c r="G9" s="231"/>
      <c r="H9" s="231"/>
      <c r="I9" s="231"/>
      <c r="J9" s="231"/>
      <c r="K9" s="231"/>
      <c r="L9" s="166"/>
      <c r="M9" s="277"/>
      <c r="N9" s="231"/>
      <c r="O9" s="278">
        <f t="shared" si="1"/>
        <v>823.529411764706</v>
      </c>
      <c r="P9" s="231"/>
      <c r="Q9" s="231">
        <f>'总表（阶段盈亏）'!H8</f>
        <v>70</v>
      </c>
      <c r="R9" s="279">
        <v>0.085</v>
      </c>
      <c r="S9" s="167">
        <v>1.87</v>
      </c>
      <c r="T9" s="231">
        <f t="shared" si="2"/>
        <v>1540</v>
      </c>
      <c r="U9" s="279">
        <f t="shared" si="3"/>
        <v>0.255843702756134</v>
      </c>
      <c r="V9" s="280">
        <f t="shared" si="4"/>
        <v>22</v>
      </c>
      <c r="W9" s="280">
        <f t="shared" si="5"/>
        <v>220</v>
      </c>
      <c r="X9" s="166"/>
      <c r="Y9" s="231"/>
      <c r="Z9" s="231"/>
      <c r="AA9" s="167"/>
      <c r="AB9" s="231"/>
      <c r="AC9" s="231"/>
      <c r="AD9" s="231"/>
    </row>
    <row r="10" ht="14.3" customHeight="1" spans="1:30">
      <c r="A10" s="231"/>
      <c r="B10" s="272"/>
      <c r="C10" s="231">
        <v>85.99</v>
      </c>
      <c r="D10" s="273">
        <v>0.2</v>
      </c>
      <c r="E10" s="168">
        <v>0</v>
      </c>
      <c r="F10" s="274">
        <f t="shared" si="0"/>
        <v>68.792</v>
      </c>
      <c r="G10" s="231"/>
      <c r="H10" s="231"/>
      <c r="I10" s="231"/>
      <c r="J10" s="231"/>
      <c r="K10" s="231"/>
      <c r="L10" s="166"/>
      <c r="M10" s="277"/>
      <c r="N10" s="231"/>
      <c r="O10" s="278">
        <f t="shared" si="1"/>
        <v>988.235294117647</v>
      </c>
      <c r="P10" s="231"/>
      <c r="Q10" s="231">
        <f>'总表（阶段盈亏）'!H9</f>
        <v>84</v>
      </c>
      <c r="R10" s="279">
        <v>0.085</v>
      </c>
      <c r="S10" s="167">
        <v>1.87</v>
      </c>
      <c r="T10" s="231">
        <f t="shared" si="2"/>
        <v>1848</v>
      </c>
      <c r="U10" s="279">
        <f t="shared" si="3"/>
        <v>0.255843702756134</v>
      </c>
      <c r="V10" s="280">
        <f t="shared" si="4"/>
        <v>22</v>
      </c>
      <c r="W10" s="280">
        <f t="shared" si="5"/>
        <v>264</v>
      </c>
      <c r="X10" s="166"/>
      <c r="Y10" s="231"/>
      <c r="Z10" s="231"/>
      <c r="AA10" s="167"/>
      <c r="AB10" s="231"/>
      <c r="AC10" s="231"/>
      <c r="AD10" s="231"/>
    </row>
    <row r="11" ht="14.3" customHeight="1" spans="1:30">
      <c r="A11" s="231"/>
      <c r="B11" s="272"/>
      <c r="C11" s="231">
        <v>85.99</v>
      </c>
      <c r="D11" s="273">
        <v>0.2</v>
      </c>
      <c r="E11" s="168">
        <v>0</v>
      </c>
      <c r="F11" s="274">
        <f t="shared" si="0"/>
        <v>68.792</v>
      </c>
      <c r="G11" s="231"/>
      <c r="H11" s="231"/>
      <c r="I11" s="231"/>
      <c r="J11" s="231"/>
      <c r="K11" s="231"/>
      <c r="L11" s="166"/>
      <c r="M11" s="277"/>
      <c r="N11" s="231"/>
      <c r="O11" s="278">
        <f t="shared" si="1"/>
        <v>988.235294117647</v>
      </c>
      <c r="P11" s="231"/>
      <c r="Q11" s="231">
        <f>'总表（阶段盈亏）'!H10</f>
        <v>84</v>
      </c>
      <c r="R11" s="279">
        <v>0.085</v>
      </c>
      <c r="S11" s="167">
        <v>1.87</v>
      </c>
      <c r="T11" s="231">
        <f t="shared" si="2"/>
        <v>1848</v>
      </c>
      <c r="U11" s="279">
        <f t="shared" si="3"/>
        <v>0.255843702756134</v>
      </c>
      <c r="V11" s="280">
        <f t="shared" si="4"/>
        <v>22</v>
      </c>
      <c r="W11" s="280">
        <f t="shared" si="5"/>
        <v>264</v>
      </c>
      <c r="X11" s="166"/>
      <c r="Y11" s="231"/>
      <c r="Z11" s="231"/>
      <c r="AA11" s="167"/>
      <c r="AB11" s="231"/>
      <c r="AC11" s="231"/>
      <c r="AD11" s="231"/>
    </row>
    <row r="12" ht="14.3" customHeight="1" spans="1:30">
      <c r="A12" s="231" t="s">
        <v>27</v>
      </c>
      <c r="B12" s="272"/>
      <c r="C12" s="231">
        <v>85.99</v>
      </c>
      <c r="D12" s="273">
        <v>0.1</v>
      </c>
      <c r="E12" s="168">
        <v>0</v>
      </c>
      <c r="F12" s="274">
        <f t="shared" si="0"/>
        <v>77.391</v>
      </c>
      <c r="G12" s="231"/>
      <c r="H12" s="231"/>
      <c r="I12" s="231"/>
      <c r="J12" s="231"/>
      <c r="K12" s="231"/>
      <c r="L12" s="166"/>
      <c r="M12" s="277"/>
      <c r="N12" s="231"/>
      <c r="O12" s="278">
        <f t="shared" si="1"/>
        <v>1088.88888888889</v>
      </c>
      <c r="P12" s="231"/>
      <c r="Q12" s="231">
        <f>'总表（阶段盈亏）'!H11</f>
        <v>98</v>
      </c>
      <c r="R12" s="279">
        <v>0.09</v>
      </c>
      <c r="S12" s="167">
        <v>1.84</v>
      </c>
      <c r="T12" s="231">
        <f t="shared" si="2"/>
        <v>2003.55555555556</v>
      </c>
      <c r="U12" s="279">
        <f t="shared" si="3"/>
        <v>0.237753743975398</v>
      </c>
      <c r="V12" s="280">
        <f t="shared" si="4"/>
        <v>20.4444444444444</v>
      </c>
      <c r="W12" s="280">
        <f t="shared" si="5"/>
        <v>286.222222222222</v>
      </c>
      <c r="X12" s="166"/>
      <c r="Y12" s="231"/>
      <c r="Z12" s="231"/>
      <c r="AA12" s="167"/>
      <c r="AB12" s="231"/>
      <c r="AC12" s="231"/>
      <c r="AD12" s="231"/>
    </row>
    <row r="13" ht="14.3" customHeight="1" spans="1:30">
      <c r="A13" s="231"/>
      <c r="B13" s="272"/>
      <c r="C13" s="231">
        <v>85.99</v>
      </c>
      <c r="D13" s="273">
        <v>0.1</v>
      </c>
      <c r="E13" s="168">
        <v>0</v>
      </c>
      <c r="F13" s="274">
        <f t="shared" si="0"/>
        <v>77.391</v>
      </c>
      <c r="G13" s="231"/>
      <c r="H13" s="231"/>
      <c r="I13" s="231"/>
      <c r="J13" s="231"/>
      <c r="K13" s="231"/>
      <c r="L13" s="166"/>
      <c r="M13" s="277"/>
      <c r="N13" s="231"/>
      <c r="O13" s="278">
        <f t="shared" si="1"/>
        <v>1166.66666666667</v>
      </c>
      <c r="P13" s="231"/>
      <c r="Q13" s="231">
        <f>'总表（阶段盈亏）'!H12</f>
        <v>105</v>
      </c>
      <c r="R13" s="279">
        <v>0.09</v>
      </c>
      <c r="S13" s="167">
        <v>1.84</v>
      </c>
      <c r="T13" s="231">
        <f t="shared" si="2"/>
        <v>2146.66666666667</v>
      </c>
      <c r="U13" s="279">
        <f t="shared" si="3"/>
        <v>0.237753743975398</v>
      </c>
      <c r="V13" s="280">
        <f t="shared" si="4"/>
        <v>20.4444444444444</v>
      </c>
      <c r="W13" s="280">
        <f t="shared" si="5"/>
        <v>306.666666666667</v>
      </c>
      <c r="X13" s="166"/>
      <c r="Y13" s="231"/>
      <c r="Z13" s="231"/>
      <c r="AA13" s="167"/>
      <c r="AB13" s="231"/>
      <c r="AC13" s="231"/>
      <c r="AD13" s="231"/>
    </row>
    <row r="14" ht="14.3" customHeight="1" spans="1:30">
      <c r="A14" s="231"/>
      <c r="B14" s="272"/>
      <c r="C14" s="231">
        <v>85.99</v>
      </c>
      <c r="D14" s="273">
        <v>0.1</v>
      </c>
      <c r="E14" s="168">
        <v>0</v>
      </c>
      <c r="F14" s="274">
        <f t="shared" si="0"/>
        <v>77.391</v>
      </c>
      <c r="G14" s="231"/>
      <c r="H14" s="231"/>
      <c r="I14" s="231"/>
      <c r="J14" s="231"/>
      <c r="K14" s="231"/>
      <c r="L14" s="166"/>
      <c r="M14" s="277"/>
      <c r="N14" s="231"/>
      <c r="O14" s="278">
        <f t="shared" si="1"/>
        <v>1166.66666666667</v>
      </c>
      <c r="P14" s="231"/>
      <c r="Q14" s="231">
        <f>'总表（阶段盈亏）'!H13</f>
        <v>105</v>
      </c>
      <c r="R14" s="279">
        <v>0.09</v>
      </c>
      <c r="S14" s="167">
        <v>1.84</v>
      </c>
      <c r="T14" s="231">
        <f t="shared" si="2"/>
        <v>2146.66666666667</v>
      </c>
      <c r="U14" s="279">
        <f t="shared" si="3"/>
        <v>0.237753743975398</v>
      </c>
      <c r="V14" s="280">
        <f t="shared" si="4"/>
        <v>20.4444444444444</v>
      </c>
      <c r="W14" s="280">
        <f t="shared" si="5"/>
        <v>306.666666666667</v>
      </c>
      <c r="X14" s="166"/>
      <c r="Y14" s="231"/>
      <c r="Z14" s="231"/>
      <c r="AA14" s="167"/>
      <c r="AB14" s="231"/>
      <c r="AC14" s="231"/>
      <c r="AD14" s="231"/>
    </row>
    <row r="15" ht="14.3" customHeight="1" spans="1:30">
      <c r="A15" s="231"/>
      <c r="B15" s="272"/>
      <c r="C15" s="231">
        <v>85.99</v>
      </c>
      <c r="D15" s="273">
        <v>0.1</v>
      </c>
      <c r="E15" s="168">
        <v>0</v>
      </c>
      <c r="F15" s="274">
        <f t="shared" si="0"/>
        <v>77.391</v>
      </c>
      <c r="G15" s="231"/>
      <c r="H15" s="231"/>
      <c r="I15" s="231"/>
      <c r="J15" s="231"/>
      <c r="K15" s="231"/>
      <c r="L15" s="166"/>
      <c r="M15" s="277"/>
      <c r="N15" s="231"/>
      <c r="O15" s="278">
        <f t="shared" si="1"/>
        <v>1244.44444444444</v>
      </c>
      <c r="P15" s="231"/>
      <c r="Q15" s="231">
        <f>'总表（阶段盈亏）'!H14</f>
        <v>112</v>
      </c>
      <c r="R15" s="279">
        <v>0.09</v>
      </c>
      <c r="S15" s="167">
        <v>1.84</v>
      </c>
      <c r="T15" s="231">
        <f t="shared" si="2"/>
        <v>2289.77777777778</v>
      </c>
      <c r="U15" s="279">
        <f t="shared" si="3"/>
        <v>0.237753743975398</v>
      </c>
      <c r="V15" s="280">
        <f t="shared" si="4"/>
        <v>20.4444444444444</v>
      </c>
      <c r="W15" s="280">
        <f t="shared" si="5"/>
        <v>327.111111111111</v>
      </c>
      <c r="X15" s="166"/>
      <c r="Y15" s="231"/>
      <c r="Z15" s="231"/>
      <c r="AA15" s="167"/>
      <c r="AB15" s="231"/>
      <c r="AC15" s="231"/>
      <c r="AD15" s="231"/>
    </row>
    <row r="16" ht="14.3" customHeight="1" spans="1:30">
      <c r="A16" s="231" t="s">
        <v>29</v>
      </c>
      <c r="B16" s="272"/>
      <c r="C16" s="231">
        <v>79.99</v>
      </c>
      <c r="D16" s="273">
        <v>0</v>
      </c>
      <c r="E16" s="168">
        <v>0</v>
      </c>
      <c r="F16" s="274">
        <f t="shared" si="0"/>
        <v>79.99</v>
      </c>
      <c r="G16" s="231"/>
      <c r="H16" s="231"/>
      <c r="I16" s="231"/>
      <c r="J16" s="231"/>
      <c r="K16" s="231"/>
      <c r="L16" s="166"/>
      <c r="M16" s="277"/>
      <c r="N16" s="231"/>
      <c r="O16" s="278">
        <f t="shared" si="1"/>
        <v>1482.35294117647</v>
      </c>
      <c r="P16" s="231"/>
      <c r="Q16" s="231">
        <f>'总表（阶段盈亏）'!H15</f>
        <v>126</v>
      </c>
      <c r="R16" s="279">
        <v>0.085</v>
      </c>
      <c r="S16" s="167">
        <v>1.8</v>
      </c>
      <c r="T16" s="231">
        <f t="shared" si="2"/>
        <v>2668.23529411765</v>
      </c>
      <c r="U16" s="279">
        <f t="shared" si="3"/>
        <v>0.264738974724782</v>
      </c>
      <c r="V16" s="280">
        <f t="shared" si="4"/>
        <v>21.1764705882353</v>
      </c>
      <c r="W16" s="280">
        <f t="shared" si="5"/>
        <v>381.176470588235</v>
      </c>
      <c r="X16" s="166"/>
      <c r="Y16" s="231"/>
      <c r="Z16" s="231"/>
      <c r="AA16" s="167"/>
      <c r="AB16" s="231"/>
      <c r="AC16" s="231"/>
      <c r="AD16" s="231"/>
    </row>
    <row r="17" ht="14.3" customHeight="1" spans="1:30">
      <c r="A17" s="231"/>
      <c r="B17" s="272"/>
      <c r="C17" s="231">
        <v>79.99</v>
      </c>
      <c r="D17" s="273">
        <v>0</v>
      </c>
      <c r="E17" s="168">
        <v>0</v>
      </c>
      <c r="F17" s="274">
        <f t="shared" si="0"/>
        <v>79.99</v>
      </c>
      <c r="G17" s="231"/>
      <c r="H17" s="231"/>
      <c r="I17" s="231"/>
      <c r="J17" s="231"/>
      <c r="K17" s="231"/>
      <c r="L17" s="166"/>
      <c r="M17" s="277"/>
      <c r="N17" s="231"/>
      <c r="O17" s="278">
        <f t="shared" si="1"/>
        <v>1647.05882352941</v>
      </c>
      <c r="P17" s="231"/>
      <c r="Q17" s="231">
        <f>'总表（阶段盈亏）'!H16</f>
        <v>140</v>
      </c>
      <c r="R17" s="279">
        <v>0.085</v>
      </c>
      <c r="S17" s="167">
        <v>1.8</v>
      </c>
      <c r="T17" s="231">
        <f t="shared" si="2"/>
        <v>2964.70588235294</v>
      </c>
      <c r="U17" s="279">
        <f t="shared" si="3"/>
        <v>0.264738974724782</v>
      </c>
      <c r="V17" s="280">
        <f t="shared" si="4"/>
        <v>21.1764705882353</v>
      </c>
      <c r="W17" s="280">
        <f t="shared" si="5"/>
        <v>423.529411764706</v>
      </c>
      <c r="X17" s="166"/>
      <c r="Y17" s="231"/>
      <c r="Z17" s="231"/>
      <c r="AA17" s="167"/>
      <c r="AB17" s="231"/>
      <c r="AC17" s="231"/>
      <c r="AD17" s="231"/>
    </row>
    <row r="18" ht="14.3" customHeight="1" spans="1:30">
      <c r="A18" s="231"/>
      <c r="B18" s="272"/>
      <c r="C18" s="231">
        <v>79.99</v>
      </c>
      <c r="D18" s="273">
        <v>0</v>
      </c>
      <c r="E18" s="168">
        <v>0</v>
      </c>
      <c r="F18" s="274">
        <f t="shared" si="0"/>
        <v>79.99</v>
      </c>
      <c r="G18" s="231"/>
      <c r="H18" s="231"/>
      <c r="I18" s="231"/>
      <c r="J18" s="231"/>
      <c r="K18" s="231"/>
      <c r="L18" s="166"/>
      <c r="M18" s="277"/>
      <c r="N18" s="231"/>
      <c r="O18" s="278">
        <f t="shared" si="1"/>
        <v>1811.76470588235</v>
      </c>
      <c r="P18" s="231"/>
      <c r="Q18" s="231">
        <f>'总表（阶段盈亏）'!H17</f>
        <v>154</v>
      </c>
      <c r="R18" s="279">
        <v>0.085</v>
      </c>
      <c r="S18" s="167">
        <v>1.8</v>
      </c>
      <c r="T18" s="231">
        <f t="shared" si="2"/>
        <v>3261.17647058824</v>
      </c>
      <c r="U18" s="279">
        <f t="shared" si="3"/>
        <v>0.264738974724782</v>
      </c>
      <c r="V18" s="280">
        <f t="shared" si="4"/>
        <v>21.1764705882353</v>
      </c>
      <c r="W18" s="280">
        <f t="shared" si="5"/>
        <v>465.882352941176</v>
      </c>
      <c r="X18" s="166"/>
      <c r="Y18" s="231"/>
      <c r="Z18" s="231"/>
      <c r="AA18" s="167"/>
      <c r="AB18" s="231"/>
      <c r="AC18" s="231"/>
      <c r="AD18" s="231"/>
    </row>
    <row r="19" ht="14.3" customHeight="1" spans="1:30">
      <c r="A19" s="231"/>
      <c r="B19" s="272"/>
      <c r="C19" s="231">
        <v>79.99</v>
      </c>
      <c r="D19" s="273">
        <v>0</v>
      </c>
      <c r="E19" s="168">
        <v>0</v>
      </c>
      <c r="F19" s="274">
        <f t="shared" si="0"/>
        <v>79.99</v>
      </c>
      <c r="G19" s="231"/>
      <c r="H19" s="231"/>
      <c r="I19" s="231"/>
      <c r="J19" s="231"/>
      <c r="K19" s="231"/>
      <c r="L19" s="166"/>
      <c r="M19" s="277"/>
      <c r="N19" s="231"/>
      <c r="O19" s="278">
        <f t="shared" si="1"/>
        <v>2058.82352941176</v>
      </c>
      <c r="P19" s="231"/>
      <c r="Q19" s="231">
        <f>'总表（阶段盈亏）'!H18</f>
        <v>175</v>
      </c>
      <c r="R19" s="279">
        <v>0.085</v>
      </c>
      <c r="S19" s="167">
        <v>1.8</v>
      </c>
      <c r="T19" s="231">
        <f t="shared" si="2"/>
        <v>3705.88235294118</v>
      </c>
      <c r="U19" s="279">
        <f t="shared" si="3"/>
        <v>0.264738974724782</v>
      </c>
      <c r="V19" s="280">
        <f t="shared" si="4"/>
        <v>21.1764705882353</v>
      </c>
      <c r="W19" s="280">
        <f t="shared" si="5"/>
        <v>529.411764705882</v>
      </c>
      <c r="X19" s="166"/>
      <c r="Y19" s="231"/>
      <c r="Z19" s="231"/>
      <c r="AA19" s="167"/>
      <c r="AB19" s="231"/>
      <c r="AC19" s="231"/>
      <c r="AD19" s="231"/>
    </row>
    <row r="20" ht="14.3" customHeight="1" spans="1:30">
      <c r="A20" s="231" t="s">
        <v>31</v>
      </c>
      <c r="B20" s="272"/>
      <c r="C20" s="231">
        <v>79.99</v>
      </c>
      <c r="D20" s="273">
        <v>0</v>
      </c>
      <c r="E20" s="168">
        <v>0</v>
      </c>
      <c r="F20" s="274">
        <f t="shared" si="0"/>
        <v>79.99</v>
      </c>
      <c r="G20" s="231"/>
      <c r="H20" s="231"/>
      <c r="I20" s="231"/>
      <c r="J20" s="231"/>
      <c r="K20" s="231"/>
      <c r="L20" s="166"/>
      <c r="M20" s="277"/>
      <c r="N20" s="231"/>
      <c r="O20" s="278">
        <f t="shared" si="1"/>
        <v>2058.82352941176</v>
      </c>
      <c r="P20" s="231"/>
      <c r="Q20" s="231">
        <f>'总表（阶段盈亏）'!H19</f>
        <v>175</v>
      </c>
      <c r="R20" s="279">
        <v>0.085</v>
      </c>
      <c r="S20" s="167">
        <v>1.8</v>
      </c>
      <c r="T20" s="231">
        <f t="shared" si="2"/>
        <v>3705.88235294118</v>
      </c>
      <c r="U20" s="279">
        <f t="shared" si="3"/>
        <v>0.264738974724782</v>
      </c>
      <c r="V20" s="280">
        <f t="shared" si="4"/>
        <v>21.1764705882353</v>
      </c>
      <c r="W20" s="280">
        <f t="shared" si="5"/>
        <v>529.411764705882</v>
      </c>
      <c r="X20" s="166"/>
      <c r="Y20" s="231"/>
      <c r="Z20" s="231"/>
      <c r="AA20" s="167"/>
      <c r="AB20" s="231"/>
      <c r="AC20" s="231"/>
      <c r="AD20" s="231"/>
    </row>
    <row r="21" ht="14.3" customHeight="1" spans="1:30">
      <c r="A21" s="231"/>
      <c r="B21" s="272"/>
      <c r="C21" s="231">
        <v>79.99</v>
      </c>
      <c r="D21" s="273">
        <v>0</v>
      </c>
      <c r="E21" s="168">
        <v>0</v>
      </c>
      <c r="F21" s="274">
        <f t="shared" si="0"/>
        <v>79.99</v>
      </c>
      <c r="G21" s="231"/>
      <c r="H21" s="231"/>
      <c r="I21" s="231"/>
      <c r="J21" s="231"/>
      <c r="K21" s="231"/>
      <c r="L21" s="166"/>
      <c r="M21" s="277"/>
      <c r="N21" s="231"/>
      <c r="O21" s="278">
        <f t="shared" si="1"/>
        <v>2058.82352941176</v>
      </c>
      <c r="P21" s="231"/>
      <c r="Q21" s="231">
        <f>'总表（阶段盈亏）'!H20</f>
        <v>175</v>
      </c>
      <c r="R21" s="279">
        <v>0.085</v>
      </c>
      <c r="S21" s="167">
        <v>1.8</v>
      </c>
      <c r="T21" s="231">
        <f t="shared" si="2"/>
        <v>3705.88235294118</v>
      </c>
      <c r="U21" s="279">
        <f t="shared" si="3"/>
        <v>0.264738974724782</v>
      </c>
      <c r="V21" s="280">
        <f t="shared" si="4"/>
        <v>21.1764705882353</v>
      </c>
      <c r="W21" s="280">
        <f t="shared" si="5"/>
        <v>529.411764705882</v>
      </c>
      <c r="X21" s="166"/>
      <c r="Y21" s="231"/>
      <c r="Z21" s="231"/>
      <c r="AA21" s="167"/>
      <c r="AB21" s="231"/>
      <c r="AC21" s="231"/>
      <c r="AD21" s="231"/>
    </row>
    <row r="22" ht="14.3" customHeight="1" spans="1:30">
      <c r="A22" s="231"/>
      <c r="B22" s="272"/>
      <c r="C22" s="231">
        <v>79.99</v>
      </c>
      <c r="D22" s="273">
        <v>0</v>
      </c>
      <c r="E22" s="168">
        <v>0</v>
      </c>
      <c r="F22" s="274">
        <f t="shared" si="0"/>
        <v>79.99</v>
      </c>
      <c r="G22" s="231"/>
      <c r="H22" s="231"/>
      <c r="I22" s="231"/>
      <c r="J22" s="231"/>
      <c r="K22" s="231"/>
      <c r="L22" s="166"/>
      <c r="M22" s="277"/>
      <c r="N22" s="231"/>
      <c r="O22" s="278">
        <f t="shared" si="1"/>
        <v>2058.82352941176</v>
      </c>
      <c r="P22" s="231"/>
      <c r="Q22" s="231">
        <f>'总表（阶段盈亏）'!H21</f>
        <v>175</v>
      </c>
      <c r="R22" s="279">
        <v>0.085</v>
      </c>
      <c r="S22" s="167">
        <v>1.8</v>
      </c>
      <c r="T22" s="231">
        <f t="shared" si="2"/>
        <v>3705.88235294118</v>
      </c>
      <c r="U22" s="279">
        <f t="shared" si="3"/>
        <v>0.264738974724782</v>
      </c>
      <c r="V22" s="280">
        <f t="shared" si="4"/>
        <v>21.1764705882353</v>
      </c>
      <c r="W22" s="280">
        <f t="shared" si="5"/>
        <v>529.411764705882</v>
      </c>
      <c r="X22" s="166"/>
      <c r="Y22" s="231"/>
      <c r="Z22" s="231"/>
      <c r="AA22" s="167"/>
      <c r="AB22" s="231"/>
      <c r="AC22" s="231"/>
      <c r="AD22" s="231"/>
    </row>
    <row r="23" ht="14.3" customHeight="1" spans="1:30">
      <c r="A23" s="231"/>
      <c r="B23" s="272"/>
      <c r="C23" s="231">
        <v>79.99</v>
      </c>
      <c r="D23" s="273">
        <v>0</v>
      </c>
      <c r="E23" s="168">
        <v>0</v>
      </c>
      <c r="F23" s="274">
        <f t="shared" si="0"/>
        <v>79.99</v>
      </c>
      <c r="G23" s="231"/>
      <c r="H23" s="231"/>
      <c r="I23" s="231"/>
      <c r="J23" s="231"/>
      <c r="K23" s="231"/>
      <c r="L23" s="166"/>
      <c r="M23" s="277"/>
      <c r="N23" s="231"/>
      <c r="O23" s="278">
        <f t="shared" si="1"/>
        <v>2058.82352941176</v>
      </c>
      <c r="P23" s="231"/>
      <c r="Q23" s="231">
        <f>'总表（阶段盈亏）'!H22</f>
        <v>175</v>
      </c>
      <c r="R23" s="279">
        <v>0.085</v>
      </c>
      <c r="S23" s="167">
        <v>1.8</v>
      </c>
      <c r="T23" s="231">
        <f t="shared" si="2"/>
        <v>3705.88235294118</v>
      </c>
      <c r="U23" s="279">
        <f t="shared" si="3"/>
        <v>0.264738974724782</v>
      </c>
      <c r="V23" s="280">
        <f t="shared" si="4"/>
        <v>21.1764705882353</v>
      </c>
      <c r="W23" s="280">
        <f t="shared" si="5"/>
        <v>529.411764705882</v>
      </c>
      <c r="X23" s="166"/>
      <c r="Y23" s="231"/>
      <c r="Z23" s="231"/>
      <c r="AA23" s="167"/>
      <c r="AB23" s="231"/>
      <c r="AC23" s="231"/>
      <c r="AD23" s="231"/>
    </row>
    <row r="24" ht="14.3" customHeight="1" spans="1:30">
      <c r="A24" s="231" t="s">
        <v>33</v>
      </c>
      <c r="B24" s="272"/>
      <c r="C24" s="231">
        <v>79.99</v>
      </c>
      <c r="D24" s="273">
        <v>0</v>
      </c>
      <c r="E24" s="168">
        <v>0</v>
      </c>
      <c r="F24" s="274">
        <f t="shared" si="0"/>
        <v>79.99</v>
      </c>
      <c r="G24" s="231"/>
      <c r="H24" s="231"/>
      <c r="I24" s="231"/>
      <c r="J24" s="231"/>
      <c r="K24" s="231"/>
      <c r="L24" s="166"/>
      <c r="M24" s="277"/>
      <c r="N24" s="231"/>
      <c r="O24" s="278">
        <f t="shared" si="1"/>
        <v>2058.82352941176</v>
      </c>
      <c r="P24" s="231"/>
      <c r="Q24" s="231">
        <f>'总表（阶段盈亏）'!H23</f>
        <v>175</v>
      </c>
      <c r="R24" s="279">
        <v>0.085</v>
      </c>
      <c r="S24" s="167">
        <v>1.8</v>
      </c>
      <c r="T24" s="231">
        <f t="shared" si="2"/>
        <v>3705.88235294118</v>
      </c>
      <c r="U24" s="279">
        <f t="shared" si="3"/>
        <v>0.264738974724782</v>
      </c>
      <c r="V24" s="280">
        <f t="shared" si="4"/>
        <v>21.1764705882353</v>
      </c>
      <c r="W24" s="280">
        <f t="shared" si="5"/>
        <v>529.411764705882</v>
      </c>
      <c r="X24" s="166"/>
      <c r="Y24" s="231"/>
      <c r="Z24" s="231"/>
      <c r="AA24" s="167"/>
      <c r="AB24" s="231"/>
      <c r="AC24" s="231"/>
      <c r="AD24" s="231"/>
    </row>
    <row r="25" ht="14.3" customHeight="1" spans="1:30">
      <c r="A25" s="231"/>
      <c r="B25" s="272"/>
      <c r="C25" s="231">
        <v>79.99</v>
      </c>
      <c r="D25" s="273">
        <v>0</v>
      </c>
      <c r="E25" s="168">
        <v>0</v>
      </c>
      <c r="F25" s="274">
        <f t="shared" si="0"/>
        <v>79.99</v>
      </c>
      <c r="G25" s="231"/>
      <c r="H25" s="231"/>
      <c r="I25" s="231"/>
      <c r="J25" s="231"/>
      <c r="K25" s="231"/>
      <c r="L25" s="166"/>
      <c r="M25" s="277"/>
      <c r="N25" s="231"/>
      <c r="O25" s="278">
        <f t="shared" si="1"/>
        <v>2058.82352941176</v>
      </c>
      <c r="P25" s="231"/>
      <c r="Q25" s="231">
        <f>'总表（阶段盈亏）'!H24</f>
        <v>175</v>
      </c>
      <c r="R25" s="279">
        <v>0.085</v>
      </c>
      <c r="S25" s="167">
        <v>1.8</v>
      </c>
      <c r="T25" s="231">
        <f t="shared" si="2"/>
        <v>3705.88235294118</v>
      </c>
      <c r="U25" s="279">
        <f t="shared" si="3"/>
        <v>0.264738974724782</v>
      </c>
      <c r="V25" s="280">
        <f t="shared" si="4"/>
        <v>21.1764705882353</v>
      </c>
      <c r="W25" s="280">
        <f t="shared" si="5"/>
        <v>529.411764705882</v>
      </c>
      <c r="X25" s="166"/>
      <c r="Y25" s="231"/>
      <c r="Z25" s="231"/>
      <c r="AA25" s="167"/>
      <c r="AB25" s="231"/>
      <c r="AC25" s="231"/>
      <c r="AD25" s="231"/>
    </row>
    <row r="26" ht="14.3" customHeight="1" spans="1:30">
      <c r="A26" s="231"/>
      <c r="B26" s="272"/>
      <c r="C26" s="231">
        <v>79.99</v>
      </c>
      <c r="D26" s="273">
        <v>0</v>
      </c>
      <c r="E26" s="168">
        <v>0</v>
      </c>
      <c r="F26" s="274">
        <f t="shared" si="0"/>
        <v>79.99</v>
      </c>
      <c r="G26" s="231"/>
      <c r="H26" s="231"/>
      <c r="I26" s="231"/>
      <c r="J26" s="231"/>
      <c r="K26" s="231"/>
      <c r="L26" s="166"/>
      <c r="M26" s="277"/>
      <c r="N26" s="231"/>
      <c r="O26" s="278">
        <f t="shared" si="1"/>
        <v>2058.82352941176</v>
      </c>
      <c r="P26" s="231"/>
      <c r="Q26" s="231">
        <f>'总表（阶段盈亏）'!H25</f>
        <v>175</v>
      </c>
      <c r="R26" s="279">
        <v>0.085</v>
      </c>
      <c r="S26" s="167">
        <v>1.8</v>
      </c>
      <c r="T26" s="231">
        <f t="shared" si="2"/>
        <v>3705.88235294118</v>
      </c>
      <c r="U26" s="279">
        <f t="shared" si="3"/>
        <v>0.264738974724782</v>
      </c>
      <c r="V26" s="280">
        <f t="shared" si="4"/>
        <v>21.1764705882353</v>
      </c>
      <c r="W26" s="280">
        <f t="shared" si="5"/>
        <v>529.411764705882</v>
      </c>
      <c r="X26" s="166"/>
      <c r="Y26" s="231"/>
      <c r="Z26" s="231"/>
      <c r="AA26" s="167"/>
      <c r="AB26" s="231"/>
      <c r="AC26" s="231"/>
      <c r="AD26" s="231"/>
    </row>
    <row r="27" ht="14.3" customHeight="1" spans="1:30">
      <c r="A27" s="231"/>
      <c r="B27" s="272"/>
      <c r="C27" s="231">
        <v>79.99</v>
      </c>
      <c r="D27" s="273">
        <v>0</v>
      </c>
      <c r="E27" s="168">
        <v>0</v>
      </c>
      <c r="F27" s="274">
        <f t="shared" si="0"/>
        <v>79.99</v>
      </c>
      <c r="G27" s="231"/>
      <c r="H27" s="231"/>
      <c r="I27" s="231"/>
      <c r="J27" s="231"/>
      <c r="K27" s="231"/>
      <c r="L27" s="166"/>
      <c r="M27" s="277"/>
      <c r="N27" s="231"/>
      <c r="O27" s="278">
        <f t="shared" si="1"/>
        <v>2058.82352941176</v>
      </c>
      <c r="P27" s="231"/>
      <c r="Q27" s="231">
        <f>'总表（阶段盈亏）'!H26</f>
        <v>175</v>
      </c>
      <c r="R27" s="279">
        <v>0.085</v>
      </c>
      <c r="S27" s="167">
        <v>1.8</v>
      </c>
      <c r="T27" s="231">
        <f t="shared" si="2"/>
        <v>3705.88235294118</v>
      </c>
      <c r="U27" s="279">
        <f t="shared" si="3"/>
        <v>0.264738974724782</v>
      </c>
      <c r="V27" s="280">
        <f t="shared" si="4"/>
        <v>21.1764705882353</v>
      </c>
      <c r="W27" s="280">
        <f t="shared" si="5"/>
        <v>529.411764705882</v>
      </c>
      <c r="X27" s="166"/>
      <c r="Y27" s="231"/>
      <c r="Z27" s="231"/>
      <c r="AA27" s="167"/>
      <c r="AB27" s="231"/>
      <c r="AC27" s="231"/>
      <c r="AD27" s="231"/>
    </row>
    <row r="28" ht="14.3" customHeight="1" spans="1:30">
      <c r="A28" s="221"/>
      <c r="B28" s="221"/>
      <c r="C28" s="221"/>
      <c r="D28" s="221"/>
      <c r="E28" s="221"/>
      <c r="F28" s="221"/>
      <c r="G28" s="221"/>
      <c r="H28" s="221"/>
      <c r="I28" s="221"/>
      <c r="J28" s="221"/>
      <c r="K28" s="221"/>
      <c r="L28" s="221"/>
      <c r="M28" s="221"/>
      <c r="N28" s="221"/>
      <c r="O28" s="281"/>
      <c r="P28" s="221"/>
      <c r="Q28" s="221"/>
      <c r="R28" s="221"/>
      <c r="S28" s="221"/>
      <c r="T28" s="221"/>
      <c r="U28" s="221"/>
      <c r="V28" s="221"/>
      <c r="W28" s="221"/>
      <c r="X28" s="221"/>
      <c r="Y28" s="221"/>
      <c r="Z28" s="221"/>
      <c r="AA28" s="221"/>
      <c r="AB28" s="221"/>
      <c r="AC28" s="221"/>
      <c r="AD28" s="221"/>
    </row>
    <row r="29" ht="14.3" customHeight="1" spans="1:30">
      <c r="A29" s="221" t="s">
        <v>267</v>
      </c>
      <c r="B29" s="221"/>
      <c r="C29" s="221"/>
      <c r="D29" s="221"/>
      <c r="E29" s="221"/>
      <c r="F29" s="221"/>
      <c r="G29" s="221"/>
      <c r="H29" s="221"/>
      <c r="I29" s="221"/>
      <c r="J29" s="221"/>
      <c r="K29" s="221"/>
      <c r="L29" s="221"/>
      <c r="M29" s="221"/>
      <c r="N29" s="221"/>
      <c r="O29" s="281"/>
      <c r="P29" s="221"/>
      <c r="Q29" s="221"/>
      <c r="R29" s="221"/>
      <c r="S29" s="221"/>
      <c r="T29" s="221"/>
      <c r="U29" s="221"/>
      <c r="V29" s="221"/>
      <c r="W29" s="221"/>
      <c r="X29" s="221"/>
      <c r="Y29" s="221"/>
      <c r="Z29" s="221"/>
      <c r="AA29" s="221"/>
      <c r="AB29" s="221"/>
      <c r="AC29" s="221"/>
      <c r="AD29" s="221"/>
    </row>
    <row r="30" ht="14.3" customHeight="1" spans="1:30">
      <c r="A30" s="248" t="s">
        <v>248</v>
      </c>
      <c r="B30" s="248"/>
      <c r="C30" s="248"/>
      <c r="D30" s="248"/>
      <c r="E30" s="248"/>
      <c r="F30" s="248"/>
      <c r="G30" s="248"/>
      <c r="H30" s="248"/>
      <c r="I30" s="248"/>
      <c r="J30" s="248"/>
      <c r="K30" s="248"/>
      <c r="L30" s="248"/>
      <c r="M30" s="248"/>
      <c r="N30" s="249" t="s">
        <v>268</v>
      </c>
      <c r="O30" s="250"/>
      <c r="P30" s="249"/>
      <c r="Q30" s="249"/>
      <c r="R30" s="249"/>
      <c r="S30" s="249"/>
      <c r="T30" s="249"/>
      <c r="U30" s="249"/>
      <c r="V30" s="249"/>
      <c r="W30" s="249"/>
      <c r="X30" s="221"/>
      <c r="Y30" s="221"/>
      <c r="Z30" s="221"/>
      <c r="AA30" s="221"/>
      <c r="AB30" s="251" t="s">
        <v>250</v>
      </c>
      <c r="AC30" s="252" t="s">
        <v>251</v>
      </c>
      <c r="AD30" s="252"/>
    </row>
    <row r="31" ht="29.15" customHeight="1" spans="1:30">
      <c r="A31" s="253" t="s">
        <v>49</v>
      </c>
      <c r="B31" s="253" t="s">
        <v>199</v>
      </c>
      <c r="C31" s="253" t="s">
        <v>2</v>
      </c>
      <c r="D31" s="254" t="s">
        <v>3</v>
      </c>
      <c r="E31" s="254" t="s">
        <v>4</v>
      </c>
      <c r="F31" s="254" t="s">
        <v>53</v>
      </c>
      <c r="G31" s="255" t="s">
        <v>252</v>
      </c>
      <c r="H31" s="255" t="s">
        <v>21</v>
      </c>
      <c r="I31" s="256" t="s">
        <v>253</v>
      </c>
      <c r="J31" s="255" t="s">
        <v>254</v>
      </c>
      <c r="K31" s="256" t="s">
        <v>220</v>
      </c>
      <c r="L31" s="257" t="s">
        <v>102</v>
      </c>
      <c r="M31" s="258" t="s">
        <v>255</v>
      </c>
      <c r="N31" s="259" t="s">
        <v>216</v>
      </c>
      <c r="O31" s="260" t="s">
        <v>256</v>
      </c>
      <c r="P31" s="259" t="s">
        <v>219</v>
      </c>
      <c r="Q31" s="259" t="s">
        <v>257</v>
      </c>
      <c r="R31" s="262" t="s">
        <v>220</v>
      </c>
      <c r="S31" s="263" t="s">
        <v>258</v>
      </c>
      <c r="T31" s="264" t="s">
        <v>259</v>
      </c>
      <c r="U31" s="262" t="s">
        <v>224</v>
      </c>
      <c r="V31" s="282" t="s">
        <v>98</v>
      </c>
      <c r="W31" s="263" t="s">
        <v>106</v>
      </c>
      <c r="X31" s="266" t="s">
        <v>260</v>
      </c>
      <c r="Y31" s="267" t="s">
        <v>261</v>
      </c>
      <c r="Z31" s="268" t="s">
        <v>262</v>
      </c>
      <c r="AA31" s="269" t="s">
        <v>263</v>
      </c>
      <c r="AB31" s="270" t="s">
        <v>264</v>
      </c>
      <c r="AC31" s="271" t="s">
        <v>265</v>
      </c>
      <c r="AD31" s="271" t="s">
        <v>266</v>
      </c>
    </row>
    <row r="32" ht="17.85" customHeight="1" spans="1:30">
      <c r="A32" s="231" t="s">
        <v>23</v>
      </c>
      <c r="B32" s="283" t="s">
        <v>146</v>
      </c>
      <c r="C32" s="231">
        <v>79.99</v>
      </c>
      <c r="D32" s="273">
        <v>0.3</v>
      </c>
      <c r="E32" s="168">
        <v>0</v>
      </c>
      <c r="F32" s="274">
        <v>55.993</v>
      </c>
      <c r="G32" s="231"/>
      <c r="H32" s="231"/>
      <c r="I32" s="231"/>
      <c r="J32" s="231"/>
      <c r="K32" s="275"/>
      <c r="L32" s="276"/>
      <c r="M32" s="277"/>
      <c r="N32" s="231"/>
      <c r="O32" s="278">
        <v>262.5</v>
      </c>
      <c r="P32" s="231"/>
      <c r="Q32" s="231">
        <v>21</v>
      </c>
      <c r="R32" s="279">
        <v>0.08</v>
      </c>
      <c r="S32" s="167">
        <v>1.91</v>
      </c>
      <c r="T32" s="231">
        <v>501.375</v>
      </c>
      <c r="U32" s="279">
        <v>0.298474809351169</v>
      </c>
      <c r="V32" s="280">
        <v>23.875</v>
      </c>
      <c r="W32" s="280">
        <v>71.625</v>
      </c>
      <c r="X32" s="276"/>
      <c r="Y32" s="231"/>
      <c r="Z32" s="275"/>
      <c r="AA32" s="280"/>
      <c r="AB32" s="231"/>
      <c r="AC32" s="231"/>
      <c r="AD32" s="231"/>
    </row>
    <row r="33" ht="17.85" customHeight="1" spans="1:30">
      <c r="A33" s="231"/>
      <c r="B33" s="283" t="s">
        <v>147</v>
      </c>
      <c r="C33" s="231">
        <v>89.99</v>
      </c>
      <c r="D33" s="273">
        <v>0.3</v>
      </c>
      <c r="E33" s="168">
        <v>0</v>
      </c>
      <c r="F33" s="274">
        <v>62.993</v>
      </c>
      <c r="G33" s="231"/>
      <c r="H33" s="231"/>
      <c r="I33" s="231"/>
      <c r="J33" s="231"/>
      <c r="K33" s="275"/>
      <c r="L33" s="276"/>
      <c r="M33" s="277"/>
      <c r="N33" s="231"/>
      <c r="O33" s="278">
        <v>437.5</v>
      </c>
      <c r="P33" s="231"/>
      <c r="Q33" s="231">
        <v>35</v>
      </c>
      <c r="R33" s="279">
        <v>0.08</v>
      </c>
      <c r="S33" s="167">
        <v>1.91</v>
      </c>
      <c r="T33" s="231">
        <v>835.625</v>
      </c>
      <c r="U33" s="279">
        <v>0.265307256361818</v>
      </c>
      <c r="V33" s="280">
        <v>23.875</v>
      </c>
      <c r="W33" s="280">
        <v>119.375</v>
      </c>
      <c r="X33" s="276"/>
      <c r="Y33" s="231"/>
      <c r="Z33" s="275"/>
      <c r="AA33" s="280"/>
      <c r="AB33" s="231"/>
      <c r="AC33" s="231"/>
      <c r="AD33" s="231"/>
    </row>
    <row r="34" ht="17.85" customHeight="1" spans="1:30">
      <c r="A34" s="231"/>
      <c r="B34" s="283" t="s">
        <v>148</v>
      </c>
      <c r="C34" s="231">
        <v>89.99</v>
      </c>
      <c r="D34" s="273">
        <v>0.3</v>
      </c>
      <c r="E34" s="168">
        <v>0</v>
      </c>
      <c r="F34" s="274">
        <v>62.993</v>
      </c>
      <c r="G34" s="231"/>
      <c r="H34" s="231"/>
      <c r="I34" s="231"/>
      <c r="J34" s="231"/>
      <c r="K34" s="275"/>
      <c r="L34" s="276"/>
      <c r="M34" s="277"/>
      <c r="N34" s="231"/>
      <c r="O34" s="278">
        <v>525</v>
      </c>
      <c r="P34" s="231"/>
      <c r="Q34" s="231">
        <v>42</v>
      </c>
      <c r="R34" s="279">
        <v>0.08</v>
      </c>
      <c r="S34" s="167">
        <v>1.91</v>
      </c>
      <c r="T34" s="231">
        <v>1002.75</v>
      </c>
      <c r="U34" s="279">
        <v>0.265307256361818</v>
      </c>
      <c r="V34" s="280">
        <v>23.875</v>
      </c>
      <c r="W34" s="280">
        <v>143.25</v>
      </c>
      <c r="X34" s="276"/>
      <c r="Y34" s="231"/>
      <c r="Z34" s="275"/>
      <c r="AA34" s="280"/>
      <c r="AB34" s="231"/>
      <c r="AC34" s="231"/>
      <c r="AD34" s="231"/>
    </row>
    <row r="35" ht="17.85" customHeight="1" spans="1:30">
      <c r="A35" s="231"/>
      <c r="B35" s="283" t="s">
        <v>149</v>
      </c>
      <c r="C35" s="231">
        <v>89.99</v>
      </c>
      <c r="D35" s="273">
        <v>0.3</v>
      </c>
      <c r="E35" s="168">
        <v>0</v>
      </c>
      <c r="F35" s="274">
        <v>62.993</v>
      </c>
      <c r="G35" s="231"/>
      <c r="H35" s="231"/>
      <c r="I35" s="231"/>
      <c r="J35" s="231"/>
      <c r="K35" s="275"/>
      <c r="L35" s="166"/>
      <c r="M35" s="277"/>
      <c r="N35" s="231"/>
      <c r="O35" s="278">
        <v>612.5</v>
      </c>
      <c r="P35" s="231"/>
      <c r="Q35" s="231">
        <v>49</v>
      </c>
      <c r="R35" s="279">
        <v>0.08</v>
      </c>
      <c r="S35" s="167">
        <v>1.91</v>
      </c>
      <c r="T35" s="231">
        <v>1169.875</v>
      </c>
      <c r="U35" s="279">
        <v>0.265307256361818</v>
      </c>
      <c r="V35" s="280">
        <v>23.875</v>
      </c>
      <c r="W35" s="280">
        <v>167.125</v>
      </c>
      <c r="X35" s="166"/>
      <c r="Y35" s="231"/>
      <c r="Z35" s="231"/>
      <c r="AA35" s="167"/>
      <c r="AB35" s="231"/>
      <c r="AC35" s="231"/>
      <c r="AD35" s="231"/>
    </row>
    <row r="36" ht="14.3" customHeight="1" spans="1:30">
      <c r="A36" s="231" t="s">
        <v>25</v>
      </c>
      <c r="B36" s="283" t="s">
        <v>150</v>
      </c>
      <c r="C36" s="231">
        <v>85.99</v>
      </c>
      <c r="D36" s="273">
        <v>0.2</v>
      </c>
      <c r="E36" s="168">
        <v>0</v>
      </c>
      <c r="F36" s="274">
        <v>68.792</v>
      </c>
      <c r="G36" s="231"/>
      <c r="H36" s="231"/>
      <c r="I36" s="231"/>
      <c r="J36" s="231"/>
      <c r="K36" s="231"/>
      <c r="L36" s="166"/>
      <c r="M36" s="277"/>
      <c r="N36" s="231"/>
      <c r="O36" s="278">
        <v>741.176470588235</v>
      </c>
      <c r="P36" s="231"/>
      <c r="Q36" s="231">
        <v>63</v>
      </c>
      <c r="R36" s="279">
        <v>0.085</v>
      </c>
      <c r="S36" s="167">
        <v>1.87</v>
      </c>
      <c r="T36" s="231">
        <v>1386</v>
      </c>
      <c r="U36" s="279">
        <v>0.255843702756134</v>
      </c>
      <c r="V36" s="280">
        <v>22</v>
      </c>
      <c r="W36" s="280">
        <v>198</v>
      </c>
      <c r="X36" s="166"/>
      <c r="Y36" s="231"/>
      <c r="Z36" s="231"/>
      <c r="AA36" s="167"/>
      <c r="AB36" s="231"/>
      <c r="AC36" s="231"/>
      <c r="AD36" s="231"/>
    </row>
    <row r="37" ht="14.3" customHeight="1" spans="1:30">
      <c r="A37" s="231"/>
      <c r="B37" s="283" t="s">
        <v>151</v>
      </c>
      <c r="C37" s="231">
        <v>85.99</v>
      </c>
      <c r="D37" s="273">
        <v>0.2</v>
      </c>
      <c r="E37" s="168">
        <v>0</v>
      </c>
      <c r="F37" s="274">
        <v>68.792</v>
      </c>
      <c r="G37" s="231"/>
      <c r="H37" s="231"/>
      <c r="I37" s="231"/>
      <c r="J37" s="231"/>
      <c r="K37" s="231"/>
      <c r="L37" s="166"/>
      <c r="M37" s="277"/>
      <c r="N37" s="231"/>
      <c r="O37" s="278">
        <v>823.529411764706</v>
      </c>
      <c r="P37" s="231"/>
      <c r="Q37" s="231">
        <v>70</v>
      </c>
      <c r="R37" s="279">
        <v>0.085</v>
      </c>
      <c r="S37" s="167">
        <v>1.87</v>
      </c>
      <c r="T37" s="231">
        <v>1540</v>
      </c>
      <c r="U37" s="279">
        <v>0.255843702756134</v>
      </c>
      <c r="V37" s="280">
        <v>22</v>
      </c>
      <c r="W37" s="280">
        <v>220</v>
      </c>
      <c r="X37" s="166"/>
      <c r="Y37" s="231"/>
      <c r="Z37" s="231"/>
      <c r="AA37" s="167"/>
      <c r="AB37" s="231"/>
      <c r="AC37" s="231"/>
      <c r="AD37" s="231"/>
    </row>
    <row r="38" ht="14.3" customHeight="1" spans="1:30">
      <c r="A38" s="231"/>
      <c r="B38" s="283" t="s">
        <v>152</v>
      </c>
      <c r="C38" s="231">
        <v>85.99</v>
      </c>
      <c r="D38" s="273">
        <v>0.2</v>
      </c>
      <c r="E38" s="168">
        <v>0</v>
      </c>
      <c r="F38" s="274">
        <v>68.792</v>
      </c>
      <c r="G38" s="231"/>
      <c r="H38" s="231"/>
      <c r="I38" s="231"/>
      <c r="J38" s="231"/>
      <c r="K38" s="231"/>
      <c r="L38" s="166"/>
      <c r="M38" s="277"/>
      <c r="N38" s="231"/>
      <c r="O38" s="278">
        <v>988.235294117647</v>
      </c>
      <c r="P38" s="231"/>
      <c r="Q38" s="231">
        <v>84</v>
      </c>
      <c r="R38" s="279">
        <v>0.085</v>
      </c>
      <c r="S38" s="167">
        <v>1.87</v>
      </c>
      <c r="T38" s="231">
        <v>1848</v>
      </c>
      <c r="U38" s="279">
        <v>0.255843702756134</v>
      </c>
      <c r="V38" s="280">
        <v>22</v>
      </c>
      <c r="W38" s="280">
        <v>264</v>
      </c>
      <c r="X38" s="166"/>
      <c r="Y38" s="231"/>
      <c r="Z38" s="231"/>
      <c r="AA38" s="167"/>
      <c r="AB38" s="231"/>
      <c r="AC38" s="231"/>
      <c r="AD38" s="231"/>
    </row>
    <row r="39" ht="14.3" customHeight="1" spans="1:30">
      <c r="A39" s="231"/>
      <c r="B39" s="283" t="s">
        <v>153</v>
      </c>
      <c r="C39" s="231">
        <v>85.99</v>
      </c>
      <c r="D39" s="273">
        <v>0.2</v>
      </c>
      <c r="E39" s="168">
        <v>0</v>
      </c>
      <c r="F39" s="274">
        <v>68.792</v>
      </c>
      <c r="G39" s="231"/>
      <c r="H39" s="231"/>
      <c r="I39" s="231"/>
      <c r="J39" s="231"/>
      <c r="K39" s="231"/>
      <c r="L39" s="166"/>
      <c r="M39" s="277"/>
      <c r="N39" s="231"/>
      <c r="O39" s="278">
        <v>988.235294117647</v>
      </c>
      <c r="P39" s="231"/>
      <c r="Q39" s="231">
        <v>84</v>
      </c>
      <c r="R39" s="279">
        <v>0.085</v>
      </c>
      <c r="S39" s="167">
        <v>1.87</v>
      </c>
      <c r="T39" s="231">
        <v>1848</v>
      </c>
      <c r="U39" s="279">
        <v>0.255843702756134</v>
      </c>
      <c r="V39" s="280">
        <v>22</v>
      </c>
      <c r="W39" s="280">
        <v>264</v>
      </c>
      <c r="X39" s="166"/>
      <c r="Y39" s="231"/>
      <c r="Z39" s="231"/>
      <c r="AA39" s="167"/>
      <c r="AB39" s="231"/>
      <c r="AC39" s="231"/>
      <c r="AD39" s="231"/>
    </row>
    <row r="40" ht="14.3" customHeight="1" spans="1:30">
      <c r="A40" s="231" t="s">
        <v>27</v>
      </c>
      <c r="B40" s="283" t="s">
        <v>154</v>
      </c>
      <c r="C40" s="231">
        <v>85.99</v>
      </c>
      <c r="D40" s="273">
        <v>0.1</v>
      </c>
      <c r="E40" s="168">
        <v>0</v>
      </c>
      <c r="F40" s="274">
        <v>77.391</v>
      </c>
      <c r="G40" s="231"/>
      <c r="H40" s="231"/>
      <c r="I40" s="231"/>
      <c r="J40" s="231"/>
      <c r="K40" s="231"/>
      <c r="L40" s="166"/>
      <c r="M40" s="277"/>
      <c r="N40" s="231"/>
      <c r="O40" s="278">
        <v>1088.88888888889</v>
      </c>
      <c r="P40" s="231"/>
      <c r="Q40" s="231">
        <v>98</v>
      </c>
      <c r="R40" s="279">
        <v>0.09</v>
      </c>
      <c r="S40" s="167">
        <v>1.84</v>
      </c>
      <c r="T40" s="231">
        <v>2003.55555555556</v>
      </c>
      <c r="U40" s="279">
        <v>0.237753743975398</v>
      </c>
      <c r="V40" s="280">
        <v>20.4444444444444</v>
      </c>
      <c r="W40" s="280">
        <v>286.222222222222</v>
      </c>
      <c r="X40" s="166"/>
      <c r="Y40" s="231"/>
      <c r="Z40" s="231"/>
      <c r="AA40" s="167"/>
      <c r="AB40" s="231"/>
      <c r="AC40" s="231"/>
      <c r="AD40" s="231"/>
    </row>
    <row r="41" ht="14.3" customHeight="1" spans="1:30">
      <c r="A41" s="231"/>
      <c r="B41" s="283" t="s">
        <v>155</v>
      </c>
      <c r="C41" s="231">
        <v>85.99</v>
      </c>
      <c r="D41" s="273">
        <v>0.1</v>
      </c>
      <c r="E41" s="168">
        <v>0</v>
      </c>
      <c r="F41" s="274">
        <v>77.391</v>
      </c>
      <c r="G41" s="231"/>
      <c r="H41" s="231"/>
      <c r="I41" s="231"/>
      <c r="J41" s="231"/>
      <c r="K41" s="231"/>
      <c r="L41" s="166"/>
      <c r="M41" s="277"/>
      <c r="N41" s="231"/>
      <c r="O41" s="278">
        <v>1166.66666666667</v>
      </c>
      <c r="P41" s="231"/>
      <c r="Q41" s="231">
        <v>105</v>
      </c>
      <c r="R41" s="279">
        <v>0.09</v>
      </c>
      <c r="S41" s="167">
        <v>1.84</v>
      </c>
      <c r="T41" s="231">
        <v>2146.66666666667</v>
      </c>
      <c r="U41" s="279">
        <v>0.237753743975398</v>
      </c>
      <c r="V41" s="280">
        <v>20.4444444444444</v>
      </c>
      <c r="W41" s="280">
        <v>306.666666666667</v>
      </c>
      <c r="X41" s="166"/>
      <c r="Y41" s="231"/>
      <c r="Z41" s="231"/>
      <c r="AA41" s="167"/>
      <c r="AB41" s="231"/>
      <c r="AC41" s="231"/>
      <c r="AD41" s="231"/>
    </row>
    <row r="42" ht="14.3" customHeight="1" spans="1:30">
      <c r="A42" s="231"/>
      <c r="B42" s="283" t="s">
        <v>156</v>
      </c>
      <c r="C42" s="231">
        <v>85.99</v>
      </c>
      <c r="D42" s="273">
        <v>0.1</v>
      </c>
      <c r="E42" s="168">
        <v>0</v>
      </c>
      <c r="F42" s="274">
        <v>77.391</v>
      </c>
      <c r="G42" s="231"/>
      <c r="H42" s="231"/>
      <c r="I42" s="231"/>
      <c r="J42" s="231"/>
      <c r="K42" s="231"/>
      <c r="L42" s="166"/>
      <c r="M42" s="277"/>
      <c r="N42" s="231"/>
      <c r="O42" s="278">
        <v>1166.66666666667</v>
      </c>
      <c r="P42" s="231"/>
      <c r="Q42" s="231">
        <v>105</v>
      </c>
      <c r="R42" s="279">
        <v>0.09</v>
      </c>
      <c r="S42" s="167">
        <v>1.84</v>
      </c>
      <c r="T42" s="231">
        <v>2146.66666666667</v>
      </c>
      <c r="U42" s="279">
        <v>0.237753743975398</v>
      </c>
      <c r="V42" s="280">
        <v>20.4444444444444</v>
      </c>
      <c r="W42" s="280">
        <v>306.666666666667</v>
      </c>
      <c r="X42" s="166"/>
      <c r="Y42" s="231"/>
      <c r="Z42" s="231"/>
      <c r="AA42" s="167"/>
      <c r="AB42" s="231"/>
      <c r="AC42" s="231"/>
      <c r="AD42" s="231"/>
    </row>
    <row r="43" ht="14.3" customHeight="1" spans="1:30">
      <c r="A43" s="231"/>
      <c r="B43" s="283" t="s">
        <v>157</v>
      </c>
      <c r="C43" s="231">
        <v>85.99</v>
      </c>
      <c r="D43" s="273">
        <v>0.1</v>
      </c>
      <c r="E43" s="168">
        <v>0</v>
      </c>
      <c r="F43" s="274">
        <v>77.391</v>
      </c>
      <c r="G43" s="231"/>
      <c r="H43" s="231"/>
      <c r="I43" s="231"/>
      <c r="J43" s="231"/>
      <c r="K43" s="231"/>
      <c r="L43" s="166"/>
      <c r="M43" s="277"/>
      <c r="N43" s="231"/>
      <c r="O43" s="278">
        <v>1244.44444444444</v>
      </c>
      <c r="P43" s="231"/>
      <c r="Q43" s="231">
        <v>112</v>
      </c>
      <c r="R43" s="279">
        <v>0.09</v>
      </c>
      <c r="S43" s="167">
        <v>1.84</v>
      </c>
      <c r="T43" s="231">
        <v>2289.77777777778</v>
      </c>
      <c r="U43" s="279">
        <v>0.237753743975398</v>
      </c>
      <c r="V43" s="280">
        <v>20.4444444444444</v>
      </c>
      <c r="W43" s="280">
        <v>327.111111111111</v>
      </c>
      <c r="X43" s="166"/>
      <c r="Y43" s="231"/>
      <c r="Z43" s="231"/>
      <c r="AA43" s="167"/>
      <c r="AB43" s="231"/>
      <c r="AC43" s="231"/>
      <c r="AD43" s="231"/>
    </row>
    <row r="44" ht="14.3" customHeight="1" spans="1:30">
      <c r="A44" s="231" t="s">
        <v>29</v>
      </c>
      <c r="B44" s="283" t="s">
        <v>158</v>
      </c>
      <c r="C44" s="231">
        <v>79.99</v>
      </c>
      <c r="D44" s="273">
        <v>0</v>
      </c>
      <c r="E44" s="168">
        <v>0</v>
      </c>
      <c r="F44" s="274">
        <v>79.99</v>
      </c>
      <c r="G44" s="231"/>
      <c r="H44" s="231"/>
      <c r="I44" s="231"/>
      <c r="J44" s="231"/>
      <c r="K44" s="231"/>
      <c r="L44" s="166"/>
      <c r="M44" s="277"/>
      <c r="N44" s="231"/>
      <c r="O44" s="278">
        <v>1482.35294117647</v>
      </c>
      <c r="P44" s="231"/>
      <c r="Q44" s="231">
        <v>126</v>
      </c>
      <c r="R44" s="279">
        <v>0.085</v>
      </c>
      <c r="S44" s="167">
        <v>1.8</v>
      </c>
      <c r="T44" s="231">
        <v>2668.23529411765</v>
      </c>
      <c r="U44" s="279">
        <v>0.264738974724782</v>
      </c>
      <c r="V44" s="280">
        <v>21.1764705882353</v>
      </c>
      <c r="W44" s="280">
        <v>381.176470588235</v>
      </c>
      <c r="X44" s="166"/>
      <c r="Y44" s="231"/>
      <c r="Z44" s="231"/>
      <c r="AA44" s="167"/>
      <c r="AB44" s="231"/>
      <c r="AC44" s="231"/>
      <c r="AD44" s="231"/>
    </row>
    <row r="45" ht="14.3" customHeight="1" spans="1:30">
      <c r="A45" s="231"/>
      <c r="B45" s="283" t="s">
        <v>159</v>
      </c>
      <c r="C45" s="231">
        <v>79.99</v>
      </c>
      <c r="D45" s="273">
        <v>0</v>
      </c>
      <c r="E45" s="168">
        <v>0</v>
      </c>
      <c r="F45" s="274">
        <v>79.99</v>
      </c>
      <c r="G45" s="231"/>
      <c r="H45" s="231"/>
      <c r="I45" s="231"/>
      <c r="J45" s="231"/>
      <c r="K45" s="231"/>
      <c r="L45" s="166"/>
      <c r="M45" s="277"/>
      <c r="N45" s="231"/>
      <c r="O45" s="278">
        <v>1647.05882352941</v>
      </c>
      <c r="P45" s="231"/>
      <c r="Q45" s="231">
        <v>140</v>
      </c>
      <c r="R45" s="279">
        <v>0.085</v>
      </c>
      <c r="S45" s="167">
        <v>1.8</v>
      </c>
      <c r="T45" s="231">
        <v>2964.70588235294</v>
      </c>
      <c r="U45" s="279">
        <v>0.264738974724782</v>
      </c>
      <c r="V45" s="280">
        <v>21.1764705882353</v>
      </c>
      <c r="W45" s="280">
        <v>423.529411764706</v>
      </c>
      <c r="X45" s="166"/>
      <c r="Y45" s="231"/>
      <c r="Z45" s="231"/>
      <c r="AA45" s="167"/>
      <c r="AB45" s="231"/>
      <c r="AC45" s="231"/>
      <c r="AD45" s="231"/>
    </row>
    <row r="46" ht="14.3" customHeight="1" spans="1:30">
      <c r="A46" s="231"/>
      <c r="B46" s="283" t="s">
        <v>160</v>
      </c>
      <c r="C46" s="231">
        <v>79.99</v>
      </c>
      <c r="D46" s="273">
        <v>0</v>
      </c>
      <c r="E46" s="168">
        <v>0</v>
      </c>
      <c r="F46" s="274">
        <v>79.99</v>
      </c>
      <c r="G46" s="231"/>
      <c r="H46" s="231"/>
      <c r="I46" s="231"/>
      <c r="J46" s="231"/>
      <c r="K46" s="231"/>
      <c r="L46" s="166"/>
      <c r="M46" s="277"/>
      <c r="N46" s="231"/>
      <c r="O46" s="278">
        <v>1811.76470588235</v>
      </c>
      <c r="P46" s="231"/>
      <c r="Q46" s="231">
        <v>154</v>
      </c>
      <c r="R46" s="279">
        <v>0.085</v>
      </c>
      <c r="S46" s="167">
        <v>1.8</v>
      </c>
      <c r="T46" s="231">
        <v>3261.17647058824</v>
      </c>
      <c r="U46" s="279">
        <v>0.264738974724782</v>
      </c>
      <c r="V46" s="280">
        <v>21.1764705882353</v>
      </c>
      <c r="W46" s="280">
        <v>465.882352941176</v>
      </c>
      <c r="X46" s="166"/>
      <c r="Y46" s="231"/>
      <c r="Z46" s="231"/>
      <c r="AA46" s="167"/>
      <c r="AB46" s="231"/>
      <c r="AC46" s="231"/>
      <c r="AD46" s="231"/>
    </row>
    <row r="47" ht="14.3" customHeight="1" spans="1:30">
      <c r="A47" s="231"/>
      <c r="B47" s="283" t="s">
        <v>161</v>
      </c>
      <c r="C47" s="231">
        <v>79.99</v>
      </c>
      <c r="D47" s="273">
        <v>0</v>
      </c>
      <c r="E47" s="168">
        <v>0</v>
      </c>
      <c r="F47" s="274">
        <v>79.99</v>
      </c>
      <c r="G47" s="231"/>
      <c r="H47" s="231"/>
      <c r="I47" s="231"/>
      <c r="J47" s="231"/>
      <c r="K47" s="231"/>
      <c r="L47" s="166"/>
      <c r="M47" s="277"/>
      <c r="N47" s="231"/>
      <c r="O47" s="278">
        <v>2058.82352941176</v>
      </c>
      <c r="P47" s="231"/>
      <c r="Q47" s="231">
        <v>175</v>
      </c>
      <c r="R47" s="279">
        <v>0.085</v>
      </c>
      <c r="S47" s="167">
        <v>1.8</v>
      </c>
      <c r="T47" s="231">
        <v>3705.88235294118</v>
      </c>
      <c r="U47" s="279">
        <v>0.264738974724782</v>
      </c>
      <c r="V47" s="280">
        <v>21.1764705882353</v>
      </c>
      <c r="W47" s="280">
        <v>529.411764705882</v>
      </c>
      <c r="X47" s="166"/>
      <c r="Y47" s="231"/>
      <c r="Z47" s="231"/>
      <c r="AA47" s="167"/>
      <c r="AB47" s="231"/>
      <c r="AC47" s="231"/>
      <c r="AD47" s="231"/>
    </row>
    <row r="48" ht="14.3" customHeight="1" spans="1:30">
      <c r="A48" s="231" t="s">
        <v>31</v>
      </c>
      <c r="B48" s="283" t="s">
        <v>162</v>
      </c>
      <c r="C48" s="231">
        <v>79.99</v>
      </c>
      <c r="D48" s="273">
        <v>0</v>
      </c>
      <c r="E48" s="168">
        <v>0</v>
      </c>
      <c r="F48" s="274">
        <v>79.99</v>
      </c>
      <c r="G48" s="231"/>
      <c r="H48" s="231"/>
      <c r="I48" s="231"/>
      <c r="J48" s="231"/>
      <c r="K48" s="231"/>
      <c r="L48" s="166"/>
      <c r="M48" s="277"/>
      <c r="N48" s="231"/>
      <c r="O48" s="278">
        <v>2058.82352941176</v>
      </c>
      <c r="P48" s="231"/>
      <c r="Q48" s="231">
        <v>175</v>
      </c>
      <c r="R48" s="279">
        <v>0.085</v>
      </c>
      <c r="S48" s="167">
        <v>1.8</v>
      </c>
      <c r="T48" s="231">
        <v>3705.88235294118</v>
      </c>
      <c r="U48" s="279">
        <v>0.264738974724782</v>
      </c>
      <c r="V48" s="280">
        <v>21.1764705882353</v>
      </c>
      <c r="W48" s="280">
        <v>529.411764705882</v>
      </c>
      <c r="X48" s="166"/>
      <c r="Y48" s="231"/>
      <c r="Z48" s="231"/>
      <c r="AA48" s="167"/>
      <c r="AB48" s="231"/>
      <c r="AC48" s="231"/>
      <c r="AD48" s="231"/>
    </row>
    <row r="49" ht="14.3" customHeight="1" spans="1:30">
      <c r="A49" s="231"/>
      <c r="B49" s="283" t="s">
        <v>163</v>
      </c>
      <c r="C49" s="231">
        <v>79.99</v>
      </c>
      <c r="D49" s="273">
        <v>0</v>
      </c>
      <c r="E49" s="168">
        <v>0</v>
      </c>
      <c r="F49" s="274">
        <v>79.99</v>
      </c>
      <c r="G49" s="231"/>
      <c r="H49" s="231"/>
      <c r="I49" s="231"/>
      <c r="J49" s="231"/>
      <c r="K49" s="231"/>
      <c r="L49" s="166"/>
      <c r="M49" s="277"/>
      <c r="N49" s="231"/>
      <c r="O49" s="278">
        <v>2058.82352941176</v>
      </c>
      <c r="P49" s="231"/>
      <c r="Q49" s="231">
        <v>175</v>
      </c>
      <c r="R49" s="279">
        <v>0.085</v>
      </c>
      <c r="S49" s="167">
        <v>1.8</v>
      </c>
      <c r="T49" s="231">
        <v>3705.88235294118</v>
      </c>
      <c r="U49" s="279">
        <v>0.264738974724782</v>
      </c>
      <c r="V49" s="280">
        <v>21.1764705882353</v>
      </c>
      <c r="W49" s="280">
        <v>529.411764705882</v>
      </c>
      <c r="X49" s="166"/>
      <c r="Y49" s="231"/>
      <c r="Z49" s="231"/>
      <c r="AA49" s="167"/>
      <c r="AB49" s="231"/>
      <c r="AC49" s="231"/>
      <c r="AD49" s="231"/>
    </row>
    <row r="50" ht="14.3" customHeight="1" spans="1:30">
      <c r="A50" s="231"/>
      <c r="B50" s="283" t="s">
        <v>164</v>
      </c>
      <c r="C50" s="231">
        <v>79.99</v>
      </c>
      <c r="D50" s="273">
        <v>0</v>
      </c>
      <c r="E50" s="168">
        <v>0</v>
      </c>
      <c r="F50" s="274">
        <v>79.99</v>
      </c>
      <c r="G50" s="231"/>
      <c r="H50" s="231"/>
      <c r="I50" s="231"/>
      <c r="J50" s="231"/>
      <c r="K50" s="231"/>
      <c r="L50" s="166"/>
      <c r="M50" s="277"/>
      <c r="N50" s="231"/>
      <c r="O50" s="278">
        <v>2058.82352941176</v>
      </c>
      <c r="P50" s="231"/>
      <c r="Q50" s="231">
        <v>175</v>
      </c>
      <c r="R50" s="279">
        <v>0.085</v>
      </c>
      <c r="S50" s="167">
        <v>1.8</v>
      </c>
      <c r="T50" s="231">
        <v>3705.88235294118</v>
      </c>
      <c r="U50" s="279">
        <v>0.264738974724782</v>
      </c>
      <c r="V50" s="280">
        <v>21.1764705882353</v>
      </c>
      <c r="W50" s="280">
        <v>529.411764705882</v>
      </c>
      <c r="X50" s="166"/>
      <c r="Y50" s="231"/>
      <c r="Z50" s="231"/>
      <c r="AA50" s="167"/>
      <c r="AB50" s="231"/>
      <c r="AC50" s="231"/>
      <c r="AD50" s="231"/>
    </row>
    <row r="51" ht="14.3" customHeight="1" spans="1:30">
      <c r="A51" s="231"/>
      <c r="B51" s="283" t="s">
        <v>165</v>
      </c>
      <c r="C51" s="231">
        <v>79.99</v>
      </c>
      <c r="D51" s="273">
        <v>0</v>
      </c>
      <c r="E51" s="168">
        <v>0</v>
      </c>
      <c r="F51" s="274">
        <v>79.99</v>
      </c>
      <c r="G51" s="231"/>
      <c r="H51" s="231"/>
      <c r="I51" s="231"/>
      <c r="J51" s="231"/>
      <c r="K51" s="231"/>
      <c r="L51" s="166"/>
      <c r="M51" s="277"/>
      <c r="N51" s="231"/>
      <c r="O51" s="278">
        <v>2058.82352941176</v>
      </c>
      <c r="P51" s="231"/>
      <c r="Q51" s="231">
        <v>175</v>
      </c>
      <c r="R51" s="279">
        <v>0.085</v>
      </c>
      <c r="S51" s="167">
        <v>1.8</v>
      </c>
      <c r="T51" s="231">
        <v>3705.88235294118</v>
      </c>
      <c r="U51" s="279">
        <v>0.264738974724782</v>
      </c>
      <c r="V51" s="280">
        <v>21.1764705882353</v>
      </c>
      <c r="W51" s="280">
        <v>529.411764705882</v>
      </c>
      <c r="X51" s="166"/>
      <c r="Y51" s="231"/>
      <c r="Z51" s="231"/>
      <c r="AA51" s="167"/>
      <c r="AB51" s="231"/>
      <c r="AC51" s="231"/>
      <c r="AD51" s="231"/>
    </row>
    <row r="52" ht="14.3" customHeight="1" spans="1:30">
      <c r="A52" s="231" t="s">
        <v>33</v>
      </c>
      <c r="B52" s="283" t="s">
        <v>166</v>
      </c>
      <c r="C52" s="231">
        <v>79.99</v>
      </c>
      <c r="D52" s="273">
        <v>0</v>
      </c>
      <c r="E52" s="168">
        <v>0</v>
      </c>
      <c r="F52" s="274">
        <v>79.99</v>
      </c>
      <c r="G52" s="231"/>
      <c r="H52" s="231"/>
      <c r="I52" s="231"/>
      <c r="J52" s="231"/>
      <c r="K52" s="231"/>
      <c r="L52" s="166"/>
      <c r="M52" s="277"/>
      <c r="N52" s="231"/>
      <c r="O52" s="278">
        <v>2058.82352941176</v>
      </c>
      <c r="P52" s="231"/>
      <c r="Q52" s="231">
        <v>175</v>
      </c>
      <c r="R52" s="279">
        <v>0.085</v>
      </c>
      <c r="S52" s="167">
        <v>1.8</v>
      </c>
      <c r="T52" s="231">
        <v>3705.88235294118</v>
      </c>
      <c r="U52" s="279">
        <v>0.264738974724782</v>
      </c>
      <c r="V52" s="280">
        <v>21.1764705882353</v>
      </c>
      <c r="W52" s="280">
        <v>529.411764705882</v>
      </c>
      <c r="X52" s="166"/>
      <c r="Y52" s="231"/>
      <c r="Z52" s="231"/>
      <c r="AA52" s="167"/>
      <c r="AB52" s="231"/>
      <c r="AC52" s="231"/>
      <c r="AD52" s="231"/>
    </row>
    <row r="53" ht="14.3" customHeight="1" spans="1:30">
      <c r="A53" s="231"/>
      <c r="B53" s="283" t="s">
        <v>167</v>
      </c>
      <c r="C53" s="231">
        <v>79.99</v>
      </c>
      <c r="D53" s="273">
        <v>0</v>
      </c>
      <c r="E53" s="168">
        <v>0</v>
      </c>
      <c r="F53" s="274">
        <v>79.99</v>
      </c>
      <c r="G53" s="231"/>
      <c r="H53" s="231"/>
      <c r="I53" s="231"/>
      <c r="J53" s="231"/>
      <c r="K53" s="231"/>
      <c r="L53" s="166"/>
      <c r="M53" s="277"/>
      <c r="N53" s="231"/>
      <c r="O53" s="278">
        <v>2058.82352941176</v>
      </c>
      <c r="P53" s="231"/>
      <c r="Q53" s="231">
        <v>175</v>
      </c>
      <c r="R53" s="279">
        <v>0.085</v>
      </c>
      <c r="S53" s="167">
        <v>1.8</v>
      </c>
      <c r="T53" s="231">
        <v>3705.88235294118</v>
      </c>
      <c r="U53" s="279">
        <v>0.264738974724782</v>
      </c>
      <c r="V53" s="280">
        <v>21.1764705882353</v>
      </c>
      <c r="W53" s="280">
        <v>529.411764705882</v>
      </c>
      <c r="X53" s="166"/>
      <c r="Y53" s="231"/>
      <c r="Z53" s="231"/>
      <c r="AA53" s="167"/>
      <c r="AB53" s="231"/>
      <c r="AC53" s="231"/>
      <c r="AD53" s="231"/>
    </row>
    <row r="54" ht="14.3" customHeight="1" spans="1:30">
      <c r="A54" s="231"/>
      <c r="B54" s="283" t="s">
        <v>168</v>
      </c>
      <c r="C54" s="231">
        <v>79.99</v>
      </c>
      <c r="D54" s="273">
        <v>0</v>
      </c>
      <c r="E54" s="168">
        <v>0</v>
      </c>
      <c r="F54" s="274">
        <v>79.99</v>
      </c>
      <c r="G54" s="231"/>
      <c r="H54" s="231"/>
      <c r="I54" s="231"/>
      <c r="J54" s="231"/>
      <c r="K54" s="231"/>
      <c r="L54" s="166"/>
      <c r="M54" s="277"/>
      <c r="N54" s="231"/>
      <c r="O54" s="278">
        <v>2058.82352941176</v>
      </c>
      <c r="P54" s="231"/>
      <c r="Q54" s="231">
        <v>175</v>
      </c>
      <c r="R54" s="279">
        <v>0.085</v>
      </c>
      <c r="S54" s="167">
        <v>1.8</v>
      </c>
      <c r="T54" s="231">
        <v>3705.88235294118</v>
      </c>
      <c r="U54" s="279">
        <v>0.264738974724782</v>
      </c>
      <c r="V54" s="280">
        <v>21.1764705882353</v>
      </c>
      <c r="W54" s="280">
        <v>529.411764705882</v>
      </c>
      <c r="X54" s="166"/>
      <c r="Y54" s="231"/>
      <c r="Z54" s="231"/>
      <c r="AA54" s="167"/>
      <c r="AB54" s="231"/>
      <c r="AC54" s="231"/>
      <c r="AD54" s="231"/>
    </row>
    <row r="55" ht="14.3" customHeight="1" spans="1:30">
      <c r="A55" s="231"/>
      <c r="B55" s="283" t="s">
        <v>169</v>
      </c>
      <c r="C55" s="231">
        <v>79.99</v>
      </c>
      <c r="D55" s="273">
        <v>0</v>
      </c>
      <c r="E55" s="168">
        <v>0</v>
      </c>
      <c r="F55" s="274">
        <v>79.99</v>
      </c>
      <c r="G55" s="231"/>
      <c r="H55" s="231"/>
      <c r="I55" s="231"/>
      <c r="J55" s="231"/>
      <c r="K55" s="231"/>
      <c r="L55" s="166"/>
      <c r="M55" s="277"/>
      <c r="N55" s="231"/>
      <c r="O55" s="278">
        <v>2058.82352941176</v>
      </c>
      <c r="P55" s="231"/>
      <c r="Q55" s="231">
        <v>175</v>
      </c>
      <c r="R55" s="279">
        <v>0.085</v>
      </c>
      <c r="S55" s="167">
        <v>1.8</v>
      </c>
      <c r="T55" s="231">
        <v>3705.88235294118</v>
      </c>
      <c r="U55" s="279">
        <v>0.264738974724782</v>
      </c>
      <c r="V55" s="280">
        <v>21.1764705882353</v>
      </c>
      <c r="W55" s="280">
        <v>529.411764705882</v>
      </c>
      <c r="X55" s="166"/>
      <c r="Y55" s="231"/>
      <c r="Z55" s="231"/>
      <c r="AA55" s="167"/>
      <c r="AB55" s="231"/>
      <c r="AC55" s="231"/>
      <c r="AD55" s="231"/>
    </row>
    <row r="56" spans="1:30">
      <c r="A56" s="231"/>
      <c r="B56" s="283"/>
      <c r="C56" s="231"/>
      <c r="D56" s="273"/>
      <c r="E56" s="168"/>
      <c r="F56" s="274"/>
      <c r="G56" s="231"/>
      <c r="H56" s="231"/>
      <c r="I56" s="231"/>
      <c r="J56" s="231"/>
      <c r="K56" s="231"/>
      <c r="L56" s="166"/>
      <c r="M56" s="277"/>
      <c r="N56" s="231"/>
      <c r="O56" s="278"/>
      <c r="P56" s="231"/>
      <c r="Q56" s="231"/>
      <c r="R56" s="279"/>
      <c r="S56" s="167"/>
      <c r="T56" s="231"/>
      <c r="U56" s="279"/>
      <c r="V56" s="280"/>
      <c r="W56" s="280"/>
      <c r="X56" s="166"/>
      <c r="Y56" s="231"/>
      <c r="Z56" s="231"/>
      <c r="AA56" s="167"/>
      <c r="AB56" s="231"/>
      <c r="AC56" s="231"/>
      <c r="AD56" s="231"/>
    </row>
    <row r="57" spans="1:30">
      <c r="A57" s="231"/>
      <c r="B57" s="283"/>
      <c r="C57" s="231"/>
      <c r="D57" s="273"/>
      <c r="E57" s="168"/>
      <c r="F57" s="274"/>
      <c r="G57" s="231"/>
      <c r="H57" s="231"/>
      <c r="I57" s="231"/>
      <c r="J57" s="231"/>
      <c r="K57" s="231"/>
      <c r="L57" s="166"/>
      <c r="M57" s="277"/>
      <c r="N57" s="231"/>
      <c r="O57" s="278"/>
      <c r="P57" s="231"/>
      <c r="Q57" s="231"/>
      <c r="R57" s="279"/>
      <c r="S57" s="167"/>
      <c r="T57" s="231"/>
      <c r="U57" s="279"/>
      <c r="V57" s="280"/>
      <c r="W57" s="280"/>
      <c r="X57" s="166"/>
      <c r="Y57" s="231"/>
      <c r="Z57" s="231"/>
      <c r="AA57" s="167"/>
      <c r="AB57" s="231"/>
      <c r="AC57" s="231"/>
      <c r="AD57" s="231"/>
    </row>
    <row r="58" spans="1:30">
      <c r="A58" s="231"/>
      <c r="B58" s="283"/>
      <c r="C58" s="231"/>
      <c r="D58" s="273"/>
      <c r="E58" s="168"/>
      <c r="F58" s="274"/>
      <c r="G58" s="231"/>
      <c r="H58" s="231"/>
      <c r="I58" s="231"/>
      <c r="J58" s="231"/>
      <c r="K58" s="231"/>
      <c r="L58" s="166"/>
      <c r="M58" s="277"/>
      <c r="N58" s="231"/>
      <c r="O58" s="278"/>
      <c r="P58" s="231"/>
      <c r="Q58" s="231"/>
      <c r="R58" s="279"/>
      <c r="S58" s="167"/>
      <c r="T58" s="231"/>
      <c r="U58" s="279"/>
      <c r="V58" s="280"/>
      <c r="W58" s="280"/>
      <c r="X58" s="166"/>
      <c r="Y58" s="231"/>
      <c r="Z58" s="231"/>
      <c r="AA58" s="167"/>
      <c r="AB58" s="231"/>
      <c r="AC58" s="231"/>
      <c r="AD58" s="231"/>
    </row>
    <row r="59" spans="1:30">
      <c r="A59" s="231"/>
      <c r="B59" s="283"/>
      <c r="C59" s="231"/>
      <c r="D59" s="273"/>
      <c r="E59" s="168"/>
      <c r="F59" s="274"/>
      <c r="G59" s="231"/>
      <c r="H59" s="231"/>
      <c r="I59" s="231"/>
      <c r="J59" s="231"/>
      <c r="K59" s="231"/>
      <c r="L59" s="166"/>
      <c r="M59" s="277"/>
      <c r="N59" s="231"/>
      <c r="O59" s="278"/>
      <c r="P59" s="231"/>
      <c r="Q59" s="231"/>
      <c r="R59" s="279"/>
      <c r="S59" s="167"/>
      <c r="T59" s="231"/>
      <c r="U59" s="279"/>
      <c r="V59" s="280"/>
      <c r="W59" s="280"/>
      <c r="X59" s="166"/>
      <c r="Y59" s="231"/>
      <c r="Z59" s="231"/>
      <c r="AA59" s="167"/>
      <c r="AB59" s="231"/>
      <c r="AC59" s="231"/>
      <c r="AD59" s="231"/>
    </row>
    <row r="60" spans="1:30">
      <c r="A60" s="231"/>
      <c r="B60" s="283"/>
      <c r="C60" s="231"/>
      <c r="D60" s="273"/>
      <c r="E60" s="168"/>
      <c r="F60" s="274"/>
      <c r="G60" s="231"/>
      <c r="H60" s="231"/>
      <c r="I60" s="231"/>
      <c r="J60" s="231"/>
      <c r="K60" s="231"/>
      <c r="L60" s="166"/>
      <c r="M60" s="277"/>
      <c r="N60" s="231"/>
      <c r="O60" s="278"/>
      <c r="P60" s="231"/>
      <c r="Q60" s="231"/>
      <c r="R60" s="279"/>
      <c r="S60" s="167"/>
      <c r="T60" s="231"/>
      <c r="U60" s="279"/>
      <c r="V60" s="280"/>
      <c r="W60" s="280"/>
      <c r="X60" s="166"/>
      <c r="Y60" s="231"/>
      <c r="Z60" s="231"/>
      <c r="AA60" s="167"/>
      <c r="AB60" s="231"/>
      <c r="AC60" s="231"/>
      <c r="AD60" s="231"/>
    </row>
    <row r="61" spans="1:30">
      <c r="A61" s="231"/>
      <c r="B61" s="283"/>
      <c r="C61" s="231"/>
      <c r="D61" s="273"/>
      <c r="E61" s="168"/>
      <c r="F61" s="274"/>
      <c r="G61" s="231"/>
      <c r="H61" s="231"/>
      <c r="I61" s="231"/>
      <c r="J61" s="231"/>
      <c r="K61" s="231"/>
      <c r="L61" s="166"/>
      <c r="M61" s="277"/>
      <c r="N61" s="231"/>
      <c r="O61" s="278"/>
      <c r="P61" s="231"/>
      <c r="Q61" s="231"/>
      <c r="R61" s="279"/>
      <c r="S61" s="167"/>
      <c r="T61" s="231"/>
      <c r="U61" s="279"/>
      <c r="V61" s="280"/>
      <c r="W61" s="280"/>
      <c r="X61" s="166"/>
      <c r="Y61" s="231"/>
      <c r="Z61" s="231"/>
      <c r="AA61" s="167"/>
      <c r="AB61" s="231"/>
      <c r="AC61" s="231"/>
      <c r="AD61" s="231"/>
    </row>
    <row r="62" spans="1:30">
      <c r="A62" s="231"/>
      <c r="B62" s="283"/>
      <c r="C62" s="231"/>
      <c r="D62" s="273"/>
      <c r="E62" s="168"/>
      <c r="F62" s="274"/>
      <c r="G62" s="231"/>
      <c r="H62" s="231"/>
      <c r="I62" s="231"/>
      <c r="J62" s="231"/>
      <c r="K62" s="231"/>
      <c r="L62" s="166"/>
      <c r="M62" s="277"/>
      <c r="N62" s="231"/>
      <c r="O62" s="278"/>
      <c r="P62" s="231"/>
      <c r="Q62" s="231"/>
      <c r="R62" s="279"/>
      <c r="S62" s="167"/>
      <c r="T62" s="231"/>
      <c r="U62" s="279"/>
      <c r="V62" s="280"/>
      <c r="W62" s="280"/>
      <c r="X62" s="166"/>
      <c r="Y62" s="231"/>
      <c r="Z62" s="231"/>
      <c r="AA62" s="167"/>
      <c r="AB62" s="231"/>
      <c r="AC62" s="231"/>
      <c r="AD62" s="231"/>
    </row>
    <row r="63" spans="1:30">
      <c r="A63" s="231"/>
      <c r="B63" s="283"/>
      <c r="C63" s="231"/>
      <c r="D63" s="273"/>
      <c r="E63" s="168"/>
      <c r="F63" s="274"/>
      <c r="G63" s="231"/>
      <c r="H63" s="231"/>
      <c r="I63" s="231"/>
      <c r="J63" s="231"/>
      <c r="K63" s="231"/>
      <c r="L63" s="166"/>
      <c r="M63" s="277"/>
      <c r="N63" s="231"/>
      <c r="O63" s="278"/>
      <c r="P63" s="231"/>
      <c r="Q63" s="231"/>
      <c r="R63" s="279"/>
      <c r="S63" s="167"/>
      <c r="T63" s="231"/>
      <c r="U63" s="279"/>
      <c r="V63" s="280"/>
      <c r="W63" s="280"/>
      <c r="X63" s="166"/>
      <c r="Y63" s="231"/>
      <c r="Z63" s="231"/>
      <c r="AA63" s="167"/>
      <c r="AB63" s="231"/>
      <c r="AC63" s="231"/>
      <c r="AD63" s="231"/>
    </row>
    <row r="64" spans="1:30">
      <c r="A64" s="231"/>
      <c r="B64" s="283"/>
      <c r="C64" s="231"/>
      <c r="D64" s="273"/>
      <c r="E64" s="168"/>
      <c r="F64" s="274"/>
      <c r="G64" s="231"/>
      <c r="H64" s="231"/>
      <c r="I64" s="231"/>
      <c r="J64" s="231"/>
      <c r="K64" s="231"/>
      <c r="L64" s="166"/>
      <c r="M64" s="277"/>
      <c r="N64" s="231"/>
      <c r="O64" s="278"/>
      <c r="P64" s="231"/>
      <c r="Q64" s="231"/>
      <c r="R64" s="279"/>
      <c r="S64" s="167"/>
      <c r="T64" s="231"/>
      <c r="U64" s="279"/>
      <c r="V64" s="280"/>
      <c r="W64" s="280"/>
      <c r="X64" s="166"/>
      <c r="Y64" s="231"/>
      <c r="Z64" s="231"/>
      <c r="AA64" s="167"/>
      <c r="AB64" s="231"/>
      <c r="AC64" s="231"/>
      <c r="AD64" s="231"/>
    </row>
    <row r="65" spans="1:30">
      <c r="A65" s="231"/>
      <c r="B65" s="283"/>
      <c r="C65" s="231"/>
      <c r="D65" s="273"/>
      <c r="E65" s="168"/>
      <c r="F65" s="274"/>
      <c r="G65" s="231"/>
      <c r="H65" s="231"/>
      <c r="I65" s="231"/>
      <c r="J65" s="231"/>
      <c r="K65" s="231"/>
      <c r="L65" s="166"/>
      <c r="M65" s="277"/>
      <c r="N65" s="231"/>
      <c r="O65" s="278"/>
      <c r="P65" s="231"/>
      <c r="Q65" s="231"/>
      <c r="R65" s="279"/>
      <c r="S65" s="167"/>
      <c r="T65" s="231"/>
      <c r="U65" s="279"/>
      <c r="V65" s="280"/>
      <c r="W65" s="280"/>
      <c r="X65" s="166"/>
      <c r="Y65" s="231"/>
      <c r="Z65" s="231"/>
      <c r="AA65" s="167"/>
      <c r="AB65" s="231"/>
      <c r="AC65" s="231"/>
      <c r="AD65" s="231"/>
    </row>
    <row r="66" spans="1:30">
      <c r="A66" s="231"/>
      <c r="B66" s="283"/>
      <c r="C66" s="231"/>
      <c r="D66" s="273"/>
      <c r="E66" s="168"/>
      <c r="F66" s="274"/>
      <c r="G66" s="231"/>
      <c r="H66" s="231"/>
      <c r="I66" s="231"/>
      <c r="J66" s="231"/>
      <c r="K66" s="231"/>
      <c r="L66" s="166"/>
      <c r="M66" s="277"/>
      <c r="N66" s="231"/>
      <c r="O66" s="278"/>
      <c r="P66" s="231"/>
      <c r="Q66" s="231"/>
      <c r="R66" s="279"/>
      <c r="S66" s="167"/>
      <c r="T66" s="231"/>
      <c r="U66" s="279"/>
      <c r="V66" s="280"/>
      <c r="W66" s="280"/>
      <c r="X66" s="166"/>
      <c r="Y66" s="231"/>
      <c r="Z66" s="231"/>
      <c r="AA66" s="167"/>
      <c r="AB66" s="231"/>
      <c r="AC66" s="231"/>
      <c r="AD66" s="231"/>
    </row>
    <row r="67" spans="1:30">
      <c r="A67" s="231"/>
      <c r="B67" s="283"/>
      <c r="C67" s="231"/>
      <c r="D67" s="273"/>
      <c r="E67" s="168"/>
      <c r="F67" s="274"/>
      <c r="G67" s="231"/>
      <c r="H67" s="231"/>
      <c r="I67" s="231"/>
      <c r="J67" s="231"/>
      <c r="K67" s="231"/>
      <c r="L67" s="166"/>
      <c r="M67" s="277"/>
      <c r="N67" s="231"/>
      <c r="O67" s="278"/>
      <c r="P67" s="231"/>
      <c r="Q67" s="231"/>
      <c r="R67" s="279"/>
      <c r="S67" s="167"/>
      <c r="T67" s="231"/>
      <c r="U67" s="279"/>
      <c r="V67" s="280"/>
      <c r="W67" s="280"/>
      <c r="X67" s="166"/>
      <c r="Y67" s="231"/>
      <c r="Z67" s="231"/>
      <c r="AA67" s="167"/>
      <c r="AB67" s="231"/>
      <c r="AC67" s="231"/>
      <c r="AD67" s="231"/>
    </row>
    <row r="68" spans="1:30">
      <c r="A68" s="231"/>
      <c r="B68" s="283"/>
      <c r="C68" s="231"/>
      <c r="D68" s="273"/>
      <c r="E68" s="168"/>
      <c r="F68" s="274"/>
      <c r="G68" s="231"/>
      <c r="H68" s="231"/>
      <c r="I68" s="231"/>
      <c r="J68" s="231"/>
      <c r="K68" s="231"/>
      <c r="L68" s="166"/>
      <c r="M68" s="277"/>
      <c r="N68" s="231"/>
      <c r="O68" s="278"/>
      <c r="P68" s="231"/>
      <c r="Q68" s="231"/>
      <c r="R68" s="279"/>
      <c r="S68" s="167"/>
      <c r="T68" s="231"/>
      <c r="U68" s="279"/>
      <c r="V68" s="280"/>
      <c r="W68" s="280"/>
      <c r="X68" s="166"/>
      <c r="Y68" s="231"/>
      <c r="Z68" s="231"/>
      <c r="AA68" s="167"/>
      <c r="AB68" s="231"/>
      <c r="AC68" s="231"/>
      <c r="AD68" s="231"/>
    </row>
    <row r="69" spans="1:30">
      <c r="A69" s="231"/>
      <c r="B69" s="283"/>
      <c r="C69" s="231"/>
      <c r="D69" s="273"/>
      <c r="E69" s="168"/>
      <c r="F69" s="274"/>
      <c r="G69" s="231"/>
      <c r="H69" s="231"/>
      <c r="I69" s="231"/>
      <c r="J69" s="231"/>
      <c r="K69" s="231"/>
      <c r="L69" s="166"/>
      <c r="M69" s="277"/>
      <c r="N69" s="231"/>
      <c r="O69" s="278"/>
      <c r="P69" s="231"/>
      <c r="Q69" s="231"/>
      <c r="R69" s="279"/>
      <c r="S69" s="167"/>
      <c r="T69" s="231"/>
      <c r="U69" s="279"/>
      <c r="V69" s="280"/>
      <c r="W69" s="280"/>
      <c r="X69" s="166"/>
      <c r="Y69" s="231"/>
      <c r="Z69" s="231"/>
      <c r="AA69" s="167"/>
      <c r="AB69" s="231"/>
      <c r="AC69" s="231"/>
      <c r="AD69" s="231"/>
    </row>
    <row r="70" spans="1:30">
      <c r="A70" s="231"/>
      <c r="B70" s="283"/>
      <c r="C70" s="231"/>
      <c r="D70" s="273"/>
      <c r="E70" s="168"/>
      <c r="F70" s="274"/>
      <c r="G70" s="231"/>
      <c r="H70" s="231"/>
      <c r="I70" s="231"/>
      <c r="J70" s="231"/>
      <c r="K70" s="231"/>
      <c r="L70" s="166"/>
      <c r="M70" s="277"/>
      <c r="N70" s="231"/>
      <c r="O70" s="278"/>
      <c r="P70" s="231"/>
      <c r="Q70" s="231"/>
      <c r="R70" s="279"/>
      <c r="S70" s="167"/>
      <c r="T70" s="231"/>
      <c r="U70" s="279"/>
      <c r="V70" s="280"/>
      <c r="W70" s="280"/>
      <c r="X70" s="166"/>
      <c r="Y70" s="231"/>
      <c r="Z70" s="231"/>
      <c r="AA70" s="167"/>
      <c r="AB70" s="231"/>
      <c r="AC70" s="231"/>
      <c r="AD70" s="231"/>
    </row>
    <row r="71" spans="1:30">
      <c r="A71" s="231"/>
      <c r="B71" s="283"/>
      <c r="C71" s="231"/>
      <c r="D71" s="273"/>
      <c r="E71" s="168"/>
      <c r="F71" s="274"/>
      <c r="G71" s="231"/>
      <c r="H71" s="231"/>
      <c r="I71" s="231"/>
      <c r="J71" s="231"/>
      <c r="K71" s="231"/>
      <c r="L71" s="166"/>
      <c r="M71" s="277"/>
      <c r="N71" s="231"/>
      <c r="O71" s="278"/>
      <c r="P71" s="231"/>
      <c r="Q71" s="231"/>
      <c r="R71" s="279"/>
      <c r="S71" s="167"/>
      <c r="T71" s="231"/>
      <c r="U71" s="279"/>
      <c r="V71" s="280"/>
      <c r="W71" s="280"/>
      <c r="X71" s="166"/>
      <c r="Y71" s="231"/>
      <c r="Z71" s="231"/>
      <c r="AA71" s="167"/>
      <c r="AB71" s="231"/>
      <c r="AC71" s="231"/>
      <c r="AD71" s="231"/>
    </row>
    <row r="72" spans="1:30">
      <c r="A72" s="231"/>
      <c r="B72" s="283"/>
      <c r="C72" s="231"/>
      <c r="D72" s="273"/>
      <c r="E72" s="168"/>
      <c r="F72" s="274"/>
      <c r="G72" s="231"/>
      <c r="H72" s="231"/>
      <c r="I72" s="231"/>
      <c r="J72" s="231"/>
      <c r="K72" s="231"/>
      <c r="L72" s="166"/>
      <c r="M72" s="277"/>
      <c r="N72" s="231"/>
      <c r="O72" s="278"/>
      <c r="P72" s="231"/>
      <c r="Q72" s="231"/>
      <c r="R72" s="279"/>
      <c r="S72" s="167"/>
      <c r="T72" s="231"/>
      <c r="U72" s="279"/>
      <c r="V72" s="280"/>
      <c r="W72" s="280"/>
      <c r="X72" s="166"/>
      <c r="Y72" s="231"/>
      <c r="Z72" s="231"/>
      <c r="AA72" s="167"/>
      <c r="AB72" s="231"/>
      <c r="AC72" s="231"/>
      <c r="AD72" s="231"/>
    </row>
    <row r="73" spans="1:30">
      <c r="A73" s="231"/>
      <c r="B73" s="283"/>
      <c r="C73" s="231"/>
      <c r="D73" s="273"/>
      <c r="E73" s="168"/>
      <c r="F73" s="274"/>
      <c r="G73" s="231"/>
      <c r="H73" s="231"/>
      <c r="I73" s="231"/>
      <c r="J73" s="231"/>
      <c r="K73" s="231"/>
      <c r="L73" s="166"/>
      <c r="M73" s="277"/>
      <c r="N73" s="231"/>
      <c r="O73" s="278"/>
      <c r="P73" s="231"/>
      <c r="Q73" s="231"/>
      <c r="R73" s="279"/>
      <c r="S73" s="167"/>
      <c r="T73" s="231"/>
      <c r="U73" s="279"/>
      <c r="V73" s="280"/>
      <c r="W73" s="280"/>
      <c r="X73" s="166"/>
      <c r="Y73" s="231"/>
      <c r="Z73" s="231"/>
      <c r="AA73" s="167"/>
      <c r="AB73" s="231"/>
      <c r="AC73" s="231"/>
      <c r="AD73" s="231"/>
    </row>
    <row r="74" spans="1:30">
      <c r="A74" s="231"/>
      <c r="B74" s="283"/>
      <c r="C74" s="231"/>
      <c r="D74" s="273"/>
      <c r="E74" s="168"/>
      <c r="F74" s="274"/>
      <c r="G74" s="231"/>
      <c r="H74" s="231"/>
      <c r="I74" s="231"/>
      <c r="J74" s="231"/>
      <c r="K74" s="231"/>
      <c r="L74" s="166"/>
      <c r="M74" s="277"/>
      <c r="N74" s="231"/>
      <c r="O74" s="278"/>
      <c r="P74" s="231"/>
      <c r="Q74" s="231"/>
      <c r="R74" s="279"/>
      <c r="S74" s="167"/>
      <c r="T74" s="231"/>
      <c r="U74" s="279"/>
      <c r="V74" s="280"/>
      <c r="W74" s="280"/>
      <c r="X74" s="166"/>
      <c r="Y74" s="231"/>
      <c r="Z74" s="231"/>
      <c r="AA74" s="167"/>
      <c r="AB74" s="231"/>
      <c r="AC74" s="231"/>
      <c r="AD74" s="231"/>
    </row>
    <row r="75" spans="1:30">
      <c r="A75" s="231"/>
      <c r="B75" s="283"/>
      <c r="C75" s="231"/>
      <c r="D75" s="273"/>
      <c r="E75" s="168"/>
      <c r="F75" s="274"/>
      <c r="G75" s="231"/>
      <c r="H75" s="231"/>
      <c r="I75" s="231"/>
      <c r="J75" s="231"/>
      <c r="K75" s="231"/>
      <c r="L75" s="166"/>
      <c r="M75" s="277"/>
      <c r="N75" s="231"/>
      <c r="O75" s="278"/>
      <c r="P75" s="231"/>
      <c r="Q75" s="231"/>
      <c r="R75" s="279"/>
      <c r="S75" s="167"/>
      <c r="T75" s="231"/>
      <c r="U75" s="279"/>
      <c r="V75" s="280"/>
      <c r="W75" s="280"/>
      <c r="X75" s="166"/>
      <c r="Y75" s="231"/>
      <c r="Z75" s="231"/>
      <c r="AA75" s="167"/>
      <c r="AB75" s="231"/>
      <c r="AC75" s="231"/>
      <c r="AD75" s="231"/>
    </row>
  </sheetData>
  <mergeCells count="20">
    <mergeCell ref="A1:AD1"/>
    <mergeCell ref="A2:M2"/>
    <mergeCell ref="N2:W2"/>
    <mergeCell ref="AC2:AD2"/>
    <mergeCell ref="A29:AD29"/>
    <mergeCell ref="A30:M30"/>
    <mergeCell ref="N30:W30"/>
    <mergeCell ref="AC30:AD30"/>
    <mergeCell ref="A4:A7"/>
    <mergeCell ref="A8:A11"/>
    <mergeCell ref="A12:A15"/>
    <mergeCell ref="A16:A19"/>
    <mergeCell ref="A20:A23"/>
    <mergeCell ref="A24:A27"/>
    <mergeCell ref="A32:A35"/>
    <mergeCell ref="A36:A39"/>
    <mergeCell ref="A40:A43"/>
    <mergeCell ref="A44:A47"/>
    <mergeCell ref="A48:A51"/>
    <mergeCell ref="A52:A55"/>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R110"/>
  <sheetViews>
    <sheetView workbookViewId="0">
      <selection activeCell="A1" sqref="A1:E1"/>
    </sheetView>
  </sheetViews>
  <sheetFormatPr defaultColWidth="9" defaultRowHeight="15.75"/>
  <cols>
    <col min="1" max="1" width="18.9833333333333" customWidth="1"/>
    <col min="2" max="2" width="40.8416666666667" customWidth="1"/>
    <col min="3" max="3" width="15.4916666666667" customWidth="1"/>
    <col min="4" max="4" width="16.5083333333333" customWidth="1"/>
    <col min="5" max="5" width="11.2083333333333" customWidth="1"/>
    <col min="6" max="6" width="7.38333333333333" customWidth="1"/>
    <col min="7" max="8" width="11.2083333333333" customWidth="1"/>
    <col min="9" max="9" width="23.9416666666667" customWidth="1"/>
    <col min="10" max="18" width="11.2083333333333" customWidth="1"/>
    <col min="19" max="20" width="12.45" customWidth="1"/>
  </cols>
  <sheetData>
    <row r="1" ht="12.5" customHeight="1" spans="1:18">
      <c r="A1" s="233" t="s">
        <v>269</v>
      </c>
      <c r="B1" s="233"/>
      <c r="C1" s="233"/>
      <c r="D1" s="233"/>
      <c r="E1" s="233"/>
      <c r="F1" s="110"/>
      <c r="G1" s="234"/>
      <c r="H1" s="234"/>
      <c r="I1" s="36" t="s">
        <v>270</v>
      </c>
      <c r="J1" s="110"/>
      <c r="K1" s="110"/>
      <c r="L1" s="110"/>
      <c r="M1" s="110"/>
      <c r="N1" s="110"/>
      <c r="O1" s="234"/>
      <c r="P1" s="234"/>
      <c r="Q1" s="234"/>
      <c r="R1" s="234"/>
    </row>
    <row r="2" ht="10.7" customHeight="1" spans="1:18">
      <c r="A2" s="110"/>
      <c r="B2" s="110"/>
      <c r="C2" s="110"/>
      <c r="D2" s="110"/>
      <c r="E2" s="110"/>
      <c r="F2" s="110"/>
      <c r="G2" s="234"/>
      <c r="H2" s="234"/>
      <c r="I2" s="110"/>
      <c r="J2" s="110"/>
      <c r="K2" s="110"/>
      <c r="L2" s="110"/>
      <c r="M2" s="110"/>
      <c r="N2" s="110"/>
      <c r="O2" s="234"/>
      <c r="P2" s="234"/>
      <c r="Q2" s="234"/>
      <c r="R2" s="234"/>
    </row>
    <row r="3" ht="19.65" customHeight="1" spans="1:18">
      <c r="A3" s="235" t="s">
        <v>271</v>
      </c>
      <c r="B3" s="236">
        <v>45765</v>
      </c>
      <c r="C3" s="234"/>
      <c r="D3" s="110"/>
      <c r="E3" s="110"/>
      <c r="F3" s="110"/>
      <c r="G3" s="234"/>
      <c r="H3" s="234"/>
      <c r="I3" s="110"/>
      <c r="J3" s="110"/>
      <c r="K3" s="110"/>
      <c r="L3" s="110"/>
      <c r="M3" s="110"/>
      <c r="N3" s="110"/>
      <c r="O3" s="234"/>
      <c r="P3" s="234"/>
      <c r="Q3" s="234"/>
      <c r="R3" s="234"/>
    </row>
    <row r="4" ht="19.65" customHeight="1" spans="1:18">
      <c r="A4" s="235" t="s">
        <v>272</v>
      </c>
      <c r="B4" s="237" t="s">
        <v>273</v>
      </c>
      <c r="C4" s="110"/>
      <c r="D4" s="110"/>
      <c r="E4" s="110"/>
      <c r="F4" s="110"/>
      <c r="G4" s="234"/>
      <c r="H4" s="234"/>
      <c r="I4" s="192" t="s">
        <v>270</v>
      </c>
      <c r="J4" s="192" t="s">
        <v>274</v>
      </c>
      <c r="K4" s="193" t="s">
        <v>275</v>
      </c>
      <c r="L4" s="194" t="s">
        <v>276</v>
      </c>
      <c r="M4" s="192" t="s">
        <v>277</v>
      </c>
      <c r="N4" s="192" t="s">
        <v>278</v>
      </c>
      <c r="O4" s="234"/>
      <c r="P4" s="234"/>
      <c r="Q4" s="234"/>
      <c r="R4" s="234"/>
    </row>
    <row r="5" ht="19.65" customHeight="1" spans="1:18">
      <c r="A5" s="235" t="s">
        <v>279</v>
      </c>
      <c r="B5" s="237" t="s">
        <v>280</v>
      </c>
      <c r="C5" s="110"/>
      <c r="D5" s="110"/>
      <c r="E5" s="110"/>
      <c r="F5" s="110"/>
      <c r="G5" s="234"/>
      <c r="H5" s="234"/>
      <c r="I5" s="2" t="s">
        <v>281</v>
      </c>
      <c r="J5" s="2" t="s">
        <v>282</v>
      </c>
      <c r="K5" s="196">
        <v>0.497508</v>
      </c>
      <c r="L5" s="197">
        <v>13984</v>
      </c>
      <c r="M5" s="13" t="s">
        <v>283</v>
      </c>
      <c r="N5" s="198">
        <v>0.3471</v>
      </c>
      <c r="O5" s="234"/>
      <c r="P5" s="234"/>
      <c r="Q5" s="234"/>
      <c r="R5" s="234"/>
    </row>
    <row r="6" ht="19.65" customHeight="1" spans="1:18">
      <c r="A6" s="235" t="s">
        <v>284</v>
      </c>
      <c r="B6" s="237" t="s">
        <v>285</v>
      </c>
      <c r="C6" s="110"/>
      <c r="D6" s="110"/>
      <c r="E6" s="110"/>
      <c r="F6" s="110"/>
      <c r="G6" s="234"/>
      <c r="H6" s="234"/>
      <c r="I6" s="2" t="s">
        <v>286</v>
      </c>
      <c r="J6" s="2" t="s">
        <v>287</v>
      </c>
      <c r="K6" s="196">
        <v>0.294441</v>
      </c>
      <c r="L6" s="197">
        <v>8276</v>
      </c>
      <c r="M6" s="13" t="s">
        <v>283</v>
      </c>
      <c r="N6" s="198">
        <v>0.41862</v>
      </c>
      <c r="O6" s="234"/>
      <c r="P6" s="234"/>
      <c r="Q6" s="234"/>
      <c r="R6" s="234"/>
    </row>
    <row r="7" ht="11.9" customHeight="1" spans="1:18">
      <c r="A7" s="110"/>
      <c r="B7" s="110"/>
      <c r="C7" s="110"/>
      <c r="D7" s="110"/>
      <c r="E7" s="110"/>
      <c r="F7" s="110"/>
      <c r="G7" s="234"/>
      <c r="H7" s="234"/>
      <c r="I7" s="2" t="s">
        <v>288</v>
      </c>
      <c r="J7" s="2" t="s">
        <v>289</v>
      </c>
      <c r="K7" s="196">
        <v>0.059295</v>
      </c>
      <c r="L7" s="197">
        <v>1667</v>
      </c>
      <c r="M7" s="13"/>
      <c r="N7" s="198">
        <v>0.61722</v>
      </c>
      <c r="O7" s="234"/>
      <c r="P7" s="234"/>
      <c r="Q7" s="234"/>
      <c r="R7" s="234"/>
    </row>
    <row r="8" ht="11.9" customHeight="1" spans="1:18">
      <c r="A8" s="110"/>
      <c r="B8" s="110"/>
      <c r="C8" s="110"/>
      <c r="D8" s="110"/>
      <c r="E8" s="110"/>
      <c r="F8" s="110"/>
      <c r="G8" s="234"/>
      <c r="H8" s="234"/>
      <c r="I8" s="2" t="s">
        <v>290</v>
      </c>
      <c r="J8" s="2" t="s">
        <v>291</v>
      </c>
      <c r="K8" s="196">
        <v>0.047246</v>
      </c>
      <c r="L8" s="197">
        <v>1328</v>
      </c>
      <c r="M8" s="13"/>
      <c r="N8" s="198">
        <v>0.80955</v>
      </c>
      <c r="O8" s="234"/>
      <c r="P8" s="234"/>
      <c r="Q8" s="234"/>
      <c r="R8" s="234"/>
    </row>
    <row r="9" ht="11.9" customHeight="1" spans="1:18">
      <c r="A9" s="110"/>
      <c r="B9" s="110"/>
      <c r="C9" s="110"/>
      <c r="D9" s="110"/>
      <c r="E9" s="110"/>
      <c r="F9" s="110"/>
      <c r="G9" s="234"/>
      <c r="H9" s="234"/>
      <c r="I9" s="2" t="s">
        <v>292</v>
      </c>
      <c r="J9" s="2" t="s">
        <v>293</v>
      </c>
      <c r="K9" s="196">
        <v>0.02472</v>
      </c>
      <c r="L9" s="197">
        <v>695</v>
      </c>
      <c r="M9" s="13"/>
      <c r="N9" s="198">
        <v>0.46301</v>
      </c>
      <c r="O9" s="234"/>
      <c r="P9" s="234"/>
      <c r="Q9" s="234"/>
      <c r="R9" s="234"/>
    </row>
    <row r="10" ht="12.5" customHeight="1" spans="1:18">
      <c r="A10" s="238" t="s">
        <v>294</v>
      </c>
      <c r="B10" s="238" t="s">
        <v>295</v>
      </c>
      <c r="C10" s="238" t="s">
        <v>296</v>
      </c>
      <c r="D10" s="110"/>
      <c r="E10" s="110"/>
      <c r="F10" s="110"/>
      <c r="G10" s="234"/>
      <c r="H10" s="234"/>
      <c r="I10" s="2" t="s">
        <v>297</v>
      </c>
      <c r="J10" s="2" t="s">
        <v>298</v>
      </c>
      <c r="K10" s="196">
        <v>0.019301</v>
      </c>
      <c r="L10" s="197">
        <v>543</v>
      </c>
      <c r="M10" s="13"/>
      <c r="N10" s="198">
        <v>0.06106</v>
      </c>
      <c r="O10" s="234"/>
      <c r="P10" s="234"/>
      <c r="Q10" s="234"/>
      <c r="R10" s="234"/>
    </row>
    <row r="11" ht="12.5" customHeight="1" spans="1:18">
      <c r="A11" s="239" t="s">
        <v>299</v>
      </c>
      <c r="B11" s="64" t="s">
        <v>300</v>
      </c>
      <c r="C11" s="64" t="s">
        <v>300</v>
      </c>
      <c r="D11" s="110"/>
      <c r="E11" s="110"/>
      <c r="F11" s="110"/>
      <c r="G11" s="234"/>
      <c r="H11" s="234"/>
      <c r="I11" s="2" t="s">
        <v>301</v>
      </c>
      <c r="J11" s="2" t="s">
        <v>302</v>
      </c>
      <c r="K11" s="196">
        <v>0.017954</v>
      </c>
      <c r="L11" s="197">
        <v>505</v>
      </c>
      <c r="M11" s="13" t="s">
        <v>303</v>
      </c>
      <c r="N11" s="198">
        <v>0.50632</v>
      </c>
      <c r="O11" s="234"/>
      <c r="P11" s="234"/>
      <c r="Q11" s="234"/>
      <c r="R11" s="234"/>
    </row>
    <row r="12" ht="12.5" customHeight="1" spans="1:18">
      <c r="A12" s="239" t="s">
        <v>304</v>
      </c>
      <c r="B12" s="64" t="s">
        <v>305</v>
      </c>
      <c r="C12" s="64" t="s">
        <v>300</v>
      </c>
      <c r="D12" s="110"/>
      <c r="E12" s="110"/>
      <c r="F12" s="110"/>
      <c r="G12" s="234"/>
      <c r="H12" s="234"/>
      <c r="I12" s="2" t="s">
        <v>306</v>
      </c>
      <c r="J12" s="2" t="s">
        <v>307</v>
      </c>
      <c r="K12" s="196">
        <v>0.008428</v>
      </c>
      <c r="L12" s="197">
        <v>237</v>
      </c>
      <c r="M12" s="13"/>
      <c r="N12" s="198">
        <v>0.28778</v>
      </c>
      <c r="O12" s="234"/>
      <c r="P12" s="234"/>
      <c r="Q12" s="234"/>
      <c r="R12" s="234"/>
    </row>
    <row r="13" ht="12.5" customHeight="1" spans="1:18">
      <c r="A13" s="239" t="s">
        <v>308</v>
      </c>
      <c r="B13" s="240" t="s">
        <v>309</v>
      </c>
      <c r="C13" s="64" t="s">
        <v>300</v>
      </c>
      <c r="D13" s="110"/>
      <c r="E13" s="110"/>
      <c r="F13" s="110"/>
      <c r="G13" s="234"/>
      <c r="H13" s="234"/>
      <c r="I13" s="2" t="s">
        <v>310</v>
      </c>
      <c r="J13" s="2" t="s">
        <v>311</v>
      </c>
      <c r="K13" s="196">
        <v>0.007424</v>
      </c>
      <c r="L13" s="197">
        <v>209</v>
      </c>
      <c r="M13" s="13"/>
      <c r="N13" s="13">
        <v>15</v>
      </c>
      <c r="O13" s="234"/>
      <c r="P13" s="234"/>
      <c r="Q13" s="234"/>
      <c r="R13" s="234"/>
    </row>
    <row r="14" ht="12.5" customHeight="1" spans="1:18">
      <c r="A14" s="239" t="s">
        <v>2</v>
      </c>
      <c r="B14" s="64" t="s">
        <v>312</v>
      </c>
      <c r="C14" s="64" t="s">
        <v>300</v>
      </c>
      <c r="D14" s="110"/>
      <c r="E14" s="110"/>
      <c r="F14" s="110"/>
      <c r="G14" s="234"/>
      <c r="H14" s="234"/>
      <c r="I14" s="2" t="s">
        <v>313</v>
      </c>
      <c r="J14" s="2" t="s">
        <v>314</v>
      </c>
      <c r="K14" s="196">
        <v>0.002209</v>
      </c>
      <c r="L14" s="197">
        <v>62</v>
      </c>
      <c r="M14" s="13" t="s">
        <v>315</v>
      </c>
      <c r="N14" s="13">
        <v>16</v>
      </c>
      <c r="O14" s="234"/>
      <c r="P14" s="234"/>
      <c r="Q14" s="234"/>
      <c r="R14" s="234"/>
    </row>
    <row r="15" ht="12.5" customHeight="1" spans="1:18">
      <c r="A15" s="239" t="s">
        <v>316</v>
      </c>
      <c r="B15" s="64">
        <v>136</v>
      </c>
      <c r="C15" s="64" t="s">
        <v>300</v>
      </c>
      <c r="D15" s="110"/>
      <c r="E15" s="110"/>
      <c r="F15" s="110"/>
      <c r="G15" s="234"/>
      <c r="H15" s="234"/>
      <c r="I15" s="2" t="s">
        <v>317</v>
      </c>
      <c r="J15" s="2" t="s">
        <v>318</v>
      </c>
      <c r="K15" s="196">
        <v>0.001316</v>
      </c>
      <c r="L15" s="197">
        <v>37</v>
      </c>
      <c r="M15" s="13" t="s">
        <v>315</v>
      </c>
      <c r="N15" s="13">
        <v>6</v>
      </c>
      <c r="O15" s="234"/>
      <c r="P15" s="234"/>
      <c r="Q15" s="234"/>
      <c r="R15" s="234"/>
    </row>
    <row r="16" ht="12.5" customHeight="1" spans="1:18">
      <c r="A16" s="239" t="s">
        <v>255</v>
      </c>
      <c r="B16" s="64">
        <v>4.7</v>
      </c>
      <c r="C16" s="64" t="s">
        <v>300</v>
      </c>
      <c r="D16" s="110"/>
      <c r="E16" s="110"/>
      <c r="F16" s="110"/>
      <c r="G16" s="234"/>
      <c r="H16" s="234"/>
      <c r="I16" s="110"/>
      <c r="J16" s="110"/>
      <c r="K16" s="110"/>
      <c r="L16" s="110"/>
      <c r="M16" s="110"/>
      <c r="N16" s="110"/>
      <c r="O16" s="234"/>
      <c r="P16" s="234"/>
      <c r="Q16" s="234"/>
      <c r="R16" s="234"/>
    </row>
    <row r="17" ht="12.5" customHeight="1" spans="1:18">
      <c r="A17" s="239" t="s">
        <v>319</v>
      </c>
      <c r="B17" s="241" t="s">
        <v>281</v>
      </c>
      <c r="C17" s="64" t="s">
        <v>300</v>
      </c>
      <c r="D17" s="110"/>
      <c r="E17" s="110"/>
      <c r="F17" s="110"/>
      <c r="G17" s="234"/>
      <c r="H17" s="234"/>
      <c r="I17" s="110"/>
      <c r="J17" s="110"/>
      <c r="K17" s="110"/>
      <c r="L17" s="110"/>
      <c r="M17" s="110"/>
      <c r="N17" s="110"/>
      <c r="O17" s="234"/>
      <c r="P17" s="234"/>
      <c r="Q17" s="234"/>
      <c r="R17" s="234"/>
    </row>
    <row r="18" ht="12.5" customHeight="1" spans="1:18">
      <c r="A18" s="242"/>
      <c r="B18" s="243"/>
      <c r="C18" s="243"/>
      <c r="D18" s="110"/>
      <c r="E18" s="110"/>
      <c r="F18" s="110"/>
      <c r="G18" s="234"/>
      <c r="H18" s="234"/>
      <c r="I18" s="110"/>
      <c r="J18" s="110"/>
      <c r="K18" s="110"/>
      <c r="L18" s="110"/>
      <c r="M18" s="110"/>
      <c r="N18" s="110"/>
      <c r="O18" s="234"/>
      <c r="P18" s="234"/>
      <c r="Q18" s="234"/>
      <c r="R18" s="234"/>
    </row>
    <row r="19" ht="12.5" customHeight="1" spans="1:18">
      <c r="A19" s="242"/>
      <c r="B19" s="110"/>
      <c r="C19" s="110"/>
      <c r="D19" s="110"/>
      <c r="E19" s="110"/>
      <c r="F19" s="110"/>
      <c r="G19" s="234"/>
      <c r="H19" s="234"/>
      <c r="I19" s="110"/>
      <c r="J19" s="110"/>
      <c r="K19" s="110"/>
      <c r="L19" s="110"/>
      <c r="M19" s="110"/>
      <c r="N19" s="110"/>
      <c r="O19" s="234"/>
      <c r="P19" s="234"/>
      <c r="Q19" s="234"/>
      <c r="R19" s="234"/>
    </row>
    <row r="20" ht="12.5" customHeight="1" spans="1:18">
      <c r="A20" s="110"/>
      <c r="B20" s="243"/>
      <c r="C20" s="243"/>
      <c r="D20" s="244" t="s">
        <v>320</v>
      </c>
      <c r="E20" s="244" t="s">
        <v>321</v>
      </c>
      <c r="F20" s="244" t="s">
        <v>322</v>
      </c>
      <c r="G20" s="234"/>
      <c r="H20" s="234"/>
      <c r="I20" s="110"/>
      <c r="J20" s="110"/>
      <c r="K20" s="110"/>
      <c r="L20" s="110"/>
      <c r="M20" s="110"/>
      <c r="N20" s="110"/>
      <c r="O20" s="234"/>
      <c r="P20" s="234"/>
      <c r="Q20" s="234"/>
      <c r="R20" s="234"/>
    </row>
    <row r="21" ht="12.5" customHeight="1" spans="1:18">
      <c r="A21" s="234" t="s">
        <v>323</v>
      </c>
      <c r="B21" s="234" t="s">
        <v>281</v>
      </c>
      <c r="C21" s="234" t="s">
        <v>324</v>
      </c>
      <c r="D21" s="244">
        <v>1.33</v>
      </c>
      <c r="E21" s="244">
        <v>1.2</v>
      </c>
      <c r="F21" s="244">
        <v>1.23</v>
      </c>
      <c r="G21" s="234"/>
      <c r="H21" s="234"/>
      <c r="I21" s="110"/>
      <c r="J21" s="110"/>
      <c r="K21" s="110"/>
      <c r="L21" s="110"/>
      <c r="M21" s="110"/>
      <c r="N21" s="110"/>
      <c r="O21" s="234"/>
      <c r="P21" s="234"/>
      <c r="Q21" s="234"/>
      <c r="R21" s="234"/>
    </row>
    <row r="22" ht="12.5" customHeight="1" spans="1:18">
      <c r="A22" s="110"/>
      <c r="B22" s="234" t="s">
        <v>306</v>
      </c>
      <c r="C22" s="234" t="s">
        <v>324</v>
      </c>
      <c r="D22" s="244">
        <v>1.39</v>
      </c>
      <c r="E22" s="244">
        <v>1.24</v>
      </c>
      <c r="F22" s="244">
        <v>1.29</v>
      </c>
      <c r="G22" s="234"/>
      <c r="H22" s="234"/>
      <c r="I22" s="110"/>
      <c r="J22" s="110"/>
      <c r="K22" s="110"/>
      <c r="L22" s="110"/>
      <c r="M22" s="110"/>
      <c r="N22" s="110"/>
      <c r="O22" s="234"/>
      <c r="P22" s="234"/>
      <c r="Q22" s="234"/>
      <c r="R22" s="234"/>
    </row>
    <row r="23" ht="12.5" customHeight="1" spans="1:18">
      <c r="A23" s="110"/>
      <c r="B23" s="234" t="s">
        <v>286</v>
      </c>
      <c r="C23" s="234" t="s">
        <v>325</v>
      </c>
      <c r="D23" s="244">
        <v>1.33</v>
      </c>
      <c r="E23" s="244">
        <v>1.2</v>
      </c>
      <c r="F23" s="244">
        <v>1.21</v>
      </c>
      <c r="G23" s="234"/>
      <c r="H23" s="234"/>
      <c r="I23" s="110"/>
      <c r="J23" s="110"/>
      <c r="K23" s="110"/>
      <c r="L23" s="110"/>
      <c r="M23" s="110"/>
      <c r="N23" s="110"/>
      <c r="O23" s="234"/>
      <c r="P23" s="234"/>
      <c r="Q23" s="234"/>
      <c r="R23" s="234"/>
    </row>
    <row r="24" ht="12.5" customHeight="1" spans="1:18">
      <c r="A24" s="110"/>
      <c r="B24" s="234" t="s">
        <v>297</v>
      </c>
      <c r="C24" s="234" t="s">
        <v>326</v>
      </c>
      <c r="D24" s="244">
        <v>1.36</v>
      </c>
      <c r="E24" s="244">
        <v>1.22</v>
      </c>
      <c r="F24" s="244">
        <v>1.28</v>
      </c>
      <c r="G24" s="234"/>
      <c r="H24" s="234"/>
      <c r="I24" s="110"/>
      <c r="J24" s="110"/>
      <c r="K24" s="110"/>
      <c r="L24" s="110"/>
      <c r="M24" s="110"/>
      <c r="N24" s="110"/>
      <c r="O24" s="234"/>
      <c r="P24" s="234"/>
      <c r="Q24" s="234"/>
      <c r="R24" s="234"/>
    </row>
    <row r="25" ht="12.5" customHeight="1" spans="1:18">
      <c r="A25" s="110"/>
      <c r="B25" s="234" t="s">
        <v>292</v>
      </c>
      <c r="C25" s="234" t="s">
        <v>327</v>
      </c>
      <c r="D25" s="244">
        <v>1.29</v>
      </c>
      <c r="E25" s="244">
        <v>1.16</v>
      </c>
      <c r="F25" s="244">
        <v>1.21</v>
      </c>
      <c r="G25" s="234"/>
      <c r="H25" s="234"/>
      <c r="I25" s="110"/>
      <c r="J25" s="110"/>
      <c r="K25" s="110"/>
      <c r="L25" s="110"/>
      <c r="M25" s="110"/>
      <c r="N25" s="110"/>
      <c r="O25" s="234"/>
      <c r="P25" s="234"/>
      <c r="Q25" s="234"/>
      <c r="R25" s="234"/>
    </row>
    <row r="26" ht="12.5" customHeight="1" spans="1:18">
      <c r="A26" s="110"/>
      <c r="B26" s="234" t="s">
        <v>328</v>
      </c>
      <c r="C26" s="234" t="s">
        <v>324</v>
      </c>
      <c r="D26" s="244">
        <v>1.33</v>
      </c>
      <c r="E26" s="244">
        <v>1.2</v>
      </c>
      <c r="F26" s="244">
        <v>1.23</v>
      </c>
      <c r="G26" s="234"/>
      <c r="H26" s="234"/>
      <c r="I26" s="110"/>
      <c r="J26" s="110"/>
      <c r="K26" s="110"/>
      <c r="L26" s="110"/>
      <c r="M26" s="110"/>
      <c r="N26" s="110"/>
      <c r="O26" s="234"/>
      <c r="P26" s="234"/>
      <c r="Q26" s="234"/>
      <c r="R26" s="234"/>
    </row>
    <row r="27" ht="12.5" customHeight="1" spans="1:18">
      <c r="A27" s="110"/>
      <c r="B27" s="234" t="s">
        <v>329</v>
      </c>
      <c r="C27" s="234" t="s">
        <v>330</v>
      </c>
      <c r="D27" s="244">
        <v>1.47</v>
      </c>
      <c r="E27" s="244">
        <v>1.3</v>
      </c>
      <c r="F27" s="244">
        <v>1.36</v>
      </c>
      <c r="G27" s="234"/>
      <c r="H27" s="234"/>
      <c r="I27" s="110"/>
      <c r="J27" s="110"/>
      <c r="K27" s="110"/>
      <c r="L27" s="110"/>
      <c r="M27" s="110"/>
      <c r="N27" s="110"/>
      <c r="O27" s="234"/>
      <c r="P27" s="234"/>
      <c r="Q27" s="234"/>
      <c r="R27" s="234"/>
    </row>
    <row r="28" ht="12.5" customHeight="1" spans="1:18">
      <c r="A28" s="110"/>
      <c r="B28" s="234" t="s">
        <v>331</v>
      </c>
      <c r="C28" s="234" t="s">
        <v>332</v>
      </c>
      <c r="D28" s="244">
        <v>1.65</v>
      </c>
      <c r="E28" s="244">
        <v>1.33</v>
      </c>
      <c r="F28" s="244">
        <v>2.01</v>
      </c>
      <c r="G28" s="234"/>
      <c r="H28" s="234"/>
      <c r="I28" s="110"/>
      <c r="J28" s="110"/>
      <c r="K28" s="110"/>
      <c r="L28" s="110"/>
      <c r="M28" s="110"/>
      <c r="N28" s="110"/>
      <c r="O28" s="234"/>
      <c r="P28" s="234"/>
      <c r="Q28" s="234"/>
      <c r="R28" s="234"/>
    </row>
    <row r="29" ht="12.5" customHeight="1" spans="1:18">
      <c r="A29" s="234" t="s">
        <v>333</v>
      </c>
      <c r="B29" s="110"/>
      <c r="C29" s="110"/>
      <c r="D29" s="244"/>
      <c r="E29" s="244"/>
      <c r="F29" s="244"/>
      <c r="G29" s="234"/>
      <c r="H29" s="234"/>
      <c r="I29" s="110"/>
      <c r="J29" s="110"/>
      <c r="K29" s="110"/>
      <c r="L29" s="110"/>
      <c r="M29" s="110"/>
      <c r="N29" s="110"/>
      <c r="O29" s="234"/>
      <c r="P29" s="234"/>
      <c r="Q29" s="234"/>
      <c r="R29" s="234"/>
    </row>
    <row r="30" ht="12.5" customHeight="1" spans="1:18">
      <c r="A30" s="110"/>
      <c r="B30" s="234" t="s">
        <v>306</v>
      </c>
      <c r="C30" s="110" t="s">
        <v>324</v>
      </c>
      <c r="D30" s="244">
        <v>1.39</v>
      </c>
      <c r="E30" s="244">
        <v>1.2</v>
      </c>
      <c r="F30" s="244">
        <v>1.23</v>
      </c>
      <c r="G30" s="234"/>
      <c r="H30" s="234"/>
      <c r="I30" s="110"/>
      <c r="J30" s="110"/>
      <c r="K30" s="110"/>
      <c r="L30" s="110"/>
      <c r="M30" s="110"/>
      <c r="N30" s="110"/>
      <c r="O30" s="234"/>
      <c r="P30" s="234"/>
      <c r="Q30" s="234"/>
      <c r="R30" s="234"/>
    </row>
    <row r="31" ht="12.5" customHeight="1" spans="1:18">
      <c r="A31" s="110"/>
      <c r="B31" s="234" t="s">
        <v>334</v>
      </c>
      <c r="C31" s="234" t="s">
        <v>335</v>
      </c>
      <c r="D31" s="244">
        <v>0.64</v>
      </c>
      <c r="E31" s="244">
        <v>0.58</v>
      </c>
      <c r="F31" s="244">
        <v>0.63</v>
      </c>
      <c r="G31" s="234"/>
      <c r="H31" s="234"/>
      <c r="I31" s="110"/>
      <c r="J31" s="110"/>
      <c r="K31" s="110"/>
      <c r="L31" s="110"/>
      <c r="M31" s="110"/>
      <c r="N31" s="110"/>
      <c r="O31" s="234"/>
      <c r="P31" s="234"/>
      <c r="Q31" s="234"/>
      <c r="R31" s="234"/>
    </row>
    <row r="32" ht="12.5" customHeight="1" spans="1:18">
      <c r="A32" s="110"/>
      <c r="B32" s="234" t="s">
        <v>292</v>
      </c>
      <c r="C32" s="234" t="s">
        <v>327</v>
      </c>
      <c r="D32" s="244">
        <v>1.29</v>
      </c>
      <c r="E32" s="244">
        <v>1.16</v>
      </c>
      <c r="F32" s="244">
        <v>1.21</v>
      </c>
      <c r="G32" s="234"/>
      <c r="H32" s="234"/>
      <c r="I32" s="110"/>
      <c r="J32" s="110"/>
      <c r="K32" s="110"/>
      <c r="L32" s="110"/>
      <c r="M32" s="110"/>
      <c r="N32" s="110"/>
      <c r="O32" s="234"/>
      <c r="P32" s="234"/>
      <c r="Q32" s="234"/>
      <c r="R32" s="234"/>
    </row>
    <row r="33" ht="12.5" customHeight="1" spans="1:18">
      <c r="A33" s="110"/>
      <c r="B33" s="234" t="s">
        <v>336</v>
      </c>
      <c r="C33" s="234" t="s">
        <v>337</v>
      </c>
      <c r="D33" s="244">
        <v>1.08</v>
      </c>
      <c r="E33" s="244">
        <v>0.97</v>
      </c>
      <c r="F33" s="244">
        <v>1.01</v>
      </c>
      <c r="G33" s="234"/>
      <c r="H33" s="234"/>
      <c r="I33" s="110"/>
      <c r="J33" s="110"/>
      <c r="K33" s="110"/>
      <c r="L33" s="110"/>
      <c r="M33" s="110"/>
      <c r="N33" s="110"/>
      <c r="O33" s="234"/>
      <c r="P33" s="234"/>
      <c r="Q33" s="234"/>
      <c r="R33" s="234"/>
    </row>
    <row r="34" ht="10.7" customHeight="1" spans="1:18">
      <c r="A34" s="110"/>
      <c r="B34" s="110"/>
      <c r="C34" s="110"/>
      <c r="D34" s="110"/>
      <c r="E34" s="110"/>
      <c r="F34" s="110"/>
      <c r="G34" s="234"/>
      <c r="H34" s="234"/>
      <c r="I34" s="110"/>
      <c r="J34" s="110"/>
      <c r="K34" s="110"/>
      <c r="L34" s="110"/>
      <c r="M34" s="110"/>
      <c r="N34" s="110"/>
      <c r="O34" s="234"/>
      <c r="P34" s="234"/>
      <c r="Q34" s="234"/>
      <c r="R34" s="234"/>
    </row>
    <row r="35" ht="12.5" customHeight="1" spans="1:18">
      <c r="A35" s="234" t="s">
        <v>338</v>
      </c>
      <c r="B35" s="234" t="s">
        <v>339</v>
      </c>
      <c r="C35" s="245" t="s">
        <v>340</v>
      </c>
      <c r="D35" s="246">
        <v>1.01</v>
      </c>
      <c r="E35" s="246">
        <v>0.94</v>
      </c>
      <c r="F35" s="246">
        <v>0.89</v>
      </c>
      <c r="G35" s="234"/>
      <c r="H35" s="234"/>
      <c r="I35" s="110"/>
      <c r="J35" s="110"/>
      <c r="K35" s="110"/>
      <c r="L35" s="110"/>
      <c r="M35" s="110"/>
      <c r="N35" s="110"/>
      <c r="O35" s="234"/>
      <c r="P35" s="234"/>
      <c r="Q35" s="234"/>
      <c r="R35" s="234"/>
    </row>
    <row r="36" ht="10.7" customHeight="1" spans="1:18">
      <c r="A36" s="110"/>
      <c r="B36" s="110"/>
      <c r="C36" s="110"/>
      <c r="D36" s="110"/>
      <c r="E36" s="110"/>
      <c r="F36" s="110"/>
      <c r="G36" s="234"/>
      <c r="H36" s="234"/>
      <c r="I36" s="110"/>
      <c r="J36" s="110"/>
      <c r="K36" s="110"/>
      <c r="L36" s="110"/>
      <c r="M36" s="110"/>
      <c r="N36" s="110"/>
      <c r="O36" s="234"/>
      <c r="P36" s="234"/>
      <c r="Q36" s="234"/>
      <c r="R36" s="234"/>
    </row>
    <row r="37" ht="10.7" customHeight="1" spans="1:18">
      <c r="A37" s="110"/>
      <c r="B37" s="110" t="s">
        <v>341</v>
      </c>
      <c r="C37" s="110" t="s">
        <v>342</v>
      </c>
      <c r="D37" s="110"/>
      <c r="E37" s="110"/>
      <c r="F37" s="110"/>
      <c r="G37" s="234"/>
      <c r="H37" s="234"/>
      <c r="I37" s="110"/>
      <c r="J37" s="110"/>
      <c r="K37" s="110"/>
      <c r="L37" s="110"/>
      <c r="M37" s="110"/>
      <c r="N37" s="110"/>
      <c r="O37" s="234"/>
      <c r="P37" s="234"/>
      <c r="Q37" s="234"/>
      <c r="R37" s="234"/>
    </row>
    <row r="38" ht="10.7" customHeight="1" spans="1:18">
      <c r="A38" s="110"/>
      <c r="B38" s="110"/>
      <c r="C38" s="110"/>
      <c r="D38" s="110"/>
      <c r="E38" s="110"/>
      <c r="F38" s="110"/>
      <c r="G38" s="234"/>
      <c r="H38" s="234"/>
      <c r="I38" s="110"/>
      <c r="J38" s="110"/>
      <c r="K38" s="110"/>
      <c r="L38" s="110"/>
      <c r="M38" s="110"/>
      <c r="N38" s="110"/>
      <c r="O38" s="234"/>
      <c r="P38" s="234"/>
      <c r="Q38" s="234"/>
      <c r="R38" s="234"/>
    </row>
    <row r="39" ht="10.7" customHeight="1" spans="1:18">
      <c r="A39" s="110"/>
      <c r="B39" s="110"/>
      <c r="C39" s="110"/>
      <c r="D39" s="110"/>
      <c r="E39" s="110"/>
      <c r="F39" s="110"/>
      <c r="G39" s="234"/>
      <c r="H39" s="234"/>
      <c r="I39" s="110"/>
      <c r="J39" s="110"/>
      <c r="K39" s="110"/>
      <c r="L39" s="110"/>
      <c r="M39" s="110"/>
      <c r="N39" s="110"/>
      <c r="O39" s="234"/>
      <c r="P39" s="234"/>
      <c r="Q39" s="234"/>
      <c r="R39" s="234"/>
    </row>
    <row r="40" ht="10.7" customHeight="1" spans="1:18">
      <c r="A40" s="110"/>
      <c r="B40" s="110"/>
      <c r="C40" s="110"/>
      <c r="D40" s="110"/>
      <c r="E40" s="110"/>
      <c r="F40" s="110"/>
      <c r="G40" s="234"/>
      <c r="H40" s="234"/>
      <c r="I40" s="110"/>
      <c r="J40" s="110"/>
      <c r="K40" s="110"/>
      <c r="L40" s="110"/>
      <c r="M40" s="110"/>
      <c r="N40" s="110"/>
      <c r="O40" s="234"/>
      <c r="P40" s="234"/>
      <c r="Q40" s="234"/>
      <c r="R40" s="234"/>
    </row>
    <row r="41" ht="10.7" customHeight="1" spans="1:18">
      <c r="A41" s="110"/>
      <c r="B41" s="110"/>
      <c r="C41" s="110"/>
      <c r="D41" s="110"/>
      <c r="E41" s="110"/>
      <c r="F41" s="110"/>
      <c r="G41" s="234"/>
      <c r="H41" s="234"/>
      <c r="I41" s="110"/>
      <c r="J41" s="110"/>
      <c r="K41" s="110"/>
      <c r="L41" s="110"/>
      <c r="M41" s="110"/>
      <c r="N41" s="110"/>
      <c r="O41" s="234"/>
      <c r="P41" s="234"/>
      <c r="Q41" s="234"/>
      <c r="R41" s="234"/>
    </row>
    <row r="42" ht="10.7" customHeight="1" spans="1:18">
      <c r="A42" s="110"/>
      <c r="B42" s="110"/>
      <c r="C42" s="110"/>
      <c r="D42" s="110"/>
      <c r="E42" s="110"/>
      <c r="F42" s="110"/>
      <c r="G42" s="234"/>
      <c r="H42" s="234"/>
      <c r="I42" s="110"/>
      <c r="J42" s="110"/>
      <c r="K42" s="110"/>
      <c r="L42" s="110"/>
      <c r="M42" s="110"/>
      <c r="N42" s="110"/>
      <c r="O42" s="234"/>
      <c r="P42" s="234"/>
      <c r="Q42" s="234"/>
      <c r="R42" s="234"/>
    </row>
    <row r="43" ht="10.7" customHeight="1" spans="1:18">
      <c r="A43" s="110"/>
      <c r="B43" s="110"/>
      <c r="C43" s="110"/>
      <c r="D43" s="110"/>
      <c r="E43" s="110"/>
      <c r="F43" s="110"/>
      <c r="G43" s="234"/>
      <c r="H43" s="234"/>
      <c r="I43" s="110"/>
      <c r="J43" s="110"/>
      <c r="K43" s="110"/>
      <c r="L43" s="110"/>
      <c r="M43" s="110"/>
      <c r="N43" s="110"/>
      <c r="O43" s="234"/>
      <c r="P43" s="234"/>
      <c r="Q43" s="234"/>
      <c r="R43" s="234"/>
    </row>
    <row r="44" ht="10.7" customHeight="1" spans="1:18">
      <c r="A44" s="110"/>
      <c r="B44" s="110"/>
      <c r="C44" s="110"/>
      <c r="D44" s="110"/>
      <c r="E44" s="110"/>
      <c r="F44" s="110"/>
      <c r="G44" s="234"/>
      <c r="H44" s="234"/>
      <c r="I44" s="110"/>
      <c r="J44" s="110"/>
      <c r="K44" s="110"/>
      <c r="L44" s="110"/>
      <c r="M44" s="110"/>
      <c r="N44" s="110"/>
      <c r="O44" s="234"/>
      <c r="P44" s="234"/>
      <c r="Q44" s="234"/>
      <c r="R44" s="234"/>
    </row>
    <row r="45" ht="10.7" customHeight="1" spans="1:18">
      <c r="A45" s="110"/>
      <c r="B45" s="110"/>
      <c r="C45" s="110"/>
      <c r="D45" s="110"/>
      <c r="E45" s="110"/>
      <c r="F45" s="110"/>
      <c r="G45" s="234"/>
      <c r="H45" s="234"/>
      <c r="I45" s="110"/>
      <c r="J45" s="110"/>
      <c r="K45" s="110"/>
      <c r="L45" s="110"/>
      <c r="M45" s="110"/>
      <c r="N45" s="110"/>
      <c r="O45" s="234"/>
      <c r="P45" s="234"/>
      <c r="Q45" s="234"/>
      <c r="R45" s="234"/>
    </row>
    <row r="46" ht="10.7" customHeight="1" spans="1:18">
      <c r="A46" s="110"/>
      <c r="B46" s="110"/>
      <c r="C46" s="110"/>
      <c r="D46" s="110"/>
      <c r="E46" s="110"/>
      <c r="F46" s="110"/>
      <c r="G46" s="234"/>
      <c r="H46" s="234"/>
      <c r="I46" s="110"/>
      <c r="J46" s="110"/>
      <c r="K46" s="110"/>
      <c r="L46" s="110"/>
      <c r="M46" s="110"/>
      <c r="N46" s="110"/>
      <c r="O46" s="234"/>
      <c r="P46" s="234"/>
      <c r="Q46" s="234"/>
      <c r="R46" s="234"/>
    </row>
    <row r="47" ht="10.7" customHeight="1" spans="1:18">
      <c r="A47" s="110"/>
      <c r="B47" s="110"/>
      <c r="C47" s="110"/>
      <c r="D47" s="110"/>
      <c r="E47" s="110"/>
      <c r="F47" s="110"/>
      <c r="G47" s="234"/>
      <c r="H47" s="234"/>
      <c r="I47" s="110"/>
      <c r="J47" s="110"/>
      <c r="K47" s="110"/>
      <c r="L47" s="110"/>
      <c r="M47" s="110"/>
      <c r="N47" s="110"/>
      <c r="O47" s="234"/>
      <c r="P47" s="234"/>
      <c r="Q47" s="234"/>
      <c r="R47" s="234"/>
    </row>
    <row r="48" ht="10.7" customHeight="1" spans="1:18">
      <c r="A48" s="110"/>
      <c r="B48" s="110"/>
      <c r="C48" s="110"/>
      <c r="D48" s="110"/>
      <c r="E48" s="110"/>
      <c r="F48" s="110"/>
      <c r="G48" s="234"/>
      <c r="H48" s="234"/>
      <c r="I48" s="110"/>
      <c r="J48" s="110"/>
      <c r="K48" s="110"/>
      <c r="L48" s="110"/>
      <c r="M48" s="110"/>
      <c r="N48" s="110"/>
      <c r="O48" s="234"/>
      <c r="P48" s="234"/>
      <c r="Q48" s="234"/>
      <c r="R48" s="234"/>
    </row>
    <row r="49" ht="10.7" customHeight="1" spans="1:18">
      <c r="A49" s="110"/>
      <c r="B49" s="110"/>
      <c r="C49" s="110"/>
      <c r="D49" s="110"/>
      <c r="E49" s="110"/>
      <c r="F49" s="110"/>
      <c r="G49" s="234"/>
      <c r="H49" s="234"/>
      <c r="I49" s="110"/>
      <c r="J49" s="110"/>
      <c r="K49" s="110"/>
      <c r="L49" s="110"/>
      <c r="M49" s="110"/>
      <c r="N49" s="110"/>
      <c r="O49" s="234"/>
      <c r="P49" s="234"/>
      <c r="Q49" s="234"/>
      <c r="R49" s="234"/>
    </row>
    <row r="50" ht="10.7" customHeight="1" spans="1:18">
      <c r="A50" s="110"/>
      <c r="B50" s="110"/>
      <c r="C50" s="110"/>
      <c r="D50" s="110"/>
      <c r="E50" s="110"/>
      <c r="F50" s="110"/>
      <c r="G50" s="234"/>
      <c r="H50" s="234"/>
      <c r="I50" s="110"/>
      <c r="J50" s="110"/>
      <c r="K50" s="110"/>
      <c r="L50" s="110"/>
      <c r="M50" s="110"/>
      <c r="N50" s="110"/>
      <c r="O50" s="234"/>
      <c r="P50" s="234"/>
      <c r="Q50" s="234"/>
      <c r="R50" s="234"/>
    </row>
    <row r="51" ht="10.7" customHeight="1" spans="1:18">
      <c r="A51" s="110"/>
      <c r="B51" s="110"/>
      <c r="C51" s="110"/>
      <c r="D51" s="110"/>
      <c r="E51" s="110"/>
      <c r="F51" s="110"/>
      <c r="G51" s="234"/>
      <c r="H51" s="234"/>
      <c r="I51" s="110"/>
      <c r="J51" s="110"/>
      <c r="K51" s="110"/>
      <c r="L51" s="110"/>
      <c r="M51" s="110"/>
      <c r="N51" s="110"/>
      <c r="O51" s="234"/>
      <c r="P51" s="234"/>
      <c r="Q51" s="234"/>
      <c r="R51" s="234"/>
    </row>
    <row r="52" ht="10.7" customHeight="1" spans="1:18">
      <c r="A52" s="110"/>
      <c r="B52" s="110"/>
      <c r="C52" s="110"/>
      <c r="D52" s="110"/>
      <c r="E52" s="110"/>
      <c r="F52" s="110"/>
      <c r="G52" s="234"/>
      <c r="H52" s="234"/>
      <c r="I52" s="110"/>
      <c r="J52" s="110"/>
      <c r="K52" s="110"/>
      <c r="L52" s="110"/>
      <c r="M52" s="110"/>
      <c r="N52" s="110"/>
      <c r="O52" s="234"/>
      <c r="P52" s="234"/>
      <c r="Q52" s="234"/>
      <c r="R52" s="234"/>
    </row>
    <row r="53" ht="10.7" customHeight="1" spans="1:18">
      <c r="A53" s="110"/>
      <c r="B53" s="110"/>
      <c r="C53" s="110"/>
      <c r="D53" s="110"/>
      <c r="E53" s="110"/>
      <c r="F53" s="110"/>
      <c r="G53" s="234"/>
      <c r="H53" s="234"/>
      <c r="I53" s="110"/>
      <c r="J53" s="110"/>
      <c r="K53" s="110"/>
      <c r="L53" s="110"/>
      <c r="M53" s="110"/>
      <c r="N53" s="110"/>
      <c r="O53" s="234"/>
      <c r="P53" s="234"/>
      <c r="Q53" s="234"/>
      <c r="R53" s="234"/>
    </row>
    <row r="54" ht="10.7" customHeight="1" spans="1:18">
      <c r="A54" s="110"/>
      <c r="B54" s="110"/>
      <c r="C54" s="110"/>
      <c r="D54" s="110"/>
      <c r="E54" s="110"/>
      <c r="F54" s="110"/>
      <c r="G54" s="234"/>
      <c r="H54" s="234"/>
      <c r="I54" s="110"/>
      <c r="J54" s="110"/>
      <c r="K54" s="110"/>
      <c r="L54" s="110"/>
      <c r="M54" s="110"/>
      <c r="N54" s="110"/>
      <c r="O54" s="234"/>
      <c r="P54" s="234"/>
      <c r="Q54" s="234"/>
      <c r="R54" s="234"/>
    </row>
    <row r="55" ht="10.7" customHeight="1" spans="1:18">
      <c r="A55" s="110"/>
      <c r="B55" s="110"/>
      <c r="C55" s="110"/>
      <c r="D55" s="110"/>
      <c r="E55" s="110"/>
      <c r="F55" s="110"/>
      <c r="G55" s="234"/>
      <c r="H55" s="234"/>
      <c r="I55" s="110"/>
      <c r="J55" s="110"/>
      <c r="K55" s="110"/>
      <c r="L55" s="110"/>
      <c r="M55" s="110"/>
      <c r="N55" s="110"/>
      <c r="O55" s="234"/>
      <c r="P55" s="234"/>
      <c r="Q55" s="234"/>
      <c r="R55" s="234"/>
    </row>
    <row r="56" ht="10.7" customHeight="1" spans="1:18">
      <c r="A56" s="110"/>
      <c r="B56" s="110"/>
      <c r="C56" s="110"/>
      <c r="D56" s="110"/>
      <c r="E56" s="110"/>
      <c r="F56" s="110"/>
      <c r="G56" s="234"/>
      <c r="H56" s="234"/>
      <c r="I56" s="110"/>
      <c r="J56" s="110"/>
      <c r="K56" s="110"/>
      <c r="L56" s="110"/>
      <c r="M56" s="110"/>
      <c r="N56" s="110"/>
      <c r="O56" s="234"/>
      <c r="P56" s="234"/>
      <c r="Q56" s="234"/>
      <c r="R56" s="234"/>
    </row>
    <row r="57" ht="10.7" customHeight="1" spans="1:18">
      <c r="A57" s="110"/>
      <c r="B57" s="110"/>
      <c r="C57" s="110"/>
      <c r="D57" s="110"/>
      <c r="E57" s="110"/>
      <c r="F57" s="110"/>
      <c r="G57" s="234"/>
      <c r="H57" s="234"/>
      <c r="I57" s="110"/>
      <c r="J57" s="110"/>
      <c r="K57" s="110"/>
      <c r="L57" s="110"/>
      <c r="M57" s="110"/>
      <c r="N57" s="110"/>
      <c r="O57" s="234"/>
      <c r="P57" s="234"/>
      <c r="Q57" s="234"/>
      <c r="R57" s="234"/>
    </row>
    <row r="58" ht="10.7" customHeight="1" spans="1:18">
      <c r="A58" s="110"/>
      <c r="B58" s="110"/>
      <c r="C58" s="110"/>
      <c r="D58" s="110"/>
      <c r="E58" s="110"/>
      <c r="F58" s="110"/>
      <c r="G58" s="234"/>
      <c r="H58" s="234"/>
      <c r="I58" s="110"/>
      <c r="J58" s="110"/>
      <c r="K58" s="110"/>
      <c r="L58" s="110"/>
      <c r="M58" s="110"/>
      <c r="N58" s="110"/>
      <c r="O58" s="234"/>
      <c r="P58" s="234"/>
      <c r="Q58" s="234"/>
      <c r="R58" s="234"/>
    </row>
    <row r="59" ht="10.7" customHeight="1" spans="1:18">
      <c r="A59" s="110"/>
      <c r="B59" s="110"/>
      <c r="C59" s="110"/>
      <c r="D59" s="110"/>
      <c r="E59" s="110"/>
      <c r="F59" s="110"/>
      <c r="G59" s="234"/>
      <c r="H59" s="234"/>
      <c r="I59" s="110"/>
      <c r="J59" s="110"/>
      <c r="K59" s="110"/>
      <c r="L59" s="110"/>
      <c r="M59" s="110"/>
      <c r="N59" s="110"/>
      <c r="O59" s="234"/>
      <c r="P59" s="234"/>
      <c r="Q59" s="234"/>
      <c r="R59" s="234"/>
    </row>
    <row r="60" ht="10.7" customHeight="1" spans="1:18">
      <c r="A60" s="110"/>
      <c r="B60" s="110"/>
      <c r="C60" s="110"/>
      <c r="D60" s="110"/>
      <c r="E60" s="110"/>
      <c r="F60" s="110"/>
      <c r="G60" s="234"/>
      <c r="H60" s="234"/>
      <c r="I60" s="110"/>
      <c r="J60" s="110"/>
      <c r="K60" s="110"/>
      <c r="L60" s="110"/>
      <c r="M60" s="110"/>
      <c r="N60" s="110"/>
      <c r="O60" s="234"/>
      <c r="P60" s="234"/>
      <c r="Q60" s="234"/>
      <c r="R60" s="234"/>
    </row>
    <row r="61" ht="10.7" customHeight="1" spans="1:18">
      <c r="A61" s="110"/>
      <c r="B61" s="110"/>
      <c r="C61" s="110"/>
      <c r="D61" s="110"/>
      <c r="E61" s="110"/>
      <c r="F61" s="110"/>
      <c r="G61" s="234"/>
      <c r="H61" s="234"/>
      <c r="I61" s="110"/>
      <c r="J61" s="110"/>
      <c r="K61" s="110"/>
      <c r="L61" s="110"/>
      <c r="M61" s="110"/>
      <c r="N61" s="110"/>
      <c r="O61" s="234"/>
      <c r="P61" s="234"/>
      <c r="Q61" s="234"/>
      <c r="R61" s="234"/>
    </row>
    <row r="62" ht="10.7" customHeight="1" spans="1:18">
      <c r="A62" s="110"/>
      <c r="B62" s="110"/>
      <c r="C62" s="110"/>
      <c r="D62" s="110"/>
      <c r="E62" s="110"/>
      <c r="F62" s="110"/>
      <c r="G62" s="234"/>
      <c r="H62" s="234"/>
      <c r="I62" s="110"/>
      <c r="J62" s="110"/>
      <c r="K62" s="110"/>
      <c r="L62" s="110"/>
      <c r="M62" s="110"/>
      <c r="N62" s="110"/>
      <c r="O62" s="234"/>
      <c r="P62" s="234"/>
      <c r="Q62" s="234"/>
      <c r="R62" s="234"/>
    </row>
    <row r="63" ht="10.7" customHeight="1" spans="1:18">
      <c r="A63" s="110"/>
      <c r="B63" s="110"/>
      <c r="C63" s="110"/>
      <c r="D63" s="110"/>
      <c r="E63" s="110"/>
      <c r="F63" s="110"/>
      <c r="G63" s="234"/>
      <c r="H63" s="234"/>
      <c r="I63" s="110"/>
      <c r="J63" s="110"/>
      <c r="K63" s="110"/>
      <c r="L63" s="110"/>
      <c r="M63" s="110"/>
      <c r="N63" s="110"/>
      <c r="O63" s="234"/>
      <c r="P63" s="234"/>
      <c r="Q63" s="234"/>
      <c r="R63" s="234"/>
    </row>
    <row r="64" ht="10.7" customHeight="1" spans="1:18">
      <c r="A64" s="110"/>
      <c r="B64" s="110"/>
      <c r="C64" s="110"/>
      <c r="D64" s="110"/>
      <c r="E64" s="110"/>
      <c r="F64" s="110"/>
      <c r="G64" s="234"/>
      <c r="H64" s="234"/>
      <c r="I64" s="110"/>
      <c r="J64" s="110"/>
      <c r="K64" s="110"/>
      <c r="L64" s="110"/>
      <c r="M64" s="110"/>
      <c r="N64" s="110"/>
      <c r="O64" s="234"/>
      <c r="P64" s="234"/>
      <c r="Q64" s="234"/>
      <c r="R64" s="234"/>
    </row>
    <row r="65" ht="10.7" customHeight="1" spans="1:18">
      <c r="A65" s="110"/>
      <c r="B65" s="110"/>
      <c r="C65" s="110"/>
      <c r="D65" s="110"/>
      <c r="E65" s="110"/>
      <c r="F65" s="110"/>
      <c r="G65" s="234"/>
      <c r="H65" s="234"/>
      <c r="I65" s="110"/>
      <c r="J65" s="110"/>
      <c r="K65" s="110"/>
      <c r="L65" s="110"/>
      <c r="M65" s="110"/>
      <c r="N65" s="110"/>
      <c r="O65" s="234"/>
      <c r="P65" s="234"/>
      <c r="Q65" s="234"/>
      <c r="R65" s="234"/>
    </row>
    <row r="66" ht="10.7" customHeight="1" spans="1:18">
      <c r="A66" s="110"/>
      <c r="B66" s="110"/>
      <c r="C66" s="110"/>
      <c r="D66" s="110"/>
      <c r="E66" s="110"/>
      <c r="F66" s="110"/>
      <c r="G66" s="234"/>
      <c r="H66" s="234"/>
      <c r="I66" s="110"/>
      <c r="J66" s="110"/>
      <c r="K66" s="110"/>
      <c r="L66" s="110"/>
      <c r="M66" s="110"/>
      <c r="N66" s="110"/>
      <c r="O66" s="234"/>
      <c r="P66" s="234"/>
      <c r="Q66" s="234"/>
      <c r="R66" s="234"/>
    </row>
    <row r="67" ht="10.7" customHeight="1" spans="1:18">
      <c r="A67" s="110"/>
      <c r="B67" s="110"/>
      <c r="C67" s="110"/>
      <c r="D67" s="110"/>
      <c r="E67" s="110"/>
      <c r="F67" s="110"/>
      <c r="G67" s="234"/>
      <c r="H67" s="234"/>
      <c r="I67" s="110"/>
      <c r="J67" s="110"/>
      <c r="K67" s="110"/>
      <c r="L67" s="110"/>
      <c r="M67" s="110"/>
      <c r="N67" s="110"/>
      <c r="O67" s="234"/>
      <c r="P67" s="234"/>
      <c r="Q67" s="234"/>
      <c r="R67" s="234"/>
    </row>
    <row r="68" ht="10.7" customHeight="1" spans="1:18">
      <c r="A68" s="110"/>
      <c r="B68" s="110"/>
      <c r="C68" s="110"/>
      <c r="D68" s="110"/>
      <c r="E68" s="110"/>
      <c r="F68" s="110"/>
      <c r="G68" s="234"/>
      <c r="H68" s="234"/>
      <c r="I68" s="110"/>
      <c r="J68" s="110"/>
      <c r="K68" s="110"/>
      <c r="L68" s="110"/>
      <c r="M68" s="110"/>
      <c r="N68" s="110"/>
      <c r="O68" s="234"/>
      <c r="P68" s="234"/>
      <c r="Q68" s="234"/>
      <c r="R68" s="234"/>
    </row>
    <row r="69" ht="10.7" customHeight="1" spans="1:18">
      <c r="A69" s="110"/>
      <c r="B69" s="110"/>
      <c r="C69" s="110"/>
      <c r="D69" s="110"/>
      <c r="E69" s="110"/>
      <c r="F69" s="110"/>
      <c r="G69" s="234"/>
      <c r="H69" s="234"/>
      <c r="I69" s="110"/>
      <c r="J69" s="110"/>
      <c r="K69" s="110"/>
      <c r="L69" s="110"/>
      <c r="M69" s="110"/>
      <c r="N69" s="110"/>
      <c r="O69" s="234"/>
      <c r="P69" s="234"/>
      <c r="Q69" s="234"/>
      <c r="R69" s="234"/>
    </row>
    <row r="70" ht="10.7" customHeight="1" spans="1:18">
      <c r="A70" s="110"/>
      <c r="B70" s="110"/>
      <c r="C70" s="110"/>
      <c r="D70" s="110"/>
      <c r="E70" s="110"/>
      <c r="F70" s="110"/>
      <c r="G70" s="234"/>
      <c r="H70" s="234"/>
      <c r="I70" s="110"/>
      <c r="J70" s="110"/>
      <c r="K70" s="110"/>
      <c r="L70" s="110"/>
      <c r="M70" s="110"/>
      <c r="N70" s="110"/>
      <c r="O70" s="234"/>
      <c r="P70" s="234"/>
      <c r="Q70" s="234"/>
      <c r="R70" s="234"/>
    </row>
    <row r="71" ht="10.7" customHeight="1" spans="1:18">
      <c r="A71" s="110"/>
      <c r="B71" s="110"/>
      <c r="C71" s="110"/>
      <c r="D71" s="110"/>
      <c r="E71" s="110"/>
      <c r="F71" s="110"/>
      <c r="G71" s="234"/>
      <c r="H71" s="234"/>
      <c r="I71" s="110"/>
      <c r="J71" s="110"/>
      <c r="K71" s="110"/>
      <c r="L71" s="110"/>
      <c r="M71" s="110"/>
      <c r="N71" s="110"/>
      <c r="O71" s="234"/>
      <c r="P71" s="234"/>
      <c r="Q71" s="234"/>
      <c r="R71" s="234"/>
    </row>
    <row r="72" ht="10.7" customHeight="1" spans="1:18">
      <c r="A72" s="110"/>
      <c r="B72" s="110"/>
      <c r="C72" s="110"/>
      <c r="D72" s="110"/>
      <c r="E72" s="110"/>
      <c r="F72" s="110"/>
      <c r="G72" s="234"/>
      <c r="H72" s="234"/>
      <c r="I72" s="110"/>
      <c r="J72" s="110"/>
      <c r="K72" s="110"/>
      <c r="L72" s="110"/>
      <c r="M72" s="110"/>
      <c r="N72" s="110"/>
      <c r="O72" s="234"/>
      <c r="P72" s="234"/>
      <c r="Q72" s="234"/>
      <c r="R72" s="234"/>
    </row>
    <row r="73" ht="10.7" customHeight="1" spans="1:18">
      <c r="A73" s="110"/>
      <c r="B73" s="110"/>
      <c r="C73" s="110"/>
      <c r="D73" s="110"/>
      <c r="E73" s="110"/>
      <c r="F73" s="110"/>
      <c r="G73" s="234"/>
      <c r="H73" s="234"/>
      <c r="I73" s="110"/>
      <c r="J73" s="110"/>
      <c r="K73" s="110"/>
      <c r="L73" s="110"/>
      <c r="M73" s="110"/>
      <c r="N73" s="110"/>
      <c r="O73" s="234"/>
      <c r="P73" s="234"/>
      <c r="Q73" s="234"/>
      <c r="R73" s="234"/>
    </row>
    <row r="74" ht="10.7" customHeight="1" spans="1:18">
      <c r="A74" s="110"/>
      <c r="B74" s="110"/>
      <c r="C74" s="110"/>
      <c r="D74" s="110"/>
      <c r="E74" s="110"/>
      <c r="F74" s="110"/>
      <c r="G74" s="234"/>
      <c r="H74" s="234"/>
      <c r="I74" s="110"/>
      <c r="J74" s="110"/>
      <c r="K74" s="110"/>
      <c r="L74" s="110"/>
      <c r="M74" s="110"/>
      <c r="N74" s="110"/>
      <c r="O74" s="234"/>
      <c r="P74" s="234"/>
      <c r="Q74" s="234"/>
      <c r="R74" s="234"/>
    </row>
    <row r="75" ht="10.7" customHeight="1" spans="1:18">
      <c r="A75" s="110"/>
      <c r="B75" s="110"/>
      <c r="C75" s="110"/>
      <c r="D75" s="110"/>
      <c r="E75" s="110"/>
      <c r="F75" s="110"/>
      <c r="G75" s="234"/>
      <c r="H75" s="234"/>
      <c r="I75" s="110"/>
      <c r="J75" s="110"/>
      <c r="K75" s="110"/>
      <c r="L75" s="110"/>
      <c r="M75" s="110"/>
      <c r="N75" s="110"/>
      <c r="O75" s="234"/>
      <c r="P75" s="234"/>
      <c r="Q75" s="234"/>
      <c r="R75" s="234"/>
    </row>
    <row r="76" ht="10.7" customHeight="1" spans="1:18">
      <c r="A76" s="110"/>
      <c r="B76" s="110"/>
      <c r="C76" s="110"/>
      <c r="D76" s="110"/>
      <c r="E76" s="110"/>
      <c r="F76" s="110"/>
      <c r="G76" s="234"/>
      <c r="H76" s="234"/>
      <c r="I76" s="110"/>
      <c r="J76" s="110"/>
      <c r="K76" s="110"/>
      <c r="L76" s="110"/>
      <c r="M76" s="110"/>
      <c r="N76" s="110"/>
      <c r="O76" s="234"/>
      <c r="P76" s="234"/>
      <c r="Q76" s="234"/>
      <c r="R76" s="234"/>
    </row>
    <row r="77" ht="10.7" customHeight="1" spans="1:18">
      <c r="A77" s="110"/>
      <c r="B77" s="110"/>
      <c r="C77" s="110"/>
      <c r="D77" s="110"/>
      <c r="E77" s="110"/>
      <c r="F77" s="110"/>
      <c r="G77" s="234"/>
      <c r="H77" s="234"/>
      <c r="I77" s="110"/>
      <c r="J77" s="110"/>
      <c r="K77" s="110"/>
      <c r="L77" s="110"/>
      <c r="M77" s="110"/>
      <c r="N77" s="110"/>
      <c r="O77" s="234"/>
      <c r="P77" s="234"/>
      <c r="Q77" s="234"/>
      <c r="R77" s="234"/>
    </row>
    <row r="78" ht="10.7" customHeight="1" spans="1:18">
      <c r="A78" s="110"/>
      <c r="B78" s="110"/>
      <c r="C78" s="110"/>
      <c r="D78" s="110"/>
      <c r="E78" s="110"/>
      <c r="F78" s="110"/>
      <c r="G78" s="234"/>
      <c r="H78" s="234"/>
      <c r="I78" s="110"/>
      <c r="J78" s="110"/>
      <c r="K78" s="110"/>
      <c r="L78" s="110"/>
      <c r="M78" s="110"/>
      <c r="N78" s="110"/>
      <c r="O78" s="234"/>
      <c r="P78" s="234"/>
      <c r="Q78" s="234"/>
      <c r="R78" s="234"/>
    </row>
    <row r="79" ht="10.7" customHeight="1" spans="1:18">
      <c r="A79" s="192" t="s">
        <v>270</v>
      </c>
      <c r="B79" s="192" t="s">
        <v>274</v>
      </c>
      <c r="C79" s="193" t="s">
        <v>275</v>
      </c>
      <c r="D79" s="194" t="s">
        <v>276</v>
      </c>
      <c r="E79" s="192" t="s">
        <v>277</v>
      </c>
      <c r="F79" s="192" t="s">
        <v>278</v>
      </c>
      <c r="G79" s="234" t="s">
        <v>343</v>
      </c>
      <c r="H79" s="234"/>
      <c r="I79" s="110"/>
      <c r="J79" s="110"/>
      <c r="K79" s="110"/>
      <c r="L79" s="110"/>
      <c r="M79" s="110"/>
      <c r="N79" s="110"/>
      <c r="O79" s="234"/>
      <c r="P79" s="234"/>
      <c r="Q79" s="234"/>
      <c r="R79" s="234"/>
    </row>
    <row r="80" ht="11.9" customHeight="1" spans="1:18">
      <c r="A80" s="2" t="s">
        <v>281</v>
      </c>
      <c r="B80" s="2" t="s">
        <v>282</v>
      </c>
      <c r="C80" s="196">
        <v>0.497508</v>
      </c>
      <c r="D80" s="197">
        <v>13984</v>
      </c>
      <c r="E80" s="13" t="s">
        <v>283</v>
      </c>
      <c r="F80" s="198">
        <v>0.3471</v>
      </c>
      <c r="G80" s="234"/>
      <c r="H80" s="234"/>
      <c r="I80" s="110"/>
      <c r="J80" s="110"/>
      <c r="K80" s="110"/>
      <c r="L80" s="110"/>
      <c r="M80" s="110"/>
      <c r="N80" s="110"/>
      <c r="O80" s="234"/>
      <c r="P80" s="234"/>
      <c r="Q80" s="234"/>
      <c r="R80" s="234"/>
    </row>
    <row r="81" ht="11.9" customHeight="1" spans="1:18">
      <c r="A81" s="2" t="s">
        <v>286</v>
      </c>
      <c r="B81" s="2" t="s">
        <v>287</v>
      </c>
      <c r="C81" s="196">
        <v>0.294441</v>
      </c>
      <c r="D81" s="197">
        <v>8276</v>
      </c>
      <c r="E81" s="13" t="s">
        <v>283</v>
      </c>
      <c r="F81" s="198">
        <v>0.41862</v>
      </c>
      <c r="G81" s="234"/>
      <c r="H81" s="234"/>
      <c r="I81" s="110"/>
      <c r="J81" s="110"/>
      <c r="K81" s="110"/>
      <c r="L81" s="110"/>
      <c r="M81" s="110"/>
      <c r="N81" s="110"/>
      <c r="O81" s="234"/>
      <c r="P81" s="234"/>
      <c r="Q81" s="234"/>
      <c r="R81" s="234"/>
    </row>
    <row r="82" ht="11.9" customHeight="1" spans="1:18">
      <c r="A82" s="2" t="s">
        <v>288</v>
      </c>
      <c r="B82" s="2" t="s">
        <v>289</v>
      </c>
      <c r="C82" s="196">
        <v>0.059295</v>
      </c>
      <c r="D82" s="197">
        <v>1667</v>
      </c>
      <c r="E82" s="13"/>
      <c r="F82" s="198">
        <v>0.61722</v>
      </c>
      <c r="G82" s="234"/>
      <c r="H82" s="234"/>
      <c r="I82" s="110"/>
      <c r="J82" s="110"/>
      <c r="K82" s="110"/>
      <c r="L82" s="110"/>
      <c r="M82" s="110"/>
      <c r="N82" s="110"/>
      <c r="O82" s="234"/>
      <c r="P82" s="234"/>
      <c r="Q82" s="234"/>
      <c r="R82" s="234"/>
    </row>
    <row r="83" ht="11.9" customHeight="1" spans="1:18">
      <c r="A83" s="2" t="s">
        <v>290</v>
      </c>
      <c r="B83" s="2" t="s">
        <v>291</v>
      </c>
      <c r="C83" s="196">
        <v>0.047246</v>
      </c>
      <c r="D83" s="197">
        <v>1328</v>
      </c>
      <c r="E83" s="13"/>
      <c r="F83" s="198">
        <v>0.80955</v>
      </c>
      <c r="G83" s="234"/>
      <c r="H83" s="234"/>
      <c r="I83" s="110"/>
      <c r="J83" s="110"/>
      <c r="K83" s="110"/>
      <c r="L83" s="110"/>
      <c r="M83" s="110"/>
      <c r="N83" s="110"/>
      <c r="O83" s="234"/>
      <c r="P83" s="234"/>
      <c r="Q83" s="234"/>
      <c r="R83" s="234"/>
    </row>
    <row r="84" ht="11.9" customHeight="1" spans="1:18">
      <c r="A84" s="2" t="s">
        <v>292</v>
      </c>
      <c r="B84" s="2" t="s">
        <v>293</v>
      </c>
      <c r="C84" s="196">
        <v>0.02472</v>
      </c>
      <c r="D84" s="197">
        <v>695</v>
      </c>
      <c r="E84" s="13"/>
      <c r="F84" s="198">
        <v>0.46301</v>
      </c>
      <c r="G84" s="234"/>
      <c r="H84" s="234"/>
      <c r="I84" s="110"/>
      <c r="J84" s="110"/>
      <c r="K84" s="110"/>
      <c r="L84" s="110"/>
      <c r="M84" s="110"/>
      <c r="N84" s="110"/>
      <c r="O84" s="234"/>
      <c r="P84" s="234"/>
      <c r="Q84" s="234"/>
      <c r="R84" s="234"/>
    </row>
    <row r="85" ht="11.9" customHeight="1" spans="1:18">
      <c r="A85" s="2" t="s">
        <v>297</v>
      </c>
      <c r="B85" s="2" t="s">
        <v>298</v>
      </c>
      <c r="C85" s="196">
        <v>0.019301</v>
      </c>
      <c r="D85" s="197">
        <v>543</v>
      </c>
      <c r="E85" s="13"/>
      <c r="F85" s="198">
        <v>0.06106</v>
      </c>
      <c r="G85" s="234"/>
      <c r="H85" s="234"/>
      <c r="I85" s="110"/>
      <c r="J85" s="110"/>
      <c r="K85" s="110"/>
      <c r="L85" s="110"/>
      <c r="M85" s="110"/>
      <c r="N85" s="110"/>
      <c r="O85" s="234"/>
      <c r="P85" s="234"/>
      <c r="Q85" s="234"/>
      <c r="R85" s="234"/>
    </row>
    <row r="86" ht="11.9" customHeight="1" spans="1:18">
      <c r="A86" s="2" t="s">
        <v>301</v>
      </c>
      <c r="B86" s="2" t="s">
        <v>302</v>
      </c>
      <c r="C86" s="196">
        <v>0.017954</v>
      </c>
      <c r="D86" s="197">
        <v>505</v>
      </c>
      <c r="E86" s="13" t="s">
        <v>303</v>
      </c>
      <c r="F86" s="198">
        <v>0.50632</v>
      </c>
      <c r="G86" s="234"/>
      <c r="H86" s="234"/>
      <c r="I86" s="110"/>
      <c r="J86" s="110"/>
      <c r="K86" s="110"/>
      <c r="L86" s="110"/>
      <c r="M86" s="110"/>
      <c r="N86" s="110"/>
      <c r="O86" s="234"/>
      <c r="P86" s="234"/>
      <c r="Q86" s="234"/>
      <c r="R86" s="234"/>
    </row>
    <row r="87" ht="11.9" customHeight="1" spans="1:18">
      <c r="A87" s="2" t="s">
        <v>306</v>
      </c>
      <c r="B87" s="2" t="s">
        <v>307</v>
      </c>
      <c r="C87" s="196">
        <v>0.008428</v>
      </c>
      <c r="D87" s="197">
        <v>237</v>
      </c>
      <c r="E87" s="13"/>
      <c r="F87" s="198">
        <v>0.28778</v>
      </c>
      <c r="G87" s="234"/>
      <c r="H87" s="234"/>
      <c r="I87" s="110"/>
      <c r="J87" s="110"/>
      <c r="K87" s="110"/>
      <c r="L87" s="110"/>
      <c r="M87" s="110"/>
      <c r="N87" s="110"/>
      <c r="O87" s="234"/>
      <c r="P87" s="234"/>
      <c r="Q87" s="234"/>
      <c r="R87" s="234"/>
    </row>
    <row r="88" ht="11.9" customHeight="1" spans="1:18">
      <c r="A88" s="2" t="s">
        <v>310</v>
      </c>
      <c r="B88" s="2" t="s">
        <v>311</v>
      </c>
      <c r="C88" s="196">
        <v>0.007424</v>
      </c>
      <c r="D88" s="197">
        <v>209</v>
      </c>
      <c r="E88" s="13"/>
      <c r="F88" s="13"/>
      <c r="G88" s="234"/>
      <c r="H88" s="234"/>
      <c r="I88" s="110"/>
      <c r="J88" s="110"/>
      <c r="K88" s="110"/>
      <c r="L88" s="110"/>
      <c r="M88" s="110"/>
      <c r="N88" s="110"/>
      <c r="O88" s="234"/>
      <c r="P88" s="234"/>
      <c r="Q88" s="234"/>
      <c r="R88" s="234"/>
    </row>
    <row r="89" ht="11.9" customHeight="1" spans="1:18">
      <c r="A89" s="2" t="s">
        <v>313</v>
      </c>
      <c r="B89" s="2" t="s">
        <v>314</v>
      </c>
      <c r="C89" s="196">
        <v>0.002209</v>
      </c>
      <c r="D89" s="197">
        <v>62</v>
      </c>
      <c r="E89" s="13"/>
      <c r="F89" s="13"/>
      <c r="G89" s="234"/>
      <c r="H89" s="234"/>
      <c r="I89" s="110"/>
      <c r="J89" s="110"/>
      <c r="K89" s="110"/>
      <c r="L89" s="110"/>
      <c r="M89" s="110"/>
      <c r="N89" s="110"/>
      <c r="O89" s="234"/>
      <c r="P89" s="234"/>
      <c r="Q89" s="234"/>
      <c r="R89" s="234"/>
    </row>
    <row r="90" ht="11.9" customHeight="1" spans="1:18">
      <c r="A90" s="2" t="s">
        <v>317</v>
      </c>
      <c r="B90" s="2" t="s">
        <v>318</v>
      </c>
      <c r="C90" s="196">
        <v>0.001316</v>
      </c>
      <c r="D90" s="197">
        <v>37</v>
      </c>
      <c r="E90" s="13"/>
      <c r="F90" s="13"/>
      <c r="G90" s="234"/>
      <c r="H90" s="234"/>
      <c r="I90" s="110"/>
      <c r="J90" s="110"/>
      <c r="K90" s="110"/>
      <c r="L90" s="110"/>
      <c r="M90" s="110"/>
      <c r="N90" s="110"/>
      <c r="O90" s="234"/>
      <c r="P90" s="234"/>
      <c r="Q90" s="234"/>
      <c r="R90" s="234"/>
    </row>
    <row r="91" spans="1:18">
      <c r="A91" s="2"/>
      <c r="B91" s="2"/>
      <c r="C91" s="196"/>
      <c r="D91" s="197"/>
      <c r="E91" s="13"/>
      <c r="F91" s="13"/>
      <c r="G91" s="234"/>
      <c r="H91" s="234"/>
      <c r="I91" s="110"/>
      <c r="J91" s="110"/>
      <c r="K91" s="110"/>
      <c r="L91" s="110"/>
      <c r="M91" s="110"/>
      <c r="N91" s="110"/>
      <c r="O91" s="234"/>
      <c r="P91" s="234"/>
      <c r="Q91" s="234"/>
      <c r="R91" s="234"/>
    </row>
    <row r="92" spans="1:18">
      <c r="A92" s="2"/>
      <c r="B92" s="2"/>
      <c r="C92" s="196"/>
      <c r="D92" s="197"/>
      <c r="E92" s="13"/>
      <c r="F92" s="13"/>
      <c r="G92" s="234"/>
      <c r="H92" s="234"/>
      <c r="I92" s="110"/>
      <c r="J92" s="110"/>
      <c r="K92" s="110"/>
      <c r="L92" s="110"/>
      <c r="M92" s="110"/>
      <c r="N92" s="110"/>
      <c r="O92" s="234"/>
      <c r="P92" s="234"/>
      <c r="Q92" s="234"/>
      <c r="R92" s="234"/>
    </row>
    <row r="93" spans="1:18">
      <c r="A93" s="2"/>
      <c r="B93" s="2"/>
      <c r="C93" s="196"/>
      <c r="D93" s="197"/>
      <c r="E93" s="13"/>
      <c r="F93" s="13"/>
      <c r="G93" s="234"/>
      <c r="H93" s="234"/>
      <c r="I93" s="110"/>
      <c r="J93" s="110"/>
      <c r="K93" s="110"/>
      <c r="L93" s="110"/>
      <c r="M93" s="110"/>
      <c r="N93" s="110"/>
      <c r="O93" s="234"/>
      <c r="P93" s="234"/>
      <c r="Q93" s="234"/>
      <c r="R93" s="234"/>
    </row>
    <row r="94" spans="1:18">
      <c r="A94" s="2"/>
      <c r="B94" s="2"/>
      <c r="C94" s="196"/>
      <c r="D94" s="197"/>
      <c r="E94" s="13"/>
      <c r="F94" s="13"/>
      <c r="G94" s="234"/>
      <c r="H94" s="234"/>
      <c r="I94" s="110"/>
      <c r="J94" s="110"/>
      <c r="K94" s="110"/>
      <c r="L94" s="110"/>
      <c r="M94" s="110"/>
      <c r="N94" s="110"/>
      <c r="O94" s="234"/>
      <c r="P94" s="234"/>
      <c r="Q94" s="234"/>
      <c r="R94" s="234"/>
    </row>
    <row r="95" spans="1:18">
      <c r="A95" s="2"/>
      <c r="B95" s="2"/>
      <c r="C95" s="196"/>
      <c r="D95" s="197"/>
      <c r="E95" s="13"/>
      <c r="F95" s="13"/>
      <c r="G95" s="234"/>
      <c r="H95" s="234"/>
      <c r="I95" s="110"/>
      <c r="J95" s="110"/>
      <c r="K95" s="110"/>
      <c r="L95" s="110"/>
      <c r="M95" s="110"/>
      <c r="N95" s="110"/>
      <c r="O95" s="234"/>
      <c r="P95" s="234"/>
      <c r="Q95" s="234"/>
      <c r="R95" s="234"/>
    </row>
    <row r="96" spans="1:18">
      <c r="A96" s="2"/>
      <c r="B96" s="2"/>
      <c r="C96" s="196"/>
      <c r="D96" s="197"/>
      <c r="E96" s="13"/>
      <c r="F96" s="13"/>
      <c r="G96" s="234"/>
      <c r="H96" s="234"/>
      <c r="I96" s="110"/>
      <c r="J96" s="110"/>
      <c r="K96" s="110"/>
      <c r="L96" s="110"/>
      <c r="M96" s="110"/>
      <c r="N96" s="110"/>
      <c r="O96" s="234"/>
      <c r="P96" s="234"/>
      <c r="Q96" s="234"/>
      <c r="R96" s="234"/>
    </row>
    <row r="97" spans="1:18">
      <c r="A97" s="2"/>
      <c r="B97" s="2"/>
      <c r="C97" s="196"/>
      <c r="D97" s="197"/>
      <c r="E97" s="13"/>
      <c r="F97" s="13"/>
      <c r="G97" s="234"/>
      <c r="H97" s="234"/>
      <c r="I97" s="110"/>
      <c r="J97" s="110"/>
      <c r="K97" s="110"/>
      <c r="L97" s="110"/>
      <c r="M97" s="110"/>
      <c r="N97" s="110"/>
      <c r="O97" s="234"/>
      <c r="P97" s="234"/>
      <c r="Q97" s="234"/>
      <c r="R97" s="234"/>
    </row>
    <row r="98" spans="1:18">
      <c r="A98" s="2"/>
      <c r="B98" s="2"/>
      <c r="C98" s="196"/>
      <c r="D98" s="197"/>
      <c r="E98" s="13"/>
      <c r="F98" s="13"/>
      <c r="G98" s="234"/>
      <c r="H98" s="234"/>
      <c r="I98" s="110"/>
      <c r="J98" s="110"/>
      <c r="K98" s="110"/>
      <c r="L98" s="110"/>
      <c r="M98" s="110"/>
      <c r="N98" s="110"/>
      <c r="O98" s="234"/>
      <c r="P98" s="234"/>
      <c r="Q98" s="234"/>
      <c r="R98" s="234"/>
    </row>
    <row r="99" spans="1:18">
      <c r="A99" s="2"/>
      <c r="B99" s="2"/>
      <c r="C99" s="196"/>
      <c r="D99" s="197"/>
      <c r="E99" s="13"/>
      <c r="F99" s="13"/>
      <c r="G99" s="234"/>
      <c r="H99" s="234"/>
      <c r="I99" s="110"/>
      <c r="J99" s="110"/>
      <c r="K99" s="110"/>
      <c r="L99" s="110"/>
      <c r="M99" s="110"/>
      <c r="N99" s="110"/>
      <c r="O99" s="234"/>
      <c r="P99" s="234"/>
      <c r="Q99" s="234"/>
      <c r="R99" s="234"/>
    </row>
    <row r="100" spans="1:18">
      <c r="A100" s="2"/>
      <c r="B100" s="2"/>
      <c r="C100" s="196"/>
      <c r="D100" s="197"/>
      <c r="E100" s="13"/>
      <c r="F100" s="13"/>
      <c r="G100" s="234"/>
      <c r="H100" s="234"/>
      <c r="I100" s="110"/>
      <c r="J100" s="110"/>
      <c r="K100" s="110"/>
      <c r="L100" s="110"/>
      <c r="M100" s="110"/>
      <c r="N100" s="110"/>
      <c r="O100" s="234"/>
      <c r="P100" s="234"/>
      <c r="Q100" s="234"/>
      <c r="R100" s="234"/>
    </row>
    <row r="101" spans="1:18">
      <c r="A101" s="2"/>
      <c r="B101" s="2"/>
      <c r="C101" s="196"/>
      <c r="D101" s="197"/>
      <c r="E101" s="13"/>
      <c r="F101" s="13"/>
      <c r="G101" s="234"/>
      <c r="H101" s="234"/>
      <c r="I101" s="110"/>
      <c r="J101" s="110"/>
      <c r="K101" s="110"/>
      <c r="L101" s="110"/>
      <c r="M101" s="110"/>
      <c r="N101" s="110"/>
      <c r="O101" s="234"/>
      <c r="P101" s="234"/>
      <c r="Q101" s="234"/>
      <c r="R101" s="234"/>
    </row>
    <row r="102" spans="1:18">
      <c r="A102" s="2"/>
      <c r="B102" s="2"/>
      <c r="C102" s="196"/>
      <c r="D102" s="197"/>
      <c r="E102" s="13"/>
      <c r="F102" s="13"/>
      <c r="G102" s="234"/>
      <c r="H102" s="234"/>
      <c r="I102" s="110"/>
      <c r="J102" s="110"/>
      <c r="K102" s="110"/>
      <c r="L102" s="110"/>
      <c r="M102" s="110"/>
      <c r="N102" s="110"/>
      <c r="O102" s="234"/>
      <c r="P102" s="234"/>
      <c r="Q102" s="234"/>
      <c r="R102" s="234"/>
    </row>
    <row r="103" spans="1:18">
      <c r="A103" s="2"/>
      <c r="B103" s="2"/>
      <c r="C103" s="196"/>
      <c r="D103" s="197"/>
      <c r="E103" s="13"/>
      <c r="F103" s="13"/>
      <c r="G103" s="234"/>
      <c r="H103" s="234"/>
      <c r="I103" s="110"/>
      <c r="J103" s="110"/>
      <c r="K103" s="110"/>
      <c r="L103" s="110"/>
      <c r="M103" s="110"/>
      <c r="N103" s="110"/>
      <c r="O103" s="234"/>
      <c r="P103" s="234"/>
      <c r="Q103" s="234"/>
      <c r="R103" s="234"/>
    </row>
    <row r="104" spans="1:18">
      <c r="A104" s="2"/>
      <c r="B104" s="2"/>
      <c r="C104" s="196"/>
      <c r="D104" s="197"/>
      <c r="E104" s="13"/>
      <c r="F104" s="13"/>
      <c r="G104" s="234"/>
      <c r="H104" s="234"/>
      <c r="I104" s="110"/>
      <c r="J104" s="110"/>
      <c r="K104" s="110"/>
      <c r="L104" s="110"/>
      <c r="M104" s="110"/>
      <c r="N104" s="110"/>
      <c r="O104" s="234"/>
      <c r="P104" s="234"/>
      <c r="Q104" s="234"/>
      <c r="R104" s="234"/>
    </row>
    <row r="105" spans="1:18">
      <c r="A105" s="2"/>
      <c r="B105" s="2"/>
      <c r="C105" s="196"/>
      <c r="D105" s="197"/>
      <c r="E105" s="13"/>
      <c r="F105" s="13"/>
      <c r="G105" s="234"/>
      <c r="H105" s="234"/>
      <c r="I105" s="110"/>
      <c r="J105" s="110"/>
      <c r="K105" s="110"/>
      <c r="L105" s="110"/>
      <c r="M105" s="110"/>
      <c r="N105" s="110"/>
      <c r="O105" s="234"/>
      <c r="P105" s="234"/>
      <c r="Q105" s="234"/>
      <c r="R105" s="234"/>
    </row>
    <row r="106" spans="1:18">
      <c r="A106" s="2"/>
      <c r="B106" s="2"/>
      <c r="C106" s="196"/>
      <c r="D106" s="197"/>
      <c r="E106" s="13"/>
      <c r="F106" s="13"/>
      <c r="G106" s="234"/>
      <c r="H106" s="234"/>
      <c r="I106" s="110"/>
      <c r="J106" s="110"/>
      <c r="K106" s="110"/>
      <c r="L106" s="110"/>
      <c r="M106" s="110"/>
      <c r="N106" s="110"/>
      <c r="O106" s="234"/>
      <c r="P106" s="234"/>
      <c r="Q106" s="234"/>
      <c r="R106" s="234"/>
    </row>
    <row r="107" spans="1:18">
      <c r="A107" s="2"/>
      <c r="B107" s="2"/>
      <c r="C107" s="196"/>
      <c r="D107" s="197"/>
      <c r="E107" s="13"/>
      <c r="F107" s="13"/>
      <c r="G107" s="234"/>
      <c r="H107" s="234"/>
      <c r="I107" s="110"/>
      <c r="J107" s="110"/>
      <c r="K107" s="110"/>
      <c r="L107" s="110"/>
      <c r="M107" s="110"/>
      <c r="N107" s="110"/>
      <c r="O107" s="234"/>
      <c r="P107" s="234"/>
      <c r="Q107" s="234"/>
      <c r="R107" s="234"/>
    </row>
    <row r="108" spans="1:18">
      <c r="A108" s="2"/>
      <c r="B108" s="2"/>
      <c r="C108" s="196"/>
      <c r="D108" s="197"/>
      <c r="E108" s="13"/>
      <c r="F108" s="13"/>
      <c r="G108" s="234"/>
      <c r="H108" s="234"/>
      <c r="I108" s="110"/>
      <c r="J108" s="110"/>
      <c r="K108" s="110"/>
      <c r="L108" s="110"/>
      <c r="M108" s="110"/>
      <c r="N108" s="110"/>
      <c r="O108" s="234"/>
      <c r="P108" s="234"/>
      <c r="Q108" s="234"/>
      <c r="R108" s="234"/>
    </row>
    <row r="109" spans="1:18">
      <c r="A109" s="2"/>
      <c r="B109" s="2"/>
      <c r="C109" s="196"/>
      <c r="D109" s="197"/>
      <c r="E109" s="13"/>
      <c r="F109" s="13"/>
      <c r="G109" s="234"/>
      <c r="H109" s="234"/>
      <c r="I109" s="110"/>
      <c r="J109" s="110"/>
      <c r="K109" s="110"/>
      <c r="L109" s="110"/>
      <c r="M109" s="110"/>
      <c r="N109" s="110"/>
      <c r="O109" s="234"/>
      <c r="P109" s="234"/>
      <c r="Q109" s="234"/>
      <c r="R109" s="234"/>
    </row>
    <row r="110" spans="1:18">
      <c r="A110" s="2"/>
      <c r="B110" s="2"/>
      <c r="C110" s="196"/>
      <c r="D110" s="197"/>
      <c r="E110" s="13"/>
      <c r="F110" s="13"/>
      <c r="G110" s="234"/>
      <c r="H110" s="234"/>
      <c r="I110" s="110"/>
      <c r="J110" s="110"/>
      <c r="K110" s="110"/>
      <c r="L110" s="110"/>
      <c r="M110" s="110"/>
      <c r="N110" s="110"/>
      <c r="O110" s="234"/>
      <c r="P110" s="234"/>
      <c r="Q110" s="234"/>
      <c r="R110" s="234"/>
    </row>
  </sheetData>
  <mergeCells count="1">
    <mergeCell ref="A1:E1"/>
  </mergeCells>
  <pageMargins left="0.75" right="0.75" top="1" bottom="1" header="0.5" footer="0.5"/>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E229"/>
  <sheetViews>
    <sheetView workbookViewId="0">
      <pane xSplit="2" ySplit="2" topLeftCell="C15" activePane="bottomRight" state="frozen"/>
      <selection/>
      <selection pane="topRight"/>
      <selection pane="bottomLeft"/>
      <selection pane="bottomRight" activeCell="A1" sqref="A1:A2"/>
    </sheetView>
  </sheetViews>
  <sheetFormatPr defaultColWidth="9" defaultRowHeight="15.75"/>
  <cols>
    <col min="1" max="1" width="11.2083333333333" customWidth="1"/>
    <col min="2" max="2" width="12.3416666666667" customWidth="1"/>
    <col min="3" max="3" width="14.7083333333333" customWidth="1"/>
    <col min="4" max="5" width="11.2083333333333" customWidth="1"/>
    <col min="6" max="6" width="15.2666666666667" customWidth="1"/>
    <col min="7" max="7" width="16.1666666666667" customWidth="1"/>
    <col min="8" max="11" width="11.2083333333333" customWidth="1"/>
    <col min="12" max="12" width="16.5083333333333" customWidth="1"/>
    <col min="13" max="13" width="11.2083333333333" customWidth="1"/>
    <col min="14" max="16" width="10.0833333333333" customWidth="1"/>
    <col min="17" max="17" width="27.2083333333333" customWidth="1"/>
    <col min="18" max="22" width="11.2083333333333" customWidth="1"/>
    <col min="23" max="23" width="14.25" customWidth="1"/>
    <col min="24" max="26" width="11.2083333333333" customWidth="1"/>
    <col min="27" max="28" width="9.975" customWidth="1"/>
    <col min="29" max="31" width="11.2083333333333" customWidth="1"/>
  </cols>
  <sheetData>
    <row r="1" ht="14.9" customHeight="1" spans="1:31">
      <c r="A1" s="140" t="s">
        <v>344</v>
      </c>
      <c r="B1" s="140" t="s">
        <v>345</v>
      </c>
      <c r="C1" s="203" t="s">
        <v>346</v>
      </c>
      <c r="D1" s="203" t="s">
        <v>347</v>
      </c>
      <c r="E1" s="203" t="s">
        <v>348</v>
      </c>
      <c r="F1" s="203" t="s">
        <v>349</v>
      </c>
      <c r="G1" s="203" t="s">
        <v>350</v>
      </c>
      <c r="H1" s="140" t="s">
        <v>351</v>
      </c>
      <c r="I1" s="203" t="s">
        <v>304</v>
      </c>
      <c r="J1" s="203" t="s">
        <v>352</v>
      </c>
      <c r="K1" s="204" t="s">
        <v>353</v>
      </c>
      <c r="L1" s="204"/>
      <c r="M1" s="205" t="s">
        <v>354</v>
      </c>
      <c r="N1" s="140" t="s">
        <v>355</v>
      </c>
      <c r="O1" s="140" t="s">
        <v>356</v>
      </c>
      <c r="P1" s="203" t="s">
        <v>212</v>
      </c>
      <c r="Q1" s="203" t="s">
        <v>357</v>
      </c>
      <c r="R1" s="133" t="s">
        <v>358</v>
      </c>
      <c r="S1" s="133"/>
      <c r="T1" s="133"/>
      <c r="U1" s="133"/>
      <c r="V1" s="133"/>
      <c r="W1" s="133"/>
      <c r="X1" s="206" t="s">
        <v>359</v>
      </c>
      <c r="Y1" s="207"/>
      <c r="Z1" s="207"/>
      <c r="AA1" s="207"/>
      <c r="AB1" s="207"/>
      <c r="AC1" s="207"/>
      <c r="AD1" s="207"/>
      <c r="AE1" s="31"/>
    </row>
    <row r="2" ht="29.15" customHeight="1" spans="1:31">
      <c r="A2" s="208"/>
      <c r="B2" s="208"/>
      <c r="C2" s="209"/>
      <c r="D2" s="209"/>
      <c r="E2" s="209"/>
      <c r="F2" s="209"/>
      <c r="G2" s="209"/>
      <c r="H2" s="208"/>
      <c r="I2" s="209"/>
      <c r="J2" s="209"/>
      <c r="K2" s="204" t="s">
        <v>360</v>
      </c>
      <c r="L2" s="204" t="s">
        <v>361</v>
      </c>
      <c r="M2" s="208"/>
      <c r="N2" s="208"/>
      <c r="O2" s="208"/>
      <c r="P2" s="209"/>
      <c r="Q2" s="209"/>
      <c r="R2" s="133" t="s">
        <v>362</v>
      </c>
      <c r="S2" s="133" t="s">
        <v>363</v>
      </c>
      <c r="T2" s="204" t="s">
        <v>222</v>
      </c>
      <c r="U2" s="210" t="s">
        <v>220</v>
      </c>
      <c r="V2" s="133" t="s">
        <v>364</v>
      </c>
      <c r="W2" s="211" t="s">
        <v>225</v>
      </c>
      <c r="X2" s="211"/>
      <c r="Y2" s="211"/>
      <c r="Z2" s="211" t="s">
        <v>365</v>
      </c>
      <c r="AA2" s="211" t="s">
        <v>366</v>
      </c>
      <c r="AB2" s="211" t="s">
        <v>367</v>
      </c>
      <c r="AC2" s="211" t="s">
        <v>368</v>
      </c>
      <c r="AD2" s="211" t="s">
        <v>369</v>
      </c>
      <c r="AE2" s="31"/>
    </row>
    <row r="3" ht="38.1" customHeight="1" spans="1:31">
      <c r="A3" s="163" t="s">
        <v>110</v>
      </c>
      <c r="B3" s="163" t="s">
        <v>370</v>
      </c>
      <c r="C3" s="163" t="s">
        <v>371</v>
      </c>
      <c r="D3" s="212">
        <v>109.99</v>
      </c>
      <c r="E3" s="213">
        <v>20</v>
      </c>
      <c r="F3" s="212" t="s">
        <v>372</v>
      </c>
      <c r="G3" s="213">
        <f t="shared" ref="G3:G34" si="0">M3/7</f>
        <v>6.28571428571429</v>
      </c>
      <c r="H3" s="163">
        <f t="shared" ref="H3:H34" si="1">G3*7</f>
        <v>44</v>
      </c>
      <c r="I3" s="163">
        <v>60</v>
      </c>
      <c r="J3" s="163">
        <v>4.7</v>
      </c>
      <c r="K3" s="163" t="s">
        <v>373</v>
      </c>
      <c r="L3" s="214" t="s">
        <v>374</v>
      </c>
      <c r="M3" s="163">
        <v>44</v>
      </c>
      <c r="N3" s="163">
        <f t="shared" ref="N3:N34" si="2">D3*H3</f>
        <v>4839.56</v>
      </c>
      <c r="O3" s="165">
        <v>66</v>
      </c>
      <c r="P3" s="164">
        <f t="shared" ref="P3:P34" si="3">G3/O3</f>
        <v>0.0952380952380952</v>
      </c>
      <c r="Q3" s="212" t="s">
        <v>375</v>
      </c>
      <c r="R3" s="215">
        <f t="shared" ref="R3:R34" si="4">T3*S3</f>
        <v>48</v>
      </c>
      <c r="S3" s="213">
        <f t="shared" ref="S3:S34" si="5">V3/U3</f>
        <v>40</v>
      </c>
      <c r="T3" s="215">
        <v>1.2</v>
      </c>
      <c r="U3" s="216">
        <v>0.11</v>
      </c>
      <c r="V3" s="165">
        <f t="shared" ref="V3:V21" si="6">G3*W3</f>
        <v>4.4</v>
      </c>
      <c r="W3" s="217">
        <v>0.7</v>
      </c>
      <c r="X3" s="163">
        <v>1200</v>
      </c>
      <c r="Y3" s="163">
        <v>0</v>
      </c>
      <c r="Z3" s="163">
        <v>0</v>
      </c>
      <c r="AA3" s="163">
        <v>1310</v>
      </c>
      <c r="AB3" s="163" t="s">
        <v>376</v>
      </c>
      <c r="AC3" s="163"/>
      <c r="AD3" s="163"/>
      <c r="AE3" s="31"/>
    </row>
    <row r="4" ht="38.1" customHeight="1" spans="1:31">
      <c r="A4" s="163" t="s">
        <v>113</v>
      </c>
      <c r="B4" s="163" t="s">
        <v>377</v>
      </c>
      <c r="C4" s="163" t="s">
        <v>371</v>
      </c>
      <c r="D4" s="212">
        <v>109.99</v>
      </c>
      <c r="E4" s="213">
        <v>20</v>
      </c>
      <c r="F4" s="212" t="s">
        <v>378</v>
      </c>
      <c r="G4" s="213">
        <f t="shared" si="0"/>
        <v>11.5714285714286</v>
      </c>
      <c r="H4" s="163">
        <f t="shared" si="1"/>
        <v>81</v>
      </c>
      <c r="I4" s="163">
        <v>40</v>
      </c>
      <c r="J4" s="163">
        <v>4.7</v>
      </c>
      <c r="K4" s="163" t="s">
        <v>379</v>
      </c>
      <c r="L4" s="214" t="s">
        <v>380</v>
      </c>
      <c r="M4" s="163">
        <v>81</v>
      </c>
      <c r="N4" s="163">
        <f t="shared" si="2"/>
        <v>8909.19</v>
      </c>
      <c r="O4" s="165">
        <v>88</v>
      </c>
      <c r="P4" s="164">
        <f t="shared" si="3"/>
        <v>0.131493506493506</v>
      </c>
      <c r="Q4" s="212" t="s">
        <v>381</v>
      </c>
      <c r="R4" s="215">
        <f t="shared" si="4"/>
        <v>75.2142857142857</v>
      </c>
      <c r="S4" s="213">
        <f t="shared" si="5"/>
        <v>62.6785714285714</v>
      </c>
      <c r="T4" s="215">
        <v>1.2</v>
      </c>
      <c r="U4" s="216">
        <v>0.12</v>
      </c>
      <c r="V4" s="165">
        <f t="shared" si="6"/>
        <v>7.52142857142857</v>
      </c>
      <c r="W4" s="217">
        <v>0.65</v>
      </c>
      <c r="X4" s="163">
        <f t="shared" ref="X4:X5" si="7">X3-H3</f>
        <v>1156</v>
      </c>
      <c r="Y4" s="163">
        <v>0</v>
      </c>
      <c r="Z4" s="163">
        <v>0</v>
      </c>
      <c r="AA4" s="163">
        <v>1310</v>
      </c>
      <c r="AB4" s="163">
        <v>2490</v>
      </c>
      <c r="AC4" s="163"/>
      <c r="AD4" s="163"/>
      <c r="AE4" s="31"/>
    </row>
    <row r="5" ht="38.1" customHeight="1" spans="1:31">
      <c r="A5" s="163" t="s">
        <v>114</v>
      </c>
      <c r="B5" s="163" t="s">
        <v>382</v>
      </c>
      <c r="C5" s="163" t="s">
        <v>371</v>
      </c>
      <c r="D5" s="212">
        <v>109.99</v>
      </c>
      <c r="E5" s="213">
        <v>20</v>
      </c>
      <c r="F5" s="212" t="s">
        <v>378</v>
      </c>
      <c r="G5" s="213">
        <f t="shared" si="0"/>
        <v>7.85714285714286</v>
      </c>
      <c r="H5" s="163">
        <f t="shared" si="1"/>
        <v>55</v>
      </c>
      <c r="I5" s="218">
        <v>30</v>
      </c>
      <c r="J5" s="163">
        <v>4.7</v>
      </c>
      <c r="K5" s="163">
        <v>1</v>
      </c>
      <c r="L5" s="214" t="s">
        <v>383</v>
      </c>
      <c r="M5" s="163">
        <v>55</v>
      </c>
      <c r="N5" s="163">
        <f t="shared" si="2"/>
        <v>6049.45</v>
      </c>
      <c r="O5" s="165">
        <v>60</v>
      </c>
      <c r="P5" s="164">
        <f t="shared" si="3"/>
        <v>0.130952380952381</v>
      </c>
      <c r="Q5" s="212" t="s">
        <v>384</v>
      </c>
      <c r="R5" s="215">
        <f t="shared" si="4"/>
        <v>39.8901098901099</v>
      </c>
      <c r="S5" s="213">
        <f t="shared" si="5"/>
        <v>36.2637362637363</v>
      </c>
      <c r="T5" s="215">
        <v>1.1</v>
      </c>
      <c r="U5" s="216">
        <v>0.13</v>
      </c>
      <c r="V5" s="165">
        <f t="shared" si="6"/>
        <v>4.71428571428571</v>
      </c>
      <c r="W5" s="217">
        <v>0.6</v>
      </c>
      <c r="X5" s="163">
        <f t="shared" si="7"/>
        <v>1075</v>
      </c>
      <c r="Y5" s="163">
        <v>0</v>
      </c>
      <c r="Z5" s="163">
        <v>2490</v>
      </c>
      <c r="AA5" s="163">
        <v>0</v>
      </c>
      <c r="AB5" s="163" t="s">
        <v>385</v>
      </c>
      <c r="AC5" s="163" t="s">
        <v>386</v>
      </c>
      <c r="AD5" s="163"/>
      <c r="AE5" s="31"/>
    </row>
    <row r="6" ht="38.1" customHeight="1" spans="1:31">
      <c r="A6" s="163" t="s">
        <v>116</v>
      </c>
      <c r="B6" s="163" t="s">
        <v>387</v>
      </c>
      <c r="C6" s="163" t="s">
        <v>371</v>
      </c>
      <c r="D6" s="212">
        <v>109.99</v>
      </c>
      <c r="E6" s="213">
        <v>20</v>
      </c>
      <c r="F6" s="219" t="s">
        <v>388</v>
      </c>
      <c r="G6" s="213">
        <f t="shared" si="0"/>
        <v>6.85714285714286</v>
      </c>
      <c r="H6" s="163">
        <f t="shared" si="1"/>
        <v>48</v>
      </c>
      <c r="I6" s="163">
        <v>20</v>
      </c>
      <c r="J6" s="163">
        <v>4.6</v>
      </c>
      <c r="K6" s="163">
        <v>2</v>
      </c>
      <c r="L6" s="214" t="s">
        <v>383</v>
      </c>
      <c r="M6" s="163">
        <v>48</v>
      </c>
      <c r="N6" s="163">
        <f t="shared" si="2"/>
        <v>5279.52</v>
      </c>
      <c r="O6" s="165">
        <v>50</v>
      </c>
      <c r="P6" s="164">
        <f t="shared" si="3"/>
        <v>0.137142857142857</v>
      </c>
      <c r="Q6" s="212" t="s">
        <v>384</v>
      </c>
      <c r="R6" s="215">
        <f t="shared" si="4"/>
        <v>25.1428571428571</v>
      </c>
      <c r="S6" s="213">
        <f t="shared" si="5"/>
        <v>22.8571428571429</v>
      </c>
      <c r="T6" s="215">
        <v>1.1</v>
      </c>
      <c r="U6" s="216">
        <v>0.15</v>
      </c>
      <c r="V6" s="165">
        <f t="shared" si="6"/>
        <v>3.42857142857143</v>
      </c>
      <c r="W6" s="217">
        <v>0.5</v>
      </c>
      <c r="X6" s="163">
        <f>X5-H5+720</f>
        <v>1740</v>
      </c>
      <c r="Y6" s="163">
        <v>600</v>
      </c>
      <c r="Z6" s="163">
        <v>1170</v>
      </c>
      <c r="AA6" s="163">
        <v>0</v>
      </c>
      <c r="AB6" s="163">
        <v>1310</v>
      </c>
      <c r="AC6" s="163"/>
      <c r="AD6" s="163">
        <v>1500</v>
      </c>
      <c r="AE6" s="31"/>
    </row>
    <row r="7" ht="38.1" customHeight="1" spans="1:31">
      <c r="A7" s="163" t="s">
        <v>117</v>
      </c>
      <c r="B7" s="163" t="s">
        <v>389</v>
      </c>
      <c r="C7" s="163" t="s">
        <v>371</v>
      </c>
      <c r="D7" s="212">
        <v>119.99</v>
      </c>
      <c r="E7" s="213">
        <v>10</v>
      </c>
      <c r="F7" s="212" t="s">
        <v>378</v>
      </c>
      <c r="G7" s="213">
        <f t="shared" si="0"/>
        <v>7.42857142857143</v>
      </c>
      <c r="H7" s="163">
        <f t="shared" si="1"/>
        <v>52</v>
      </c>
      <c r="I7" s="163">
        <v>28</v>
      </c>
      <c r="J7" s="163">
        <v>4.6</v>
      </c>
      <c r="K7" s="220">
        <v>2</v>
      </c>
      <c r="L7" s="214" t="s">
        <v>383</v>
      </c>
      <c r="M7" s="163">
        <v>52</v>
      </c>
      <c r="N7" s="163">
        <f t="shared" si="2"/>
        <v>6239.48</v>
      </c>
      <c r="O7" s="165">
        <v>56</v>
      </c>
      <c r="P7" s="164">
        <f t="shared" si="3"/>
        <v>0.13265306122449</v>
      </c>
      <c r="Q7" s="212" t="s">
        <v>390</v>
      </c>
      <c r="R7" s="215">
        <f t="shared" si="4"/>
        <v>27.2380952380952</v>
      </c>
      <c r="S7" s="213">
        <f t="shared" si="5"/>
        <v>27.2380952380952</v>
      </c>
      <c r="T7" s="215">
        <v>1</v>
      </c>
      <c r="U7" s="216">
        <v>0.15</v>
      </c>
      <c r="V7" s="165">
        <f t="shared" si="6"/>
        <v>4.08571428571429</v>
      </c>
      <c r="W7" s="217">
        <v>0.55</v>
      </c>
      <c r="X7" s="163">
        <f t="shared" ref="X7:X8" si="8">X6-H6</f>
        <v>1692</v>
      </c>
      <c r="Y7" s="163">
        <v>600</v>
      </c>
      <c r="Z7" s="163">
        <v>1170</v>
      </c>
      <c r="AA7" s="163">
        <v>0</v>
      </c>
      <c r="AB7" s="163">
        <v>1310</v>
      </c>
      <c r="AC7" s="163"/>
      <c r="AD7" s="163"/>
      <c r="AE7" s="31"/>
    </row>
    <row r="8" ht="38.1" customHeight="1" spans="1:31">
      <c r="A8" s="163" t="s">
        <v>119</v>
      </c>
      <c r="B8" s="163" t="s">
        <v>391</v>
      </c>
      <c r="C8" s="163" t="s">
        <v>371</v>
      </c>
      <c r="D8" s="212">
        <v>119.99</v>
      </c>
      <c r="E8" s="213">
        <v>10</v>
      </c>
      <c r="F8" s="212" t="s">
        <v>378</v>
      </c>
      <c r="G8" s="213">
        <f t="shared" si="0"/>
        <v>7.14285714285714</v>
      </c>
      <c r="H8" s="163">
        <f t="shared" si="1"/>
        <v>50</v>
      </c>
      <c r="I8" s="163">
        <v>26</v>
      </c>
      <c r="J8" s="163">
        <v>4.6</v>
      </c>
      <c r="K8" s="220">
        <v>2</v>
      </c>
      <c r="L8" s="214" t="s">
        <v>383</v>
      </c>
      <c r="M8" s="163">
        <v>50</v>
      </c>
      <c r="N8" s="163">
        <f t="shared" si="2"/>
        <v>5999.5</v>
      </c>
      <c r="O8" s="165">
        <v>60</v>
      </c>
      <c r="P8" s="164">
        <f t="shared" si="3"/>
        <v>0.119047619047619</v>
      </c>
      <c r="Q8" s="212" t="s">
        <v>390</v>
      </c>
      <c r="R8" s="215">
        <f t="shared" si="4"/>
        <v>23.8095238095238</v>
      </c>
      <c r="S8" s="213">
        <f t="shared" si="5"/>
        <v>23.8095238095238</v>
      </c>
      <c r="T8" s="215">
        <v>1</v>
      </c>
      <c r="U8" s="216">
        <v>0.15</v>
      </c>
      <c r="V8" s="165">
        <f t="shared" si="6"/>
        <v>3.57142857142857</v>
      </c>
      <c r="W8" s="217">
        <v>0.5</v>
      </c>
      <c r="X8" s="163">
        <f t="shared" si="8"/>
        <v>1640</v>
      </c>
      <c r="Y8" s="163">
        <v>600</v>
      </c>
      <c r="Z8" s="163">
        <v>1170</v>
      </c>
      <c r="AA8" s="163">
        <v>0</v>
      </c>
      <c r="AB8" s="163">
        <v>1310</v>
      </c>
      <c r="AC8" s="163" t="s">
        <v>392</v>
      </c>
      <c r="AD8" s="163"/>
      <c r="AE8" s="31"/>
    </row>
    <row r="9" ht="38.1" customHeight="1" spans="1:31">
      <c r="A9" s="163" t="s">
        <v>120</v>
      </c>
      <c r="B9" s="163" t="s">
        <v>393</v>
      </c>
      <c r="C9" s="163" t="s">
        <v>371</v>
      </c>
      <c r="D9" s="212">
        <v>119.99</v>
      </c>
      <c r="E9" s="213">
        <v>10</v>
      </c>
      <c r="F9" s="219" t="s">
        <v>394</v>
      </c>
      <c r="G9" s="213">
        <f t="shared" si="0"/>
        <v>8.28571428571429</v>
      </c>
      <c r="H9" s="163">
        <f t="shared" si="1"/>
        <v>58</v>
      </c>
      <c r="I9" s="163">
        <v>20</v>
      </c>
      <c r="J9" s="163">
        <v>4.6</v>
      </c>
      <c r="K9" s="220">
        <v>2</v>
      </c>
      <c r="L9" s="214" t="s">
        <v>383</v>
      </c>
      <c r="M9" s="163">
        <v>58</v>
      </c>
      <c r="N9" s="163">
        <f t="shared" si="2"/>
        <v>6959.42</v>
      </c>
      <c r="O9" s="165">
        <v>68</v>
      </c>
      <c r="P9" s="164">
        <f t="shared" si="3"/>
        <v>0.121848739495798</v>
      </c>
      <c r="Q9" s="212" t="s">
        <v>390</v>
      </c>
      <c r="R9" s="215">
        <f t="shared" si="4"/>
        <v>18.6428571428571</v>
      </c>
      <c r="S9" s="213">
        <f t="shared" si="5"/>
        <v>20.7142857142857</v>
      </c>
      <c r="T9" s="215">
        <v>0.9</v>
      </c>
      <c r="U9" s="216">
        <v>0.16</v>
      </c>
      <c r="V9" s="165">
        <f t="shared" si="6"/>
        <v>3.31428571428571</v>
      </c>
      <c r="W9" s="217">
        <v>0.4</v>
      </c>
      <c r="X9" s="163">
        <f>X8-H8+900</f>
        <v>2490</v>
      </c>
      <c r="Y9" s="163">
        <v>600</v>
      </c>
      <c r="Z9" s="163">
        <f>Z8-900</f>
        <v>270</v>
      </c>
      <c r="AA9" s="163">
        <v>0</v>
      </c>
      <c r="AB9" s="163">
        <v>1310</v>
      </c>
      <c r="AC9" s="163"/>
      <c r="AD9" s="163" t="s">
        <v>395</v>
      </c>
      <c r="AE9" s="31"/>
    </row>
    <row r="10" ht="38.1" customHeight="1" spans="1:31">
      <c r="A10" s="163" t="s">
        <v>122</v>
      </c>
      <c r="B10" s="163" t="s">
        <v>396</v>
      </c>
      <c r="C10" s="163" t="s">
        <v>371</v>
      </c>
      <c r="D10" s="212">
        <v>119.99</v>
      </c>
      <c r="E10" s="213">
        <v>10</v>
      </c>
      <c r="F10" s="212" t="s">
        <v>378</v>
      </c>
      <c r="G10" s="213">
        <f t="shared" si="0"/>
        <v>7.14285714285714</v>
      </c>
      <c r="H10" s="163">
        <f t="shared" si="1"/>
        <v>50</v>
      </c>
      <c r="I10" s="163">
        <v>25</v>
      </c>
      <c r="J10" s="163">
        <v>4.6</v>
      </c>
      <c r="K10" s="220">
        <v>2</v>
      </c>
      <c r="L10" s="214" t="s">
        <v>383</v>
      </c>
      <c r="M10" s="163">
        <v>50</v>
      </c>
      <c r="N10" s="163">
        <f t="shared" si="2"/>
        <v>5999.5</v>
      </c>
      <c r="O10" s="165">
        <v>68</v>
      </c>
      <c r="P10" s="164">
        <f t="shared" si="3"/>
        <v>0.105042016806723</v>
      </c>
      <c r="Q10" s="212" t="s">
        <v>397</v>
      </c>
      <c r="R10" s="215">
        <f t="shared" si="4"/>
        <v>18.0803571428571</v>
      </c>
      <c r="S10" s="213">
        <f t="shared" si="5"/>
        <v>20.0892857142857</v>
      </c>
      <c r="T10" s="215">
        <v>0.9</v>
      </c>
      <c r="U10" s="216">
        <v>0.16</v>
      </c>
      <c r="V10" s="165">
        <f t="shared" si="6"/>
        <v>3.21428571428571</v>
      </c>
      <c r="W10" s="217">
        <v>0.45</v>
      </c>
      <c r="X10" s="163">
        <f>X9-H9</f>
        <v>2432</v>
      </c>
      <c r="Y10" s="163">
        <v>600</v>
      </c>
      <c r="Z10" s="163">
        <v>1580</v>
      </c>
      <c r="AA10" s="163">
        <v>1500</v>
      </c>
      <c r="AB10" s="163">
        <v>0</v>
      </c>
      <c r="AC10" s="163" t="s">
        <v>398</v>
      </c>
      <c r="AD10" s="163"/>
      <c r="AE10" s="31"/>
    </row>
    <row r="11" ht="38.1" customHeight="1" spans="1:31">
      <c r="A11" s="163" t="s">
        <v>123</v>
      </c>
      <c r="B11" s="163" t="s">
        <v>399</v>
      </c>
      <c r="C11" s="163" t="s">
        <v>371</v>
      </c>
      <c r="D11" s="212">
        <v>119.99</v>
      </c>
      <c r="E11" s="163">
        <v>10</v>
      </c>
      <c r="F11" s="212" t="s">
        <v>378</v>
      </c>
      <c r="G11" s="213">
        <f t="shared" si="0"/>
        <v>7.85714285714286</v>
      </c>
      <c r="H11" s="163">
        <f t="shared" si="1"/>
        <v>55</v>
      </c>
      <c r="I11" s="163">
        <v>24</v>
      </c>
      <c r="J11" s="163">
        <v>4.6</v>
      </c>
      <c r="K11" s="220">
        <v>2</v>
      </c>
      <c r="L11" s="214" t="s">
        <v>383</v>
      </c>
      <c r="M11" s="163">
        <v>55</v>
      </c>
      <c r="N11" s="163">
        <f t="shared" si="2"/>
        <v>6599.45</v>
      </c>
      <c r="O11" s="165">
        <v>70</v>
      </c>
      <c r="P11" s="164">
        <f t="shared" si="3"/>
        <v>0.112244897959184</v>
      </c>
      <c r="Q11" s="212" t="s">
        <v>397</v>
      </c>
      <c r="R11" s="215">
        <f t="shared" si="4"/>
        <v>17.6785714285714</v>
      </c>
      <c r="S11" s="213">
        <f t="shared" si="5"/>
        <v>19.6428571428571</v>
      </c>
      <c r="T11" s="215">
        <v>0.9</v>
      </c>
      <c r="U11" s="216">
        <v>0.16</v>
      </c>
      <c r="V11" s="165">
        <f t="shared" si="6"/>
        <v>3.14285714285714</v>
      </c>
      <c r="W11" s="217">
        <v>0.4</v>
      </c>
      <c r="X11" s="163">
        <f>X10-H10+900</f>
        <v>3282</v>
      </c>
      <c r="Y11" s="163">
        <v>600</v>
      </c>
      <c r="Z11" s="163">
        <v>680</v>
      </c>
      <c r="AA11" s="163">
        <v>0</v>
      </c>
      <c r="AB11" s="163" t="s">
        <v>400</v>
      </c>
      <c r="AC11" s="163"/>
      <c r="AD11" s="163">
        <v>2100</v>
      </c>
      <c r="AE11" s="31"/>
    </row>
    <row r="12" ht="38.1" customHeight="1" spans="1:31">
      <c r="A12" s="163" t="s">
        <v>125</v>
      </c>
      <c r="B12" s="163" t="s">
        <v>401</v>
      </c>
      <c r="C12" s="163" t="s">
        <v>371</v>
      </c>
      <c r="D12" s="212">
        <v>119.99</v>
      </c>
      <c r="E12" s="163">
        <v>10</v>
      </c>
      <c r="F12" s="219" t="s">
        <v>394</v>
      </c>
      <c r="G12" s="213">
        <f t="shared" si="0"/>
        <v>9.28571428571429</v>
      </c>
      <c r="H12" s="163">
        <f t="shared" si="1"/>
        <v>65</v>
      </c>
      <c r="I12" s="163">
        <v>20</v>
      </c>
      <c r="J12" s="163">
        <v>4.6</v>
      </c>
      <c r="K12" s="220">
        <v>2</v>
      </c>
      <c r="L12" s="214" t="s">
        <v>383</v>
      </c>
      <c r="M12" s="221">
        <v>65</v>
      </c>
      <c r="N12" s="163">
        <f t="shared" si="2"/>
        <v>7799.35</v>
      </c>
      <c r="O12" s="165">
        <v>75</v>
      </c>
      <c r="P12" s="164">
        <f t="shared" si="3"/>
        <v>0.123809523809524</v>
      </c>
      <c r="Q12" s="212" t="s">
        <v>397</v>
      </c>
      <c r="R12" s="215">
        <f t="shared" si="4"/>
        <v>18.28125</v>
      </c>
      <c r="S12" s="213">
        <f t="shared" si="5"/>
        <v>20.3125</v>
      </c>
      <c r="T12" s="215">
        <v>0.9</v>
      </c>
      <c r="U12" s="216">
        <v>0.16</v>
      </c>
      <c r="V12" s="165">
        <f t="shared" si="6"/>
        <v>3.25</v>
      </c>
      <c r="W12" s="217">
        <v>0.35</v>
      </c>
      <c r="X12" s="163">
        <f>X11-H11</f>
        <v>3227</v>
      </c>
      <c r="Y12" s="163">
        <v>600</v>
      </c>
      <c r="Z12" s="163">
        <v>680</v>
      </c>
      <c r="AA12" s="163">
        <v>0</v>
      </c>
      <c r="AB12" s="163">
        <v>1500</v>
      </c>
      <c r="AC12" s="163" t="s">
        <v>402</v>
      </c>
      <c r="AD12" s="163"/>
      <c r="AE12" s="31"/>
    </row>
    <row r="13" ht="38.1" customHeight="1" spans="1:31">
      <c r="A13" s="163" t="s">
        <v>126</v>
      </c>
      <c r="B13" s="163" t="s">
        <v>403</v>
      </c>
      <c r="C13" s="163" t="s">
        <v>371</v>
      </c>
      <c r="D13" s="212">
        <v>119.99</v>
      </c>
      <c r="E13" s="163">
        <v>10</v>
      </c>
      <c r="F13" s="212" t="s">
        <v>378</v>
      </c>
      <c r="G13" s="213">
        <f t="shared" si="0"/>
        <v>10.2857142857143</v>
      </c>
      <c r="H13" s="163">
        <f t="shared" si="1"/>
        <v>72</v>
      </c>
      <c r="I13" s="163">
        <v>22</v>
      </c>
      <c r="J13" s="163">
        <v>4.6</v>
      </c>
      <c r="K13" s="220">
        <v>2</v>
      </c>
      <c r="L13" s="214" t="s">
        <v>383</v>
      </c>
      <c r="M13" s="221">
        <v>72</v>
      </c>
      <c r="N13" s="163">
        <f t="shared" si="2"/>
        <v>8639.28</v>
      </c>
      <c r="O13" s="165">
        <v>75</v>
      </c>
      <c r="P13" s="164">
        <f t="shared" si="3"/>
        <v>0.137142857142857</v>
      </c>
      <c r="Q13" s="212" t="s">
        <v>397</v>
      </c>
      <c r="R13" s="215">
        <f t="shared" si="4"/>
        <v>20.25</v>
      </c>
      <c r="S13" s="213">
        <f t="shared" si="5"/>
        <v>22.5</v>
      </c>
      <c r="T13" s="215">
        <v>0.9</v>
      </c>
      <c r="U13" s="216">
        <v>0.16</v>
      </c>
      <c r="V13" s="165">
        <f t="shared" si="6"/>
        <v>3.6</v>
      </c>
      <c r="W13" s="217">
        <v>0.35</v>
      </c>
      <c r="X13" s="163">
        <f>X12-H12+680</f>
        <v>3842</v>
      </c>
      <c r="Y13" s="163">
        <v>600</v>
      </c>
      <c r="Z13" s="163">
        <v>0</v>
      </c>
      <c r="AA13" s="163">
        <v>1980</v>
      </c>
      <c r="AB13" s="163">
        <v>1500</v>
      </c>
      <c r="AC13" s="163"/>
      <c r="AD13" s="163"/>
      <c r="AE13" s="31"/>
    </row>
    <row r="14" ht="38.1" customHeight="1" spans="1:31">
      <c r="A14" s="163" t="s">
        <v>128</v>
      </c>
      <c r="B14" s="163" t="s">
        <v>404</v>
      </c>
      <c r="C14" s="163" t="s">
        <v>371</v>
      </c>
      <c r="D14" s="212">
        <v>119.99</v>
      </c>
      <c r="E14" s="163">
        <v>10</v>
      </c>
      <c r="F14" s="212" t="s">
        <v>378</v>
      </c>
      <c r="G14" s="213">
        <f t="shared" si="0"/>
        <v>10.7142857142857</v>
      </c>
      <c r="H14" s="163">
        <f t="shared" si="1"/>
        <v>75</v>
      </c>
      <c r="I14" s="163">
        <v>21</v>
      </c>
      <c r="J14" s="163">
        <v>4.6</v>
      </c>
      <c r="K14" s="220">
        <v>2</v>
      </c>
      <c r="L14" s="214" t="s">
        <v>383</v>
      </c>
      <c r="M14" s="221">
        <v>75</v>
      </c>
      <c r="N14" s="163">
        <f t="shared" si="2"/>
        <v>8999.25</v>
      </c>
      <c r="O14" s="165">
        <v>75</v>
      </c>
      <c r="P14" s="164">
        <f t="shared" si="3"/>
        <v>0.142857142857143</v>
      </c>
      <c r="Q14" s="212" t="s">
        <v>397</v>
      </c>
      <c r="R14" s="215">
        <f t="shared" si="4"/>
        <v>18.0803571428571</v>
      </c>
      <c r="S14" s="213">
        <f t="shared" si="5"/>
        <v>20.0892857142857</v>
      </c>
      <c r="T14" s="215">
        <v>0.9</v>
      </c>
      <c r="U14" s="216">
        <v>0.16</v>
      </c>
      <c r="V14" s="165">
        <f t="shared" si="6"/>
        <v>3.21428571428571</v>
      </c>
      <c r="W14" s="217">
        <v>0.3</v>
      </c>
      <c r="X14" s="163">
        <v>1355</v>
      </c>
      <c r="Y14" s="163">
        <f>Y13-H13</f>
        <v>528</v>
      </c>
      <c r="Z14" s="163">
        <v>1500</v>
      </c>
      <c r="AA14" s="163">
        <v>0</v>
      </c>
      <c r="AB14" s="163" t="s">
        <v>405</v>
      </c>
      <c r="AC14" s="163"/>
      <c r="AD14" s="163"/>
      <c r="AE14" s="31" t="s">
        <v>406</v>
      </c>
    </row>
    <row r="15" ht="38.1" customHeight="1" spans="1:31">
      <c r="A15" s="163" t="s">
        <v>129</v>
      </c>
      <c r="B15" s="163" t="s">
        <v>407</v>
      </c>
      <c r="C15" s="163" t="s">
        <v>371</v>
      </c>
      <c r="D15" s="212">
        <v>119.99</v>
      </c>
      <c r="E15" s="163">
        <v>10</v>
      </c>
      <c r="F15" s="219" t="s">
        <v>394</v>
      </c>
      <c r="G15" s="213">
        <f t="shared" si="0"/>
        <v>11.4285714285714</v>
      </c>
      <c r="H15" s="163">
        <f t="shared" si="1"/>
        <v>80</v>
      </c>
      <c r="I15" s="163">
        <v>20</v>
      </c>
      <c r="J15" s="163">
        <v>4.6</v>
      </c>
      <c r="K15" s="220">
        <v>2</v>
      </c>
      <c r="L15" s="214" t="s">
        <v>383</v>
      </c>
      <c r="M15" s="221">
        <v>80</v>
      </c>
      <c r="N15" s="163">
        <f t="shared" si="2"/>
        <v>9599.2</v>
      </c>
      <c r="O15" s="165">
        <v>75</v>
      </c>
      <c r="P15" s="164">
        <f t="shared" si="3"/>
        <v>0.152380952380952</v>
      </c>
      <c r="Q15" s="212" t="s">
        <v>397</v>
      </c>
      <c r="R15" s="215">
        <f t="shared" si="4"/>
        <v>18.1512605042017</v>
      </c>
      <c r="S15" s="213">
        <f t="shared" si="5"/>
        <v>20.1680672268908</v>
      </c>
      <c r="T15" s="215">
        <v>0.9</v>
      </c>
      <c r="U15" s="216">
        <v>0.17</v>
      </c>
      <c r="V15" s="165">
        <f t="shared" si="6"/>
        <v>3.42857142857143</v>
      </c>
      <c r="W15" s="217">
        <v>0.3</v>
      </c>
      <c r="X15" s="163">
        <f t="shared" ref="X15:X21" si="9">X14-H14</f>
        <v>1280</v>
      </c>
      <c r="Y15" s="163">
        <v>264</v>
      </c>
      <c r="Z15" s="163">
        <v>1500</v>
      </c>
      <c r="AA15" s="163">
        <v>2100</v>
      </c>
      <c r="AB15" s="163">
        <v>1980</v>
      </c>
      <c r="AC15" s="163"/>
      <c r="AD15" s="163"/>
      <c r="AE15" s="31"/>
    </row>
    <row r="16" ht="38.1" customHeight="1" spans="1:31">
      <c r="A16" s="163" t="s">
        <v>131</v>
      </c>
      <c r="B16" s="163" t="s">
        <v>408</v>
      </c>
      <c r="C16" s="163" t="s">
        <v>371</v>
      </c>
      <c r="D16" s="212">
        <v>119.99</v>
      </c>
      <c r="E16" s="164">
        <v>0.1</v>
      </c>
      <c r="F16" s="219" t="s">
        <v>394</v>
      </c>
      <c r="G16" s="213">
        <f t="shared" si="0"/>
        <v>12.1428571428571</v>
      </c>
      <c r="H16" s="163">
        <f t="shared" si="1"/>
        <v>85</v>
      </c>
      <c r="I16" s="163">
        <v>20</v>
      </c>
      <c r="J16" s="163">
        <v>4.6</v>
      </c>
      <c r="K16" s="220">
        <v>2</v>
      </c>
      <c r="L16" s="214" t="s">
        <v>383</v>
      </c>
      <c r="M16" s="221">
        <v>85</v>
      </c>
      <c r="N16" s="163">
        <f t="shared" si="2"/>
        <v>10199.15</v>
      </c>
      <c r="O16" s="165">
        <v>75</v>
      </c>
      <c r="P16" s="164">
        <f t="shared" si="3"/>
        <v>0.161904761904762</v>
      </c>
      <c r="Q16" s="212" t="s">
        <v>397</v>
      </c>
      <c r="R16" s="215">
        <f t="shared" si="4"/>
        <v>19.2857142857143</v>
      </c>
      <c r="S16" s="213">
        <f t="shared" si="5"/>
        <v>21.4285714285714</v>
      </c>
      <c r="T16" s="215">
        <v>0.9</v>
      </c>
      <c r="U16" s="216">
        <v>0.17</v>
      </c>
      <c r="V16" s="165">
        <f t="shared" si="6"/>
        <v>3.64285714285714</v>
      </c>
      <c r="W16" s="217">
        <v>0.3</v>
      </c>
      <c r="X16" s="163">
        <f t="shared" si="9"/>
        <v>1200</v>
      </c>
      <c r="Y16" s="163">
        <v>264</v>
      </c>
      <c r="Z16" s="163">
        <v>1500</v>
      </c>
      <c r="AA16" s="163">
        <v>2100</v>
      </c>
      <c r="AB16" s="163">
        <v>1980</v>
      </c>
      <c r="AC16" s="163"/>
      <c r="AD16" s="163"/>
      <c r="AE16" s="31"/>
    </row>
    <row r="17" ht="38.1" customHeight="1" spans="1:31">
      <c r="A17" s="163" t="s">
        <v>132</v>
      </c>
      <c r="B17" s="163" t="s">
        <v>409</v>
      </c>
      <c r="C17" s="163" t="s">
        <v>371</v>
      </c>
      <c r="D17" s="212">
        <v>119.99</v>
      </c>
      <c r="E17" s="164">
        <v>0.1</v>
      </c>
      <c r="F17" s="219" t="s">
        <v>394</v>
      </c>
      <c r="G17" s="213">
        <f t="shared" si="0"/>
        <v>13.5714285714286</v>
      </c>
      <c r="H17" s="163">
        <f t="shared" si="1"/>
        <v>95</v>
      </c>
      <c r="I17" s="163">
        <v>20</v>
      </c>
      <c r="J17" s="163">
        <v>4.6</v>
      </c>
      <c r="K17" s="220">
        <v>2</v>
      </c>
      <c r="L17" s="214" t="s">
        <v>383</v>
      </c>
      <c r="M17" s="221">
        <v>95</v>
      </c>
      <c r="N17" s="163">
        <f t="shared" si="2"/>
        <v>11399.05</v>
      </c>
      <c r="O17" s="165">
        <v>80</v>
      </c>
      <c r="P17" s="164">
        <f t="shared" si="3"/>
        <v>0.169642857142857</v>
      </c>
      <c r="Q17" s="212" t="s">
        <v>397</v>
      </c>
      <c r="R17" s="215">
        <f t="shared" si="4"/>
        <v>21.5546218487395</v>
      </c>
      <c r="S17" s="213">
        <f t="shared" si="5"/>
        <v>23.9495798319328</v>
      </c>
      <c r="T17" s="215">
        <v>0.9</v>
      </c>
      <c r="U17" s="216">
        <v>0.17</v>
      </c>
      <c r="V17" s="165">
        <f t="shared" si="6"/>
        <v>4.07142857142857</v>
      </c>
      <c r="W17" s="217">
        <v>0.3</v>
      </c>
      <c r="X17" s="163">
        <f t="shared" si="9"/>
        <v>1115</v>
      </c>
      <c r="Y17" s="163">
        <v>264</v>
      </c>
      <c r="Z17" s="163">
        <v>1500</v>
      </c>
      <c r="AA17" s="163">
        <v>2100</v>
      </c>
      <c r="AB17" s="163">
        <v>1980</v>
      </c>
      <c r="AC17" s="163"/>
      <c r="AD17" s="163"/>
      <c r="AE17" s="31"/>
    </row>
    <row r="18" ht="38.1" customHeight="1" spans="1:31">
      <c r="A18" s="163" t="s">
        <v>134</v>
      </c>
      <c r="B18" s="163" t="s">
        <v>410</v>
      </c>
      <c r="C18" s="163" t="s">
        <v>371</v>
      </c>
      <c r="D18" s="212">
        <v>119.99</v>
      </c>
      <c r="E18" s="164">
        <v>0.1</v>
      </c>
      <c r="F18" s="219" t="s">
        <v>394</v>
      </c>
      <c r="G18" s="213">
        <f t="shared" si="0"/>
        <v>14.2857142857143</v>
      </c>
      <c r="H18" s="163">
        <f t="shared" si="1"/>
        <v>100</v>
      </c>
      <c r="I18" s="163">
        <v>20</v>
      </c>
      <c r="J18" s="163">
        <v>4.6</v>
      </c>
      <c r="K18" s="220">
        <v>2</v>
      </c>
      <c r="L18" s="214" t="s">
        <v>383</v>
      </c>
      <c r="M18" s="221">
        <v>100</v>
      </c>
      <c r="N18" s="163">
        <f t="shared" si="2"/>
        <v>11999</v>
      </c>
      <c r="O18" s="165">
        <v>80</v>
      </c>
      <c r="P18" s="164">
        <f t="shared" si="3"/>
        <v>0.178571428571429</v>
      </c>
      <c r="Q18" s="212" t="s">
        <v>397</v>
      </c>
      <c r="R18" s="215">
        <f t="shared" si="4"/>
        <v>22.6890756302521</v>
      </c>
      <c r="S18" s="213">
        <f t="shared" si="5"/>
        <v>25.2100840336134</v>
      </c>
      <c r="T18" s="215">
        <v>0.9</v>
      </c>
      <c r="U18" s="216">
        <v>0.17</v>
      </c>
      <c r="V18" s="165">
        <f t="shared" si="6"/>
        <v>4.28571428571429</v>
      </c>
      <c r="W18" s="217">
        <v>0.3</v>
      </c>
      <c r="X18" s="163">
        <f t="shared" si="9"/>
        <v>1020</v>
      </c>
      <c r="Y18" s="163">
        <v>264</v>
      </c>
      <c r="Z18" s="163">
        <v>1500</v>
      </c>
      <c r="AA18" s="163">
        <v>2100</v>
      </c>
      <c r="AB18" s="163">
        <v>1980</v>
      </c>
      <c r="AC18" s="163"/>
      <c r="AD18" s="163"/>
      <c r="AE18" s="31"/>
    </row>
    <row r="19" ht="38.1" customHeight="1" spans="1:31">
      <c r="A19" s="163" t="s">
        <v>135</v>
      </c>
      <c r="B19" s="163" t="s">
        <v>411</v>
      </c>
      <c r="C19" s="163" t="s">
        <v>371</v>
      </c>
      <c r="D19" s="212">
        <v>119.99</v>
      </c>
      <c r="E19" s="164">
        <v>0.1</v>
      </c>
      <c r="F19" s="219" t="s">
        <v>394</v>
      </c>
      <c r="G19" s="213">
        <f t="shared" si="0"/>
        <v>11.4285714285714</v>
      </c>
      <c r="H19" s="163">
        <f t="shared" si="1"/>
        <v>80</v>
      </c>
      <c r="I19" s="163">
        <v>20</v>
      </c>
      <c r="J19" s="163">
        <v>4.6</v>
      </c>
      <c r="K19" s="220">
        <v>2</v>
      </c>
      <c r="L19" s="214" t="s">
        <v>383</v>
      </c>
      <c r="M19" s="221">
        <v>80</v>
      </c>
      <c r="N19" s="163">
        <f t="shared" si="2"/>
        <v>9599.2</v>
      </c>
      <c r="O19" s="165">
        <v>80</v>
      </c>
      <c r="P19" s="164">
        <f t="shared" si="3"/>
        <v>0.142857142857143</v>
      </c>
      <c r="Q19" s="212" t="s">
        <v>397</v>
      </c>
      <c r="R19" s="215">
        <f t="shared" si="4"/>
        <v>18.1512605042017</v>
      </c>
      <c r="S19" s="213">
        <f t="shared" si="5"/>
        <v>20.1680672268908</v>
      </c>
      <c r="T19" s="215">
        <v>0.9</v>
      </c>
      <c r="U19" s="216">
        <v>0.17</v>
      </c>
      <c r="V19" s="165">
        <f t="shared" si="6"/>
        <v>3.42857142857143</v>
      </c>
      <c r="W19" s="217">
        <v>0.3</v>
      </c>
      <c r="X19" s="163">
        <f t="shared" si="9"/>
        <v>920</v>
      </c>
      <c r="Y19" s="163">
        <v>264</v>
      </c>
      <c r="Z19" s="163">
        <v>1500</v>
      </c>
      <c r="AA19" s="163">
        <v>2100</v>
      </c>
      <c r="AB19" s="163">
        <v>1980</v>
      </c>
      <c r="AC19" s="163"/>
      <c r="AD19" s="163"/>
      <c r="AE19" s="31"/>
    </row>
    <row r="20" ht="38.1" customHeight="1" spans="1:31">
      <c r="A20" s="163" t="s">
        <v>136</v>
      </c>
      <c r="B20" s="163" t="s">
        <v>412</v>
      </c>
      <c r="C20" s="163" t="s">
        <v>371</v>
      </c>
      <c r="D20" s="212">
        <v>119.99</v>
      </c>
      <c r="E20" s="164">
        <v>0.1</v>
      </c>
      <c r="F20" s="219" t="s">
        <v>394</v>
      </c>
      <c r="G20" s="213">
        <f t="shared" si="0"/>
        <v>8.57142857142857</v>
      </c>
      <c r="H20" s="163">
        <f t="shared" si="1"/>
        <v>60</v>
      </c>
      <c r="I20" s="163">
        <v>20</v>
      </c>
      <c r="J20" s="163">
        <v>4.6</v>
      </c>
      <c r="K20" s="220">
        <v>2</v>
      </c>
      <c r="L20" s="214" t="s">
        <v>383</v>
      </c>
      <c r="M20" s="221">
        <v>60</v>
      </c>
      <c r="N20" s="163">
        <f t="shared" si="2"/>
        <v>7199.4</v>
      </c>
      <c r="O20" s="165">
        <v>60</v>
      </c>
      <c r="P20" s="164">
        <f t="shared" si="3"/>
        <v>0.142857142857143</v>
      </c>
      <c r="Q20" s="212" t="s">
        <v>397</v>
      </c>
      <c r="R20" s="215">
        <f t="shared" si="4"/>
        <v>13.6134453781513</v>
      </c>
      <c r="S20" s="213">
        <f t="shared" si="5"/>
        <v>15.1260504201681</v>
      </c>
      <c r="T20" s="215">
        <v>0.9</v>
      </c>
      <c r="U20" s="216">
        <v>0.17</v>
      </c>
      <c r="V20" s="165">
        <f t="shared" si="6"/>
        <v>2.57142857142857</v>
      </c>
      <c r="W20" s="217">
        <v>0.3</v>
      </c>
      <c r="X20" s="163">
        <f t="shared" si="9"/>
        <v>840</v>
      </c>
      <c r="Y20" s="163">
        <v>264</v>
      </c>
      <c r="Z20" s="163">
        <v>1500</v>
      </c>
      <c r="AA20" s="163">
        <v>2100</v>
      </c>
      <c r="AB20" s="163">
        <v>1980</v>
      </c>
      <c r="AC20" s="163"/>
      <c r="AD20" s="163"/>
      <c r="AE20" s="31"/>
    </row>
    <row r="21" ht="38.1" customHeight="1" spans="1:31">
      <c r="A21" s="222" t="s">
        <v>137</v>
      </c>
      <c r="B21" s="222" t="s">
        <v>413</v>
      </c>
      <c r="C21" s="163" t="s">
        <v>371</v>
      </c>
      <c r="D21" s="223">
        <v>119.99</v>
      </c>
      <c r="E21" s="224">
        <v>0.1</v>
      </c>
      <c r="F21" s="225" t="s">
        <v>394</v>
      </c>
      <c r="G21" s="226">
        <f t="shared" si="0"/>
        <v>9.28571428571429</v>
      </c>
      <c r="H21" s="222">
        <f t="shared" si="1"/>
        <v>65</v>
      </c>
      <c r="I21" s="222">
        <v>20</v>
      </c>
      <c r="J21" s="222">
        <v>4.6</v>
      </c>
      <c r="K21" s="220">
        <v>2</v>
      </c>
      <c r="L21" s="214" t="s">
        <v>383</v>
      </c>
      <c r="M21" s="221">
        <v>65</v>
      </c>
      <c r="N21" s="222">
        <f t="shared" si="2"/>
        <v>7799.35</v>
      </c>
      <c r="O21" s="227">
        <v>60</v>
      </c>
      <c r="P21" s="224">
        <f t="shared" si="3"/>
        <v>0.154761904761905</v>
      </c>
      <c r="Q21" s="223" t="s">
        <v>397</v>
      </c>
      <c r="R21" s="228">
        <f t="shared" si="4"/>
        <v>14.7478991596639</v>
      </c>
      <c r="S21" s="226">
        <f t="shared" si="5"/>
        <v>16.3865546218487</v>
      </c>
      <c r="T21" s="215">
        <v>0.9</v>
      </c>
      <c r="U21" s="229">
        <v>0.17</v>
      </c>
      <c r="V21" s="227">
        <f t="shared" si="6"/>
        <v>2.78571428571429</v>
      </c>
      <c r="W21" s="230">
        <v>0.3</v>
      </c>
      <c r="X21" s="222">
        <f t="shared" si="9"/>
        <v>780</v>
      </c>
      <c r="Y21" s="222">
        <v>264</v>
      </c>
      <c r="Z21" s="222">
        <v>1500</v>
      </c>
      <c r="AA21" s="222">
        <v>2100</v>
      </c>
      <c r="AB21" s="222">
        <v>1980</v>
      </c>
      <c r="AC21" s="222"/>
      <c r="AD21" s="222"/>
      <c r="AE21" s="31"/>
    </row>
    <row r="22" ht="48.8" customHeight="1" spans="1:31">
      <c r="A22" s="222" t="s">
        <v>138</v>
      </c>
      <c r="B22" s="222" t="s">
        <v>413</v>
      </c>
      <c r="C22" s="163" t="s">
        <v>371</v>
      </c>
      <c r="D22" s="223">
        <v>119.99</v>
      </c>
      <c r="E22" s="224">
        <v>0.1</v>
      </c>
      <c r="F22" s="225" t="s">
        <v>394</v>
      </c>
      <c r="G22" s="226">
        <f t="shared" si="0"/>
        <v>10.7142857142857</v>
      </c>
      <c r="H22" s="222">
        <f t="shared" si="1"/>
        <v>75</v>
      </c>
      <c r="I22" s="222">
        <v>20</v>
      </c>
      <c r="J22" s="222">
        <v>4.6</v>
      </c>
      <c r="K22" s="220">
        <v>2</v>
      </c>
      <c r="L22" s="214" t="s">
        <v>383</v>
      </c>
      <c r="M22" s="231">
        <v>75</v>
      </c>
      <c r="N22" s="222">
        <f t="shared" si="2"/>
        <v>8999.25</v>
      </c>
      <c r="O22" s="227">
        <v>60</v>
      </c>
      <c r="P22" s="224">
        <f t="shared" si="3"/>
        <v>0.178571428571429</v>
      </c>
      <c r="Q22" s="223" t="s">
        <v>397</v>
      </c>
      <c r="R22" s="228" t="e">
        <f t="shared" si="4"/>
        <v>#DIV/0!</v>
      </c>
      <c r="S22" s="226" t="e">
        <f t="shared" si="5"/>
        <v>#DIV/0!</v>
      </c>
      <c r="T22" s="215">
        <v>0.9</v>
      </c>
      <c r="U22" s="232"/>
      <c r="V22" s="232"/>
      <c r="W22" s="217"/>
      <c r="X22" s="217"/>
      <c r="Y22" s="232"/>
      <c r="Z22" s="232"/>
      <c r="AA22" s="232"/>
      <c r="AB22" s="232"/>
      <c r="AC22" s="232"/>
      <c r="AD22" s="232"/>
      <c r="AE22" s="232"/>
    </row>
    <row r="23" ht="48.8" customHeight="1" spans="1:31">
      <c r="A23" s="222" t="s">
        <v>139</v>
      </c>
      <c r="B23" s="222" t="s">
        <v>413</v>
      </c>
      <c r="C23" s="163" t="s">
        <v>371</v>
      </c>
      <c r="D23" s="223">
        <v>119.99</v>
      </c>
      <c r="E23" s="224">
        <v>0.1</v>
      </c>
      <c r="F23" s="225" t="s">
        <v>394</v>
      </c>
      <c r="G23" s="226">
        <f t="shared" si="0"/>
        <v>11.4285714285714</v>
      </c>
      <c r="H23" s="222">
        <f t="shared" si="1"/>
        <v>80</v>
      </c>
      <c r="I23" s="222">
        <v>20</v>
      </c>
      <c r="J23" s="222">
        <v>4.6</v>
      </c>
      <c r="K23" s="220">
        <v>2</v>
      </c>
      <c r="L23" s="214" t="s">
        <v>383</v>
      </c>
      <c r="M23" s="231">
        <v>80</v>
      </c>
      <c r="N23" s="222">
        <f t="shared" si="2"/>
        <v>9599.2</v>
      </c>
      <c r="O23" s="227">
        <v>60</v>
      </c>
      <c r="P23" s="224">
        <f t="shared" si="3"/>
        <v>0.19047619047619</v>
      </c>
      <c r="Q23" s="223" t="s">
        <v>397</v>
      </c>
      <c r="R23" s="228" t="e">
        <f t="shared" si="4"/>
        <v>#DIV/0!</v>
      </c>
      <c r="S23" s="226" t="e">
        <f t="shared" si="5"/>
        <v>#DIV/0!</v>
      </c>
      <c r="T23" s="215">
        <v>0.9</v>
      </c>
      <c r="U23" s="232"/>
      <c r="V23" s="232"/>
      <c r="W23" s="217"/>
      <c r="X23" s="217"/>
      <c r="Y23" s="232"/>
      <c r="Z23" s="232"/>
      <c r="AA23" s="232"/>
      <c r="AB23" s="232"/>
      <c r="AC23" s="232"/>
      <c r="AD23" s="232"/>
      <c r="AE23" s="232"/>
    </row>
    <row r="24" ht="48.8" customHeight="1" spans="1:31">
      <c r="A24" s="222" t="s">
        <v>141</v>
      </c>
      <c r="B24" s="222" t="s">
        <v>413</v>
      </c>
      <c r="C24" s="163" t="s">
        <v>371</v>
      </c>
      <c r="D24" s="223">
        <v>119.99</v>
      </c>
      <c r="E24" s="224">
        <v>0.1</v>
      </c>
      <c r="F24" s="225" t="s">
        <v>394</v>
      </c>
      <c r="G24" s="226">
        <f t="shared" si="0"/>
        <v>12.8571428571429</v>
      </c>
      <c r="H24" s="222">
        <f t="shared" si="1"/>
        <v>90</v>
      </c>
      <c r="I24" s="222">
        <v>20</v>
      </c>
      <c r="J24" s="222">
        <v>4.6</v>
      </c>
      <c r="K24" s="220">
        <v>2</v>
      </c>
      <c r="L24" s="214" t="s">
        <v>383</v>
      </c>
      <c r="M24" s="231">
        <v>90</v>
      </c>
      <c r="N24" s="222">
        <f t="shared" si="2"/>
        <v>10799.1</v>
      </c>
      <c r="O24" s="227">
        <v>60</v>
      </c>
      <c r="P24" s="224">
        <f t="shared" si="3"/>
        <v>0.214285714285714</v>
      </c>
      <c r="Q24" s="223" t="s">
        <v>397</v>
      </c>
      <c r="R24" s="228" t="e">
        <f t="shared" si="4"/>
        <v>#DIV/0!</v>
      </c>
      <c r="S24" s="226" t="e">
        <f t="shared" si="5"/>
        <v>#DIV/0!</v>
      </c>
      <c r="T24" s="215">
        <v>0.9</v>
      </c>
      <c r="U24" s="232"/>
      <c r="V24" s="232"/>
      <c r="W24" s="217"/>
      <c r="X24" s="217"/>
      <c r="Y24" s="232"/>
      <c r="Z24" s="232"/>
      <c r="AA24" s="232"/>
      <c r="AB24" s="232"/>
      <c r="AC24" s="232"/>
      <c r="AD24" s="232"/>
      <c r="AE24" s="232"/>
    </row>
    <row r="25" ht="48.8" customHeight="1" spans="1:31">
      <c r="A25" s="222" t="s">
        <v>142</v>
      </c>
      <c r="B25" s="222" t="s">
        <v>413</v>
      </c>
      <c r="C25" s="163" t="s">
        <v>371</v>
      </c>
      <c r="D25" s="223">
        <v>119.99</v>
      </c>
      <c r="E25" s="224">
        <v>0.1</v>
      </c>
      <c r="F25" s="225" t="s">
        <v>394</v>
      </c>
      <c r="G25" s="226">
        <f t="shared" si="0"/>
        <v>13.5714285714286</v>
      </c>
      <c r="H25" s="222">
        <f t="shared" si="1"/>
        <v>95</v>
      </c>
      <c r="I25" s="222">
        <v>20</v>
      </c>
      <c r="J25" s="222">
        <v>4.6</v>
      </c>
      <c r="K25" s="220">
        <v>2</v>
      </c>
      <c r="L25" s="214" t="s">
        <v>383</v>
      </c>
      <c r="M25" s="231">
        <v>95</v>
      </c>
      <c r="N25" s="222">
        <f t="shared" si="2"/>
        <v>11399.05</v>
      </c>
      <c r="O25" s="227">
        <v>60</v>
      </c>
      <c r="P25" s="224">
        <f t="shared" si="3"/>
        <v>0.226190476190476</v>
      </c>
      <c r="Q25" s="223" t="s">
        <v>397</v>
      </c>
      <c r="R25" s="228" t="e">
        <f t="shared" si="4"/>
        <v>#DIV/0!</v>
      </c>
      <c r="S25" s="226" t="e">
        <f t="shared" si="5"/>
        <v>#DIV/0!</v>
      </c>
      <c r="T25" s="215">
        <v>0.9</v>
      </c>
      <c r="U25" s="232"/>
      <c r="V25" s="232"/>
      <c r="W25" s="217"/>
      <c r="X25" s="217"/>
      <c r="Y25" s="232"/>
      <c r="Z25" s="232"/>
      <c r="AA25" s="232"/>
      <c r="AB25" s="232"/>
      <c r="AC25" s="232"/>
      <c r="AD25" s="232"/>
      <c r="AE25" s="232"/>
    </row>
    <row r="26" ht="48.8" customHeight="1" spans="1:31">
      <c r="A26" s="222" t="s">
        <v>143</v>
      </c>
      <c r="B26" s="222" t="s">
        <v>413</v>
      </c>
      <c r="C26" s="163" t="s">
        <v>371</v>
      </c>
      <c r="D26" s="223">
        <v>119.99</v>
      </c>
      <c r="E26" s="224">
        <v>0.1</v>
      </c>
      <c r="F26" s="225" t="s">
        <v>394</v>
      </c>
      <c r="G26" s="226">
        <f t="shared" si="0"/>
        <v>14.2857142857143</v>
      </c>
      <c r="H26" s="222">
        <f t="shared" si="1"/>
        <v>100</v>
      </c>
      <c r="I26" s="222">
        <v>20</v>
      </c>
      <c r="J26" s="222">
        <v>4.6</v>
      </c>
      <c r="K26" s="220">
        <v>2</v>
      </c>
      <c r="L26" s="214" t="s">
        <v>383</v>
      </c>
      <c r="M26" s="231">
        <v>100</v>
      </c>
      <c r="N26" s="222">
        <f t="shared" si="2"/>
        <v>11999</v>
      </c>
      <c r="O26" s="227">
        <v>60</v>
      </c>
      <c r="P26" s="224">
        <f t="shared" si="3"/>
        <v>0.238095238095238</v>
      </c>
      <c r="Q26" s="223" t="s">
        <v>397</v>
      </c>
      <c r="R26" s="228" t="e">
        <f t="shared" si="4"/>
        <v>#DIV/0!</v>
      </c>
      <c r="S26" s="226" t="e">
        <f t="shared" si="5"/>
        <v>#DIV/0!</v>
      </c>
      <c r="T26" s="215">
        <v>0.9</v>
      </c>
      <c r="U26" s="232"/>
      <c r="V26" s="232"/>
      <c r="W26" s="217"/>
      <c r="X26" s="217"/>
      <c r="Y26" s="232"/>
      <c r="Z26" s="232"/>
      <c r="AA26" s="232"/>
      <c r="AB26" s="232"/>
      <c r="AC26" s="232"/>
      <c r="AD26" s="232"/>
      <c r="AE26" s="232"/>
    </row>
    <row r="27" ht="48.8" customHeight="1" spans="1:31">
      <c r="A27" s="222" t="s">
        <v>414</v>
      </c>
      <c r="B27" s="222" t="s">
        <v>413</v>
      </c>
      <c r="C27" s="163" t="s">
        <v>371</v>
      </c>
      <c r="D27" s="223">
        <v>119.99</v>
      </c>
      <c r="E27" s="224">
        <v>0.1</v>
      </c>
      <c r="F27" s="225" t="s">
        <v>394</v>
      </c>
      <c r="G27" s="226">
        <f t="shared" si="0"/>
        <v>17.1428571428571</v>
      </c>
      <c r="H27" s="222">
        <f t="shared" si="1"/>
        <v>120</v>
      </c>
      <c r="I27" s="222">
        <v>20</v>
      </c>
      <c r="J27" s="222">
        <v>4.6</v>
      </c>
      <c r="K27" s="220">
        <v>2</v>
      </c>
      <c r="L27" s="214" t="s">
        <v>383</v>
      </c>
      <c r="M27" s="232">
        <v>120</v>
      </c>
      <c r="N27" s="222">
        <f t="shared" si="2"/>
        <v>14398.8</v>
      </c>
      <c r="O27" s="227">
        <v>60</v>
      </c>
      <c r="P27" s="224">
        <f t="shared" si="3"/>
        <v>0.285714285714286</v>
      </c>
      <c r="Q27" s="223" t="s">
        <v>397</v>
      </c>
      <c r="R27" s="228" t="e">
        <f t="shared" si="4"/>
        <v>#DIV/0!</v>
      </c>
      <c r="S27" s="226" t="e">
        <f t="shared" si="5"/>
        <v>#DIV/0!</v>
      </c>
      <c r="T27" s="215">
        <v>0.9</v>
      </c>
      <c r="U27" s="232"/>
      <c r="V27" s="232"/>
      <c r="W27" s="217"/>
      <c r="X27" s="217"/>
      <c r="Y27" s="232"/>
      <c r="Z27" s="232"/>
      <c r="AA27" s="232"/>
      <c r="AB27" s="232"/>
      <c r="AC27" s="232"/>
      <c r="AD27" s="232"/>
      <c r="AE27" s="232"/>
    </row>
    <row r="28" ht="48.8" customHeight="1" spans="1:31">
      <c r="A28" s="222" t="s">
        <v>414</v>
      </c>
      <c r="B28" s="222" t="s">
        <v>413</v>
      </c>
      <c r="C28" s="163" t="s">
        <v>371</v>
      </c>
      <c r="D28" s="223">
        <v>119.99</v>
      </c>
      <c r="E28" s="224">
        <v>0.1</v>
      </c>
      <c r="F28" s="225" t="s">
        <v>394</v>
      </c>
      <c r="G28" s="226">
        <f t="shared" si="0"/>
        <v>17.1428571428571</v>
      </c>
      <c r="H28" s="222">
        <f t="shared" si="1"/>
        <v>120</v>
      </c>
      <c r="I28" s="222">
        <v>20</v>
      </c>
      <c r="J28" s="222">
        <v>4.6</v>
      </c>
      <c r="K28" s="220">
        <v>2</v>
      </c>
      <c r="L28" s="214" t="s">
        <v>383</v>
      </c>
      <c r="M28" s="232">
        <v>120</v>
      </c>
      <c r="N28" s="222">
        <f t="shared" si="2"/>
        <v>14398.8</v>
      </c>
      <c r="O28" s="227">
        <v>60</v>
      </c>
      <c r="P28" s="224">
        <f t="shared" si="3"/>
        <v>0.285714285714286</v>
      </c>
      <c r="Q28" s="223" t="s">
        <v>397</v>
      </c>
      <c r="R28" s="228" t="e">
        <f t="shared" si="4"/>
        <v>#DIV/0!</v>
      </c>
      <c r="S28" s="226" t="e">
        <f t="shared" si="5"/>
        <v>#DIV/0!</v>
      </c>
      <c r="T28" s="215">
        <v>0.9</v>
      </c>
      <c r="U28" s="232"/>
      <c r="V28" s="232"/>
      <c r="W28" s="217"/>
      <c r="X28" s="217"/>
      <c r="Y28" s="232"/>
      <c r="Z28" s="232"/>
      <c r="AA28" s="232"/>
      <c r="AB28" s="232"/>
      <c r="AC28" s="232"/>
      <c r="AD28" s="232"/>
      <c r="AE28" s="232"/>
    </row>
    <row r="29" ht="48.8" customHeight="1" spans="1:31">
      <c r="A29" s="222" t="s">
        <v>414</v>
      </c>
      <c r="B29" s="222" t="s">
        <v>413</v>
      </c>
      <c r="C29" s="163" t="s">
        <v>371</v>
      </c>
      <c r="D29" s="223">
        <v>119.99</v>
      </c>
      <c r="E29" s="224">
        <v>0.1</v>
      </c>
      <c r="F29" s="225" t="s">
        <v>394</v>
      </c>
      <c r="G29" s="226">
        <f t="shared" si="0"/>
        <v>17.1428571428571</v>
      </c>
      <c r="H29" s="222">
        <f t="shared" si="1"/>
        <v>120</v>
      </c>
      <c r="I29" s="222">
        <v>20</v>
      </c>
      <c r="J29" s="222">
        <v>4.6</v>
      </c>
      <c r="K29" s="220">
        <v>2</v>
      </c>
      <c r="L29" s="214" t="s">
        <v>383</v>
      </c>
      <c r="M29" s="232">
        <v>120</v>
      </c>
      <c r="N29" s="222">
        <f t="shared" si="2"/>
        <v>14398.8</v>
      </c>
      <c r="O29" s="227">
        <v>60</v>
      </c>
      <c r="P29" s="224">
        <f t="shared" si="3"/>
        <v>0.285714285714286</v>
      </c>
      <c r="Q29" s="223" t="s">
        <v>397</v>
      </c>
      <c r="R29" s="228" t="e">
        <f t="shared" si="4"/>
        <v>#DIV/0!</v>
      </c>
      <c r="S29" s="226" t="e">
        <f t="shared" si="5"/>
        <v>#DIV/0!</v>
      </c>
      <c r="T29" s="215">
        <v>0.9</v>
      </c>
      <c r="U29" s="232"/>
      <c r="V29" s="232"/>
      <c r="W29" s="217"/>
      <c r="X29" s="217"/>
      <c r="Y29" s="232"/>
      <c r="Z29" s="232"/>
      <c r="AA29" s="232"/>
      <c r="AB29" s="232"/>
      <c r="AC29" s="232"/>
      <c r="AD29" s="232"/>
      <c r="AE29" s="232"/>
    </row>
    <row r="30" ht="48" spans="1:31">
      <c r="A30" s="222" t="s">
        <v>415</v>
      </c>
      <c r="B30" s="222" t="s">
        <v>413</v>
      </c>
      <c r="C30" s="163" t="s">
        <v>371</v>
      </c>
      <c r="D30" s="223">
        <v>119.99</v>
      </c>
      <c r="E30" s="224">
        <v>0.1</v>
      </c>
      <c r="F30" s="225" t="s">
        <v>394</v>
      </c>
      <c r="G30" s="226">
        <f t="shared" si="0"/>
        <v>17.1428571428571</v>
      </c>
      <c r="H30" s="222">
        <f t="shared" si="1"/>
        <v>120</v>
      </c>
      <c r="I30" s="222">
        <v>20</v>
      </c>
      <c r="J30" s="222">
        <v>4.6</v>
      </c>
      <c r="K30" s="220">
        <v>2</v>
      </c>
      <c r="L30" s="214" t="s">
        <v>383</v>
      </c>
      <c r="M30" s="232">
        <v>120</v>
      </c>
      <c r="N30" s="222">
        <f t="shared" si="2"/>
        <v>14398.8</v>
      </c>
      <c r="O30" s="227">
        <v>60</v>
      </c>
      <c r="P30" s="224">
        <f t="shared" si="3"/>
        <v>0.285714285714286</v>
      </c>
      <c r="Q30" s="223" t="s">
        <v>397</v>
      </c>
      <c r="R30" s="228" t="e">
        <f t="shared" si="4"/>
        <v>#DIV/0!</v>
      </c>
      <c r="S30" s="226" t="e">
        <f t="shared" si="5"/>
        <v>#DIV/0!</v>
      </c>
      <c r="T30" s="215">
        <v>0.9</v>
      </c>
      <c r="U30" s="232"/>
      <c r="V30" s="232"/>
      <c r="W30" s="217"/>
      <c r="X30" s="217"/>
      <c r="Y30" s="232"/>
      <c r="Z30" s="232"/>
      <c r="AA30" s="232"/>
      <c r="AB30" s="232"/>
      <c r="AC30" s="232"/>
      <c r="AD30" s="232"/>
      <c r="AE30" s="232"/>
    </row>
    <row r="31" ht="48" spans="1:31">
      <c r="A31" s="222" t="s">
        <v>416</v>
      </c>
      <c r="B31" s="222" t="s">
        <v>413</v>
      </c>
      <c r="C31" s="163" t="s">
        <v>371</v>
      </c>
      <c r="D31" s="223">
        <v>119.99</v>
      </c>
      <c r="E31" s="224">
        <v>0.1</v>
      </c>
      <c r="F31" s="225" t="s">
        <v>394</v>
      </c>
      <c r="G31" s="226">
        <f t="shared" si="0"/>
        <v>17.1428571428571</v>
      </c>
      <c r="H31" s="222">
        <f t="shared" si="1"/>
        <v>120</v>
      </c>
      <c r="I31" s="222">
        <v>20</v>
      </c>
      <c r="J31" s="222">
        <v>4.6</v>
      </c>
      <c r="K31" s="220">
        <v>2</v>
      </c>
      <c r="L31" s="214" t="s">
        <v>383</v>
      </c>
      <c r="M31" s="232">
        <v>120</v>
      </c>
      <c r="N31" s="222">
        <f t="shared" si="2"/>
        <v>14398.8</v>
      </c>
      <c r="O31" s="227">
        <v>60</v>
      </c>
      <c r="P31" s="224">
        <f t="shared" si="3"/>
        <v>0.285714285714286</v>
      </c>
      <c r="Q31" s="223" t="s">
        <v>397</v>
      </c>
      <c r="R31" s="228" t="e">
        <f t="shared" si="4"/>
        <v>#DIV/0!</v>
      </c>
      <c r="S31" s="226" t="e">
        <f t="shared" si="5"/>
        <v>#DIV/0!</v>
      </c>
      <c r="T31" s="215">
        <v>0.9</v>
      </c>
      <c r="U31" s="232"/>
      <c r="V31" s="232"/>
      <c r="W31" s="217"/>
      <c r="X31" s="217"/>
      <c r="Y31" s="232"/>
      <c r="Z31" s="232"/>
      <c r="AA31" s="232"/>
      <c r="AB31" s="232"/>
      <c r="AC31" s="232"/>
      <c r="AD31" s="232"/>
      <c r="AE31" s="232"/>
    </row>
    <row r="32" ht="48" spans="1:31">
      <c r="A32" s="222" t="s">
        <v>417</v>
      </c>
      <c r="B32" s="222" t="s">
        <v>413</v>
      </c>
      <c r="C32" s="163" t="s">
        <v>371</v>
      </c>
      <c r="D32" s="223">
        <v>119.99</v>
      </c>
      <c r="E32" s="224">
        <v>0.1</v>
      </c>
      <c r="F32" s="225" t="s">
        <v>394</v>
      </c>
      <c r="G32" s="226">
        <f t="shared" si="0"/>
        <v>17.1428571428571</v>
      </c>
      <c r="H32" s="222">
        <f t="shared" si="1"/>
        <v>120</v>
      </c>
      <c r="I32" s="222">
        <v>20</v>
      </c>
      <c r="J32" s="222">
        <v>4.6</v>
      </c>
      <c r="K32" s="220">
        <v>2</v>
      </c>
      <c r="L32" s="214" t="s">
        <v>383</v>
      </c>
      <c r="M32" s="232">
        <v>120</v>
      </c>
      <c r="N32" s="222">
        <f t="shared" si="2"/>
        <v>14398.8</v>
      </c>
      <c r="O32" s="227">
        <v>60</v>
      </c>
      <c r="P32" s="224">
        <f t="shared" si="3"/>
        <v>0.285714285714286</v>
      </c>
      <c r="Q32" s="223" t="s">
        <v>397</v>
      </c>
      <c r="R32" s="228" t="e">
        <f t="shared" si="4"/>
        <v>#DIV/0!</v>
      </c>
      <c r="S32" s="226" t="e">
        <f t="shared" si="5"/>
        <v>#DIV/0!</v>
      </c>
      <c r="T32" s="215">
        <v>0.9</v>
      </c>
      <c r="U32" s="232"/>
      <c r="V32" s="232"/>
      <c r="W32" s="217"/>
      <c r="X32" s="217"/>
      <c r="Y32" s="232"/>
      <c r="Z32" s="232"/>
      <c r="AA32" s="232"/>
      <c r="AB32" s="232"/>
      <c r="AC32" s="232"/>
      <c r="AD32" s="232"/>
      <c r="AE32" s="232"/>
    </row>
    <row r="33" ht="48" spans="1:31">
      <c r="A33" s="222" t="s">
        <v>415</v>
      </c>
      <c r="B33" s="222" t="s">
        <v>413</v>
      </c>
      <c r="C33" s="163" t="s">
        <v>371</v>
      </c>
      <c r="D33" s="223">
        <v>119.99</v>
      </c>
      <c r="E33" s="224">
        <v>0.1</v>
      </c>
      <c r="F33" s="225" t="s">
        <v>394</v>
      </c>
      <c r="G33" s="226">
        <f t="shared" si="0"/>
        <v>17.1428571428571</v>
      </c>
      <c r="H33" s="222">
        <f t="shared" si="1"/>
        <v>120</v>
      </c>
      <c r="I33" s="222">
        <v>20</v>
      </c>
      <c r="J33" s="222">
        <v>4.6</v>
      </c>
      <c r="K33" s="220">
        <v>2</v>
      </c>
      <c r="L33" s="214" t="s">
        <v>383</v>
      </c>
      <c r="M33" s="232">
        <v>120</v>
      </c>
      <c r="N33" s="222">
        <f t="shared" si="2"/>
        <v>14398.8</v>
      </c>
      <c r="O33" s="227">
        <v>60</v>
      </c>
      <c r="P33" s="224">
        <f t="shared" si="3"/>
        <v>0.285714285714286</v>
      </c>
      <c r="Q33" s="223" t="s">
        <v>397</v>
      </c>
      <c r="R33" s="228" t="e">
        <f t="shared" si="4"/>
        <v>#DIV/0!</v>
      </c>
      <c r="S33" s="226" t="e">
        <f t="shared" si="5"/>
        <v>#DIV/0!</v>
      </c>
      <c r="T33" s="215">
        <v>0.9</v>
      </c>
      <c r="U33" s="232"/>
      <c r="V33" s="232"/>
      <c r="W33" s="217"/>
      <c r="X33" s="217"/>
      <c r="Y33" s="232"/>
      <c r="Z33" s="232"/>
      <c r="AA33" s="232"/>
      <c r="AB33" s="232"/>
      <c r="AC33" s="232"/>
      <c r="AD33" s="232"/>
      <c r="AE33" s="232"/>
    </row>
    <row r="34" ht="48" spans="1:31">
      <c r="A34" s="222" t="s">
        <v>415</v>
      </c>
      <c r="B34" s="222" t="s">
        <v>413</v>
      </c>
      <c r="C34" s="163" t="s">
        <v>371</v>
      </c>
      <c r="D34" s="223">
        <v>119.99</v>
      </c>
      <c r="E34" s="224">
        <v>0.1</v>
      </c>
      <c r="F34" s="225" t="s">
        <v>394</v>
      </c>
      <c r="G34" s="226">
        <f t="shared" si="0"/>
        <v>17.1428571428571</v>
      </c>
      <c r="H34" s="222">
        <f t="shared" si="1"/>
        <v>120</v>
      </c>
      <c r="I34" s="222">
        <v>20</v>
      </c>
      <c r="J34" s="222">
        <v>4.6</v>
      </c>
      <c r="K34" s="220">
        <v>2</v>
      </c>
      <c r="L34" s="214" t="s">
        <v>383</v>
      </c>
      <c r="M34" s="232">
        <v>120</v>
      </c>
      <c r="N34" s="222">
        <f t="shared" si="2"/>
        <v>14398.8</v>
      </c>
      <c r="O34" s="227">
        <v>60</v>
      </c>
      <c r="P34" s="224">
        <f t="shared" si="3"/>
        <v>0.285714285714286</v>
      </c>
      <c r="Q34" s="223" t="s">
        <v>397</v>
      </c>
      <c r="R34" s="228" t="e">
        <f t="shared" si="4"/>
        <v>#DIV/0!</v>
      </c>
      <c r="S34" s="226" t="e">
        <f t="shared" si="5"/>
        <v>#DIV/0!</v>
      </c>
      <c r="T34" s="215">
        <v>0.9</v>
      </c>
      <c r="U34" s="232"/>
      <c r="V34" s="232"/>
      <c r="W34" s="217"/>
      <c r="X34" s="217"/>
      <c r="Y34" s="232"/>
      <c r="Z34" s="232"/>
      <c r="AA34" s="232"/>
      <c r="AB34" s="232"/>
      <c r="AC34" s="232"/>
      <c r="AD34" s="232"/>
      <c r="AE34" s="232"/>
    </row>
    <row r="35" spans="1:31">
      <c r="A35" s="222"/>
      <c r="B35" s="222"/>
      <c r="C35" s="163"/>
      <c r="D35" s="223"/>
      <c r="E35" s="224"/>
      <c r="F35" s="225"/>
      <c r="G35" s="226"/>
      <c r="H35" s="222"/>
      <c r="I35" s="222"/>
      <c r="J35" s="222"/>
      <c r="K35" s="220"/>
      <c r="L35" s="232"/>
      <c r="M35" s="232"/>
      <c r="N35" s="222"/>
      <c r="O35" s="227"/>
      <c r="P35" s="224"/>
      <c r="Q35" s="223"/>
      <c r="R35" s="228"/>
      <c r="S35" s="226"/>
      <c r="T35" s="215"/>
      <c r="U35" s="232"/>
      <c r="V35" s="232"/>
      <c r="W35" s="217"/>
      <c r="X35" s="217"/>
      <c r="Y35" s="232"/>
      <c r="Z35" s="232"/>
      <c r="AA35" s="232"/>
      <c r="AB35" s="232"/>
      <c r="AC35" s="232"/>
      <c r="AD35" s="232"/>
      <c r="AE35" s="232"/>
    </row>
    <row r="36" spans="1:31">
      <c r="A36" s="222"/>
      <c r="B36" s="222"/>
      <c r="C36" s="163"/>
      <c r="D36" s="223"/>
      <c r="E36" s="224"/>
      <c r="F36" s="225"/>
      <c r="G36" s="226"/>
      <c r="H36" s="222"/>
      <c r="I36" s="222"/>
      <c r="J36" s="222"/>
      <c r="K36" s="220"/>
      <c r="L36" s="232"/>
      <c r="M36" s="232"/>
      <c r="N36" s="222"/>
      <c r="O36" s="227"/>
      <c r="P36" s="224"/>
      <c r="Q36" s="223"/>
      <c r="R36" s="228"/>
      <c r="S36" s="226"/>
      <c r="T36" s="215"/>
      <c r="U36" s="232"/>
      <c r="V36" s="232"/>
      <c r="W36" s="217"/>
      <c r="X36" s="217"/>
      <c r="Y36" s="232"/>
      <c r="Z36" s="232"/>
      <c r="AA36" s="232"/>
      <c r="AB36" s="232"/>
      <c r="AC36" s="232"/>
      <c r="AD36" s="232"/>
      <c r="AE36" s="232"/>
    </row>
    <row r="37" spans="1:31">
      <c r="A37" s="222"/>
      <c r="B37" s="222"/>
      <c r="C37" s="163"/>
      <c r="D37" s="223"/>
      <c r="E37" s="224"/>
      <c r="F37" s="225"/>
      <c r="G37" s="226"/>
      <c r="H37" s="222"/>
      <c r="I37" s="222"/>
      <c r="J37" s="222"/>
      <c r="K37" s="220"/>
      <c r="L37" s="232"/>
      <c r="M37" s="232"/>
      <c r="N37" s="222"/>
      <c r="O37" s="227"/>
      <c r="P37" s="224"/>
      <c r="Q37" s="223"/>
      <c r="R37" s="228"/>
      <c r="S37" s="226"/>
      <c r="T37" s="215"/>
      <c r="U37" s="232"/>
      <c r="V37" s="232"/>
      <c r="W37" s="217"/>
      <c r="X37" s="217"/>
      <c r="Y37" s="232"/>
      <c r="Z37" s="232"/>
      <c r="AA37" s="232"/>
      <c r="AB37" s="232"/>
      <c r="AC37" s="232"/>
      <c r="AD37" s="232"/>
      <c r="AE37" s="232"/>
    </row>
    <row r="38" spans="1:31">
      <c r="A38" s="222"/>
      <c r="B38" s="222"/>
      <c r="C38" s="163"/>
      <c r="D38" s="223"/>
      <c r="E38" s="224"/>
      <c r="F38" s="225"/>
      <c r="G38" s="226"/>
      <c r="H38" s="222"/>
      <c r="I38" s="222"/>
      <c r="J38" s="222"/>
      <c r="K38" s="220"/>
      <c r="L38" s="232"/>
      <c r="M38" s="232"/>
      <c r="N38" s="222"/>
      <c r="O38" s="227"/>
      <c r="P38" s="224"/>
      <c r="Q38" s="223"/>
      <c r="R38" s="228"/>
      <c r="S38" s="226"/>
      <c r="T38" s="215"/>
      <c r="U38" s="232"/>
      <c r="V38" s="232"/>
      <c r="W38" s="217"/>
      <c r="X38" s="217"/>
      <c r="Y38" s="232"/>
      <c r="Z38" s="232"/>
      <c r="AA38" s="232"/>
      <c r="AB38" s="232"/>
      <c r="AC38" s="232"/>
      <c r="AD38" s="232"/>
      <c r="AE38" s="232"/>
    </row>
    <row r="39" spans="1:31">
      <c r="A39" s="222"/>
      <c r="B39" s="222"/>
      <c r="C39" s="163"/>
      <c r="D39" s="223"/>
      <c r="E39" s="224"/>
      <c r="F39" s="225"/>
      <c r="G39" s="226"/>
      <c r="H39" s="222"/>
      <c r="I39" s="222"/>
      <c r="J39" s="222"/>
      <c r="K39" s="220"/>
      <c r="L39" s="232"/>
      <c r="M39" s="232"/>
      <c r="N39" s="222"/>
      <c r="O39" s="227"/>
      <c r="P39" s="224"/>
      <c r="Q39" s="223"/>
      <c r="R39" s="228"/>
      <c r="S39" s="226"/>
      <c r="T39" s="215"/>
      <c r="U39" s="232"/>
      <c r="V39" s="232"/>
      <c r="W39" s="217"/>
      <c r="X39" s="217"/>
      <c r="Y39" s="232"/>
      <c r="Z39" s="232"/>
      <c r="AA39" s="232"/>
      <c r="AB39" s="232"/>
      <c r="AC39" s="232"/>
      <c r="AD39" s="232"/>
      <c r="AE39" s="232"/>
    </row>
    <row r="40" spans="1:31">
      <c r="A40" s="222"/>
      <c r="B40" s="222"/>
      <c r="C40" s="163"/>
      <c r="D40" s="223"/>
      <c r="E40" s="224"/>
      <c r="F40" s="225"/>
      <c r="G40" s="226"/>
      <c r="H40" s="222"/>
      <c r="I40" s="222"/>
      <c r="J40" s="222"/>
      <c r="K40" s="220"/>
      <c r="L40" s="232"/>
      <c r="M40" s="232"/>
      <c r="N40" s="222"/>
      <c r="O40" s="227"/>
      <c r="P40" s="224"/>
      <c r="Q40" s="223"/>
      <c r="R40" s="228"/>
      <c r="S40" s="226"/>
      <c r="T40" s="215"/>
      <c r="U40" s="232"/>
      <c r="V40" s="232"/>
      <c r="W40" s="217"/>
      <c r="X40" s="217"/>
      <c r="Y40" s="232"/>
      <c r="Z40" s="232"/>
      <c r="AA40" s="232"/>
      <c r="AB40" s="232"/>
      <c r="AC40" s="232"/>
      <c r="AD40" s="232"/>
      <c r="AE40" s="232"/>
    </row>
    <row r="41" spans="1:31">
      <c r="A41" s="222"/>
      <c r="B41" s="222"/>
      <c r="C41" s="163"/>
      <c r="D41" s="223"/>
      <c r="E41" s="224"/>
      <c r="F41" s="225"/>
      <c r="G41" s="226"/>
      <c r="H41" s="222"/>
      <c r="I41" s="222"/>
      <c r="J41" s="222"/>
      <c r="K41" s="220"/>
      <c r="L41" s="232"/>
      <c r="M41" s="232"/>
      <c r="N41" s="222"/>
      <c r="O41" s="227"/>
      <c r="P41" s="224"/>
      <c r="Q41" s="223"/>
      <c r="R41" s="228"/>
      <c r="S41" s="226"/>
      <c r="T41" s="215"/>
      <c r="U41" s="232"/>
      <c r="V41" s="232"/>
      <c r="W41" s="217"/>
      <c r="X41" s="217"/>
      <c r="Y41" s="232"/>
      <c r="Z41" s="232"/>
      <c r="AA41" s="232"/>
      <c r="AB41" s="232"/>
      <c r="AC41" s="232"/>
      <c r="AD41" s="232"/>
      <c r="AE41" s="232"/>
    </row>
    <row r="42" spans="1:31">
      <c r="A42" s="222"/>
      <c r="B42" s="222"/>
      <c r="C42" s="163"/>
      <c r="D42" s="223"/>
      <c r="E42" s="224"/>
      <c r="F42" s="225"/>
      <c r="G42" s="226"/>
      <c r="H42" s="222"/>
      <c r="I42" s="222"/>
      <c r="J42" s="222"/>
      <c r="K42" s="220"/>
      <c r="L42" s="232"/>
      <c r="M42" s="232"/>
      <c r="N42" s="222"/>
      <c r="O42" s="227"/>
      <c r="P42" s="224"/>
      <c r="Q42" s="223"/>
      <c r="R42" s="228"/>
      <c r="S42" s="226"/>
      <c r="T42" s="215"/>
      <c r="U42" s="232"/>
      <c r="V42" s="232"/>
      <c r="W42" s="217"/>
      <c r="X42" s="217"/>
      <c r="Y42" s="232"/>
      <c r="Z42" s="232"/>
      <c r="AA42" s="232"/>
      <c r="AB42" s="232"/>
      <c r="AC42" s="232"/>
      <c r="AD42" s="232"/>
      <c r="AE42" s="232"/>
    </row>
    <row r="43" spans="1:31">
      <c r="A43" s="222"/>
      <c r="B43" s="222"/>
      <c r="C43" s="163"/>
      <c r="D43" s="223"/>
      <c r="E43" s="224"/>
      <c r="F43" s="225"/>
      <c r="G43" s="226"/>
      <c r="H43" s="222"/>
      <c r="I43" s="222"/>
      <c r="J43" s="222"/>
      <c r="K43" s="220"/>
      <c r="L43" s="232"/>
      <c r="M43" s="232"/>
      <c r="N43" s="222"/>
      <c r="O43" s="227"/>
      <c r="P43" s="224"/>
      <c r="Q43" s="223"/>
      <c r="R43" s="228"/>
      <c r="S43" s="226"/>
      <c r="T43" s="215"/>
      <c r="U43" s="232"/>
      <c r="V43" s="232"/>
      <c r="W43" s="217"/>
      <c r="X43" s="217"/>
      <c r="Y43" s="232"/>
      <c r="Z43" s="232"/>
      <c r="AA43" s="232"/>
      <c r="AB43" s="232"/>
      <c r="AC43" s="232"/>
      <c r="AD43" s="232"/>
      <c r="AE43" s="232"/>
    </row>
    <row r="44" spans="1:31">
      <c r="A44" s="222"/>
      <c r="B44" s="222"/>
      <c r="C44" s="163"/>
      <c r="D44" s="223"/>
      <c r="E44" s="224"/>
      <c r="F44" s="225"/>
      <c r="G44" s="226"/>
      <c r="H44" s="222"/>
      <c r="I44" s="222"/>
      <c r="J44" s="222"/>
      <c r="K44" s="220"/>
      <c r="L44" s="232"/>
      <c r="M44" s="232"/>
      <c r="N44" s="222"/>
      <c r="O44" s="227"/>
      <c r="P44" s="224"/>
      <c r="Q44" s="223"/>
      <c r="R44" s="228"/>
      <c r="S44" s="226"/>
      <c r="T44" s="215"/>
      <c r="U44" s="232"/>
      <c r="V44" s="232"/>
      <c r="W44" s="217"/>
      <c r="X44" s="217"/>
      <c r="Y44" s="232"/>
      <c r="Z44" s="232"/>
      <c r="AA44" s="232"/>
      <c r="AB44" s="232"/>
      <c r="AC44" s="232"/>
      <c r="AD44" s="232"/>
      <c r="AE44" s="232"/>
    </row>
    <row r="45" spans="1:31">
      <c r="A45" s="222"/>
      <c r="B45" s="222"/>
      <c r="C45" s="163"/>
      <c r="D45" s="223"/>
      <c r="E45" s="224"/>
      <c r="F45" s="225"/>
      <c r="G45" s="226"/>
      <c r="H45" s="222"/>
      <c r="I45" s="222"/>
      <c r="J45" s="222"/>
      <c r="K45" s="220"/>
      <c r="L45" s="232"/>
      <c r="M45" s="232"/>
      <c r="N45" s="222"/>
      <c r="O45" s="227"/>
      <c r="P45" s="224"/>
      <c r="Q45" s="223"/>
      <c r="R45" s="228"/>
      <c r="S45" s="226"/>
      <c r="T45" s="215"/>
      <c r="U45" s="232"/>
      <c r="V45" s="232"/>
      <c r="W45" s="217"/>
      <c r="X45" s="217"/>
      <c r="Y45" s="232"/>
      <c r="Z45" s="232"/>
      <c r="AA45" s="232"/>
      <c r="AB45" s="232"/>
      <c r="AC45" s="232"/>
      <c r="AD45" s="232"/>
      <c r="AE45" s="232"/>
    </row>
    <row r="46" spans="1:31">
      <c r="A46" s="222"/>
      <c r="B46" s="222"/>
      <c r="C46" s="163"/>
      <c r="D46" s="223"/>
      <c r="E46" s="224"/>
      <c r="F46" s="225"/>
      <c r="G46" s="226"/>
      <c r="H46" s="222"/>
      <c r="I46" s="222"/>
      <c r="J46" s="222"/>
      <c r="K46" s="220"/>
      <c r="L46" s="232"/>
      <c r="M46" s="232"/>
      <c r="N46" s="222"/>
      <c r="O46" s="227"/>
      <c r="P46" s="224"/>
      <c r="Q46" s="223"/>
      <c r="R46" s="228"/>
      <c r="S46" s="226"/>
      <c r="T46" s="215"/>
      <c r="U46" s="232"/>
      <c r="V46" s="232"/>
      <c r="W46" s="217"/>
      <c r="X46" s="217"/>
      <c r="Y46" s="232"/>
      <c r="Z46" s="232"/>
      <c r="AA46" s="232"/>
      <c r="AB46" s="232"/>
      <c r="AC46" s="232"/>
      <c r="AD46" s="232"/>
      <c r="AE46" s="232"/>
    </row>
    <row r="47" spans="1:31">
      <c r="A47" s="222"/>
      <c r="B47" s="222"/>
      <c r="C47" s="163"/>
      <c r="D47" s="223"/>
      <c r="E47" s="224"/>
      <c r="F47" s="225"/>
      <c r="G47" s="226"/>
      <c r="H47" s="222"/>
      <c r="I47" s="222"/>
      <c r="J47" s="222"/>
      <c r="K47" s="220"/>
      <c r="L47" s="232"/>
      <c r="M47" s="232"/>
      <c r="N47" s="222"/>
      <c r="O47" s="227"/>
      <c r="P47" s="224"/>
      <c r="Q47" s="223"/>
      <c r="R47" s="228"/>
      <c r="S47" s="226"/>
      <c r="T47" s="215"/>
      <c r="U47" s="232"/>
      <c r="V47" s="232"/>
      <c r="W47" s="217"/>
      <c r="X47" s="217"/>
      <c r="Y47" s="232"/>
      <c r="Z47" s="232"/>
      <c r="AA47" s="232"/>
      <c r="AB47" s="232"/>
      <c r="AC47" s="232"/>
      <c r="AD47" s="232"/>
      <c r="AE47" s="232"/>
    </row>
    <row r="48" spans="1:31">
      <c r="A48" s="222"/>
      <c r="B48" s="222"/>
      <c r="C48" s="163"/>
      <c r="D48" s="223"/>
      <c r="E48" s="224"/>
      <c r="F48" s="225"/>
      <c r="G48" s="226"/>
      <c r="H48" s="222"/>
      <c r="I48" s="222"/>
      <c r="J48" s="222"/>
      <c r="K48" s="220"/>
      <c r="L48" s="232"/>
      <c r="M48" s="232"/>
      <c r="N48" s="222"/>
      <c r="O48" s="227"/>
      <c r="P48" s="224"/>
      <c r="Q48" s="223"/>
      <c r="R48" s="228"/>
      <c r="S48" s="226"/>
      <c r="T48" s="215"/>
      <c r="U48" s="232"/>
      <c r="V48" s="232"/>
      <c r="W48" s="217"/>
      <c r="X48" s="217"/>
      <c r="Y48" s="232"/>
      <c r="Z48" s="232"/>
      <c r="AA48" s="232"/>
      <c r="AB48" s="232"/>
      <c r="AC48" s="232"/>
      <c r="AD48" s="232"/>
      <c r="AE48" s="232"/>
    </row>
    <row r="49" spans="1:31">
      <c r="A49" s="222"/>
      <c r="B49" s="222"/>
      <c r="C49" s="163"/>
      <c r="D49" s="223"/>
      <c r="E49" s="224"/>
      <c r="F49" s="225"/>
      <c r="G49" s="226"/>
      <c r="H49" s="222"/>
      <c r="I49" s="222"/>
      <c r="J49" s="222"/>
      <c r="K49" s="220"/>
      <c r="L49" s="232"/>
      <c r="M49" s="232"/>
      <c r="N49" s="222"/>
      <c r="O49" s="227"/>
      <c r="P49" s="224"/>
      <c r="Q49" s="223"/>
      <c r="R49" s="228"/>
      <c r="S49" s="226"/>
      <c r="T49" s="215"/>
      <c r="U49" s="232"/>
      <c r="V49" s="232"/>
      <c r="W49" s="217"/>
      <c r="X49" s="217"/>
      <c r="Y49" s="232"/>
      <c r="Z49" s="232"/>
      <c r="AA49" s="232"/>
      <c r="AB49" s="232"/>
      <c r="AC49" s="232"/>
      <c r="AD49" s="232"/>
      <c r="AE49" s="232"/>
    </row>
    <row r="50" spans="1:31">
      <c r="A50" s="222"/>
      <c r="B50" s="222"/>
      <c r="C50" s="163"/>
      <c r="D50" s="223"/>
      <c r="E50" s="224"/>
      <c r="F50" s="225"/>
      <c r="G50" s="226"/>
      <c r="H50" s="222"/>
      <c r="I50" s="222"/>
      <c r="J50" s="222"/>
      <c r="K50" s="220"/>
      <c r="L50" s="232"/>
      <c r="M50" s="232"/>
      <c r="N50" s="222"/>
      <c r="O50" s="227"/>
      <c r="P50" s="224"/>
      <c r="Q50" s="223"/>
      <c r="R50" s="228"/>
      <c r="S50" s="226"/>
      <c r="T50" s="215"/>
      <c r="U50" s="232"/>
      <c r="V50" s="232"/>
      <c r="W50" s="217"/>
      <c r="X50" s="217"/>
      <c r="Y50" s="232"/>
      <c r="Z50" s="232"/>
      <c r="AA50" s="232"/>
      <c r="AB50" s="232"/>
      <c r="AC50" s="232"/>
      <c r="AD50" s="232"/>
      <c r="AE50" s="232"/>
    </row>
    <row r="51" spans="1:31">
      <c r="A51" s="222"/>
      <c r="B51" s="222"/>
      <c r="C51" s="163"/>
      <c r="D51" s="223"/>
      <c r="E51" s="224"/>
      <c r="F51" s="225"/>
      <c r="G51" s="226"/>
      <c r="H51" s="222"/>
      <c r="I51" s="222"/>
      <c r="J51" s="222"/>
      <c r="K51" s="220"/>
      <c r="L51" s="232"/>
      <c r="M51" s="232"/>
      <c r="N51" s="222"/>
      <c r="O51" s="227"/>
      <c r="P51" s="224"/>
      <c r="Q51" s="223"/>
      <c r="R51" s="228"/>
      <c r="S51" s="226"/>
      <c r="T51" s="215"/>
      <c r="U51" s="232"/>
      <c r="V51" s="232"/>
      <c r="W51" s="217"/>
      <c r="X51" s="217"/>
      <c r="Y51" s="232"/>
      <c r="Z51" s="232"/>
      <c r="AA51" s="232"/>
      <c r="AB51" s="232"/>
      <c r="AC51" s="232"/>
      <c r="AD51" s="232"/>
      <c r="AE51" s="232"/>
    </row>
    <row r="52" spans="1:31">
      <c r="A52" s="222"/>
      <c r="B52" s="222"/>
      <c r="C52" s="163"/>
      <c r="D52" s="223"/>
      <c r="E52" s="224"/>
      <c r="F52" s="225"/>
      <c r="G52" s="226"/>
      <c r="H52" s="222"/>
      <c r="I52" s="222"/>
      <c r="J52" s="222"/>
      <c r="K52" s="220"/>
      <c r="L52" s="232"/>
      <c r="M52" s="232"/>
      <c r="N52" s="222"/>
      <c r="O52" s="227"/>
      <c r="P52" s="224"/>
      <c r="Q52" s="223"/>
      <c r="R52" s="228"/>
      <c r="S52" s="226"/>
      <c r="T52" s="215"/>
      <c r="U52" s="232"/>
      <c r="V52" s="232"/>
      <c r="W52" s="217"/>
      <c r="X52" s="217"/>
      <c r="Y52" s="232"/>
      <c r="Z52" s="232"/>
      <c r="AA52" s="232"/>
      <c r="AB52" s="232"/>
      <c r="AC52" s="232"/>
      <c r="AD52" s="232"/>
      <c r="AE52" s="232"/>
    </row>
    <row r="53" spans="1:31">
      <c r="A53" s="222"/>
      <c r="B53" s="222"/>
      <c r="C53" s="163"/>
      <c r="D53" s="223"/>
      <c r="E53" s="224"/>
      <c r="F53" s="225"/>
      <c r="G53" s="226"/>
      <c r="H53" s="222"/>
      <c r="I53" s="222"/>
      <c r="J53" s="222"/>
      <c r="K53" s="220"/>
      <c r="L53" s="232"/>
      <c r="M53" s="232"/>
      <c r="N53" s="222"/>
      <c r="O53" s="227"/>
      <c r="P53" s="224"/>
      <c r="Q53" s="223"/>
      <c r="R53" s="228"/>
      <c r="S53" s="226"/>
      <c r="T53" s="215"/>
      <c r="U53" s="232"/>
      <c r="V53" s="232"/>
      <c r="W53" s="217"/>
      <c r="X53" s="217"/>
      <c r="Y53" s="232"/>
      <c r="Z53" s="232"/>
      <c r="AA53" s="232"/>
      <c r="AB53" s="232"/>
      <c r="AC53" s="232"/>
      <c r="AD53" s="232"/>
      <c r="AE53" s="232"/>
    </row>
    <row r="54" spans="1:31">
      <c r="A54" s="222"/>
      <c r="B54" s="222"/>
      <c r="C54" s="163"/>
      <c r="D54" s="223"/>
      <c r="E54" s="224"/>
      <c r="F54" s="225"/>
      <c r="G54" s="226"/>
      <c r="H54" s="222"/>
      <c r="I54" s="222"/>
      <c r="J54" s="222"/>
      <c r="K54" s="220"/>
      <c r="L54" s="232"/>
      <c r="M54" s="232"/>
      <c r="N54" s="222"/>
      <c r="O54" s="227"/>
      <c r="P54" s="224"/>
      <c r="Q54" s="223"/>
      <c r="R54" s="228"/>
      <c r="S54" s="226"/>
      <c r="T54" s="215"/>
      <c r="U54" s="232"/>
      <c r="V54" s="232"/>
      <c r="W54" s="217"/>
      <c r="X54" s="217"/>
      <c r="Y54" s="232"/>
      <c r="Z54" s="232"/>
      <c r="AA54" s="232"/>
      <c r="AB54" s="232"/>
      <c r="AC54" s="232"/>
      <c r="AD54" s="232"/>
      <c r="AE54" s="232"/>
    </row>
    <row r="55" spans="1:31">
      <c r="A55" s="222"/>
      <c r="B55" s="222"/>
      <c r="C55" s="163"/>
      <c r="D55" s="223"/>
      <c r="E55" s="224"/>
      <c r="F55" s="225"/>
      <c r="G55" s="226"/>
      <c r="H55" s="222"/>
      <c r="I55" s="222"/>
      <c r="J55" s="222"/>
      <c r="K55" s="220"/>
      <c r="L55" s="232"/>
      <c r="M55" s="232"/>
      <c r="N55" s="222"/>
      <c r="O55" s="227"/>
      <c r="P55" s="224"/>
      <c r="Q55" s="223"/>
      <c r="R55" s="228"/>
      <c r="S55" s="226"/>
      <c r="T55" s="215"/>
      <c r="U55" s="232"/>
      <c r="V55" s="232"/>
      <c r="W55" s="217"/>
      <c r="X55" s="217"/>
      <c r="Y55" s="232"/>
      <c r="Z55" s="232"/>
      <c r="AA55" s="232"/>
      <c r="AB55" s="232"/>
      <c r="AC55" s="232"/>
      <c r="AD55" s="232"/>
      <c r="AE55" s="232"/>
    </row>
    <row r="56" spans="1:31">
      <c r="A56" s="222"/>
      <c r="B56" s="222"/>
      <c r="C56" s="163"/>
      <c r="D56" s="223"/>
      <c r="E56" s="224"/>
      <c r="F56" s="225"/>
      <c r="G56" s="226"/>
      <c r="H56" s="222"/>
      <c r="I56" s="222"/>
      <c r="J56" s="222"/>
      <c r="K56" s="220"/>
      <c r="L56" s="232"/>
      <c r="M56" s="232"/>
      <c r="N56" s="222"/>
      <c r="O56" s="227"/>
      <c r="P56" s="224"/>
      <c r="Q56" s="223"/>
      <c r="R56" s="228"/>
      <c r="S56" s="226"/>
      <c r="T56" s="215"/>
      <c r="U56" s="232"/>
      <c r="V56" s="232"/>
      <c r="W56" s="217"/>
      <c r="X56" s="217"/>
      <c r="Y56" s="232"/>
      <c r="Z56" s="232"/>
      <c r="AA56" s="232"/>
      <c r="AB56" s="232"/>
      <c r="AC56" s="232"/>
      <c r="AD56" s="232"/>
      <c r="AE56" s="232"/>
    </row>
    <row r="57" spans="1:31">
      <c r="A57" s="222"/>
      <c r="B57" s="222"/>
      <c r="C57" s="163"/>
      <c r="D57" s="223"/>
      <c r="E57" s="224"/>
      <c r="F57" s="225"/>
      <c r="G57" s="226"/>
      <c r="H57" s="222"/>
      <c r="I57" s="222"/>
      <c r="J57" s="222"/>
      <c r="K57" s="220"/>
      <c r="L57" s="232"/>
      <c r="M57" s="232"/>
      <c r="N57" s="222"/>
      <c r="O57" s="227"/>
      <c r="P57" s="224"/>
      <c r="Q57" s="223"/>
      <c r="R57" s="228"/>
      <c r="S57" s="226"/>
      <c r="T57" s="215"/>
      <c r="U57" s="232"/>
      <c r="V57" s="232"/>
      <c r="W57" s="217"/>
      <c r="X57" s="217"/>
      <c r="Y57" s="232"/>
      <c r="Z57" s="232"/>
      <c r="AA57" s="232"/>
      <c r="AB57" s="232"/>
      <c r="AC57" s="232"/>
      <c r="AD57" s="232"/>
      <c r="AE57" s="232"/>
    </row>
    <row r="58" spans="1:31">
      <c r="A58" s="222"/>
      <c r="B58" s="222"/>
      <c r="C58" s="163"/>
      <c r="D58" s="223"/>
      <c r="E58" s="224"/>
      <c r="F58" s="225"/>
      <c r="G58" s="226"/>
      <c r="H58" s="222"/>
      <c r="I58" s="222"/>
      <c r="J58" s="222"/>
      <c r="K58" s="220"/>
      <c r="L58" s="232"/>
      <c r="M58" s="232"/>
      <c r="N58" s="222"/>
      <c r="O58" s="227"/>
      <c r="P58" s="224"/>
      <c r="Q58" s="223"/>
      <c r="R58" s="228"/>
      <c r="S58" s="226"/>
      <c r="T58" s="215"/>
      <c r="U58" s="232"/>
      <c r="V58" s="232"/>
      <c r="W58" s="217"/>
      <c r="X58" s="217"/>
      <c r="Y58" s="232"/>
      <c r="Z58" s="232"/>
      <c r="AA58" s="232"/>
      <c r="AB58" s="232"/>
      <c r="AC58" s="232"/>
      <c r="AD58" s="232"/>
      <c r="AE58" s="232"/>
    </row>
    <row r="59" spans="1:31">
      <c r="A59" s="222"/>
      <c r="B59" s="222"/>
      <c r="C59" s="163"/>
      <c r="D59" s="223"/>
      <c r="E59" s="224"/>
      <c r="F59" s="225"/>
      <c r="G59" s="226"/>
      <c r="H59" s="222"/>
      <c r="I59" s="222"/>
      <c r="J59" s="222"/>
      <c r="K59" s="220"/>
      <c r="L59" s="232"/>
      <c r="M59" s="232"/>
      <c r="N59" s="222"/>
      <c r="O59" s="227"/>
      <c r="P59" s="224"/>
      <c r="Q59" s="223"/>
      <c r="R59" s="228"/>
      <c r="S59" s="226"/>
      <c r="T59" s="215"/>
      <c r="U59" s="232"/>
      <c r="V59" s="232"/>
      <c r="W59" s="217"/>
      <c r="X59" s="217"/>
      <c r="Y59" s="232"/>
      <c r="Z59" s="232"/>
      <c r="AA59" s="232"/>
      <c r="AB59" s="232"/>
      <c r="AC59" s="232"/>
      <c r="AD59" s="232"/>
      <c r="AE59" s="232"/>
    </row>
    <row r="60" spans="1:31">
      <c r="A60" s="222"/>
      <c r="B60" s="222"/>
      <c r="C60" s="163"/>
      <c r="D60" s="223"/>
      <c r="E60" s="224"/>
      <c r="F60" s="225"/>
      <c r="G60" s="226"/>
      <c r="H60" s="222"/>
      <c r="I60" s="222"/>
      <c r="J60" s="222"/>
      <c r="K60" s="220"/>
      <c r="L60" s="232"/>
      <c r="M60" s="232"/>
      <c r="N60" s="222"/>
      <c r="O60" s="227"/>
      <c r="P60" s="224"/>
      <c r="Q60" s="223"/>
      <c r="R60" s="228"/>
      <c r="S60" s="226"/>
      <c r="T60" s="215"/>
      <c r="U60" s="232"/>
      <c r="V60" s="232"/>
      <c r="W60" s="217"/>
      <c r="X60" s="217"/>
      <c r="Y60" s="232"/>
      <c r="Z60" s="232"/>
      <c r="AA60" s="232"/>
      <c r="AB60" s="232"/>
      <c r="AC60" s="232"/>
      <c r="AD60" s="232"/>
      <c r="AE60" s="232"/>
    </row>
    <row r="61" spans="1:31">
      <c r="A61" s="222"/>
      <c r="B61" s="222"/>
      <c r="C61" s="163"/>
      <c r="D61" s="223"/>
      <c r="E61" s="224"/>
      <c r="F61" s="225"/>
      <c r="G61" s="226"/>
      <c r="H61" s="222"/>
      <c r="I61" s="222"/>
      <c r="J61" s="222"/>
      <c r="K61" s="220"/>
      <c r="L61" s="232"/>
      <c r="M61" s="232"/>
      <c r="N61" s="222"/>
      <c r="O61" s="227"/>
      <c r="P61" s="224"/>
      <c r="Q61" s="223"/>
      <c r="R61" s="228"/>
      <c r="S61" s="226"/>
      <c r="T61" s="215"/>
      <c r="U61" s="232"/>
      <c r="V61" s="232"/>
      <c r="W61" s="217"/>
      <c r="X61" s="217"/>
      <c r="Y61" s="232"/>
      <c r="Z61" s="232"/>
      <c r="AA61" s="232"/>
      <c r="AB61" s="232"/>
      <c r="AC61" s="232"/>
      <c r="AD61" s="232"/>
      <c r="AE61" s="232"/>
    </row>
    <row r="62" spans="1:31">
      <c r="A62" s="222"/>
      <c r="B62" s="222"/>
      <c r="C62" s="163"/>
      <c r="D62" s="223"/>
      <c r="E62" s="224"/>
      <c r="F62" s="225"/>
      <c r="G62" s="226"/>
      <c r="H62" s="222"/>
      <c r="I62" s="222"/>
      <c r="J62" s="222"/>
      <c r="K62" s="220"/>
      <c r="L62" s="232"/>
      <c r="M62" s="232"/>
      <c r="N62" s="222"/>
      <c r="O62" s="227"/>
      <c r="P62" s="224"/>
      <c r="Q62" s="223"/>
      <c r="R62" s="228"/>
      <c r="S62" s="226"/>
      <c r="T62" s="215"/>
      <c r="U62" s="232"/>
      <c r="V62" s="232"/>
      <c r="W62" s="217"/>
      <c r="X62" s="217"/>
      <c r="Y62" s="232"/>
      <c r="Z62" s="232"/>
      <c r="AA62" s="232"/>
      <c r="AB62" s="232"/>
      <c r="AC62" s="232"/>
      <c r="AD62" s="232"/>
      <c r="AE62" s="232"/>
    </row>
    <row r="63" spans="1:31">
      <c r="A63" s="222"/>
      <c r="B63" s="222"/>
      <c r="C63" s="163"/>
      <c r="D63" s="223"/>
      <c r="E63" s="224"/>
      <c r="F63" s="225"/>
      <c r="G63" s="226"/>
      <c r="H63" s="222"/>
      <c r="I63" s="222"/>
      <c r="J63" s="222"/>
      <c r="K63" s="220"/>
      <c r="L63" s="232"/>
      <c r="M63" s="232"/>
      <c r="N63" s="222"/>
      <c r="O63" s="227"/>
      <c r="P63" s="224"/>
      <c r="Q63" s="223"/>
      <c r="R63" s="228"/>
      <c r="S63" s="226"/>
      <c r="T63" s="215"/>
      <c r="U63" s="232"/>
      <c r="V63" s="232"/>
      <c r="W63" s="217"/>
      <c r="X63" s="217"/>
      <c r="Y63" s="232"/>
      <c r="Z63" s="232"/>
      <c r="AA63" s="232"/>
      <c r="AB63" s="232"/>
      <c r="AC63" s="232"/>
      <c r="AD63" s="232"/>
      <c r="AE63" s="232"/>
    </row>
    <row r="64" spans="1:31">
      <c r="A64" s="222"/>
      <c r="B64" s="222"/>
      <c r="C64" s="163"/>
      <c r="D64" s="223"/>
      <c r="E64" s="224"/>
      <c r="F64" s="225"/>
      <c r="G64" s="226"/>
      <c r="H64" s="222"/>
      <c r="I64" s="222"/>
      <c r="J64" s="222"/>
      <c r="K64" s="220"/>
      <c r="L64" s="232"/>
      <c r="M64" s="232"/>
      <c r="N64" s="222"/>
      <c r="O64" s="227"/>
      <c r="P64" s="224"/>
      <c r="Q64" s="223"/>
      <c r="R64" s="228"/>
      <c r="S64" s="226"/>
      <c r="T64" s="215"/>
      <c r="U64" s="232"/>
      <c r="V64" s="232"/>
      <c r="W64" s="217"/>
      <c r="X64" s="217"/>
      <c r="Y64" s="232"/>
      <c r="Z64" s="232"/>
      <c r="AA64" s="232"/>
      <c r="AB64" s="232"/>
      <c r="AC64" s="232"/>
      <c r="AD64" s="232"/>
      <c r="AE64" s="232"/>
    </row>
    <row r="65" spans="1:31">
      <c r="A65" s="222"/>
      <c r="B65" s="222"/>
      <c r="C65" s="163"/>
      <c r="D65" s="223"/>
      <c r="E65" s="224"/>
      <c r="F65" s="225"/>
      <c r="G65" s="226"/>
      <c r="H65" s="222"/>
      <c r="I65" s="222"/>
      <c r="J65" s="222"/>
      <c r="K65" s="220"/>
      <c r="L65" s="232"/>
      <c r="M65" s="232"/>
      <c r="N65" s="222"/>
      <c r="O65" s="227"/>
      <c r="P65" s="224"/>
      <c r="Q65" s="223"/>
      <c r="R65" s="228"/>
      <c r="S65" s="226"/>
      <c r="T65" s="215"/>
      <c r="U65" s="232"/>
      <c r="V65" s="232"/>
      <c r="W65" s="217"/>
      <c r="X65" s="217"/>
      <c r="Y65" s="232"/>
      <c r="Z65" s="232"/>
      <c r="AA65" s="232"/>
      <c r="AB65" s="232"/>
      <c r="AC65" s="232"/>
      <c r="AD65" s="232"/>
      <c r="AE65" s="232"/>
    </row>
    <row r="66" spans="1:31">
      <c r="A66" s="222"/>
      <c r="B66" s="222"/>
      <c r="C66" s="163"/>
      <c r="D66" s="223"/>
      <c r="E66" s="224"/>
      <c r="F66" s="225"/>
      <c r="G66" s="226"/>
      <c r="H66" s="222"/>
      <c r="I66" s="222"/>
      <c r="J66" s="222"/>
      <c r="K66" s="220"/>
      <c r="L66" s="232"/>
      <c r="M66" s="232"/>
      <c r="N66" s="222"/>
      <c r="O66" s="227"/>
      <c r="P66" s="224"/>
      <c r="Q66" s="223"/>
      <c r="R66" s="228"/>
      <c r="S66" s="226"/>
      <c r="T66" s="215"/>
      <c r="U66" s="232"/>
      <c r="V66" s="232"/>
      <c r="W66" s="217"/>
      <c r="X66" s="217"/>
      <c r="Y66" s="232"/>
      <c r="Z66" s="232"/>
      <c r="AA66" s="232"/>
      <c r="AB66" s="232"/>
      <c r="AC66" s="232"/>
      <c r="AD66" s="232"/>
      <c r="AE66" s="232"/>
    </row>
    <row r="67" spans="1:31">
      <c r="A67" s="222"/>
      <c r="B67" s="222"/>
      <c r="C67" s="163"/>
      <c r="D67" s="223"/>
      <c r="E67" s="224"/>
      <c r="F67" s="225"/>
      <c r="G67" s="226"/>
      <c r="H67" s="222"/>
      <c r="I67" s="222"/>
      <c r="J67" s="222"/>
      <c r="K67" s="220"/>
      <c r="L67" s="232"/>
      <c r="M67" s="232"/>
      <c r="N67" s="222"/>
      <c r="O67" s="227"/>
      <c r="P67" s="224"/>
      <c r="Q67" s="223"/>
      <c r="R67" s="228"/>
      <c r="S67" s="226"/>
      <c r="T67" s="215"/>
      <c r="U67" s="232"/>
      <c r="V67" s="232"/>
      <c r="W67" s="217"/>
      <c r="X67" s="217"/>
      <c r="Y67" s="232"/>
      <c r="Z67" s="232"/>
      <c r="AA67" s="232"/>
      <c r="AB67" s="232"/>
      <c r="AC67" s="232"/>
      <c r="AD67" s="232"/>
      <c r="AE67" s="232"/>
    </row>
    <row r="68" spans="1:31">
      <c r="A68" s="222"/>
      <c r="B68" s="222"/>
      <c r="C68" s="163"/>
      <c r="D68" s="223"/>
      <c r="E68" s="224"/>
      <c r="F68" s="225"/>
      <c r="G68" s="226"/>
      <c r="H68" s="222"/>
      <c r="I68" s="222"/>
      <c r="J68" s="222"/>
      <c r="K68" s="220"/>
      <c r="L68" s="232"/>
      <c r="M68" s="232"/>
      <c r="N68" s="222"/>
      <c r="O68" s="227"/>
      <c r="P68" s="224"/>
      <c r="Q68" s="223"/>
      <c r="R68" s="228"/>
      <c r="S68" s="226"/>
      <c r="T68" s="215"/>
      <c r="U68" s="232"/>
      <c r="V68" s="232"/>
      <c r="W68" s="217"/>
      <c r="X68" s="217"/>
      <c r="Y68" s="232"/>
      <c r="Z68" s="232"/>
      <c r="AA68" s="232"/>
      <c r="AB68" s="232"/>
      <c r="AC68" s="232"/>
      <c r="AD68" s="232"/>
      <c r="AE68" s="232"/>
    </row>
    <row r="69" spans="1:31">
      <c r="A69" s="222"/>
      <c r="B69" s="222"/>
      <c r="C69" s="163"/>
      <c r="D69" s="223"/>
      <c r="E69" s="224"/>
      <c r="F69" s="225"/>
      <c r="G69" s="226"/>
      <c r="H69" s="222"/>
      <c r="I69" s="222"/>
      <c r="J69" s="222"/>
      <c r="K69" s="220"/>
      <c r="L69" s="232"/>
      <c r="M69" s="232"/>
      <c r="N69" s="222"/>
      <c r="O69" s="227"/>
      <c r="P69" s="224"/>
      <c r="Q69" s="223"/>
      <c r="R69" s="228"/>
      <c r="S69" s="226"/>
      <c r="T69" s="215"/>
      <c r="U69" s="232"/>
      <c r="V69" s="232"/>
      <c r="W69" s="217"/>
      <c r="X69" s="217"/>
      <c r="Y69" s="232"/>
      <c r="Z69" s="232"/>
      <c r="AA69" s="232"/>
      <c r="AB69" s="232"/>
      <c r="AC69" s="232"/>
      <c r="AD69" s="232"/>
      <c r="AE69" s="232"/>
    </row>
    <row r="70" spans="1:31">
      <c r="A70" s="222"/>
      <c r="B70" s="222"/>
      <c r="C70" s="163"/>
      <c r="D70" s="223"/>
      <c r="E70" s="224"/>
      <c r="F70" s="225"/>
      <c r="G70" s="226"/>
      <c r="H70" s="222"/>
      <c r="I70" s="222"/>
      <c r="J70" s="222"/>
      <c r="K70" s="220"/>
      <c r="L70" s="232"/>
      <c r="M70" s="232"/>
      <c r="N70" s="222"/>
      <c r="O70" s="227"/>
      <c r="P70" s="224"/>
      <c r="Q70" s="223"/>
      <c r="R70" s="228"/>
      <c r="S70" s="226"/>
      <c r="T70" s="215"/>
      <c r="U70" s="232"/>
      <c r="V70" s="232"/>
      <c r="W70" s="217"/>
      <c r="X70" s="217"/>
      <c r="Y70" s="232"/>
      <c r="Z70" s="232"/>
      <c r="AA70" s="232"/>
      <c r="AB70" s="232"/>
      <c r="AC70" s="232"/>
      <c r="AD70" s="232"/>
      <c r="AE70" s="232"/>
    </row>
    <row r="71" spans="1:31">
      <c r="A71" s="222"/>
      <c r="B71" s="222"/>
      <c r="C71" s="163"/>
      <c r="D71" s="223"/>
      <c r="E71" s="224"/>
      <c r="F71" s="225"/>
      <c r="G71" s="226"/>
      <c r="H71" s="222"/>
      <c r="I71" s="222"/>
      <c r="J71" s="222"/>
      <c r="K71" s="220"/>
      <c r="L71" s="232"/>
      <c r="M71" s="232"/>
      <c r="N71" s="222"/>
      <c r="O71" s="227"/>
      <c r="P71" s="224"/>
      <c r="Q71" s="223"/>
      <c r="R71" s="228"/>
      <c r="S71" s="226"/>
      <c r="T71" s="215"/>
      <c r="U71" s="232"/>
      <c r="V71" s="232"/>
      <c r="W71" s="217"/>
      <c r="X71" s="217"/>
      <c r="Y71" s="232"/>
      <c r="Z71" s="232"/>
      <c r="AA71" s="232"/>
      <c r="AB71" s="232"/>
      <c r="AC71" s="232"/>
      <c r="AD71" s="232"/>
      <c r="AE71" s="232"/>
    </row>
    <row r="72" spans="1:31">
      <c r="A72" s="222"/>
      <c r="B72" s="222"/>
      <c r="C72" s="163"/>
      <c r="D72" s="223"/>
      <c r="E72" s="224"/>
      <c r="F72" s="225"/>
      <c r="G72" s="226"/>
      <c r="H72" s="222"/>
      <c r="I72" s="222"/>
      <c r="J72" s="222"/>
      <c r="K72" s="220"/>
      <c r="L72" s="232"/>
      <c r="M72" s="232"/>
      <c r="N72" s="222"/>
      <c r="O72" s="227"/>
      <c r="P72" s="224"/>
      <c r="Q72" s="223"/>
      <c r="R72" s="228"/>
      <c r="S72" s="226"/>
      <c r="T72" s="215"/>
      <c r="U72" s="232"/>
      <c r="V72" s="232"/>
      <c r="W72" s="217"/>
      <c r="X72" s="217"/>
      <c r="Y72" s="232"/>
      <c r="Z72" s="232"/>
      <c r="AA72" s="232"/>
      <c r="AB72" s="232"/>
      <c r="AC72" s="232"/>
      <c r="AD72" s="232"/>
      <c r="AE72" s="232"/>
    </row>
    <row r="73" spans="1:31">
      <c r="A73" s="222"/>
      <c r="B73" s="222"/>
      <c r="C73" s="163"/>
      <c r="D73" s="223"/>
      <c r="E73" s="224"/>
      <c r="F73" s="225"/>
      <c r="G73" s="226"/>
      <c r="H73" s="222"/>
      <c r="I73" s="222"/>
      <c r="J73" s="222"/>
      <c r="K73" s="220"/>
      <c r="L73" s="232"/>
      <c r="M73" s="232"/>
      <c r="N73" s="222"/>
      <c r="O73" s="227"/>
      <c r="P73" s="224"/>
      <c r="Q73" s="223"/>
      <c r="R73" s="228"/>
      <c r="S73" s="226"/>
      <c r="T73" s="215"/>
      <c r="U73" s="232"/>
      <c r="V73" s="232"/>
      <c r="W73" s="217"/>
      <c r="X73" s="217"/>
      <c r="Y73" s="232"/>
      <c r="Z73" s="232"/>
      <c r="AA73" s="232"/>
      <c r="AB73" s="232"/>
      <c r="AC73" s="232"/>
      <c r="AD73" s="232"/>
      <c r="AE73" s="232"/>
    </row>
    <row r="74" spans="1:31">
      <c r="A74" s="222"/>
      <c r="B74" s="222"/>
      <c r="C74" s="163"/>
      <c r="D74" s="223"/>
      <c r="E74" s="224"/>
      <c r="F74" s="225"/>
      <c r="G74" s="226"/>
      <c r="H74" s="222"/>
      <c r="I74" s="222"/>
      <c r="J74" s="222"/>
      <c r="K74" s="220"/>
      <c r="L74" s="232"/>
      <c r="M74" s="232"/>
      <c r="N74" s="222"/>
      <c r="O74" s="227"/>
      <c r="P74" s="224"/>
      <c r="Q74" s="223"/>
      <c r="R74" s="228"/>
      <c r="S74" s="226"/>
      <c r="T74" s="215"/>
      <c r="U74" s="232"/>
      <c r="V74" s="232"/>
      <c r="W74" s="217"/>
      <c r="X74" s="217"/>
      <c r="Y74" s="232"/>
      <c r="Z74" s="232"/>
      <c r="AA74" s="232"/>
      <c r="AB74" s="232"/>
      <c r="AC74" s="232"/>
      <c r="AD74" s="232"/>
      <c r="AE74" s="232"/>
    </row>
    <row r="75" spans="1:31">
      <c r="A75" s="222"/>
      <c r="B75" s="222"/>
      <c r="C75" s="163"/>
      <c r="D75" s="223"/>
      <c r="E75" s="224"/>
      <c r="F75" s="225"/>
      <c r="G75" s="226"/>
      <c r="H75" s="222"/>
      <c r="I75" s="222"/>
      <c r="J75" s="222"/>
      <c r="K75" s="220"/>
      <c r="L75" s="232"/>
      <c r="M75" s="232"/>
      <c r="N75" s="222"/>
      <c r="O75" s="227"/>
      <c r="P75" s="224"/>
      <c r="Q75" s="223"/>
      <c r="R75" s="228"/>
      <c r="S75" s="226"/>
      <c r="T75" s="215"/>
      <c r="U75" s="232"/>
      <c r="V75" s="232"/>
      <c r="W75" s="217"/>
      <c r="X75" s="217"/>
      <c r="Y75" s="232"/>
      <c r="Z75" s="232"/>
      <c r="AA75" s="232"/>
      <c r="AB75" s="232"/>
      <c r="AC75" s="232"/>
      <c r="AD75" s="232"/>
      <c r="AE75" s="232"/>
    </row>
    <row r="76" spans="1:31">
      <c r="A76" s="222"/>
      <c r="B76" s="222"/>
      <c r="C76" s="163"/>
      <c r="D76" s="223"/>
      <c r="E76" s="224"/>
      <c r="F76" s="225"/>
      <c r="G76" s="226"/>
      <c r="H76" s="222"/>
      <c r="I76" s="222"/>
      <c r="J76" s="222"/>
      <c r="K76" s="220"/>
      <c r="L76" s="232"/>
      <c r="M76" s="232"/>
      <c r="N76" s="222"/>
      <c r="O76" s="227"/>
      <c r="P76" s="224"/>
      <c r="Q76" s="223"/>
      <c r="R76" s="228"/>
      <c r="S76" s="226"/>
      <c r="T76" s="215"/>
      <c r="U76" s="232"/>
      <c r="V76" s="232"/>
      <c r="W76" s="217"/>
      <c r="X76" s="217"/>
      <c r="Y76" s="232"/>
      <c r="Z76" s="232"/>
      <c r="AA76" s="232"/>
      <c r="AB76" s="232"/>
      <c r="AC76" s="232"/>
      <c r="AD76" s="232"/>
      <c r="AE76" s="232"/>
    </row>
    <row r="77" spans="1:31">
      <c r="A77" s="222"/>
      <c r="B77" s="222"/>
      <c r="C77" s="163"/>
      <c r="D77" s="223"/>
      <c r="E77" s="224"/>
      <c r="F77" s="225"/>
      <c r="G77" s="226"/>
      <c r="H77" s="222"/>
      <c r="I77" s="222"/>
      <c r="J77" s="222"/>
      <c r="K77" s="220"/>
      <c r="L77" s="232"/>
      <c r="M77" s="232"/>
      <c r="N77" s="222"/>
      <c r="O77" s="227"/>
      <c r="P77" s="224"/>
      <c r="Q77" s="223"/>
      <c r="R77" s="228"/>
      <c r="S77" s="226"/>
      <c r="T77" s="215"/>
      <c r="U77" s="232"/>
      <c r="V77" s="232"/>
      <c r="W77" s="217"/>
      <c r="X77" s="217"/>
      <c r="Y77" s="232"/>
      <c r="Z77" s="232"/>
      <c r="AA77" s="232"/>
      <c r="AB77" s="232"/>
      <c r="AC77" s="232"/>
      <c r="AD77" s="232"/>
      <c r="AE77" s="232"/>
    </row>
    <row r="78" spans="1:31">
      <c r="A78" s="222"/>
      <c r="B78" s="222"/>
      <c r="C78" s="163"/>
      <c r="D78" s="223"/>
      <c r="E78" s="224"/>
      <c r="F78" s="225"/>
      <c r="G78" s="226"/>
      <c r="H78" s="222"/>
      <c r="I78" s="222"/>
      <c r="J78" s="222"/>
      <c r="K78" s="220"/>
      <c r="L78" s="232"/>
      <c r="M78" s="232"/>
      <c r="N78" s="222"/>
      <c r="O78" s="227"/>
      <c r="P78" s="224"/>
      <c r="Q78" s="223"/>
      <c r="R78" s="228"/>
      <c r="S78" s="226"/>
      <c r="T78" s="215"/>
      <c r="U78" s="232"/>
      <c r="V78" s="232"/>
      <c r="W78" s="217"/>
      <c r="X78" s="217"/>
      <c r="Y78" s="232"/>
      <c r="Z78" s="232"/>
      <c r="AA78" s="232"/>
      <c r="AB78" s="232"/>
      <c r="AC78" s="232"/>
      <c r="AD78" s="232"/>
      <c r="AE78" s="232"/>
    </row>
    <row r="79" spans="1:31">
      <c r="A79" s="222"/>
      <c r="B79" s="222"/>
      <c r="C79" s="163"/>
      <c r="D79" s="223"/>
      <c r="E79" s="224"/>
      <c r="F79" s="225"/>
      <c r="G79" s="226"/>
      <c r="H79" s="222"/>
      <c r="I79" s="222"/>
      <c r="J79" s="222"/>
      <c r="K79" s="220"/>
      <c r="L79" s="232"/>
      <c r="M79" s="232"/>
      <c r="N79" s="222"/>
      <c r="O79" s="227"/>
      <c r="P79" s="224"/>
      <c r="Q79" s="223"/>
      <c r="R79" s="228"/>
      <c r="S79" s="226"/>
      <c r="T79" s="215"/>
      <c r="U79" s="232"/>
      <c r="V79" s="232"/>
      <c r="W79" s="217"/>
      <c r="X79" s="217"/>
      <c r="Y79" s="232"/>
      <c r="Z79" s="232"/>
      <c r="AA79" s="232"/>
      <c r="AB79" s="232"/>
      <c r="AC79" s="232"/>
      <c r="AD79" s="232"/>
      <c r="AE79" s="232"/>
    </row>
    <row r="80" spans="1:31">
      <c r="A80" s="222"/>
      <c r="B80" s="222"/>
      <c r="C80" s="163"/>
      <c r="D80" s="223"/>
      <c r="E80" s="224"/>
      <c r="F80" s="225"/>
      <c r="G80" s="226"/>
      <c r="H80" s="222"/>
      <c r="I80" s="222"/>
      <c r="J80" s="222"/>
      <c r="K80" s="220"/>
      <c r="L80" s="232"/>
      <c r="M80" s="232"/>
      <c r="N80" s="222"/>
      <c r="O80" s="227"/>
      <c r="P80" s="224"/>
      <c r="Q80" s="223"/>
      <c r="R80" s="228"/>
      <c r="S80" s="226"/>
      <c r="T80" s="215"/>
      <c r="U80" s="232"/>
      <c r="V80" s="232"/>
      <c r="W80" s="217"/>
      <c r="X80" s="217"/>
      <c r="Y80" s="232"/>
      <c r="Z80" s="232"/>
      <c r="AA80" s="232"/>
      <c r="AB80" s="232"/>
      <c r="AC80" s="232"/>
      <c r="AD80" s="232"/>
      <c r="AE80" s="232"/>
    </row>
    <row r="81" spans="1:31">
      <c r="A81" s="222"/>
      <c r="B81" s="222"/>
      <c r="C81" s="163"/>
      <c r="D81" s="223"/>
      <c r="E81" s="224"/>
      <c r="F81" s="225"/>
      <c r="G81" s="226"/>
      <c r="H81" s="222"/>
      <c r="I81" s="222"/>
      <c r="J81" s="222"/>
      <c r="K81" s="220"/>
      <c r="L81" s="232"/>
      <c r="M81" s="232"/>
      <c r="N81" s="222"/>
      <c r="O81" s="227"/>
      <c r="P81" s="224"/>
      <c r="Q81" s="223"/>
      <c r="R81" s="228"/>
      <c r="S81" s="226"/>
      <c r="T81" s="215"/>
      <c r="U81" s="232"/>
      <c r="V81" s="232"/>
      <c r="W81" s="217"/>
      <c r="X81" s="217"/>
      <c r="Y81" s="232"/>
      <c r="Z81" s="232"/>
      <c r="AA81" s="232"/>
      <c r="AB81" s="232"/>
      <c r="AC81" s="232"/>
      <c r="AD81" s="232"/>
      <c r="AE81" s="232"/>
    </row>
    <row r="82" spans="1:31">
      <c r="A82" s="222"/>
      <c r="B82" s="222"/>
      <c r="C82" s="163"/>
      <c r="D82" s="223"/>
      <c r="E82" s="224"/>
      <c r="F82" s="225"/>
      <c r="G82" s="226"/>
      <c r="H82" s="222"/>
      <c r="I82" s="222"/>
      <c r="J82" s="222"/>
      <c r="K82" s="220"/>
      <c r="L82" s="232"/>
      <c r="M82" s="232"/>
      <c r="N82" s="222"/>
      <c r="O82" s="227"/>
      <c r="P82" s="224"/>
      <c r="Q82" s="223"/>
      <c r="R82" s="228"/>
      <c r="S82" s="226"/>
      <c r="T82" s="215"/>
      <c r="U82" s="232"/>
      <c r="V82" s="232"/>
      <c r="W82" s="217"/>
      <c r="X82" s="217"/>
      <c r="Y82" s="232"/>
      <c r="Z82" s="232"/>
      <c r="AA82" s="232"/>
      <c r="AB82" s="232"/>
      <c r="AC82" s="232"/>
      <c r="AD82" s="232"/>
      <c r="AE82" s="232"/>
    </row>
    <row r="83" spans="1:31">
      <c r="A83" s="222"/>
      <c r="B83" s="222"/>
      <c r="C83" s="163"/>
      <c r="D83" s="223"/>
      <c r="E83" s="224"/>
      <c r="F83" s="225"/>
      <c r="G83" s="226"/>
      <c r="H83" s="222"/>
      <c r="I83" s="222"/>
      <c r="J83" s="222"/>
      <c r="K83" s="220"/>
      <c r="L83" s="232"/>
      <c r="M83" s="232"/>
      <c r="N83" s="222"/>
      <c r="O83" s="227"/>
      <c r="P83" s="224"/>
      <c r="Q83" s="223"/>
      <c r="R83" s="228"/>
      <c r="S83" s="226"/>
      <c r="T83" s="215"/>
      <c r="U83" s="232"/>
      <c r="V83" s="232"/>
      <c r="W83" s="217"/>
      <c r="X83" s="217"/>
      <c r="Y83" s="232"/>
      <c r="Z83" s="232"/>
      <c r="AA83" s="232"/>
      <c r="AB83" s="232"/>
      <c r="AC83" s="232"/>
      <c r="AD83" s="232"/>
      <c r="AE83" s="232"/>
    </row>
    <row r="84" spans="1:31">
      <c r="A84" s="222"/>
      <c r="B84" s="222"/>
      <c r="C84" s="163"/>
      <c r="D84" s="223"/>
      <c r="E84" s="224"/>
      <c r="F84" s="225"/>
      <c r="G84" s="226"/>
      <c r="H84" s="222"/>
      <c r="I84" s="222"/>
      <c r="J84" s="222"/>
      <c r="K84" s="220"/>
      <c r="L84" s="232"/>
      <c r="M84" s="232"/>
      <c r="N84" s="222"/>
      <c r="O84" s="227"/>
      <c r="P84" s="224"/>
      <c r="Q84" s="223"/>
      <c r="R84" s="228"/>
      <c r="S84" s="226"/>
      <c r="T84" s="215"/>
      <c r="U84" s="232"/>
      <c r="V84" s="232"/>
      <c r="W84" s="217"/>
      <c r="X84" s="217"/>
      <c r="Y84" s="232"/>
      <c r="Z84" s="232"/>
      <c r="AA84" s="232"/>
      <c r="AB84" s="232"/>
      <c r="AC84" s="232"/>
      <c r="AD84" s="232"/>
      <c r="AE84" s="232"/>
    </row>
    <row r="85" spans="1:31">
      <c r="A85" s="222"/>
      <c r="B85" s="222"/>
      <c r="C85" s="163"/>
      <c r="D85" s="223"/>
      <c r="E85" s="224"/>
      <c r="F85" s="225"/>
      <c r="G85" s="226"/>
      <c r="H85" s="222"/>
      <c r="I85" s="222"/>
      <c r="J85" s="222"/>
      <c r="K85" s="220"/>
      <c r="L85" s="232"/>
      <c r="M85" s="232"/>
      <c r="N85" s="222"/>
      <c r="O85" s="227"/>
      <c r="P85" s="224"/>
      <c r="Q85" s="223"/>
      <c r="R85" s="228"/>
      <c r="S85" s="226"/>
      <c r="T85" s="215"/>
      <c r="U85" s="232"/>
      <c r="V85" s="232"/>
      <c r="W85" s="217"/>
      <c r="X85" s="217"/>
      <c r="Y85" s="232"/>
      <c r="Z85" s="232"/>
      <c r="AA85" s="232"/>
      <c r="AB85" s="232"/>
      <c r="AC85" s="232"/>
      <c r="AD85" s="232"/>
      <c r="AE85" s="232"/>
    </row>
    <row r="86" spans="1:31">
      <c r="A86" s="222"/>
      <c r="B86" s="222"/>
      <c r="C86" s="163"/>
      <c r="D86" s="223"/>
      <c r="E86" s="224"/>
      <c r="F86" s="225"/>
      <c r="G86" s="226"/>
      <c r="H86" s="222"/>
      <c r="I86" s="222"/>
      <c r="J86" s="222"/>
      <c r="K86" s="220"/>
      <c r="L86" s="232"/>
      <c r="M86" s="232"/>
      <c r="N86" s="222"/>
      <c r="O86" s="227"/>
      <c r="P86" s="224"/>
      <c r="Q86" s="223"/>
      <c r="R86" s="228"/>
      <c r="S86" s="226"/>
      <c r="T86" s="215"/>
      <c r="U86" s="232"/>
      <c r="V86" s="232"/>
      <c r="W86" s="217"/>
      <c r="X86" s="217"/>
      <c r="Y86" s="232"/>
      <c r="Z86" s="232"/>
      <c r="AA86" s="232"/>
      <c r="AB86" s="232"/>
      <c r="AC86" s="232"/>
      <c r="AD86" s="232"/>
      <c r="AE86" s="232"/>
    </row>
    <row r="87" spans="1:31">
      <c r="A87" s="222"/>
      <c r="B87" s="222"/>
      <c r="C87" s="163"/>
      <c r="D87" s="223"/>
      <c r="E87" s="224"/>
      <c r="F87" s="225"/>
      <c r="G87" s="226"/>
      <c r="H87" s="222"/>
      <c r="I87" s="222"/>
      <c r="J87" s="222"/>
      <c r="K87" s="220"/>
      <c r="L87" s="232"/>
      <c r="M87" s="232"/>
      <c r="N87" s="222"/>
      <c r="O87" s="227"/>
      <c r="P87" s="224"/>
      <c r="Q87" s="223"/>
      <c r="R87" s="228"/>
      <c r="S87" s="226"/>
      <c r="T87" s="215"/>
      <c r="U87" s="232"/>
      <c r="V87" s="232"/>
      <c r="W87" s="217"/>
      <c r="X87" s="217"/>
      <c r="Y87" s="232"/>
      <c r="Z87" s="232"/>
      <c r="AA87" s="232"/>
      <c r="AB87" s="232"/>
      <c r="AC87" s="232"/>
      <c r="AD87" s="232"/>
      <c r="AE87" s="232"/>
    </row>
    <row r="88" spans="1:31">
      <c r="A88" s="222"/>
      <c r="B88" s="222"/>
      <c r="C88" s="163"/>
      <c r="D88" s="223"/>
      <c r="E88" s="224"/>
      <c r="F88" s="225"/>
      <c r="G88" s="226"/>
      <c r="H88" s="222"/>
      <c r="I88" s="222"/>
      <c r="J88" s="222"/>
      <c r="K88" s="220"/>
      <c r="L88" s="232"/>
      <c r="M88" s="232"/>
      <c r="N88" s="222"/>
      <c r="O88" s="227"/>
      <c r="P88" s="224"/>
      <c r="Q88" s="223"/>
      <c r="R88" s="228"/>
      <c r="S88" s="226"/>
      <c r="T88" s="215"/>
      <c r="U88" s="232"/>
      <c r="V88" s="232"/>
      <c r="W88" s="217"/>
      <c r="X88" s="217"/>
      <c r="Y88" s="232"/>
      <c r="Z88" s="232"/>
      <c r="AA88" s="232"/>
      <c r="AB88" s="232"/>
      <c r="AC88" s="232"/>
      <c r="AD88" s="232"/>
      <c r="AE88" s="232"/>
    </row>
    <row r="89" spans="1:31">
      <c r="A89" s="222"/>
      <c r="B89" s="222"/>
      <c r="C89" s="163"/>
      <c r="D89" s="223"/>
      <c r="E89" s="224"/>
      <c r="F89" s="225"/>
      <c r="G89" s="226"/>
      <c r="H89" s="222"/>
      <c r="I89" s="222"/>
      <c r="J89" s="222"/>
      <c r="K89" s="220"/>
      <c r="L89" s="232"/>
      <c r="M89" s="232"/>
      <c r="N89" s="222"/>
      <c r="O89" s="227"/>
      <c r="P89" s="224"/>
      <c r="Q89" s="223"/>
      <c r="R89" s="228"/>
      <c r="S89" s="226"/>
      <c r="T89" s="215"/>
      <c r="U89" s="232"/>
      <c r="V89" s="232"/>
      <c r="W89" s="217"/>
      <c r="X89" s="217"/>
      <c r="Y89" s="232"/>
      <c r="Z89" s="232"/>
      <c r="AA89" s="232"/>
      <c r="AB89" s="232"/>
      <c r="AC89" s="232"/>
      <c r="AD89" s="232"/>
      <c r="AE89" s="232"/>
    </row>
    <row r="90" spans="1:31">
      <c r="A90" s="222"/>
      <c r="B90" s="222"/>
      <c r="C90" s="163"/>
      <c r="D90" s="223"/>
      <c r="E90" s="224"/>
      <c r="F90" s="225"/>
      <c r="G90" s="226"/>
      <c r="H90" s="222"/>
      <c r="I90" s="222"/>
      <c r="J90" s="222"/>
      <c r="K90" s="220"/>
      <c r="L90" s="232"/>
      <c r="M90" s="232"/>
      <c r="N90" s="222"/>
      <c r="O90" s="227"/>
      <c r="P90" s="224"/>
      <c r="Q90" s="223"/>
      <c r="R90" s="228"/>
      <c r="S90" s="226"/>
      <c r="T90" s="215"/>
      <c r="U90" s="232"/>
      <c r="V90" s="232"/>
      <c r="W90" s="217"/>
      <c r="X90" s="217"/>
      <c r="Y90" s="232"/>
      <c r="Z90" s="232"/>
      <c r="AA90" s="232"/>
      <c r="AB90" s="232"/>
      <c r="AC90" s="232"/>
      <c r="AD90" s="232"/>
      <c r="AE90" s="232"/>
    </row>
    <row r="91" spans="1:31">
      <c r="A91" s="222"/>
      <c r="B91" s="222"/>
      <c r="C91" s="163"/>
      <c r="D91" s="223"/>
      <c r="E91" s="224"/>
      <c r="F91" s="225"/>
      <c r="G91" s="226"/>
      <c r="H91" s="222"/>
      <c r="I91" s="222"/>
      <c r="J91" s="222"/>
      <c r="K91" s="220"/>
      <c r="L91" s="232"/>
      <c r="M91" s="232"/>
      <c r="N91" s="222"/>
      <c r="O91" s="227"/>
      <c r="P91" s="224"/>
      <c r="Q91" s="223"/>
      <c r="R91" s="228"/>
      <c r="S91" s="226"/>
      <c r="T91" s="215"/>
      <c r="U91" s="232"/>
      <c r="V91" s="232"/>
      <c r="W91" s="217"/>
      <c r="X91" s="217"/>
      <c r="Y91" s="232"/>
      <c r="Z91" s="232"/>
      <c r="AA91" s="232"/>
      <c r="AB91" s="232"/>
      <c r="AC91" s="232"/>
      <c r="AD91" s="232"/>
      <c r="AE91" s="232"/>
    </row>
    <row r="92" spans="1:31">
      <c r="A92" s="222"/>
      <c r="B92" s="222"/>
      <c r="C92" s="163"/>
      <c r="D92" s="223"/>
      <c r="E92" s="224"/>
      <c r="F92" s="225"/>
      <c r="G92" s="226"/>
      <c r="H92" s="222"/>
      <c r="I92" s="222"/>
      <c r="J92" s="222"/>
      <c r="K92" s="220"/>
      <c r="L92" s="232"/>
      <c r="M92" s="232"/>
      <c r="N92" s="222"/>
      <c r="O92" s="227"/>
      <c r="P92" s="224"/>
      <c r="Q92" s="223"/>
      <c r="R92" s="228"/>
      <c r="S92" s="226"/>
      <c r="T92" s="215"/>
      <c r="U92" s="232"/>
      <c r="V92" s="232"/>
      <c r="W92" s="217"/>
      <c r="X92" s="217"/>
      <c r="Y92" s="232"/>
      <c r="Z92" s="232"/>
      <c r="AA92" s="232"/>
      <c r="AB92" s="232"/>
      <c r="AC92" s="232"/>
      <c r="AD92" s="232"/>
      <c r="AE92" s="232"/>
    </row>
    <row r="93" spans="1:31">
      <c r="A93" s="222"/>
      <c r="B93" s="222"/>
      <c r="C93" s="163"/>
      <c r="D93" s="223"/>
      <c r="E93" s="224"/>
      <c r="F93" s="225"/>
      <c r="G93" s="226"/>
      <c r="H93" s="222"/>
      <c r="I93" s="222"/>
      <c r="J93" s="222"/>
      <c r="K93" s="220"/>
      <c r="L93" s="232"/>
      <c r="M93" s="232"/>
      <c r="N93" s="222"/>
      <c r="O93" s="227"/>
      <c r="P93" s="224"/>
      <c r="Q93" s="223"/>
      <c r="R93" s="228"/>
      <c r="S93" s="226"/>
      <c r="T93" s="215"/>
      <c r="U93" s="232"/>
      <c r="V93" s="232"/>
      <c r="W93" s="217"/>
      <c r="X93" s="217"/>
      <c r="Y93" s="232"/>
      <c r="Z93" s="232"/>
      <c r="AA93" s="232"/>
      <c r="AB93" s="232"/>
      <c r="AC93" s="232"/>
      <c r="AD93" s="232"/>
      <c r="AE93" s="232"/>
    </row>
    <row r="94" spans="1:31">
      <c r="A94" s="222"/>
      <c r="B94" s="222"/>
      <c r="C94" s="163"/>
      <c r="D94" s="223"/>
      <c r="E94" s="224"/>
      <c r="F94" s="225"/>
      <c r="G94" s="226"/>
      <c r="H94" s="222"/>
      <c r="I94" s="222"/>
      <c r="J94" s="222"/>
      <c r="K94" s="220"/>
      <c r="L94" s="232"/>
      <c r="M94" s="232"/>
      <c r="N94" s="222"/>
      <c r="O94" s="227"/>
      <c r="P94" s="224"/>
      <c r="Q94" s="223"/>
      <c r="R94" s="228"/>
      <c r="S94" s="226"/>
      <c r="T94" s="215"/>
      <c r="U94" s="232"/>
      <c r="V94" s="232"/>
      <c r="W94" s="217"/>
      <c r="X94" s="217"/>
      <c r="Y94" s="232"/>
      <c r="Z94" s="232"/>
      <c r="AA94" s="232"/>
      <c r="AB94" s="232"/>
      <c r="AC94" s="232"/>
      <c r="AD94" s="232"/>
      <c r="AE94" s="232"/>
    </row>
    <row r="95" spans="1:31">
      <c r="A95" s="222"/>
      <c r="B95" s="222"/>
      <c r="C95" s="163"/>
      <c r="D95" s="223"/>
      <c r="E95" s="224"/>
      <c r="F95" s="225"/>
      <c r="G95" s="226"/>
      <c r="H95" s="222"/>
      <c r="I95" s="222"/>
      <c r="J95" s="222"/>
      <c r="K95" s="220"/>
      <c r="L95" s="232"/>
      <c r="M95" s="232"/>
      <c r="N95" s="222"/>
      <c r="O95" s="227"/>
      <c r="P95" s="224"/>
      <c r="Q95" s="223"/>
      <c r="R95" s="228"/>
      <c r="S95" s="226"/>
      <c r="T95" s="215"/>
      <c r="U95" s="232"/>
      <c r="V95" s="232"/>
      <c r="W95" s="217"/>
      <c r="X95" s="217"/>
      <c r="Y95" s="232"/>
      <c r="Z95" s="232"/>
      <c r="AA95" s="232"/>
      <c r="AB95" s="232"/>
      <c r="AC95" s="232"/>
      <c r="AD95" s="232"/>
      <c r="AE95" s="232"/>
    </row>
    <row r="96" spans="1:31">
      <c r="A96" s="222"/>
      <c r="B96" s="222"/>
      <c r="C96" s="163"/>
      <c r="D96" s="223"/>
      <c r="E96" s="224"/>
      <c r="F96" s="225"/>
      <c r="G96" s="226"/>
      <c r="H96" s="222"/>
      <c r="I96" s="222"/>
      <c r="J96" s="222"/>
      <c r="K96" s="220"/>
      <c r="L96" s="232"/>
      <c r="M96" s="232"/>
      <c r="N96" s="222"/>
      <c r="O96" s="227"/>
      <c r="P96" s="224"/>
      <c r="Q96" s="223"/>
      <c r="R96" s="228"/>
      <c r="S96" s="226"/>
      <c r="T96" s="215"/>
      <c r="U96" s="232"/>
      <c r="V96" s="232"/>
      <c r="W96" s="217"/>
      <c r="X96" s="217"/>
      <c r="Y96" s="232"/>
      <c r="Z96" s="232"/>
      <c r="AA96" s="232"/>
      <c r="AB96" s="232"/>
      <c r="AC96" s="232"/>
      <c r="AD96" s="232"/>
      <c r="AE96" s="232"/>
    </row>
    <row r="97" spans="1:31">
      <c r="A97" s="222"/>
      <c r="B97" s="222"/>
      <c r="C97" s="163"/>
      <c r="D97" s="223"/>
      <c r="E97" s="224"/>
      <c r="F97" s="225"/>
      <c r="G97" s="226"/>
      <c r="H97" s="222"/>
      <c r="I97" s="222"/>
      <c r="J97" s="222"/>
      <c r="K97" s="220"/>
      <c r="L97" s="232"/>
      <c r="M97" s="232"/>
      <c r="N97" s="222"/>
      <c r="O97" s="227"/>
      <c r="P97" s="224"/>
      <c r="Q97" s="223"/>
      <c r="R97" s="228"/>
      <c r="S97" s="226"/>
      <c r="T97" s="215"/>
      <c r="U97" s="232"/>
      <c r="V97" s="232"/>
      <c r="W97" s="217"/>
      <c r="X97" s="217"/>
      <c r="Y97" s="232"/>
      <c r="Z97" s="232"/>
      <c r="AA97" s="232"/>
      <c r="AB97" s="232"/>
      <c r="AC97" s="232"/>
      <c r="AD97" s="232"/>
      <c r="AE97" s="232"/>
    </row>
    <row r="98" spans="1:31">
      <c r="A98" s="222"/>
      <c r="B98" s="222"/>
      <c r="C98" s="163"/>
      <c r="D98" s="223"/>
      <c r="E98" s="224"/>
      <c r="F98" s="225"/>
      <c r="G98" s="226"/>
      <c r="H98" s="222"/>
      <c r="I98" s="222"/>
      <c r="J98" s="222"/>
      <c r="K98" s="220"/>
      <c r="L98" s="232"/>
      <c r="M98" s="232"/>
      <c r="N98" s="222"/>
      <c r="O98" s="227"/>
      <c r="P98" s="224"/>
      <c r="Q98" s="223"/>
      <c r="R98" s="228"/>
      <c r="S98" s="226"/>
      <c r="T98" s="215"/>
      <c r="U98" s="232"/>
      <c r="V98" s="232"/>
      <c r="W98" s="217"/>
      <c r="X98" s="217"/>
      <c r="Y98" s="232"/>
      <c r="Z98" s="232"/>
      <c r="AA98" s="232"/>
      <c r="AB98" s="232"/>
      <c r="AC98" s="232"/>
      <c r="AD98" s="232"/>
      <c r="AE98" s="232"/>
    </row>
    <row r="99" spans="1:31">
      <c r="A99" s="222"/>
      <c r="B99" s="222"/>
      <c r="C99" s="163"/>
      <c r="D99" s="223"/>
      <c r="E99" s="224"/>
      <c r="F99" s="225"/>
      <c r="G99" s="226"/>
      <c r="H99" s="222"/>
      <c r="I99" s="222"/>
      <c r="J99" s="222"/>
      <c r="K99" s="220"/>
      <c r="L99" s="232"/>
      <c r="M99" s="232"/>
      <c r="N99" s="222"/>
      <c r="O99" s="227"/>
      <c r="P99" s="224"/>
      <c r="Q99" s="223"/>
      <c r="R99" s="228"/>
      <c r="S99" s="226"/>
      <c r="T99" s="215"/>
      <c r="U99" s="232"/>
      <c r="V99" s="232"/>
      <c r="W99" s="217"/>
      <c r="X99" s="217"/>
      <c r="Y99" s="232"/>
      <c r="Z99" s="232"/>
      <c r="AA99" s="232"/>
      <c r="AB99" s="232"/>
      <c r="AC99" s="232"/>
      <c r="AD99" s="232"/>
      <c r="AE99" s="232"/>
    </row>
    <row r="100" spans="1:31">
      <c r="A100" s="222"/>
      <c r="B100" s="222"/>
      <c r="C100" s="163"/>
      <c r="D100" s="223"/>
      <c r="E100" s="224"/>
      <c r="F100" s="225"/>
      <c r="G100" s="226"/>
      <c r="H100" s="222"/>
      <c r="I100" s="222"/>
      <c r="J100" s="222"/>
      <c r="K100" s="220"/>
      <c r="L100" s="232"/>
      <c r="M100" s="232"/>
      <c r="N100" s="222"/>
      <c r="O100" s="227"/>
      <c r="P100" s="224"/>
      <c r="Q100" s="223"/>
      <c r="R100" s="228"/>
      <c r="S100" s="226"/>
      <c r="T100" s="215"/>
      <c r="U100" s="232"/>
      <c r="V100" s="232"/>
      <c r="W100" s="217"/>
      <c r="X100" s="217"/>
      <c r="Y100" s="232"/>
      <c r="Z100" s="232"/>
      <c r="AA100" s="232"/>
      <c r="AB100" s="232"/>
      <c r="AC100" s="232"/>
      <c r="AD100" s="232"/>
      <c r="AE100" s="232"/>
    </row>
    <row r="101" spans="1:31">
      <c r="A101" s="222"/>
      <c r="B101" s="222"/>
      <c r="C101" s="163"/>
      <c r="D101" s="223"/>
      <c r="E101" s="224"/>
      <c r="F101" s="225"/>
      <c r="G101" s="226"/>
      <c r="H101" s="222"/>
      <c r="I101" s="222"/>
      <c r="J101" s="222"/>
      <c r="K101" s="220"/>
      <c r="L101" s="232"/>
      <c r="M101" s="232"/>
      <c r="N101" s="222"/>
      <c r="O101" s="227"/>
      <c r="P101" s="224"/>
      <c r="Q101" s="223"/>
      <c r="R101" s="228"/>
      <c r="S101" s="226"/>
      <c r="T101" s="215"/>
      <c r="U101" s="232"/>
      <c r="V101" s="232"/>
      <c r="W101" s="217"/>
      <c r="X101" s="217"/>
      <c r="Y101" s="232"/>
      <c r="Z101" s="232"/>
      <c r="AA101" s="232"/>
      <c r="AB101" s="232"/>
      <c r="AC101" s="232"/>
      <c r="AD101" s="232"/>
      <c r="AE101" s="232"/>
    </row>
    <row r="102" spans="1:31">
      <c r="A102" s="222"/>
      <c r="B102" s="222"/>
      <c r="C102" s="163"/>
      <c r="D102" s="223"/>
      <c r="E102" s="224"/>
      <c r="F102" s="225"/>
      <c r="G102" s="226"/>
      <c r="H102" s="222"/>
      <c r="I102" s="222"/>
      <c r="J102" s="222"/>
      <c r="K102" s="220"/>
      <c r="L102" s="232"/>
      <c r="M102" s="232"/>
      <c r="N102" s="222"/>
      <c r="O102" s="227"/>
      <c r="P102" s="224"/>
      <c r="Q102" s="223"/>
      <c r="R102" s="228"/>
      <c r="S102" s="226"/>
      <c r="T102" s="215"/>
      <c r="U102" s="232"/>
      <c r="V102" s="232"/>
      <c r="W102" s="217"/>
      <c r="X102" s="217"/>
      <c r="Y102" s="232"/>
      <c r="Z102" s="232"/>
      <c r="AA102" s="232"/>
      <c r="AB102" s="232"/>
      <c r="AC102" s="232"/>
      <c r="AD102" s="232"/>
      <c r="AE102" s="232"/>
    </row>
    <row r="103" spans="1:31">
      <c r="A103" s="222"/>
      <c r="B103" s="222"/>
      <c r="C103" s="163"/>
      <c r="D103" s="223"/>
      <c r="E103" s="224"/>
      <c r="F103" s="225"/>
      <c r="G103" s="226"/>
      <c r="H103" s="222"/>
      <c r="I103" s="222"/>
      <c r="J103" s="222"/>
      <c r="K103" s="220"/>
      <c r="L103" s="232"/>
      <c r="M103" s="232"/>
      <c r="N103" s="222"/>
      <c r="O103" s="227"/>
      <c r="P103" s="224"/>
      <c r="Q103" s="223"/>
      <c r="R103" s="228"/>
      <c r="S103" s="226"/>
      <c r="T103" s="215"/>
      <c r="U103" s="232"/>
      <c r="V103" s="232"/>
      <c r="W103" s="217"/>
      <c r="X103" s="217"/>
      <c r="Y103" s="232"/>
      <c r="Z103" s="232"/>
      <c r="AA103" s="232"/>
      <c r="AB103" s="232"/>
      <c r="AC103" s="232"/>
      <c r="AD103" s="232"/>
      <c r="AE103" s="232"/>
    </row>
    <row r="104" spans="1:31">
      <c r="A104" s="222"/>
      <c r="B104" s="222"/>
      <c r="C104" s="163"/>
      <c r="D104" s="223"/>
      <c r="E104" s="224"/>
      <c r="F104" s="225"/>
      <c r="G104" s="226"/>
      <c r="H104" s="222"/>
      <c r="I104" s="222"/>
      <c r="J104" s="222"/>
      <c r="K104" s="220"/>
      <c r="L104" s="232"/>
      <c r="M104" s="232"/>
      <c r="N104" s="222"/>
      <c r="O104" s="227"/>
      <c r="P104" s="224"/>
      <c r="Q104" s="223"/>
      <c r="R104" s="228"/>
      <c r="S104" s="226"/>
      <c r="T104" s="215"/>
      <c r="U104" s="232"/>
      <c r="V104" s="232"/>
      <c r="W104" s="217"/>
      <c r="X104" s="217"/>
      <c r="Y104" s="232"/>
      <c r="Z104" s="232"/>
      <c r="AA104" s="232"/>
      <c r="AB104" s="232"/>
      <c r="AC104" s="232"/>
      <c r="AD104" s="232"/>
      <c r="AE104" s="232"/>
    </row>
    <row r="105" spans="1:31">
      <c r="A105" s="222"/>
      <c r="B105" s="222"/>
      <c r="C105" s="163"/>
      <c r="D105" s="223"/>
      <c r="E105" s="224"/>
      <c r="F105" s="225"/>
      <c r="G105" s="226"/>
      <c r="H105" s="222"/>
      <c r="I105" s="222"/>
      <c r="J105" s="222"/>
      <c r="K105" s="220"/>
      <c r="L105" s="232"/>
      <c r="M105" s="232"/>
      <c r="N105" s="222"/>
      <c r="O105" s="227"/>
      <c r="P105" s="224"/>
      <c r="Q105" s="223"/>
      <c r="R105" s="228"/>
      <c r="S105" s="226"/>
      <c r="T105" s="215"/>
      <c r="U105" s="232"/>
      <c r="V105" s="232"/>
      <c r="W105" s="217"/>
      <c r="X105" s="217"/>
      <c r="Y105" s="232"/>
      <c r="Z105" s="232"/>
      <c r="AA105" s="232"/>
      <c r="AB105" s="232"/>
      <c r="AC105" s="232"/>
      <c r="AD105" s="232"/>
      <c r="AE105" s="232"/>
    </row>
    <row r="106" spans="1:31">
      <c r="A106" s="222"/>
      <c r="B106" s="222"/>
      <c r="C106" s="163"/>
      <c r="D106" s="223"/>
      <c r="E106" s="224"/>
      <c r="F106" s="225"/>
      <c r="G106" s="226"/>
      <c r="H106" s="222"/>
      <c r="I106" s="222"/>
      <c r="J106" s="222"/>
      <c r="K106" s="220"/>
      <c r="L106" s="232"/>
      <c r="M106" s="232"/>
      <c r="N106" s="222"/>
      <c r="O106" s="227"/>
      <c r="P106" s="224"/>
      <c r="Q106" s="223"/>
      <c r="R106" s="228"/>
      <c r="S106" s="226"/>
      <c r="T106" s="215"/>
      <c r="U106" s="232"/>
      <c r="V106" s="232"/>
      <c r="W106" s="217"/>
      <c r="X106" s="217"/>
      <c r="Y106" s="232"/>
      <c r="Z106" s="232"/>
      <c r="AA106" s="232"/>
      <c r="AB106" s="232"/>
      <c r="AC106" s="232"/>
      <c r="AD106" s="232"/>
      <c r="AE106" s="232"/>
    </row>
    <row r="107" spans="1:31">
      <c r="A107" s="222"/>
      <c r="B107" s="222"/>
      <c r="C107" s="163"/>
      <c r="D107" s="223"/>
      <c r="E107" s="224"/>
      <c r="F107" s="225"/>
      <c r="G107" s="226"/>
      <c r="H107" s="222"/>
      <c r="I107" s="222"/>
      <c r="J107" s="222"/>
      <c r="K107" s="220"/>
      <c r="L107" s="232"/>
      <c r="M107" s="232"/>
      <c r="N107" s="222"/>
      <c r="O107" s="227"/>
      <c r="P107" s="224"/>
      <c r="Q107" s="223"/>
      <c r="R107" s="228"/>
      <c r="S107" s="226"/>
      <c r="T107" s="215"/>
      <c r="U107" s="232"/>
      <c r="V107" s="232"/>
      <c r="W107" s="217"/>
      <c r="X107" s="217"/>
      <c r="Y107" s="232"/>
      <c r="Z107" s="232"/>
      <c r="AA107" s="232"/>
      <c r="AB107" s="232"/>
      <c r="AC107" s="232"/>
      <c r="AD107" s="232"/>
      <c r="AE107" s="232"/>
    </row>
    <row r="108" spans="1:31">
      <c r="A108" s="222"/>
      <c r="B108" s="222"/>
      <c r="C108" s="163"/>
      <c r="D108" s="223"/>
      <c r="E108" s="224"/>
      <c r="F108" s="225"/>
      <c r="G108" s="226"/>
      <c r="H108" s="222"/>
      <c r="I108" s="222"/>
      <c r="J108" s="222"/>
      <c r="K108" s="220"/>
      <c r="L108" s="232"/>
      <c r="M108" s="232"/>
      <c r="N108" s="222"/>
      <c r="O108" s="227"/>
      <c r="P108" s="224"/>
      <c r="Q108" s="223"/>
      <c r="R108" s="228"/>
      <c r="S108" s="226"/>
      <c r="T108" s="215"/>
      <c r="U108" s="232"/>
      <c r="V108" s="232"/>
      <c r="W108" s="217"/>
      <c r="X108" s="217"/>
      <c r="Y108" s="232"/>
      <c r="Z108" s="232"/>
      <c r="AA108" s="232"/>
      <c r="AB108" s="232"/>
      <c r="AC108" s="232"/>
      <c r="AD108" s="232"/>
      <c r="AE108" s="232"/>
    </row>
    <row r="109" spans="1:31">
      <c r="A109" s="222"/>
      <c r="B109" s="222"/>
      <c r="C109" s="163"/>
      <c r="D109" s="223"/>
      <c r="E109" s="224"/>
      <c r="F109" s="225"/>
      <c r="G109" s="226"/>
      <c r="H109" s="222"/>
      <c r="I109" s="222"/>
      <c r="J109" s="222"/>
      <c r="K109" s="220"/>
      <c r="L109" s="232"/>
      <c r="M109" s="232"/>
      <c r="N109" s="222"/>
      <c r="O109" s="227"/>
      <c r="P109" s="224"/>
      <c r="Q109" s="223"/>
      <c r="R109" s="228"/>
      <c r="S109" s="226"/>
      <c r="T109" s="215"/>
      <c r="U109" s="232"/>
      <c r="V109" s="232"/>
      <c r="W109" s="217"/>
      <c r="X109" s="217"/>
      <c r="Y109" s="232"/>
      <c r="Z109" s="232"/>
      <c r="AA109" s="232"/>
      <c r="AB109" s="232"/>
      <c r="AC109" s="232"/>
      <c r="AD109" s="232"/>
      <c r="AE109" s="232"/>
    </row>
    <row r="110" spans="1:31">
      <c r="A110" s="222"/>
      <c r="B110" s="222"/>
      <c r="C110" s="163"/>
      <c r="D110" s="223"/>
      <c r="E110" s="224"/>
      <c r="F110" s="225"/>
      <c r="G110" s="226"/>
      <c r="H110" s="222"/>
      <c r="I110" s="222"/>
      <c r="J110" s="222"/>
      <c r="K110" s="220"/>
      <c r="L110" s="232"/>
      <c r="M110" s="232"/>
      <c r="N110" s="222"/>
      <c r="O110" s="227"/>
      <c r="P110" s="224"/>
      <c r="Q110" s="223"/>
      <c r="R110" s="228"/>
      <c r="S110" s="226"/>
      <c r="T110" s="215"/>
      <c r="U110" s="232"/>
      <c r="V110" s="232"/>
      <c r="W110" s="217"/>
      <c r="X110" s="217"/>
      <c r="Y110" s="232"/>
      <c r="Z110" s="232"/>
      <c r="AA110" s="232"/>
      <c r="AB110" s="232"/>
      <c r="AC110" s="232"/>
      <c r="AD110" s="232"/>
      <c r="AE110" s="232"/>
    </row>
    <row r="111" spans="1:31">
      <c r="A111" s="222"/>
      <c r="B111" s="222"/>
      <c r="C111" s="163"/>
      <c r="D111" s="223"/>
      <c r="E111" s="224"/>
      <c r="F111" s="225"/>
      <c r="G111" s="226"/>
      <c r="H111" s="222"/>
      <c r="I111" s="222"/>
      <c r="J111" s="222"/>
      <c r="K111" s="220"/>
      <c r="L111" s="232"/>
      <c r="M111" s="232"/>
      <c r="N111" s="222"/>
      <c r="O111" s="227"/>
      <c r="P111" s="224"/>
      <c r="Q111" s="223"/>
      <c r="R111" s="228"/>
      <c r="S111" s="226"/>
      <c r="T111" s="215"/>
      <c r="U111" s="232"/>
      <c r="V111" s="232"/>
      <c r="W111" s="217"/>
      <c r="X111" s="217"/>
      <c r="Y111" s="232"/>
      <c r="Z111" s="232"/>
      <c r="AA111" s="232"/>
      <c r="AB111" s="232"/>
      <c r="AC111" s="232"/>
      <c r="AD111" s="232"/>
      <c r="AE111" s="232"/>
    </row>
    <row r="112" spans="1:31">
      <c r="A112" s="222"/>
      <c r="B112" s="222"/>
      <c r="C112" s="163"/>
      <c r="D112" s="223"/>
      <c r="E112" s="224"/>
      <c r="F112" s="225"/>
      <c r="G112" s="226"/>
      <c r="H112" s="222"/>
      <c r="I112" s="222"/>
      <c r="J112" s="222"/>
      <c r="K112" s="220"/>
      <c r="L112" s="232"/>
      <c r="M112" s="232"/>
      <c r="N112" s="222"/>
      <c r="O112" s="227"/>
      <c r="P112" s="224"/>
      <c r="Q112" s="223"/>
      <c r="R112" s="228"/>
      <c r="S112" s="226"/>
      <c r="T112" s="215"/>
      <c r="U112" s="232"/>
      <c r="V112" s="232"/>
      <c r="W112" s="217"/>
      <c r="X112" s="217"/>
      <c r="Y112" s="232"/>
      <c r="Z112" s="232"/>
      <c r="AA112" s="232"/>
      <c r="AB112" s="232"/>
      <c r="AC112" s="232"/>
      <c r="AD112" s="232"/>
      <c r="AE112" s="232"/>
    </row>
    <row r="113" spans="1:31">
      <c r="A113" s="222"/>
      <c r="B113" s="222"/>
      <c r="C113" s="163"/>
      <c r="D113" s="223"/>
      <c r="E113" s="224"/>
      <c r="F113" s="225"/>
      <c r="G113" s="226"/>
      <c r="H113" s="222"/>
      <c r="I113" s="222"/>
      <c r="J113" s="222"/>
      <c r="K113" s="220"/>
      <c r="L113" s="232"/>
      <c r="M113" s="232"/>
      <c r="N113" s="222"/>
      <c r="O113" s="227"/>
      <c r="P113" s="224"/>
      <c r="Q113" s="223"/>
      <c r="R113" s="228"/>
      <c r="S113" s="226"/>
      <c r="T113" s="215"/>
      <c r="U113" s="232"/>
      <c r="V113" s="232"/>
      <c r="W113" s="217"/>
      <c r="X113" s="217"/>
      <c r="Y113" s="232"/>
      <c r="Z113" s="232"/>
      <c r="AA113" s="232"/>
      <c r="AB113" s="232"/>
      <c r="AC113" s="232"/>
      <c r="AD113" s="232"/>
      <c r="AE113" s="232"/>
    </row>
    <row r="114" spans="1:31">
      <c r="A114" s="222"/>
      <c r="B114" s="222"/>
      <c r="C114" s="163"/>
      <c r="D114" s="223"/>
      <c r="E114" s="224"/>
      <c r="F114" s="225"/>
      <c r="G114" s="226"/>
      <c r="H114" s="222"/>
      <c r="I114" s="222"/>
      <c r="J114" s="222"/>
      <c r="K114" s="220"/>
      <c r="L114" s="232"/>
      <c r="M114" s="232"/>
      <c r="N114" s="222"/>
      <c r="O114" s="227"/>
      <c r="P114" s="224"/>
      <c r="Q114" s="223"/>
      <c r="R114" s="228"/>
      <c r="S114" s="226"/>
      <c r="T114" s="215"/>
      <c r="U114" s="232"/>
      <c r="V114" s="232"/>
      <c r="W114" s="217"/>
      <c r="X114" s="217"/>
      <c r="Y114" s="232"/>
      <c r="Z114" s="232"/>
      <c r="AA114" s="232"/>
      <c r="AB114" s="232"/>
      <c r="AC114" s="232"/>
      <c r="AD114" s="232"/>
      <c r="AE114" s="232"/>
    </row>
    <row r="115" spans="1:31">
      <c r="A115" s="222"/>
      <c r="B115" s="222"/>
      <c r="C115" s="163"/>
      <c r="D115" s="223"/>
      <c r="E115" s="224"/>
      <c r="F115" s="225"/>
      <c r="G115" s="226"/>
      <c r="H115" s="222"/>
      <c r="I115" s="222"/>
      <c r="J115" s="222"/>
      <c r="K115" s="220"/>
      <c r="L115" s="232"/>
      <c r="M115" s="232"/>
      <c r="N115" s="222"/>
      <c r="O115" s="227"/>
      <c r="P115" s="224"/>
      <c r="Q115" s="223"/>
      <c r="R115" s="228"/>
      <c r="S115" s="226"/>
      <c r="T115" s="215"/>
      <c r="U115" s="232"/>
      <c r="V115" s="232"/>
      <c r="W115" s="217"/>
      <c r="X115" s="217"/>
      <c r="Y115" s="232"/>
      <c r="Z115" s="232"/>
      <c r="AA115" s="232"/>
      <c r="AB115" s="232"/>
      <c r="AC115" s="232"/>
      <c r="AD115" s="232"/>
      <c r="AE115" s="232"/>
    </row>
    <row r="116" spans="1:31">
      <c r="A116" s="222"/>
      <c r="B116" s="222"/>
      <c r="C116" s="163"/>
      <c r="D116" s="223"/>
      <c r="E116" s="224"/>
      <c r="F116" s="225"/>
      <c r="G116" s="226"/>
      <c r="H116" s="222"/>
      <c r="I116" s="222"/>
      <c r="J116" s="222"/>
      <c r="K116" s="220"/>
      <c r="L116" s="232"/>
      <c r="M116" s="232"/>
      <c r="N116" s="222"/>
      <c r="O116" s="227"/>
      <c r="P116" s="224"/>
      <c r="Q116" s="223"/>
      <c r="R116" s="228"/>
      <c r="S116" s="226"/>
      <c r="T116" s="215"/>
      <c r="U116" s="232"/>
      <c r="V116" s="232"/>
      <c r="W116" s="217"/>
      <c r="X116" s="217"/>
      <c r="Y116" s="232"/>
      <c r="Z116" s="232"/>
      <c r="AA116" s="232"/>
      <c r="AB116" s="232"/>
      <c r="AC116" s="232"/>
      <c r="AD116" s="232"/>
      <c r="AE116" s="232"/>
    </row>
    <row r="117" spans="1:31">
      <c r="A117" s="222"/>
      <c r="B117" s="222"/>
      <c r="C117" s="163"/>
      <c r="D117" s="223"/>
      <c r="E117" s="224"/>
      <c r="F117" s="225"/>
      <c r="G117" s="226"/>
      <c r="H117" s="222"/>
      <c r="I117" s="222"/>
      <c r="J117" s="222"/>
      <c r="K117" s="220"/>
      <c r="L117" s="232"/>
      <c r="M117" s="232"/>
      <c r="N117" s="222"/>
      <c r="O117" s="227"/>
      <c r="P117" s="224"/>
      <c r="Q117" s="223"/>
      <c r="R117" s="228"/>
      <c r="S117" s="226"/>
      <c r="T117" s="215"/>
      <c r="U117" s="232"/>
      <c r="V117" s="232"/>
      <c r="W117" s="217"/>
      <c r="X117" s="217"/>
      <c r="Y117" s="232"/>
      <c r="Z117" s="232"/>
      <c r="AA117" s="232"/>
      <c r="AB117" s="232"/>
      <c r="AC117" s="232"/>
      <c r="AD117" s="232"/>
      <c r="AE117" s="232"/>
    </row>
    <row r="118" spans="1:31">
      <c r="A118" s="222"/>
      <c r="B118" s="222"/>
      <c r="C118" s="163"/>
      <c r="D118" s="223"/>
      <c r="E118" s="224"/>
      <c r="F118" s="225"/>
      <c r="G118" s="226"/>
      <c r="H118" s="222"/>
      <c r="I118" s="222"/>
      <c r="J118" s="222"/>
      <c r="K118" s="220"/>
      <c r="L118" s="232"/>
      <c r="M118" s="232"/>
      <c r="N118" s="222"/>
      <c r="O118" s="227"/>
      <c r="P118" s="224"/>
      <c r="Q118" s="223"/>
      <c r="R118" s="228"/>
      <c r="S118" s="226"/>
      <c r="T118" s="215"/>
      <c r="U118" s="232"/>
      <c r="V118" s="232"/>
      <c r="W118" s="217"/>
      <c r="X118" s="217"/>
      <c r="Y118" s="232"/>
      <c r="Z118" s="232"/>
      <c r="AA118" s="232"/>
      <c r="AB118" s="232"/>
      <c r="AC118" s="232"/>
      <c r="AD118" s="232"/>
      <c r="AE118" s="232"/>
    </row>
    <row r="119" spans="1:31">
      <c r="A119" s="222"/>
      <c r="B119" s="222"/>
      <c r="C119" s="163"/>
      <c r="D119" s="223"/>
      <c r="E119" s="224"/>
      <c r="F119" s="225"/>
      <c r="G119" s="226"/>
      <c r="H119" s="222"/>
      <c r="I119" s="222"/>
      <c r="J119" s="222"/>
      <c r="K119" s="220"/>
      <c r="L119" s="232"/>
      <c r="M119" s="232"/>
      <c r="N119" s="222"/>
      <c r="O119" s="227"/>
      <c r="P119" s="224"/>
      <c r="Q119" s="223"/>
      <c r="R119" s="228"/>
      <c r="S119" s="226"/>
      <c r="T119" s="215"/>
      <c r="U119" s="232"/>
      <c r="V119" s="232"/>
      <c r="W119" s="217"/>
      <c r="X119" s="217"/>
      <c r="Y119" s="232"/>
      <c r="Z119" s="232"/>
      <c r="AA119" s="232"/>
      <c r="AB119" s="232"/>
      <c r="AC119" s="232"/>
      <c r="AD119" s="232"/>
      <c r="AE119" s="232"/>
    </row>
    <row r="120" spans="1:31">
      <c r="A120" s="222"/>
      <c r="B120" s="222"/>
      <c r="C120" s="163"/>
      <c r="D120" s="223"/>
      <c r="E120" s="224"/>
      <c r="F120" s="225"/>
      <c r="G120" s="226"/>
      <c r="H120" s="222"/>
      <c r="I120" s="222"/>
      <c r="J120" s="222"/>
      <c r="K120" s="220"/>
      <c r="L120" s="232"/>
      <c r="M120" s="232"/>
      <c r="N120" s="222"/>
      <c r="O120" s="227"/>
      <c r="P120" s="224"/>
      <c r="Q120" s="223"/>
      <c r="R120" s="228"/>
      <c r="S120" s="226"/>
      <c r="T120" s="215"/>
      <c r="U120" s="232"/>
      <c r="V120" s="232"/>
      <c r="W120" s="217"/>
      <c r="X120" s="217"/>
      <c r="Y120" s="232"/>
      <c r="Z120" s="232"/>
      <c r="AA120" s="232"/>
      <c r="AB120" s="232"/>
      <c r="AC120" s="232"/>
      <c r="AD120" s="232"/>
      <c r="AE120" s="232"/>
    </row>
    <row r="121" spans="1:31">
      <c r="A121" s="222"/>
      <c r="B121" s="222"/>
      <c r="C121" s="163"/>
      <c r="D121" s="223"/>
      <c r="E121" s="224"/>
      <c r="F121" s="225"/>
      <c r="G121" s="226"/>
      <c r="H121" s="222"/>
      <c r="I121" s="222"/>
      <c r="J121" s="222"/>
      <c r="K121" s="220"/>
      <c r="L121" s="232"/>
      <c r="M121" s="232"/>
      <c r="N121" s="222"/>
      <c r="O121" s="227"/>
      <c r="P121" s="224"/>
      <c r="Q121" s="223"/>
      <c r="R121" s="228"/>
      <c r="S121" s="226"/>
      <c r="T121" s="215"/>
      <c r="U121" s="232"/>
      <c r="V121" s="232"/>
      <c r="W121" s="217"/>
      <c r="X121" s="217"/>
      <c r="Y121" s="232"/>
      <c r="Z121" s="232"/>
      <c r="AA121" s="232"/>
      <c r="AB121" s="232"/>
      <c r="AC121" s="232"/>
      <c r="AD121" s="232"/>
      <c r="AE121" s="232"/>
    </row>
    <row r="122" spans="1:31">
      <c r="A122" s="222"/>
      <c r="B122" s="222"/>
      <c r="C122" s="163"/>
      <c r="D122" s="223"/>
      <c r="E122" s="224"/>
      <c r="F122" s="225"/>
      <c r="G122" s="226"/>
      <c r="H122" s="222"/>
      <c r="I122" s="222"/>
      <c r="J122" s="222"/>
      <c r="K122" s="220"/>
      <c r="L122" s="232"/>
      <c r="M122" s="232"/>
      <c r="N122" s="222"/>
      <c r="O122" s="227"/>
      <c r="P122" s="224"/>
      <c r="Q122" s="223"/>
      <c r="R122" s="228"/>
      <c r="S122" s="226"/>
      <c r="T122" s="215"/>
      <c r="U122" s="232"/>
      <c r="V122" s="232"/>
      <c r="W122" s="217"/>
      <c r="X122" s="217"/>
      <c r="Y122" s="232"/>
      <c r="Z122" s="232"/>
      <c r="AA122" s="232"/>
      <c r="AB122" s="232"/>
      <c r="AC122" s="232"/>
      <c r="AD122" s="232"/>
      <c r="AE122" s="232"/>
    </row>
    <row r="123" spans="1:31">
      <c r="A123" s="222"/>
      <c r="B123" s="222"/>
      <c r="C123" s="163"/>
      <c r="D123" s="223"/>
      <c r="E123" s="224"/>
      <c r="F123" s="225"/>
      <c r="G123" s="226"/>
      <c r="H123" s="222"/>
      <c r="I123" s="222"/>
      <c r="J123" s="222"/>
      <c r="K123" s="220"/>
      <c r="L123" s="232"/>
      <c r="M123" s="232"/>
      <c r="N123" s="222"/>
      <c r="O123" s="227"/>
      <c r="P123" s="224"/>
      <c r="Q123" s="223"/>
      <c r="R123" s="228"/>
      <c r="S123" s="226"/>
      <c r="T123" s="215"/>
      <c r="U123" s="232"/>
      <c r="V123" s="232"/>
      <c r="W123" s="217"/>
      <c r="X123" s="217"/>
      <c r="Y123" s="232"/>
      <c r="Z123" s="232"/>
      <c r="AA123" s="232"/>
      <c r="AB123" s="232"/>
      <c r="AC123" s="232"/>
      <c r="AD123" s="232"/>
      <c r="AE123" s="232"/>
    </row>
    <row r="124" spans="1:31">
      <c r="A124" s="222"/>
      <c r="B124" s="222"/>
      <c r="C124" s="163"/>
      <c r="D124" s="223"/>
      <c r="E124" s="224"/>
      <c r="F124" s="225"/>
      <c r="G124" s="226"/>
      <c r="H124" s="222"/>
      <c r="I124" s="222"/>
      <c r="J124" s="222"/>
      <c r="K124" s="220"/>
      <c r="L124" s="232"/>
      <c r="M124" s="232"/>
      <c r="N124" s="222"/>
      <c r="O124" s="227"/>
      <c r="P124" s="224"/>
      <c r="Q124" s="223"/>
      <c r="R124" s="228"/>
      <c r="S124" s="226"/>
      <c r="T124" s="215"/>
      <c r="U124" s="232"/>
      <c r="V124" s="232"/>
      <c r="W124" s="217"/>
      <c r="X124" s="217"/>
      <c r="Y124" s="232"/>
      <c r="Z124" s="232"/>
      <c r="AA124" s="232"/>
      <c r="AB124" s="232"/>
      <c r="AC124" s="232"/>
      <c r="AD124" s="232"/>
      <c r="AE124" s="232"/>
    </row>
    <row r="125" spans="1:31">
      <c r="A125" s="222"/>
      <c r="B125" s="222"/>
      <c r="C125" s="163"/>
      <c r="D125" s="223"/>
      <c r="E125" s="224"/>
      <c r="F125" s="225"/>
      <c r="G125" s="226"/>
      <c r="H125" s="222"/>
      <c r="I125" s="222"/>
      <c r="J125" s="222"/>
      <c r="K125" s="220"/>
      <c r="L125" s="232"/>
      <c r="M125" s="232"/>
      <c r="N125" s="222"/>
      <c r="O125" s="227"/>
      <c r="P125" s="224"/>
      <c r="Q125" s="223"/>
      <c r="R125" s="228"/>
      <c r="S125" s="226"/>
      <c r="T125" s="215"/>
      <c r="U125" s="232"/>
      <c r="V125" s="232"/>
      <c r="W125" s="217"/>
      <c r="X125" s="217"/>
      <c r="Y125" s="232"/>
      <c r="Z125" s="232"/>
      <c r="AA125" s="232"/>
      <c r="AB125" s="232"/>
      <c r="AC125" s="232"/>
      <c r="AD125" s="232"/>
      <c r="AE125" s="232"/>
    </row>
    <row r="126" spans="1:31">
      <c r="A126" s="222"/>
      <c r="B126" s="222"/>
      <c r="C126" s="163"/>
      <c r="D126" s="223"/>
      <c r="E126" s="224"/>
      <c r="F126" s="225"/>
      <c r="G126" s="226"/>
      <c r="H126" s="222"/>
      <c r="I126" s="222"/>
      <c r="J126" s="222"/>
      <c r="K126" s="220"/>
      <c r="L126" s="232"/>
      <c r="M126" s="232"/>
      <c r="N126" s="222"/>
      <c r="O126" s="227"/>
      <c r="P126" s="224"/>
      <c r="Q126" s="223"/>
      <c r="R126" s="228"/>
      <c r="S126" s="226"/>
      <c r="T126" s="215"/>
      <c r="U126" s="232"/>
      <c r="V126" s="232"/>
      <c r="W126" s="217"/>
      <c r="X126" s="217"/>
      <c r="Y126" s="232"/>
      <c r="Z126" s="232"/>
      <c r="AA126" s="232"/>
      <c r="AB126" s="232"/>
      <c r="AC126" s="232"/>
      <c r="AD126" s="232"/>
      <c r="AE126" s="232"/>
    </row>
    <row r="127" spans="1:31">
      <c r="A127" s="222"/>
      <c r="B127" s="222"/>
      <c r="C127" s="163"/>
      <c r="D127" s="223"/>
      <c r="E127" s="224"/>
      <c r="F127" s="225"/>
      <c r="G127" s="226"/>
      <c r="H127" s="222"/>
      <c r="I127" s="222"/>
      <c r="J127" s="222"/>
      <c r="K127" s="220"/>
      <c r="L127" s="232"/>
      <c r="M127" s="232"/>
      <c r="N127" s="222"/>
      <c r="O127" s="227"/>
      <c r="P127" s="224"/>
      <c r="Q127" s="223"/>
      <c r="R127" s="228"/>
      <c r="S127" s="226"/>
      <c r="T127" s="215"/>
      <c r="U127" s="232"/>
      <c r="V127" s="232"/>
      <c r="W127" s="217"/>
      <c r="X127" s="217"/>
      <c r="Y127" s="232"/>
      <c r="Z127" s="232"/>
      <c r="AA127" s="232"/>
      <c r="AB127" s="232"/>
      <c r="AC127" s="232"/>
      <c r="AD127" s="232"/>
      <c r="AE127" s="232"/>
    </row>
    <row r="128" spans="1:31">
      <c r="A128" s="222"/>
      <c r="B128" s="222"/>
      <c r="C128" s="163"/>
      <c r="D128" s="223"/>
      <c r="E128" s="224"/>
      <c r="F128" s="225"/>
      <c r="G128" s="226"/>
      <c r="H128" s="222"/>
      <c r="I128" s="222"/>
      <c r="J128" s="222"/>
      <c r="K128" s="220"/>
      <c r="L128" s="232"/>
      <c r="M128" s="232"/>
      <c r="N128" s="222"/>
      <c r="O128" s="227"/>
      <c r="P128" s="224"/>
      <c r="Q128" s="223"/>
      <c r="R128" s="228"/>
      <c r="S128" s="226"/>
      <c r="T128" s="215"/>
      <c r="U128" s="232"/>
      <c r="V128" s="232"/>
      <c r="W128" s="217"/>
      <c r="X128" s="217"/>
      <c r="Y128" s="232"/>
      <c r="Z128" s="232"/>
      <c r="AA128" s="232"/>
      <c r="AB128" s="232"/>
      <c r="AC128" s="232"/>
      <c r="AD128" s="232"/>
      <c r="AE128" s="232"/>
    </row>
    <row r="129" spans="1:31">
      <c r="A129" s="222"/>
      <c r="B129" s="222"/>
      <c r="C129" s="163"/>
      <c r="D129" s="223"/>
      <c r="E129" s="224"/>
      <c r="F129" s="225"/>
      <c r="G129" s="226"/>
      <c r="H129" s="222"/>
      <c r="I129" s="222"/>
      <c r="J129" s="222"/>
      <c r="K129" s="220"/>
      <c r="L129" s="232"/>
      <c r="M129" s="232"/>
      <c r="N129" s="222"/>
      <c r="O129" s="227"/>
      <c r="P129" s="224"/>
      <c r="Q129" s="223"/>
      <c r="R129" s="228"/>
      <c r="S129" s="226"/>
      <c r="T129" s="215"/>
      <c r="U129" s="232"/>
      <c r="V129" s="232"/>
      <c r="W129" s="217"/>
      <c r="X129" s="217"/>
      <c r="Y129" s="232"/>
      <c r="Z129" s="232"/>
      <c r="AA129" s="232"/>
      <c r="AB129" s="232"/>
      <c r="AC129" s="232"/>
      <c r="AD129" s="232"/>
      <c r="AE129" s="232"/>
    </row>
    <row r="130" spans="1:31">
      <c r="A130" s="222"/>
      <c r="B130" s="222"/>
      <c r="C130" s="163"/>
      <c r="D130" s="223"/>
      <c r="E130" s="224"/>
      <c r="F130" s="225"/>
      <c r="G130" s="226"/>
      <c r="H130" s="222"/>
      <c r="I130" s="222"/>
      <c r="J130" s="222"/>
      <c r="K130" s="220"/>
      <c r="L130" s="232"/>
      <c r="M130" s="232"/>
      <c r="N130" s="222"/>
      <c r="O130" s="227"/>
      <c r="P130" s="224"/>
      <c r="Q130" s="223"/>
      <c r="R130" s="228"/>
      <c r="S130" s="226"/>
      <c r="T130" s="215"/>
      <c r="U130" s="232"/>
      <c r="V130" s="232"/>
      <c r="W130" s="217"/>
      <c r="X130" s="217"/>
      <c r="Y130" s="232"/>
      <c r="Z130" s="232"/>
      <c r="AA130" s="232"/>
      <c r="AB130" s="232"/>
      <c r="AC130" s="232"/>
      <c r="AD130" s="232"/>
      <c r="AE130" s="232"/>
    </row>
    <row r="131" spans="1:31">
      <c r="A131" s="222"/>
      <c r="B131" s="222"/>
      <c r="C131" s="163"/>
      <c r="D131" s="223"/>
      <c r="E131" s="224"/>
      <c r="F131" s="225"/>
      <c r="G131" s="226"/>
      <c r="H131" s="222"/>
      <c r="I131" s="222"/>
      <c r="J131" s="222"/>
      <c r="K131" s="220"/>
      <c r="L131" s="232"/>
      <c r="M131" s="232"/>
      <c r="N131" s="222"/>
      <c r="O131" s="227"/>
      <c r="P131" s="224"/>
      <c r="Q131" s="223"/>
      <c r="R131" s="228"/>
      <c r="S131" s="226"/>
      <c r="T131" s="215"/>
      <c r="U131" s="232"/>
      <c r="V131" s="232"/>
      <c r="W131" s="217"/>
      <c r="X131" s="217"/>
      <c r="Y131" s="232"/>
      <c r="Z131" s="232"/>
      <c r="AA131" s="232"/>
      <c r="AB131" s="232"/>
      <c r="AC131" s="232"/>
      <c r="AD131" s="232"/>
      <c r="AE131" s="232"/>
    </row>
    <row r="132" spans="1:31">
      <c r="A132" s="222"/>
      <c r="B132" s="222"/>
      <c r="C132" s="163"/>
      <c r="D132" s="223"/>
      <c r="E132" s="224"/>
      <c r="F132" s="225"/>
      <c r="G132" s="226"/>
      <c r="H132" s="222"/>
      <c r="I132" s="222"/>
      <c r="J132" s="222"/>
      <c r="K132" s="220"/>
      <c r="L132" s="232"/>
      <c r="M132" s="232"/>
      <c r="N132" s="222"/>
      <c r="O132" s="227"/>
      <c r="P132" s="224"/>
      <c r="Q132" s="223"/>
      <c r="R132" s="228"/>
      <c r="S132" s="226"/>
      <c r="T132" s="215"/>
      <c r="U132" s="232"/>
      <c r="V132" s="232"/>
      <c r="W132" s="217"/>
      <c r="X132" s="217"/>
      <c r="Y132" s="232"/>
      <c r="Z132" s="232"/>
      <c r="AA132" s="232"/>
      <c r="AB132" s="232"/>
      <c r="AC132" s="232"/>
      <c r="AD132" s="232"/>
      <c r="AE132" s="232"/>
    </row>
    <row r="133" spans="1:31">
      <c r="A133" s="222"/>
      <c r="B133" s="222"/>
      <c r="C133" s="163"/>
      <c r="D133" s="223"/>
      <c r="E133" s="224"/>
      <c r="F133" s="225"/>
      <c r="G133" s="226"/>
      <c r="H133" s="222"/>
      <c r="I133" s="222"/>
      <c r="J133" s="222"/>
      <c r="K133" s="220"/>
      <c r="L133" s="232"/>
      <c r="M133" s="232"/>
      <c r="N133" s="222"/>
      <c r="O133" s="227"/>
      <c r="P133" s="224"/>
      <c r="Q133" s="223"/>
      <c r="R133" s="228"/>
      <c r="S133" s="226"/>
      <c r="T133" s="215"/>
      <c r="U133" s="232"/>
      <c r="V133" s="232"/>
      <c r="W133" s="217"/>
      <c r="X133" s="217"/>
      <c r="Y133" s="232"/>
      <c r="Z133" s="232"/>
      <c r="AA133" s="232"/>
      <c r="AB133" s="232"/>
      <c r="AC133" s="232"/>
      <c r="AD133" s="232"/>
      <c r="AE133" s="232"/>
    </row>
    <row r="134" spans="1:31">
      <c r="A134" s="222"/>
      <c r="B134" s="222"/>
      <c r="C134" s="163"/>
      <c r="D134" s="223"/>
      <c r="E134" s="224"/>
      <c r="F134" s="225"/>
      <c r="G134" s="226"/>
      <c r="H134" s="222"/>
      <c r="I134" s="222"/>
      <c r="J134" s="222"/>
      <c r="K134" s="220"/>
      <c r="L134" s="232"/>
      <c r="M134" s="232"/>
      <c r="N134" s="222"/>
      <c r="O134" s="227"/>
      <c r="P134" s="224"/>
      <c r="Q134" s="223"/>
      <c r="R134" s="228"/>
      <c r="S134" s="226"/>
      <c r="T134" s="215"/>
      <c r="U134" s="232"/>
      <c r="V134" s="232"/>
      <c r="W134" s="217"/>
      <c r="X134" s="217"/>
      <c r="Y134" s="232"/>
      <c r="Z134" s="232"/>
      <c r="AA134" s="232"/>
      <c r="AB134" s="232"/>
      <c r="AC134" s="232"/>
      <c r="AD134" s="232"/>
      <c r="AE134" s="232"/>
    </row>
    <row r="135" spans="1:31">
      <c r="A135" s="222"/>
      <c r="B135" s="222"/>
      <c r="C135" s="163"/>
      <c r="D135" s="223"/>
      <c r="E135" s="224"/>
      <c r="F135" s="225"/>
      <c r="G135" s="226"/>
      <c r="H135" s="222"/>
      <c r="I135" s="222"/>
      <c r="J135" s="222"/>
      <c r="K135" s="220"/>
      <c r="L135" s="232"/>
      <c r="M135" s="232"/>
      <c r="N135" s="222"/>
      <c r="O135" s="227"/>
      <c r="P135" s="224"/>
      <c r="Q135" s="223"/>
      <c r="R135" s="228"/>
      <c r="S135" s="226"/>
      <c r="T135" s="215"/>
      <c r="U135" s="232"/>
      <c r="V135" s="232"/>
      <c r="W135" s="217"/>
      <c r="X135" s="217"/>
      <c r="Y135" s="232"/>
      <c r="Z135" s="232"/>
      <c r="AA135" s="232"/>
      <c r="AB135" s="232"/>
      <c r="AC135" s="232"/>
      <c r="AD135" s="232"/>
      <c r="AE135" s="232"/>
    </row>
    <row r="136" spans="1:31">
      <c r="A136" s="222"/>
      <c r="B136" s="222"/>
      <c r="C136" s="163"/>
      <c r="D136" s="223"/>
      <c r="E136" s="224"/>
      <c r="F136" s="225"/>
      <c r="G136" s="226"/>
      <c r="H136" s="222"/>
      <c r="I136" s="222"/>
      <c r="J136" s="222"/>
      <c r="K136" s="220"/>
      <c r="L136" s="232"/>
      <c r="M136" s="232"/>
      <c r="N136" s="222"/>
      <c r="O136" s="227"/>
      <c r="P136" s="224"/>
      <c r="Q136" s="223"/>
      <c r="R136" s="228"/>
      <c r="S136" s="226"/>
      <c r="T136" s="215"/>
      <c r="U136" s="232"/>
      <c r="V136" s="232"/>
      <c r="W136" s="217"/>
      <c r="X136" s="217"/>
      <c r="Y136" s="232"/>
      <c r="Z136" s="232"/>
      <c r="AA136" s="232"/>
      <c r="AB136" s="232"/>
      <c r="AC136" s="232"/>
      <c r="AD136" s="232"/>
      <c r="AE136" s="232"/>
    </row>
    <row r="137" spans="1:31">
      <c r="A137" s="222"/>
      <c r="B137" s="222"/>
      <c r="C137" s="163"/>
      <c r="D137" s="223"/>
      <c r="E137" s="224"/>
      <c r="F137" s="225"/>
      <c r="G137" s="226"/>
      <c r="H137" s="222"/>
      <c r="I137" s="222"/>
      <c r="J137" s="222"/>
      <c r="K137" s="220"/>
      <c r="L137" s="232"/>
      <c r="M137" s="232"/>
      <c r="N137" s="222"/>
      <c r="O137" s="227"/>
      <c r="P137" s="224"/>
      <c r="Q137" s="223"/>
      <c r="R137" s="228"/>
      <c r="S137" s="226"/>
      <c r="T137" s="215"/>
      <c r="U137" s="232"/>
      <c r="V137" s="232"/>
      <c r="W137" s="217"/>
      <c r="X137" s="217"/>
      <c r="Y137" s="232"/>
      <c r="Z137" s="232"/>
      <c r="AA137" s="232"/>
      <c r="AB137" s="232"/>
      <c r="AC137" s="232"/>
      <c r="AD137" s="232"/>
      <c r="AE137" s="232"/>
    </row>
    <row r="138" spans="1:31">
      <c r="A138" s="222"/>
      <c r="B138" s="222"/>
      <c r="C138" s="163"/>
      <c r="D138" s="223"/>
      <c r="E138" s="224"/>
      <c r="F138" s="225"/>
      <c r="G138" s="226"/>
      <c r="H138" s="222"/>
      <c r="I138" s="222"/>
      <c r="J138" s="222"/>
      <c r="K138" s="220"/>
      <c r="L138" s="232"/>
      <c r="M138" s="232"/>
      <c r="N138" s="222"/>
      <c r="O138" s="227"/>
      <c r="P138" s="224"/>
      <c r="Q138" s="223"/>
      <c r="R138" s="228"/>
      <c r="S138" s="226"/>
      <c r="T138" s="215"/>
      <c r="U138" s="232"/>
      <c r="V138" s="232"/>
      <c r="W138" s="217"/>
      <c r="X138" s="217"/>
      <c r="Y138" s="232"/>
      <c r="Z138" s="232"/>
      <c r="AA138" s="232"/>
      <c r="AB138" s="232"/>
      <c r="AC138" s="232"/>
      <c r="AD138" s="232"/>
      <c r="AE138" s="232"/>
    </row>
    <row r="139" spans="1:31">
      <c r="A139" s="222"/>
      <c r="B139" s="222"/>
      <c r="C139" s="163"/>
      <c r="D139" s="223"/>
      <c r="E139" s="224"/>
      <c r="F139" s="225"/>
      <c r="G139" s="226"/>
      <c r="H139" s="222"/>
      <c r="I139" s="222"/>
      <c r="J139" s="222"/>
      <c r="K139" s="220"/>
      <c r="L139" s="232"/>
      <c r="M139" s="232"/>
      <c r="N139" s="222"/>
      <c r="O139" s="227"/>
      <c r="P139" s="224"/>
      <c r="Q139" s="223"/>
      <c r="R139" s="228"/>
      <c r="S139" s="226"/>
      <c r="T139" s="215"/>
      <c r="U139" s="232"/>
      <c r="V139" s="232"/>
      <c r="W139" s="217"/>
      <c r="X139" s="217"/>
      <c r="Y139" s="232"/>
      <c r="Z139" s="232"/>
      <c r="AA139" s="232"/>
      <c r="AB139" s="232"/>
      <c r="AC139" s="232"/>
      <c r="AD139" s="232"/>
      <c r="AE139" s="232"/>
    </row>
    <row r="140" spans="1:31">
      <c r="A140" s="222"/>
      <c r="B140" s="222"/>
      <c r="C140" s="163"/>
      <c r="D140" s="223"/>
      <c r="E140" s="224"/>
      <c r="F140" s="225"/>
      <c r="G140" s="226"/>
      <c r="H140" s="222"/>
      <c r="I140" s="222"/>
      <c r="J140" s="222"/>
      <c r="K140" s="220"/>
      <c r="L140" s="232"/>
      <c r="M140" s="232"/>
      <c r="N140" s="222"/>
      <c r="O140" s="227"/>
      <c r="P140" s="224"/>
      <c r="Q140" s="223"/>
      <c r="R140" s="228"/>
      <c r="S140" s="226"/>
      <c r="T140" s="215"/>
      <c r="U140" s="232"/>
      <c r="V140" s="232"/>
      <c r="W140" s="217"/>
      <c r="X140" s="217"/>
      <c r="Y140" s="232"/>
      <c r="Z140" s="232"/>
      <c r="AA140" s="232"/>
      <c r="AB140" s="232"/>
      <c r="AC140" s="232"/>
      <c r="AD140" s="232"/>
      <c r="AE140" s="232"/>
    </row>
    <row r="141" spans="1:31">
      <c r="A141" s="222"/>
      <c r="B141" s="222"/>
      <c r="C141" s="163"/>
      <c r="D141" s="223"/>
      <c r="E141" s="224"/>
      <c r="F141" s="225"/>
      <c r="G141" s="226"/>
      <c r="H141" s="222"/>
      <c r="I141" s="222"/>
      <c r="J141" s="222"/>
      <c r="K141" s="220"/>
      <c r="L141" s="232"/>
      <c r="M141" s="232"/>
      <c r="N141" s="222"/>
      <c r="O141" s="227"/>
      <c r="P141" s="224"/>
      <c r="Q141" s="223"/>
      <c r="R141" s="228"/>
      <c r="S141" s="226"/>
      <c r="T141" s="215"/>
      <c r="U141" s="232"/>
      <c r="V141" s="232"/>
      <c r="W141" s="217"/>
      <c r="X141" s="217"/>
      <c r="Y141" s="232"/>
      <c r="Z141" s="232"/>
      <c r="AA141" s="232"/>
      <c r="AB141" s="232"/>
      <c r="AC141" s="232"/>
      <c r="AD141" s="232"/>
      <c r="AE141" s="232"/>
    </row>
    <row r="142" spans="1:31">
      <c r="A142" s="222"/>
      <c r="B142" s="222"/>
      <c r="C142" s="163"/>
      <c r="D142" s="223"/>
      <c r="E142" s="224"/>
      <c r="F142" s="225"/>
      <c r="G142" s="226"/>
      <c r="H142" s="222"/>
      <c r="I142" s="222"/>
      <c r="J142" s="222"/>
      <c r="K142" s="220"/>
      <c r="L142" s="232"/>
      <c r="M142" s="232"/>
      <c r="N142" s="222"/>
      <c r="O142" s="227"/>
      <c r="P142" s="224"/>
      <c r="Q142" s="223"/>
      <c r="R142" s="228"/>
      <c r="S142" s="226"/>
      <c r="T142" s="215"/>
      <c r="U142" s="232"/>
      <c r="V142" s="232"/>
      <c r="W142" s="217"/>
      <c r="X142" s="217"/>
      <c r="Y142" s="232"/>
      <c r="Z142" s="232"/>
      <c r="AA142" s="232"/>
      <c r="AB142" s="232"/>
      <c r="AC142" s="232"/>
      <c r="AD142" s="232"/>
      <c r="AE142" s="232"/>
    </row>
    <row r="143" spans="1:31">
      <c r="A143" s="222"/>
      <c r="B143" s="222"/>
      <c r="C143" s="163"/>
      <c r="D143" s="223"/>
      <c r="E143" s="224"/>
      <c r="F143" s="225"/>
      <c r="G143" s="226"/>
      <c r="H143" s="222"/>
      <c r="I143" s="222"/>
      <c r="J143" s="222"/>
      <c r="K143" s="220"/>
      <c r="L143" s="232"/>
      <c r="M143" s="232"/>
      <c r="N143" s="222"/>
      <c r="O143" s="227"/>
      <c r="P143" s="224"/>
      <c r="Q143" s="223"/>
      <c r="R143" s="228"/>
      <c r="S143" s="226"/>
      <c r="T143" s="215"/>
      <c r="U143" s="232"/>
      <c r="V143" s="232"/>
      <c r="W143" s="217"/>
      <c r="X143" s="217"/>
      <c r="Y143" s="232"/>
      <c r="Z143" s="232"/>
      <c r="AA143" s="232"/>
      <c r="AB143" s="232"/>
      <c r="AC143" s="232"/>
      <c r="AD143" s="232"/>
      <c r="AE143" s="232"/>
    </row>
    <row r="144" spans="1:31">
      <c r="A144" s="222"/>
      <c r="B144" s="222"/>
      <c r="C144" s="163"/>
      <c r="D144" s="223"/>
      <c r="E144" s="224"/>
      <c r="F144" s="225"/>
      <c r="G144" s="226"/>
      <c r="H144" s="222"/>
      <c r="I144" s="222"/>
      <c r="J144" s="222"/>
      <c r="K144" s="220"/>
      <c r="L144" s="232"/>
      <c r="M144" s="232"/>
      <c r="N144" s="222"/>
      <c r="O144" s="227"/>
      <c r="P144" s="224"/>
      <c r="Q144" s="223"/>
      <c r="R144" s="228"/>
      <c r="S144" s="226"/>
      <c r="T144" s="215"/>
      <c r="U144" s="232"/>
      <c r="V144" s="232"/>
      <c r="W144" s="217"/>
      <c r="X144" s="217"/>
      <c r="Y144" s="232"/>
      <c r="Z144" s="232"/>
      <c r="AA144" s="232"/>
      <c r="AB144" s="232"/>
      <c r="AC144" s="232"/>
      <c r="AD144" s="232"/>
      <c r="AE144" s="232"/>
    </row>
    <row r="145" spans="1:31">
      <c r="A145" s="222"/>
      <c r="B145" s="222"/>
      <c r="C145" s="163"/>
      <c r="D145" s="223"/>
      <c r="E145" s="224"/>
      <c r="F145" s="225"/>
      <c r="G145" s="226"/>
      <c r="H145" s="222"/>
      <c r="I145" s="222"/>
      <c r="J145" s="222"/>
      <c r="K145" s="220"/>
      <c r="L145" s="232"/>
      <c r="M145" s="232"/>
      <c r="N145" s="222"/>
      <c r="O145" s="227"/>
      <c r="P145" s="224"/>
      <c r="Q145" s="223"/>
      <c r="R145" s="228"/>
      <c r="S145" s="226"/>
      <c r="T145" s="215"/>
      <c r="U145" s="232"/>
      <c r="V145" s="232"/>
      <c r="W145" s="217"/>
      <c r="X145" s="217"/>
      <c r="Y145" s="232"/>
      <c r="Z145" s="232"/>
      <c r="AA145" s="232"/>
      <c r="AB145" s="232"/>
      <c r="AC145" s="232"/>
      <c r="AD145" s="232"/>
      <c r="AE145" s="232"/>
    </row>
    <row r="146" spans="1:31">
      <c r="A146" s="222"/>
      <c r="B146" s="222"/>
      <c r="C146" s="163"/>
      <c r="D146" s="223"/>
      <c r="E146" s="224"/>
      <c r="F146" s="225"/>
      <c r="G146" s="226"/>
      <c r="H146" s="222"/>
      <c r="I146" s="222"/>
      <c r="J146" s="222"/>
      <c r="K146" s="220"/>
      <c r="L146" s="232"/>
      <c r="M146" s="232"/>
      <c r="N146" s="222"/>
      <c r="O146" s="227"/>
      <c r="P146" s="224"/>
      <c r="Q146" s="223"/>
      <c r="R146" s="228"/>
      <c r="S146" s="226"/>
      <c r="T146" s="215"/>
      <c r="U146" s="232"/>
      <c r="V146" s="232"/>
      <c r="W146" s="217"/>
      <c r="X146" s="217"/>
      <c r="Y146" s="232"/>
      <c r="Z146" s="232"/>
      <c r="AA146" s="232"/>
      <c r="AB146" s="232"/>
      <c r="AC146" s="232"/>
      <c r="AD146" s="232"/>
      <c r="AE146" s="232"/>
    </row>
    <row r="147" spans="1:31">
      <c r="A147" s="222"/>
      <c r="B147" s="222"/>
      <c r="C147" s="163"/>
      <c r="D147" s="223"/>
      <c r="E147" s="224"/>
      <c r="F147" s="225"/>
      <c r="G147" s="226"/>
      <c r="H147" s="222"/>
      <c r="I147" s="222"/>
      <c r="J147" s="222"/>
      <c r="K147" s="220"/>
      <c r="L147" s="232"/>
      <c r="M147" s="232"/>
      <c r="N147" s="222"/>
      <c r="O147" s="227"/>
      <c r="P147" s="224"/>
      <c r="Q147" s="223"/>
      <c r="R147" s="228"/>
      <c r="S147" s="226"/>
      <c r="T147" s="215"/>
      <c r="U147" s="232"/>
      <c r="V147" s="232"/>
      <c r="W147" s="217"/>
      <c r="X147" s="217"/>
      <c r="Y147" s="232"/>
      <c r="Z147" s="232"/>
      <c r="AA147" s="232"/>
      <c r="AB147" s="232"/>
      <c r="AC147" s="232"/>
      <c r="AD147" s="232"/>
      <c r="AE147" s="232"/>
    </row>
    <row r="148" spans="1:31">
      <c r="A148" s="222"/>
      <c r="B148" s="222"/>
      <c r="C148" s="163"/>
      <c r="D148" s="223"/>
      <c r="E148" s="224"/>
      <c r="F148" s="225"/>
      <c r="G148" s="226"/>
      <c r="H148" s="222"/>
      <c r="I148" s="222"/>
      <c r="J148" s="222"/>
      <c r="K148" s="220"/>
      <c r="L148" s="232"/>
      <c r="M148" s="232"/>
      <c r="N148" s="222"/>
      <c r="O148" s="227"/>
      <c r="P148" s="224"/>
      <c r="Q148" s="223"/>
      <c r="R148" s="228"/>
      <c r="S148" s="226"/>
      <c r="T148" s="215"/>
      <c r="U148" s="232"/>
      <c r="V148" s="232"/>
      <c r="W148" s="217"/>
      <c r="X148" s="217"/>
      <c r="Y148" s="232"/>
      <c r="Z148" s="232"/>
      <c r="AA148" s="232"/>
      <c r="AB148" s="232"/>
      <c r="AC148" s="232"/>
      <c r="AD148" s="232"/>
      <c r="AE148" s="232"/>
    </row>
    <row r="149" spans="1:31">
      <c r="A149" s="222"/>
      <c r="B149" s="222"/>
      <c r="C149" s="163"/>
      <c r="D149" s="223"/>
      <c r="E149" s="224"/>
      <c r="F149" s="225"/>
      <c r="G149" s="226"/>
      <c r="H149" s="222"/>
      <c r="I149" s="222"/>
      <c r="J149" s="222"/>
      <c r="K149" s="220"/>
      <c r="L149" s="232"/>
      <c r="M149" s="232"/>
      <c r="N149" s="222"/>
      <c r="O149" s="227"/>
      <c r="P149" s="224"/>
      <c r="Q149" s="223"/>
      <c r="R149" s="228"/>
      <c r="S149" s="226"/>
      <c r="T149" s="215"/>
      <c r="U149" s="232"/>
      <c r="V149" s="232"/>
      <c r="W149" s="217"/>
      <c r="X149" s="217"/>
      <c r="Y149" s="232"/>
      <c r="Z149" s="232"/>
      <c r="AA149" s="232"/>
      <c r="AB149" s="232"/>
      <c r="AC149" s="232"/>
      <c r="AD149" s="232"/>
      <c r="AE149" s="232"/>
    </row>
    <row r="150" spans="1:31">
      <c r="A150" s="222"/>
      <c r="B150" s="222"/>
      <c r="C150" s="163"/>
      <c r="D150" s="223"/>
      <c r="E150" s="224"/>
      <c r="F150" s="225"/>
      <c r="G150" s="226"/>
      <c r="H150" s="222"/>
      <c r="I150" s="222"/>
      <c r="J150" s="222"/>
      <c r="K150" s="220"/>
      <c r="L150" s="232"/>
      <c r="M150" s="232"/>
      <c r="N150" s="222"/>
      <c r="O150" s="227"/>
      <c r="P150" s="224"/>
      <c r="Q150" s="223"/>
      <c r="R150" s="228"/>
      <c r="S150" s="226"/>
      <c r="T150" s="215"/>
      <c r="U150" s="232"/>
      <c r="V150" s="232"/>
      <c r="W150" s="217"/>
      <c r="X150" s="217"/>
      <c r="Y150" s="232"/>
      <c r="Z150" s="232"/>
      <c r="AA150" s="232"/>
      <c r="AB150" s="232"/>
      <c r="AC150" s="232"/>
      <c r="AD150" s="232"/>
      <c r="AE150" s="232"/>
    </row>
    <row r="151" spans="1:31">
      <c r="A151" s="222"/>
      <c r="B151" s="222"/>
      <c r="C151" s="163"/>
      <c r="D151" s="223"/>
      <c r="E151" s="224"/>
      <c r="F151" s="225"/>
      <c r="G151" s="226"/>
      <c r="H151" s="222"/>
      <c r="I151" s="222"/>
      <c r="J151" s="222"/>
      <c r="K151" s="220"/>
      <c r="L151" s="232"/>
      <c r="M151" s="232"/>
      <c r="N151" s="222"/>
      <c r="O151" s="227"/>
      <c r="P151" s="224"/>
      <c r="Q151" s="223"/>
      <c r="R151" s="228"/>
      <c r="S151" s="226"/>
      <c r="T151" s="215"/>
      <c r="U151" s="232"/>
      <c r="V151" s="232"/>
      <c r="W151" s="217"/>
      <c r="X151" s="217"/>
      <c r="Y151" s="232"/>
      <c r="Z151" s="232"/>
      <c r="AA151" s="232"/>
      <c r="AB151" s="232"/>
      <c r="AC151" s="232"/>
      <c r="AD151" s="232"/>
      <c r="AE151" s="232"/>
    </row>
    <row r="152" spans="1:31">
      <c r="A152" s="222"/>
      <c r="B152" s="222"/>
      <c r="C152" s="163"/>
      <c r="D152" s="223"/>
      <c r="E152" s="224"/>
      <c r="F152" s="225"/>
      <c r="G152" s="226"/>
      <c r="H152" s="222"/>
      <c r="I152" s="222"/>
      <c r="J152" s="222"/>
      <c r="K152" s="220"/>
      <c r="L152" s="232"/>
      <c r="M152" s="232"/>
      <c r="N152" s="222"/>
      <c r="O152" s="227"/>
      <c r="P152" s="224"/>
      <c r="Q152" s="223"/>
      <c r="R152" s="228"/>
      <c r="S152" s="226"/>
      <c r="T152" s="215"/>
      <c r="U152" s="232"/>
      <c r="V152" s="232"/>
      <c r="W152" s="217"/>
      <c r="X152" s="217"/>
      <c r="Y152" s="232"/>
      <c r="Z152" s="232"/>
      <c r="AA152" s="232"/>
      <c r="AB152" s="232"/>
      <c r="AC152" s="232"/>
      <c r="AD152" s="232"/>
      <c r="AE152" s="232"/>
    </row>
    <row r="153" spans="1:31">
      <c r="A153" s="222"/>
      <c r="B153" s="222"/>
      <c r="C153" s="163"/>
      <c r="D153" s="223"/>
      <c r="E153" s="224"/>
      <c r="F153" s="225"/>
      <c r="G153" s="226"/>
      <c r="H153" s="222"/>
      <c r="I153" s="222"/>
      <c r="J153" s="222"/>
      <c r="K153" s="220"/>
      <c r="L153" s="232"/>
      <c r="M153" s="232"/>
      <c r="N153" s="222"/>
      <c r="O153" s="227"/>
      <c r="P153" s="224"/>
      <c r="Q153" s="223"/>
      <c r="R153" s="228"/>
      <c r="S153" s="226"/>
      <c r="T153" s="215"/>
      <c r="U153" s="232"/>
      <c r="V153" s="232"/>
      <c r="W153" s="217"/>
      <c r="X153" s="217"/>
      <c r="Y153" s="232"/>
      <c r="Z153" s="232"/>
      <c r="AA153" s="232"/>
      <c r="AB153" s="232"/>
      <c r="AC153" s="232"/>
      <c r="AD153" s="232"/>
      <c r="AE153" s="232"/>
    </row>
    <row r="154" spans="1:31">
      <c r="A154" s="222"/>
      <c r="B154" s="222"/>
      <c r="C154" s="163"/>
      <c r="D154" s="223"/>
      <c r="E154" s="224"/>
      <c r="F154" s="225"/>
      <c r="G154" s="226"/>
      <c r="H154" s="222"/>
      <c r="I154" s="222"/>
      <c r="J154" s="222"/>
      <c r="K154" s="220"/>
      <c r="L154" s="232"/>
      <c r="M154" s="232"/>
      <c r="N154" s="222"/>
      <c r="O154" s="227"/>
      <c r="P154" s="224"/>
      <c r="Q154" s="223"/>
      <c r="R154" s="228"/>
      <c r="S154" s="226"/>
      <c r="T154" s="215"/>
      <c r="U154" s="232"/>
      <c r="V154" s="232"/>
      <c r="W154" s="217"/>
      <c r="X154" s="217"/>
      <c r="Y154" s="232"/>
      <c r="Z154" s="232"/>
      <c r="AA154" s="232"/>
      <c r="AB154" s="232"/>
      <c r="AC154" s="232"/>
      <c r="AD154" s="232"/>
      <c r="AE154" s="232"/>
    </row>
    <row r="155" spans="1:31">
      <c r="A155" s="222"/>
      <c r="B155" s="222"/>
      <c r="C155" s="163"/>
      <c r="D155" s="223"/>
      <c r="E155" s="224"/>
      <c r="F155" s="225"/>
      <c r="G155" s="226"/>
      <c r="H155" s="222"/>
      <c r="I155" s="222"/>
      <c r="J155" s="222"/>
      <c r="K155" s="220"/>
      <c r="L155" s="232"/>
      <c r="M155" s="232"/>
      <c r="N155" s="222"/>
      <c r="O155" s="227"/>
      <c r="P155" s="224"/>
      <c r="Q155" s="223"/>
      <c r="R155" s="228"/>
      <c r="S155" s="226"/>
      <c r="T155" s="215"/>
      <c r="U155" s="232"/>
      <c r="V155" s="232"/>
      <c r="W155" s="217"/>
      <c r="X155" s="217"/>
      <c r="Y155" s="232"/>
      <c r="Z155" s="232"/>
      <c r="AA155" s="232"/>
      <c r="AB155" s="232"/>
      <c r="AC155" s="232"/>
      <c r="AD155" s="232"/>
      <c r="AE155" s="232"/>
    </row>
    <row r="156" spans="1:31">
      <c r="A156" s="222"/>
      <c r="B156" s="222"/>
      <c r="C156" s="163"/>
      <c r="D156" s="223"/>
      <c r="E156" s="224"/>
      <c r="F156" s="225"/>
      <c r="G156" s="226"/>
      <c r="H156" s="222"/>
      <c r="I156" s="222"/>
      <c r="J156" s="222"/>
      <c r="K156" s="220"/>
      <c r="L156" s="232"/>
      <c r="M156" s="232"/>
      <c r="N156" s="222"/>
      <c r="O156" s="227"/>
      <c r="P156" s="224"/>
      <c r="Q156" s="223"/>
      <c r="R156" s="228"/>
      <c r="S156" s="226"/>
      <c r="T156" s="215"/>
      <c r="U156" s="232"/>
      <c r="V156" s="232"/>
      <c r="W156" s="217"/>
      <c r="X156" s="217"/>
      <c r="Y156" s="232"/>
      <c r="Z156" s="232"/>
      <c r="AA156" s="232"/>
      <c r="AB156" s="232"/>
      <c r="AC156" s="232"/>
      <c r="AD156" s="232"/>
      <c r="AE156" s="232"/>
    </row>
    <row r="157" spans="1:31">
      <c r="A157" s="222"/>
      <c r="B157" s="222"/>
      <c r="C157" s="163"/>
      <c r="D157" s="223"/>
      <c r="E157" s="224"/>
      <c r="F157" s="225"/>
      <c r="G157" s="226"/>
      <c r="H157" s="222"/>
      <c r="I157" s="222"/>
      <c r="J157" s="222"/>
      <c r="K157" s="220"/>
      <c r="L157" s="232"/>
      <c r="M157" s="232"/>
      <c r="N157" s="222"/>
      <c r="O157" s="227"/>
      <c r="P157" s="224"/>
      <c r="Q157" s="223"/>
      <c r="R157" s="228"/>
      <c r="S157" s="226"/>
      <c r="T157" s="215"/>
      <c r="U157" s="232"/>
      <c r="V157" s="232"/>
      <c r="W157" s="217"/>
      <c r="X157" s="217"/>
      <c r="Y157" s="232"/>
      <c r="Z157" s="232"/>
      <c r="AA157" s="232"/>
      <c r="AB157" s="232"/>
      <c r="AC157" s="232"/>
      <c r="AD157" s="232"/>
      <c r="AE157" s="232"/>
    </row>
    <row r="158" spans="1:31">
      <c r="A158" s="222"/>
      <c r="B158" s="222"/>
      <c r="C158" s="163"/>
      <c r="D158" s="223"/>
      <c r="E158" s="224"/>
      <c r="F158" s="225"/>
      <c r="G158" s="226"/>
      <c r="H158" s="222"/>
      <c r="I158" s="222"/>
      <c r="J158" s="222"/>
      <c r="K158" s="220"/>
      <c r="L158" s="232"/>
      <c r="M158" s="232"/>
      <c r="N158" s="222"/>
      <c r="O158" s="227"/>
      <c r="P158" s="224"/>
      <c r="Q158" s="223"/>
      <c r="R158" s="228"/>
      <c r="S158" s="226"/>
      <c r="T158" s="215"/>
      <c r="U158" s="232"/>
      <c r="V158" s="232"/>
      <c r="W158" s="217"/>
      <c r="X158" s="217"/>
      <c r="Y158" s="232"/>
      <c r="Z158" s="232"/>
      <c r="AA158" s="232"/>
      <c r="AB158" s="232"/>
      <c r="AC158" s="232"/>
      <c r="AD158" s="232"/>
      <c r="AE158" s="232"/>
    </row>
    <row r="159" spans="1:31">
      <c r="A159" s="222"/>
      <c r="B159" s="222"/>
      <c r="C159" s="163"/>
      <c r="D159" s="223"/>
      <c r="E159" s="224"/>
      <c r="F159" s="225"/>
      <c r="G159" s="226"/>
      <c r="H159" s="222"/>
      <c r="I159" s="222"/>
      <c r="J159" s="222"/>
      <c r="K159" s="220"/>
      <c r="L159" s="232"/>
      <c r="M159" s="232"/>
      <c r="N159" s="222"/>
      <c r="O159" s="227"/>
      <c r="P159" s="224"/>
      <c r="Q159" s="223"/>
      <c r="R159" s="228"/>
      <c r="S159" s="226"/>
      <c r="T159" s="215"/>
      <c r="U159" s="232"/>
      <c r="V159" s="232"/>
      <c r="W159" s="217"/>
      <c r="X159" s="217"/>
      <c r="Y159" s="232"/>
      <c r="Z159" s="232"/>
      <c r="AA159" s="232"/>
      <c r="AB159" s="232"/>
      <c r="AC159" s="232"/>
      <c r="AD159" s="232"/>
      <c r="AE159" s="232"/>
    </row>
    <row r="160" spans="1:31">
      <c r="A160" s="222"/>
      <c r="B160" s="222"/>
      <c r="C160" s="163"/>
      <c r="D160" s="223"/>
      <c r="E160" s="224"/>
      <c r="F160" s="225"/>
      <c r="G160" s="226"/>
      <c r="H160" s="222"/>
      <c r="I160" s="222"/>
      <c r="J160" s="222"/>
      <c r="K160" s="220"/>
      <c r="L160" s="232"/>
      <c r="M160" s="232"/>
      <c r="N160" s="222"/>
      <c r="O160" s="227"/>
      <c r="P160" s="224"/>
      <c r="Q160" s="223"/>
      <c r="R160" s="228"/>
      <c r="S160" s="226"/>
      <c r="T160" s="215"/>
      <c r="U160" s="232"/>
      <c r="V160" s="232"/>
      <c r="W160" s="217"/>
      <c r="X160" s="217"/>
      <c r="Y160" s="232"/>
      <c r="Z160" s="232"/>
      <c r="AA160" s="232"/>
      <c r="AB160" s="232"/>
      <c r="AC160" s="232"/>
      <c r="AD160" s="232"/>
      <c r="AE160" s="232"/>
    </row>
    <row r="161" spans="1:31">
      <c r="A161" s="222"/>
      <c r="B161" s="222"/>
      <c r="C161" s="163"/>
      <c r="D161" s="223"/>
      <c r="E161" s="224"/>
      <c r="F161" s="225"/>
      <c r="G161" s="226"/>
      <c r="H161" s="222"/>
      <c r="I161" s="222"/>
      <c r="J161" s="222"/>
      <c r="K161" s="220"/>
      <c r="L161" s="232"/>
      <c r="M161" s="232"/>
      <c r="N161" s="222"/>
      <c r="O161" s="227"/>
      <c r="P161" s="224"/>
      <c r="Q161" s="223"/>
      <c r="R161" s="228"/>
      <c r="S161" s="226"/>
      <c r="T161" s="215"/>
      <c r="U161" s="232"/>
      <c r="V161" s="232"/>
      <c r="W161" s="217"/>
      <c r="X161" s="217"/>
      <c r="Y161" s="232"/>
      <c r="Z161" s="232"/>
      <c r="AA161" s="232"/>
      <c r="AB161" s="232"/>
      <c r="AC161" s="232"/>
      <c r="AD161" s="232"/>
      <c r="AE161" s="232"/>
    </row>
    <row r="162" spans="1:31">
      <c r="A162" s="222"/>
      <c r="B162" s="222"/>
      <c r="C162" s="163"/>
      <c r="D162" s="223"/>
      <c r="E162" s="224"/>
      <c r="F162" s="225"/>
      <c r="G162" s="226"/>
      <c r="H162" s="222"/>
      <c r="I162" s="222"/>
      <c r="J162" s="222"/>
      <c r="K162" s="220"/>
      <c r="L162" s="232"/>
      <c r="M162" s="232"/>
      <c r="N162" s="222"/>
      <c r="O162" s="227"/>
      <c r="P162" s="224"/>
      <c r="Q162" s="223"/>
      <c r="R162" s="228"/>
      <c r="S162" s="226"/>
      <c r="T162" s="215"/>
      <c r="U162" s="232"/>
      <c r="V162" s="232"/>
      <c r="W162" s="217"/>
      <c r="X162" s="217"/>
      <c r="Y162" s="232"/>
      <c r="Z162" s="232"/>
      <c r="AA162" s="232"/>
      <c r="AB162" s="232"/>
      <c r="AC162" s="232"/>
      <c r="AD162" s="232"/>
      <c r="AE162" s="232"/>
    </row>
    <row r="163" spans="1:31">
      <c r="A163" s="222"/>
      <c r="B163" s="222"/>
      <c r="C163" s="163"/>
      <c r="D163" s="223"/>
      <c r="E163" s="224"/>
      <c r="F163" s="225"/>
      <c r="G163" s="226"/>
      <c r="H163" s="222"/>
      <c r="I163" s="222"/>
      <c r="J163" s="222"/>
      <c r="K163" s="220"/>
      <c r="L163" s="232"/>
      <c r="M163" s="232"/>
      <c r="N163" s="222"/>
      <c r="O163" s="227"/>
      <c r="P163" s="224"/>
      <c r="Q163" s="223"/>
      <c r="R163" s="228"/>
      <c r="S163" s="226"/>
      <c r="T163" s="215"/>
      <c r="U163" s="232"/>
      <c r="V163" s="232"/>
      <c r="W163" s="217"/>
      <c r="X163" s="217"/>
      <c r="Y163" s="232"/>
      <c r="Z163" s="232"/>
      <c r="AA163" s="232"/>
      <c r="AB163" s="232"/>
      <c r="AC163" s="232"/>
      <c r="AD163" s="232"/>
      <c r="AE163" s="232"/>
    </row>
    <row r="164" spans="1:31">
      <c r="A164" s="222"/>
      <c r="B164" s="222"/>
      <c r="C164" s="163"/>
      <c r="D164" s="223"/>
      <c r="E164" s="224"/>
      <c r="F164" s="225"/>
      <c r="G164" s="226"/>
      <c r="H164" s="222"/>
      <c r="I164" s="222"/>
      <c r="J164" s="222"/>
      <c r="K164" s="220"/>
      <c r="L164" s="232"/>
      <c r="M164" s="232"/>
      <c r="N164" s="222"/>
      <c r="O164" s="227"/>
      <c r="P164" s="224"/>
      <c r="Q164" s="223"/>
      <c r="R164" s="228"/>
      <c r="S164" s="226"/>
      <c r="T164" s="215"/>
      <c r="U164" s="232"/>
      <c r="V164" s="232"/>
      <c r="W164" s="217"/>
      <c r="X164" s="217"/>
      <c r="Y164" s="232"/>
      <c r="Z164" s="232"/>
      <c r="AA164" s="232"/>
      <c r="AB164" s="232"/>
      <c r="AC164" s="232"/>
      <c r="AD164" s="232"/>
      <c r="AE164" s="232"/>
    </row>
    <row r="165" spans="1:31">
      <c r="A165" s="222"/>
      <c r="B165" s="222"/>
      <c r="C165" s="163"/>
      <c r="D165" s="223"/>
      <c r="E165" s="224"/>
      <c r="F165" s="225"/>
      <c r="G165" s="226"/>
      <c r="H165" s="222"/>
      <c r="I165" s="222"/>
      <c r="J165" s="222"/>
      <c r="K165" s="220"/>
      <c r="L165" s="232"/>
      <c r="M165" s="232"/>
      <c r="N165" s="222"/>
      <c r="O165" s="227"/>
      <c r="P165" s="224"/>
      <c r="Q165" s="223"/>
      <c r="R165" s="228"/>
      <c r="S165" s="226"/>
      <c r="T165" s="215"/>
      <c r="U165" s="232"/>
      <c r="V165" s="232"/>
      <c r="W165" s="217"/>
      <c r="X165" s="217"/>
      <c r="Y165" s="232"/>
      <c r="Z165" s="232"/>
      <c r="AA165" s="232"/>
      <c r="AB165" s="232"/>
      <c r="AC165" s="232"/>
      <c r="AD165" s="232"/>
      <c r="AE165" s="232"/>
    </row>
    <row r="166" spans="1:31">
      <c r="A166" s="222"/>
      <c r="B166" s="222"/>
      <c r="C166" s="163"/>
      <c r="D166" s="223"/>
      <c r="E166" s="224"/>
      <c r="F166" s="225"/>
      <c r="G166" s="226"/>
      <c r="H166" s="222"/>
      <c r="I166" s="222"/>
      <c r="J166" s="222"/>
      <c r="K166" s="220"/>
      <c r="L166" s="232"/>
      <c r="M166" s="232"/>
      <c r="N166" s="222"/>
      <c r="O166" s="227"/>
      <c r="P166" s="224"/>
      <c r="Q166" s="223"/>
      <c r="R166" s="228"/>
      <c r="S166" s="226"/>
      <c r="T166" s="215"/>
      <c r="U166" s="232"/>
      <c r="V166" s="232"/>
      <c r="W166" s="217"/>
      <c r="X166" s="217"/>
      <c r="Y166" s="232"/>
      <c r="Z166" s="232"/>
      <c r="AA166" s="232"/>
      <c r="AB166" s="232"/>
      <c r="AC166" s="232"/>
      <c r="AD166" s="232"/>
      <c r="AE166" s="232"/>
    </row>
    <row r="167" spans="1:31">
      <c r="A167" s="222"/>
      <c r="B167" s="222"/>
      <c r="C167" s="163"/>
      <c r="D167" s="223"/>
      <c r="E167" s="224"/>
      <c r="F167" s="225"/>
      <c r="G167" s="226"/>
      <c r="H167" s="222"/>
      <c r="I167" s="222"/>
      <c r="J167" s="222"/>
      <c r="K167" s="220"/>
      <c r="L167" s="232"/>
      <c r="M167" s="232"/>
      <c r="N167" s="222"/>
      <c r="O167" s="227"/>
      <c r="P167" s="224"/>
      <c r="Q167" s="223"/>
      <c r="R167" s="228"/>
      <c r="S167" s="226"/>
      <c r="T167" s="215"/>
      <c r="U167" s="232"/>
      <c r="V167" s="232"/>
      <c r="W167" s="217"/>
      <c r="X167" s="217"/>
      <c r="Y167" s="232"/>
      <c r="Z167" s="232"/>
      <c r="AA167" s="232"/>
      <c r="AB167" s="232"/>
      <c r="AC167" s="232"/>
      <c r="AD167" s="232"/>
      <c r="AE167" s="232"/>
    </row>
    <row r="168" spans="1:31">
      <c r="A168" s="222"/>
      <c r="B168" s="222"/>
      <c r="C168" s="163"/>
      <c r="D168" s="223"/>
      <c r="E168" s="224"/>
      <c r="F168" s="225"/>
      <c r="G168" s="226"/>
      <c r="H168" s="222"/>
      <c r="I168" s="222"/>
      <c r="J168" s="222"/>
      <c r="K168" s="220"/>
      <c r="L168" s="232"/>
      <c r="M168" s="232"/>
      <c r="N168" s="222"/>
      <c r="O168" s="227"/>
      <c r="P168" s="224"/>
      <c r="Q168" s="223"/>
      <c r="R168" s="228"/>
      <c r="S168" s="226"/>
      <c r="T168" s="215"/>
      <c r="U168" s="232"/>
      <c r="V168" s="232"/>
      <c r="W168" s="217"/>
      <c r="X168" s="217"/>
      <c r="Y168" s="232"/>
      <c r="Z168" s="232"/>
      <c r="AA168" s="232"/>
      <c r="AB168" s="232"/>
      <c r="AC168" s="232"/>
      <c r="AD168" s="232"/>
      <c r="AE168" s="232"/>
    </row>
    <row r="169" spans="1:31">
      <c r="A169" s="222"/>
      <c r="B169" s="222"/>
      <c r="C169" s="163"/>
      <c r="D169" s="223"/>
      <c r="E169" s="224"/>
      <c r="F169" s="225"/>
      <c r="G169" s="226"/>
      <c r="H169" s="222"/>
      <c r="I169" s="222"/>
      <c r="J169" s="222"/>
      <c r="K169" s="220"/>
      <c r="L169" s="232"/>
      <c r="M169" s="232"/>
      <c r="N169" s="222"/>
      <c r="O169" s="227"/>
      <c r="P169" s="224"/>
      <c r="Q169" s="223"/>
      <c r="R169" s="228"/>
      <c r="S169" s="226"/>
      <c r="T169" s="215"/>
      <c r="U169" s="232"/>
      <c r="V169" s="232"/>
      <c r="W169" s="217"/>
      <c r="X169" s="217"/>
      <c r="Y169" s="232"/>
      <c r="Z169" s="232"/>
      <c r="AA169" s="232"/>
      <c r="AB169" s="232"/>
      <c r="AC169" s="232"/>
      <c r="AD169" s="232"/>
      <c r="AE169" s="232"/>
    </row>
    <row r="170" spans="1:31">
      <c r="A170" s="222"/>
      <c r="B170" s="222"/>
      <c r="C170" s="163"/>
      <c r="D170" s="223"/>
      <c r="E170" s="224"/>
      <c r="F170" s="225"/>
      <c r="G170" s="226"/>
      <c r="H170" s="222"/>
      <c r="I170" s="222"/>
      <c r="J170" s="222"/>
      <c r="K170" s="220"/>
      <c r="L170" s="232"/>
      <c r="M170" s="232"/>
      <c r="N170" s="222"/>
      <c r="O170" s="227"/>
      <c r="P170" s="224"/>
      <c r="Q170" s="223"/>
      <c r="R170" s="228"/>
      <c r="S170" s="226"/>
      <c r="T170" s="215"/>
      <c r="U170" s="232"/>
      <c r="V170" s="232"/>
      <c r="W170" s="217"/>
      <c r="X170" s="217"/>
      <c r="Y170" s="232"/>
      <c r="Z170" s="232"/>
      <c r="AA170" s="232"/>
      <c r="AB170" s="232"/>
      <c r="AC170" s="232"/>
      <c r="AD170" s="232"/>
      <c r="AE170" s="232"/>
    </row>
    <row r="171" spans="1:31">
      <c r="A171" s="222"/>
      <c r="B171" s="222"/>
      <c r="C171" s="163"/>
      <c r="D171" s="223"/>
      <c r="E171" s="224"/>
      <c r="F171" s="225"/>
      <c r="G171" s="226"/>
      <c r="H171" s="222"/>
      <c r="I171" s="222"/>
      <c r="J171" s="222"/>
      <c r="K171" s="220"/>
      <c r="L171" s="232"/>
      <c r="M171" s="232"/>
      <c r="N171" s="222"/>
      <c r="O171" s="227"/>
      <c r="P171" s="224"/>
      <c r="Q171" s="223"/>
      <c r="R171" s="228"/>
      <c r="S171" s="226"/>
      <c r="T171" s="215"/>
      <c r="U171" s="232"/>
      <c r="V171" s="232"/>
      <c r="W171" s="217"/>
      <c r="X171" s="217"/>
      <c r="Y171" s="232"/>
      <c r="Z171" s="232"/>
      <c r="AA171" s="232"/>
      <c r="AB171" s="232"/>
      <c r="AC171" s="232"/>
      <c r="AD171" s="232"/>
      <c r="AE171" s="232"/>
    </row>
    <row r="172" spans="1:31">
      <c r="A172" s="222"/>
      <c r="B172" s="222"/>
      <c r="C172" s="163"/>
      <c r="D172" s="223"/>
      <c r="E172" s="224"/>
      <c r="F172" s="225"/>
      <c r="G172" s="226"/>
      <c r="H172" s="222"/>
      <c r="I172" s="222"/>
      <c r="J172" s="222"/>
      <c r="K172" s="220"/>
      <c r="L172" s="232"/>
      <c r="M172" s="232"/>
      <c r="N172" s="222"/>
      <c r="O172" s="227"/>
      <c r="P172" s="224"/>
      <c r="Q172" s="223"/>
      <c r="R172" s="228"/>
      <c r="S172" s="226"/>
      <c r="T172" s="215"/>
      <c r="U172" s="232"/>
      <c r="V172" s="232"/>
      <c r="W172" s="217"/>
      <c r="X172" s="217"/>
      <c r="Y172" s="232"/>
      <c r="Z172" s="232"/>
      <c r="AA172" s="232"/>
      <c r="AB172" s="232"/>
      <c r="AC172" s="232"/>
      <c r="AD172" s="232"/>
      <c r="AE172" s="232"/>
    </row>
    <row r="173" spans="1:31">
      <c r="A173" s="222"/>
      <c r="B173" s="222"/>
      <c r="C173" s="163"/>
      <c r="D173" s="223"/>
      <c r="E173" s="224"/>
      <c r="F173" s="225"/>
      <c r="G173" s="226"/>
      <c r="H173" s="222"/>
      <c r="I173" s="222"/>
      <c r="J173" s="222"/>
      <c r="K173" s="220"/>
      <c r="L173" s="232"/>
      <c r="M173" s="232"/>
      <c r="N173" s="222"/>
      <c r="O173" s="227"/>
      <c r="P173" s="224"/>
      <c r="Q173" s="223"/>
      <c r="R173" s="228"/>
      <c r="S173" s="226"/>
      <c r="T173" s="215"/>
      <c r="U173" s="232"/>
      <c r="V173" s="232"/>
      <c r="W173" s="217"/>
      <c r="X173" s="217"/>
      <c r="Y173" s="232"/>
      <c r="Z173" s="232"/>
      <c r="AA173" s="232"/>
      <c r="AB173" s="232"/>
      <c r="AC173" s="232"/>
      <c r="AD173" s="232"/>
      <c r="AE173" s="232"/>
    </row>
    <row r="174" spans="1:31">
      <c r="A174" s="222"/>
      <c r="B174" s="222"/>
      <c r="C174" s="163"/>
      <c r="D174" s="223"/>
      <c r="E174" s="224"/>
      <c r="F174" s="225"/>
      <c r="G174" s="226"/>
      <c r="H174" s="222"/>
      <c r="I174" s="222"/>
      <c r="J174" s="222"/>
      <c r="K174" s="220"/>
      <c r="L174" s="232"/>
      <c r="M174" s="232"/>
      <c r="N174" s="222"/>
      <c r="O174" s="227"/>
      <c r="P174" s="224"/>
      <c r="Q174" s="223"/>
      <c r="R174" s="228"/>
      <c r="S174" s="226"/>
      <c r="T174" s="215"/>
      <c r="U174" s="232"/>
      <c r="V174" s="232"/>
      <c r="W174" s="217"/>
      <c r="X174" s="217"/>
      <c r="Y174" s="232"/>
      <c r="Z174" s="232"/>
      <c r="AA174" s="232"/>
      <c r="AB174" s="232"/>
      <c r="AC174" s="232"/>
      <c r="AD174" s="232"/>
      <c r="AE174" s="232"/>
    </row>
    <row r="175" spans="1:31">
      <c r="A175" s="222"/>
      <c r="B175" s="222"/>
      <c r="C175" s="163"/>
      <c r="D175" s="223"/>
      <c r="E175" s="224"/>
      <c r="F175" s="225"/>
      <c r="G175" s="226"/>
      <c r="H175" s="222"/>
      <c r="I175" s="222"/>
      <c r="J175" s="222"/>
      <c r="K175" s="220"/>
      <c r="L175" s="232"/>
      <c r="M175" s="232"/>
      <c r="N175" s="222"/>
      <c r="O175" s="227"/>
      <c r="P175" s="224"/>
      <c r="Q175" s="223"/>
      <c r="R175" s="228"/>
      <c r="S175" s="226"/>
      <c r="T175" s="215"/>
      <c r="U175" s="232"/>
      <c r="V175" s="232"/>
      <c r="W175" s="217"/>
      <c r="X175" s="217"/>
      <c r="Y175" s="232"/>
      <c r="Z175" s="232"/>
      <c r="AA175" s="232"/>
      <c r="AB175" s="232"/>
      <c r="AC175" s="232"/>
      <c r="AD175" s="232"/>
      <c r="AE175" s="232"/>
    </row>
    <row r="176" spans="1:31">
      <c r="A176" s="222"/>
      <c r="B176" s="222"/>
      <c r="C176" s="163"/>
      <c r="D176" s="223"/>
      <c r="E176" s="224"/>
      <c r="F176" s="225"/>
      <c r="G176" s="226"/>
      <c r="H176" s="222"/>
      <c r="I176" s="222"/>
      <c r="J176" s="222"/>
      <c r="K176" s="220"/>
      <c r="L176" s="232"/>
      <c r="M176" s="232"/>
      <c r="N176" s="222"/>
      <c r="O176" s="227"/>
      <c r="P176" s="224"/>
      <c r="Q176" s="223"/>
      <c r="R176" s="228"/>
      <c r="S176" s="226"/>
      <c r="T176" s="215"/>
      <c r="U176" s="232"/>
      <c r="V176" s="232"/>
      <c r="W176" s="217"/>
      <c r="X176" s="217"/>
      <c r="Y176" s="232"/>
      <c r="Z176" s="232"/>
      <c r="AA176" s="232"/>
      <c r="AB176" s="232"/>
      <c r="AC176" s="232"/>
      <c r="AD176" s="232"/>
      <c r="AE176" s="232"/>
    </row>
    <row r="177" spans="1:31">
      <c r="A177" s="222"/>
      <c r="B177" s="222"/>
      <c r="C177" s="163"/>
      <c r="D177" s="223"/>
      <c r="E177" s="224"/>
      <c r="F177" s="225"/>
      <c r="G177" s="226"/>
      <c r="H177" s="222"/>
      <c r="I177" s="222"/>
      <c r="J177" s="222"/>
      <c r="K177" s="220"/>
      <c r="L177" s="232"/>
      <c r="M177" s="232"/>
      <c r="N177" s="222"/>
      <c r="O177" s="227"/>
      <c r="P177" s="224"/>
      <c r="Q177" s="223"/>
      <c r="R177" s="228"/>
      <c r="S177" s="226"/>
      <c r="T177" s="215"/>
      <c r="U177" s="232"/>
      <c r="V177" s="232"/>
      <c r="W177" s="217"/>
      <c r="X177" s="217"/>
      <c r="Y177" s="232"/>
      <c r="Z177" s="232"/>
      <c r="AA177" s="232"/>
      <c r="AB177" s="232"/>
      <c r="AC177" s="232"/>
      <c r="AD177" s="232"/>
      <c r="AE177" s="232"/>
    </row>
    <row r="178" spans="1:31">
      <c r="A178" s="222"/>
      <c r="B178" s="222"/>
      <c r="C178" s="163"/>
      <c r="D178" s="223"/>
      <c r="E178" s="224"/>
      <c r="F178" s="225"/>
      <c r="G178" s="226"/>
      <c r="H178" s="222"/>
      <c r="I178" s="222"/>
      <c r="J178" s="222"/>
      <c r="K178" s="220"/>
      <c r="L178" s="232"/>
      <c r="M178" s="232"/>
      <c r="N178" s="222"/>
      <c r="O178" s="227"/>
      <c r="P178" s="224"/>
      <c r="Q178" s="223"/>
      <c r="R178" s="228"/>
      <c r="S178" s="226"/>
      <c r="T178" s="215"/>
      <c r="U178" s="232"/>
      <c r="V178" s="232"/>
      <c r="W178" s="217"/>
      <c r="X178" s="217"/>
      <c r="Y178" s="232"/>
      <c r="Z178" s="232"/>
      <c r="AA178" s="232"/>
      <c r="AB178" s="232"/>
      <c r="AC178" s="232"/>
      <c r="AD178" s="232"/>
      <c r="AE178" s="232"/>
    </row>
    <row r="179" spans="1:31">
      <c r="A179" s="222"/>
      <c r="B179" s="222"/>
      <c r="C179" s="163"/>
      <c r="D179" s="223"/>
      <c r="E179" s="224"/>
      <c r="F179" s="225"/>
      <c r="G179" s="226"/>
      <c r="H179" s="222"/>
      <c r="I179" s="222"/>
      <c r="J179" s="222"/>
      <c r="K179" s="220"/>
      <c r="L179" s="232"/>
      <c r="M179" s="232"/>
      <c r="N179" s="222"/>
      <c r="O179" s="227"/>
      <c r="P179" s="224"/>
      <c r="Q179" s="223"/>
      <c r="R179" s="228"/>
      <c r="S179" s="226"/>
      <c r="T179" s="215"/>
      <c r="U179" s="232"/>
      <c r="V179" s="232"/>
      <c r="W179" s="217"/>
      <c r="X179" s="217"/>
      <c r="Y179" s="232"/>
      <c r="Z179" s="232"/>
      <c r="AA179" s="232"/>
      <c r="AB179" s="232"/>
      <c r="AC179" s="232"/>
      <c r="AD179" s="232"/>
      <c r="AE179" s="232"/>
    </row>
    <row r="180" spans="1:31">
      <c r="A180" s="222"/>
      <c r="B180" s="222"/>
      <c r="C180" s="163"/>
      <c r="D180" s="223"/>
      <c r="E180" s="224"/>
      <c r="F180" s="225"/>
      <c r="G180" s="226"/>
      <c r="H180" s="222"/>
      <c r="I180" s="222"/>
      <c r="J180" s="222"/>
      <c r="K180" s="220"/>
      <c r="L180" s="232"/>
      <c r="M180" s="232"/>
      <c r="N180" s="222"/>
      <c r="O180" s="227"/>
      <c r="P180" s="224"/>
      <c r="Q180" s="223"/>
      <c r="R180" s="228"/>
      <c r="S180" s="226"/>
      <c r="T180" s="215"/>
      <c r="U180" s="232"/>
      <c r="V180" s="232"/>
      <c r="W180" s="217"/>
      <c r="X180" s="217"/>
      <c r="Y180" s="232"/>
      <c r="Z180" s="232"/>
      <c r="AA180" s="232"/>
      <c r="AB180" s="232"/>
      <c r="AC180" s="232"/>
      <c r="AD180" s="232"/>
      <c r="AE180" s="232"/>
    </row>
    <row r="181" spans="1:31">
      <c r="A181" s="222"/>
      <c r="B181" s="222"/>
      <c r="C181" s="163"/>
      <c r="D181" s="223"/>
      <c r="E181" s="224"/>
      <c r="F181" s="225"/>
      <c r="G181" s="226"/>
      <c r="H181" s="222"/>
      <c r="I181" s="222"/>
      <c r="J181" s="222"/>
      <c r="K181" s="220"/>
      <c r="L181" s="232"/>
      <c r="M181" s="232"/>
      <c r="N181" s="222"/>
      <c r="O181" s="227"/>
      <c r="P181" s="224"/>
      <c r="Q181" s="223"/>
      <c r="R181" s="228"/>
      <c r="S181" s="226"/>
      <c r="T181" s="215"/>
      <c r="U181" s="232"/>
      <c r="V181" s="232"/>
      <c r="W181" s="217"/>
      <c r="X181" s="217"/>
      <c r="Y181" s="232"/>
      <c r="Z181" s="232"/>
      <c r="AA181" s="232"/>
      <c r="AB181" s="232"/>
      <c r="AC181" s="232"/>
      <c r="AD181" s="232"/>
      <c r="AE181" s="232"/>
    </row>
    <row r="182" spans="1:31">
      <c r="A182" s="222"/>
      <c r="B182" s="222"/>
      <c r="C182" s="163"/>
      <c r="D182" s="223"/>
      <c r="E182" s="224"/>
      <c r="F182" s="225"/>
      <c r="G182" s="226"/>
      <c r="H182" s="222"/>
      <c r="I182" s="222"/>
      <c r="J182" s="222"/>
      <c r="K182" s="220"/>
      <c r="L182" s="232"/>
      <c r="M182" s="232"/>
      <c r="N182" s="222"/>
      <c r="O182" s="227"/>
      <c r="P182" s="224"/>
      <c r="Q182" s="223"/>
      <c r="R182" s="228"/>
      <c r="S182" s="226"/>
      <c r="T182" s="215"/>
      <c r="U182" s="232"/>
      <c r="V182" s="232"/>
      <c r="W182" s="217"/>
      <c r="X182" s="217"/>
      <c r="Y182" s="232"/>
      <c r="Z182" s="232"/>
      <c r="AA182" s="232"/>
      <c r="AB182" s="232"/>
      <c r="AC182" s="232"/>
      <c r="AD182" s="232"/>
      <c r="AE182" s="232"/>
    </row>
    <row r="183" spans="1:31">
      <c r="A183" s="222"/>
      <c r="B183" s="222"/>
      <c r="C183" s="163"/>
      <c r="D183" s="223"/>
      <c r="E183" s="224"/>
      <c r="F183" s="225"/>
      <c r="G183" s="226"/>
      <c r="H183" s="222"/>
      <c r="I183" s="222"/>
      <c r="J183" s="222"/>
      <c r="K183" s="220"/>
      <c r="L183" s="232"/>
      <c r="M183" s="232"/>
      <c r="N183" s="222"/>
      <c r="O183" s="227"/>
      <c r="P183" s="224"/>
      <c r="Q183" s="223"/>
      <c r="R183" s="228"/>
      <c r="S183" s="226"/>
      <c r="T183" s="215"/>
      <c r="U183" s="232"/>
      <c r="V183" s="232"/>
      <c r="W183" s="217"/>
      <c r="X183" s="217"/>
      <c r="Y183" s="232"/>
      <c r="Z183" s="232"/>
      <c r="AA183" s="232"/>
      <c r="AB183" s="232"/>
      <c r="AC183" s="232"/>
      <c r="AD183" s="232"/>
      <c r="AE183" s="232"/>
    </row>
    <row r="184" spans="1:31">
      <c r="A184" s="222"/>
      <c r="B184" s="222"/>
      <c r="C184" s="163"/>
      <c r="D184" s="223"/>
      <c r="E184" s="224"/>
      <c r="F184" s="225"/>
      <c r="G184" s="226"/>
      <c r="H184" s="222"/>
      <c r="I184" s="222"/>
      <c r="J184" s="222"/>
      <c r="K184" s="220"/>
      <c r="L184" s="232"/>
      <c r="M184" s="232"/>
      <c r="N184" s="222"/>
      <c r="O184" s="227"/>
      <c r="P184" s="224"/>
      <c r="Q184" s="223"/>
      <c r="R184" s="228"/>
      <c r="S184" s="226"/>
      <c r="T184" s="215"/>
      <c r="U184" s="232"/>
      <c r="V184" s="232"/>
      <c r="W184" s="217"/>
      <c r="X184" s="217"/>
      <c r="Y184" s="232"/>
      <c r="Z184" s="232"/>
      <c r="AA184" s="232"/>
      <c r="AB184" s="232"/>
      <c r="AC184" s="232"/>
      <c r="AD184" s="232"/>
      <c r="AE184" s="232"/>
    </row>
    <row r="185" spans="1:31">
      <c r="A185" s="222"/>
      <c r="B185" s="222"/>
      <c r="C185" s="163"/>
      <c r="D185" s="223"/>
      <c r="E185" s="224"/>
      <c r="F185" s="225"/>
      <c r="G185" s="226"/>
      <c r="H185" s="222"/>
      <c r="I185" s="222"/>
      <c r="J185" s="222"/>
      <c r="K185" s="220"/>
      <c r="L185" s="232"/>
      <c r="M185" s="232"/>
      <c r="N185" s="222"/>
      <c r="O185" s="227"/>
      <c r="P185" s="224"/>
      <c r="Q185" s="223"/>
      <c r="R185" s="228"/>
      <c r="S185" s="226"/>
      <c r="T185" s="215"/>
      <c r="U185" s="232"/>
      <c r="V185" s="232"/>
      <c r="W185" s="217"/>
      <c r="X185" s="217"/>
      <c r="Y185" s="232"/>
      <c r="Z185" s="232"/>
      <c r="AA185" s="232"/>
      <c r="AB185" s="232"/>
      <c r="AC185" s="232"/>
      <c r="AD185" s="232"/>
      <c r="AE185" s="232"/>
    </row>
    <row r="186" spans="1:31">
      <c r="A186" s="222"/>
      <c r="B186" s="222"/>
      <c r="C186" s="163"/>
      <c r="D186" s="223"/>
      <c r="E186" s="224"/>
      <c r="F186" s="225"/>
      <c r="G186" s="226"/>
      <c r="H186" s="222"/>
      <c r="I186" s="222"/>
      <c r="J186" s="222"/>
      <c r="K186" s="220"/>
      <c r="L186" s="232"/>
      <c r="M186" s="232"/>
      <c r="N186" s="222"/>
      <c r="O186" s="227"/>
      <c r="P186" s="224"/>
      <c r="Q186" s="223"/>
      <c r="R186" s="228"/>
      <c r="S186" s="226"/>
      <c r="T186" s="215"/>
      <c r="U186" s="232"/>
      <c r="V186" s="232"/>
      <c r="W186" s="217"/>
      <c r="X186" s="217"/>
      <c r="Y186" s="232"/>
      <c r="Z186" s="232"/>
      <c r="AA186" s="232"/>
      <c r="AB186" s="232"/>
      <c r="AC186" s="232"/>
      <c r="AD186" s="232"/>
      <c r="AE186" s="232"/>
    </row>
    <row r="187" spans="1:31">
      <c r="A187" s="222"/>
      <c r="B187" s="222"/>
      <c r="C187" s="163"/>
      <c r="D187" s="223"/>
      <c r="E187" s="224"/>
      <c r="F187" s="225"/>
      <c r="G187" s="226"/>
      <c r="H187" s="222"/>
      <c r="I187" s="222"/>
      <c r="J187" s="222"/>
      <c r="K187" s="220"/>
      <c r="L187" s="232"/>
      <c r="M187" s="232"/>
      <c r="N187" s="222"/>
      <c r="O187" s="227"/>
      <c r="P187" s="224"/>
      <c r="Q187" s="223"/>
      <c r="R187" s="228"/>
      <c r="S187" s="226"/>
      <c r="T187" s="215"/>
      <c r="U187" s="232"/>
      <c r="V187" s="232"/>
      <c r="W187" s="217"/>
      <c r="X187" s="217"/>
      <c r="Y187" s="232"/>
      <c r="Z187" s="232"/>
      <c r="AA187" s="232"/>
      <c r="AB187" s="232"/>
      <c r="AC187" s="232"/>
      <c r="AD187" s="232"/>
      <c r="AE187" s="232"/>
    </row>
    <row r="188" spans="1:31">
      <c r="A188" s="222"/>
      <c r="B188" s="222"/>
      <c r="C188" s="163"/>
      <c r="D188" s="223"/>
      <c r="E188" s="224"/>
      <c r="F188" s="225"/>
      <c r="G188" s="226"/>
      <c r="H188" s="222"/>
      <c r="I188" s="222"/>
      <c r="J188" s="222"/>
      <c r="K188" s="220"/>
      <c r="L188" s="232"/>
      <c r="M188" s="232"/>
      <c r="N188" s="222"/>
      <c r="O188" s="227"/>
      <c r="P188" s="224"/>
      <c r="Q188" s="223"/>
      <c r="R188" s="228"/>
      <c r="S188" s="226"/>
      <c r="T188" s="215"/>
      <c r="U188" s="232"/>
      <c r="V188" s="232"/>
      <c r="W188" s="217"/>
      <c r="X188" s="217"/>
      <c r="Y188" s="232"/>
      <c r="Z188" s="232"/>
      <c r="AA188" s="232"/>
      <c r="AB188" s="232"/>
      <c r="AC188" s="232"/>
      <c r="AD188" s="232"/>
      <c r="AE188" s="232"/>
    </row>
    <row r="189" spans="1:31">
      <c r="A189" s="222"/>
      <c r="B189" s="222"/>
      <c r="C189" s="163"/>
      <c r="D189" s="223"/>
      <c r="E189" s="224"/>
      <c r="F189" s="225"/>
      <c r="G189" s="226"/>
      <c r="H189" s="222"/>
      <c r="I189" s="222"/>
      <c r="J189" s="222"/>
      <c r="K189" s="220"/>
      <c r="L189" s="232"/>
      <c r="M189" s="232"/>
      <c r="N189" s="222"/>
      <c r="O189" s="227"/>
      <c r="P189" s="224"/>
      <c r="Q189" s="223"/>
      <c r="R189" s="228"/>
      <c r="S189" s="226"/>
      <c r="T189" s="215"/>
      <c r="U189" s="232"/>
      <c r="V189" s="232"/>
      <c r="W189" s="217"/>
      <c r="X189" s="217"/>
      <c r="Y189" s="232"/>
      <c r="Z189" s="232"/>
      <c r="AA189" s="232"/>
      <c r="AB189" s="232"/>
      <c r="AC189" s="232"/>
      <c r="AD189" s="232"/>
      <c r="AE189" s="232"/>
    </row>
    <row r="190" spans="1:31">
      <c r="A190" s="222"/>
      <c r="B190" s="222"/>
      <c r="C190" s="163"/>
      <c r="D190" s="223"/>
      <c r="E190" s="224"/>
      <c r="F190" s="225"/>
      <c r="G190" s="226"/>
      <c r="H190" s="222"/>
      <c r="I190" s="222"/>
      <c r="J190" s="222"/>
      <c r="K190" s="220"/>
      <c r="L190" s="232"/>
      <c r="M190" s="232"/>
      <c r="N190" s="222"/>
      <c r="O190" s="227"/>
      <c r="P190" s="224"/>
      <c r="Q190" s="223"/>
      <c r="R190" s="228"/>
      <c r="S190" s="226"/>
      <c r="T190" s="215"/>
      <c r="U190" s="232"/>
      <c r="V190" s="232"/>
      <c r="W190" s="217"/>
      <c r="X190" s="217"/>
      <c r="Y190" s="232"/>
      <c r="Z190" s="232"/>
      <c r="AA190" s="232"/>
      <c r="AB190" s="232"/>
      <c r="AC190" s="232"/>
      <c r="AD190" s="232"/>
      <c r="AE190" s="232"/>
    </row>
    <row r="191" spans="1:31">
      <c r="A191" s="222"/>
      <c r="B191" s="222"/>
      <c r="C191" s="163"/>
      <c r="D191" s="223"/>
      <c r="E191" s="224"/>
      <c r="F191" s="225"/>
      <c r="G191" s="226"/>
      <c r="H191" s="222"/>
      <c r="I191" s="222"/>
      <c r="J191" s="222"/>
      <c r="K191" s="220"/>
      <c r="L191" s="232"/>
      <c r="M191" s="232"/>
      <c r="N191" s="222"/>
      <c r="O191" s="227"/>
      <c r="P191" s="224"/>
      <c r="Q191" s="223"/>
      <c r="R191" s="228"/>
      <c r="S191" s="226"/>
      <c r="T191" s="215"/>
      <c r="U191" s="232"/>
      <c r="V191" s="232"/>
      <c r="W191" s="217"/>
      <c r="X191" s="217"/>
      <c r="Y191" s="232"/>
      <c r="Z191" s="232"/>
      <c r="AA191" s="232"/>
      <c r="AB191" s="232"/>
      <c r="AC191" s="232"/>
      <c r="AD191" s="232"/>
      <c r="AE191" s="232"/>
    </row>
    <row r="192" spans="1:31">
      <c r="A192" s="222"/>
      <c r="B192" s="222"/>
      <c r="C192" s="163"/>
      <c r="D192" s="223"/>
      <c r="E192" s="224"/>
      <c r="F192" s="225"/>
      <c r="G192" s="226"/>
      <c r="H192" s="222"/>
      <c r="I192" s="222"/>
      <c r="J192" s="222"/>
      <c r="K192" s="220"/>
      <c r="L192" s="232"/>
      <c r="M192" s="232"/>
      <c r="N192" s="222"/>
      <c r="O192" s="227"/>
      <c r="P192" s="224"/>
      <c r="Q192" s="223"/>
      <c r="R192" s="228"/>
      <c r="S192" s="226"/>
      <c r="T192" s="215"/>
      <c r="U192" s="232"/>
      <c r="V192" s="232"/>
      <c r="W192" s="217"/>
      <c r="X192" s="217"/>
      <c r="Y192" s="232"/>
      <c r="Z192" s="232"/>
      <c r="AA192" s="232"/>
      <c r="AB192" s="232"/>
      <c r="AC192" s="232"/>
      <c r="AD192" s="232"/>
      <c r="AE192" s="232"/>
    </row>
    <row r="193" spans="1:31">
      <c r="A193" s="222"/>
      <c r="B193" s="222"/>
      <c r="C193" s="163"/>
      <c r="D193" s="223"/>
      <c r="E193" s="224"/>
      <c r="F193" s="225"/>
      <c r="G193" s="226"/>
      <c r="H193" s="222"/>
      <c r="I193" s="222"/>
      <c r="J193" s="222"/>
      <c r="K193" s="220"/>
      <c r="L193" s="232"/>
      <c r="M193" s="232"/>
      <c r="N193" s="222"/>
      <c r="O193" s="227"/>
      <c r="P193" s="224"/>
      <c r="Q193" s="223"/>
      <c r="R193" s="228"/>
      <c r="S193" s="226"/>
      <c r="T193" s="215"/>
      <c r="U193" s="232"/>
      <c r="V193" s="232"/>
      <c r="W193" s="217"/>
      <c r="X193" s="217"/>
      <c r="Y193" s="232"/>
      <c r="Z193" s="232"/>
      <c r="AA193" s="232"/>
      <c r="AB193" s="232"/>
      <c r="AC193" s="232"/>
      <c r="AD193" s="232"/>
      <c r="AE193" s="232"/>
    </row>
    <row r="194" spans="1:31">
      <c r="A194" s="222"/>
      <c r="B194" s="222"/>
      <c r="C194" s="163"/>
      <c r="D194" s="223"/>
      <c r="E194" s="224"/>
      <c r="F194" s="225"/>
      <c r="G194" s="226"/>
      <c r="H194" s="222"/>
      <c r="I194" s="222"/>
      <c r="J194" s="222"/>
      <c r="K194" s="220"/>
      <c r="L194" s="232"/>
      <c r="M194" s="232"/>
      <c r="N194" s="222"/>
      <c r="O194" s="227"/>
      <c r="P194" s="224"/>
      <c r="Q194" s="223"/>
      <c r="R194" s="228"/>
      <c r="S194" s="226"/>
      <c r="T194" s="215"/>
      <c r="U194" s="232"/>
      <c r="V194" s="232"/>
      <c r="W194" s="217"/>
      <c r="X194" s="217"/>
      <c r="Y194" s="232"/>
      <c r="Z194" s="232"/>
      <c r="AA194" s="232"/>
      <c r="AB194" s="232"/>
      <c r="AC194" s="232"/>
      <c r="AD194" s="232"/>
      <c r="AE194" s="232"/>
    </row>
    <row r="195" spans="1:31">
      <c r="A195" s="222"/>
      <c r="B195" s="222"/>
      <c r="C195" s="163"/>
      <c r="D195" s="223"/>
      <c r="E195" s="224"/>
      <c r="F195" s="225"/>
      <c r="G195" s="226"/>
      <c r="H195" s="222"/>
      <c r="I195" s="222"/>
      <c r="J195" s="222"/>
      <c r="K195" s="220"/>
      <c r="L195" s="232"/>
      <c r="M195" s="232"/>
      <c r="N195" s="222"/>
      <c r="O195" s="227"/>
      <c r="P195" s="224"/>
      <c r="Q195" s="223"/>
      <c r="R195" s="228"/>
      <c r="S195" s="226"/>
      <c r="T195" s="215"/>
      <c r="U195" s="232"/>
      <c r="V195" s="232"/>
      <c r="W195" s="217"/>
      <c r="X195" s="217"/>
      <c r="Y195" s="232"/>
      <c r="Z195" s="232"/>
      <c r="AA195" s="232"/>
      <c r="AB195" s="232"/>
      <c r="AC195" s="232"/>
      <c r="AD195" s="232"/>
      <c r="AE195" s="232"/>
    </row>
    <row r="196" spans="1:31">
      <c r="A196" s="222"/>
      <c r="B196" s="222"/>
      <c r="C196" s="163"/>
      <c r="D196" s="223"/>
      <c r="E196" s="224"/>
      <c r="F196" s="225"/>
      <c r="G196" s="226"/>
      <c r="H196" s="222"/>
      <c r="I196" s="222"/>
      <c r="J196" s="222"/>
      <c r="K196" s="220"/>
      <c r="L196" s="232"/>
      <c r="M196" s="232"/>
      <c r="N196" s="222"/>
      <c r="O196" s="227"/>
      <c r="P196" s="224"/>
      <c r="Q196" s="223"/>
      <c r="R196" s="228"/>
      <c r="S196" s="226"/>
      <c r="T196" s="215"/>
      <c r="U196" s="232"/>
      <c r="V196" s="232"/>
      <c r="W196" s="217"/>
      <c r="X196" s="217"/>
      <c r="Y196" s="232"/>
      <c r="Z196" s="232"/>
      <c r="AA196" s="232"/>
      <c r="AB196" s="232"/>
      <c r="AC196" s="232"/>
      <c r="AD196" s="232"/>
      <c r="AE196" s="232"/>
    </row>
    <row r="197" spans="1:31">
      <c r="A197" s="222"/>
      <c r="B197" s="222"/>
      <c r="C197" s="163"/>
      <c r="D197" s="223"/>
      <c r="E197" s="224"/>
      <c r="F197" s="225"/>
      <c r="G197" s="226"/>
      <c r="H197" s="222"/>
      <c r="I197" s="222"/>
      <c r="J197" s="222"/>
      <c r="K197" s="220"/>
      <c r="L197" s="232"/>
      <c r="M197" s="232"/>
      <c r="N197" s="222"/>
      <c r="O197" s="227"/>
      <c r="P197" s="224"/>
      <c r="Q197" s="223"/>
      <c r="R197" s="228"/>
      <c r="S197" s="226"/>
      <c r="T197" s="215"/>
      <c r="U197" s="232"/>
      <c r="V197" s="232"/>
      <c r="W197" s="217"/>
      <c r="X197" s="217"/>
      <c r="Y197" s="232"/>
      <c r="Z197" s="232"/>
      <c r="AA197" s="232"/>
      <c r="AB197" s="232"/>
      <c r="AC197" s="232"/>
      <c r="AD197" s="232"/>
      <c r="AE197" s="232"/>
    </row>
    <row r="198" spans="1:31">
      <c r="A198" s="222"/>
      <c r="B198" s="222"/>
      <c r="C198" s="163"/>
      <c r="D198" s="223"/>
      <c r="E198" s="224"/>
      <c r="F198" s="225"/>
      <c r="G198" s="226"/>
      <c r="H198" s="222"/>
      <c r="I198" s="222"/>
      <c r="J198" s="222"/>
      <c r="K198" s="220"/>
      <c r="L198" s="232"/>
      <c r="M198" s="232"/>
      <c r="N198" s="222"/>
      <c r="O198" s="227"/>
      <c r="P198" s="224"/>
      <c r="Q198" s="223"/>
      <c r="R198" s="228"/>
      <c r="S198" s="226"/>
      <c r="T198" s="215"/>
      <c r="U198" s="232"/>
      <c r="V198" s="232"/>
      <c r="W198" s="217"/>
      <c r="X198" s="217"/>
      <c r="Y198" s="232"/>
      <c r="Z198" s="232"/>
      <c r="AA198" s="232"/>
      <c r="AB198" s="232"/>
      <c r="AC198" s="232"/>
      <c r="AD198" s="232"/>
      <c r="AE198" s="232"/>
    </row>
    <row r="199" spans="1:31">
      <c r="A199" s="222"/>
      <c r="B199" s="222"/>
      <c r="C199" s="163"/>
      <c r="D199" s="223"/>
      <c r="E199" s="224"/>
      <c r="F199" s="225"/>
      <c r="G199" s="226"/>
      <c r="H199" s="222"/>
      <c r="I199" s="222"/>
      <c r="J199" s="222"/>
      <c r="K199" s="220"/>
      <c r="L199" s="232"/>
      <c r="M199" s="232"/>
      <c r="N199" s="222"/>
      <c r="O199" s="227"/>
      <c r="P199" s="224"/>
      <c r="Q199" s="223"/>
      <c r="R199" s="228"/>
      <c r="S199" s="226"/>
      <c r="T199" s="215"/>
      <c r="U199" s="232"/>
      <c r="V199" s="232"/>
      <c r="W199" s="217"/>
      <c r="X199" s="217"/>
      <c r="Y199" s="232"/>
      <c r="Z199" s="232"/>
      <c r="AA199" s="232"/>
      <c r="AB199" s="232"/>
      <c r="AC199" s="232"/>
      <c r="AD199" s="232"/>
      <c r="AE199" s="232"/>
    </row>
    <row r="200" spans="1:31">
      <c r="A200" s="222"/>
      <c r="B200" s="222"/>
      <c r="C200" s="163"/>
      <c r="D200" s="223"/>
      <c r="E200" s="224"/>
      <c r="F200" s="225"/>
      <c r="G200" s="226"/>
      <c r="H200" s="222"/>
      <c r="I200" s="222"/>
      <c r="J200" s="222"/>
      <c r="K200" s="220"/>
      <c r="L200" s="232"/>
      <c r="M200" s="232"/>
      <c r="N200" s="222"/>
      <c r="O200" s="227"/>
      <c r="P200" s="224"/>
      <c r="Q200" s="223"/>
      <c r="R200" s="228"/>
      <c r="S200" s="226"/>
      <c r="T200" s="215"/>
      <c r="U200" s="232"/>
      <c r="V200" s="232"/>
      <c r="W200" s="217"/>
      <c r="X200" s="217"/>
      <c r="Y200" s="232"/>
      <c r="Z200" s="232"/>
      <c r="AA200" s="232"/>
      <c r="AB200" s="232"/>
      <c r="AC200" s="232"/>
      <c r="AD200" s="232"/>
      <c r="AE200" s="232"/>
    </row>
    <row r="201" spans="1:31">
      <c r="A201" s="222"/>
      <c r="B201" s="222"/>
      <c r="C201" s="163"/>
      <c r="D201" s="223"/>
      <c r="E201" s="224"/>
      <c r="F201" s="225"/>
      <c r="G201" s="226"/>
      <c r="H201" s="222"/>
      <c r="I201" s="222"/>
      <c r="J201" s="222"/>
      <c r="K201" s="220"/>
      <c r="L201" s="232"/>
      <c r="M201" s="232"/>
      <c r="N201" s="222"/>
      <c r="O201" s="227"/>
      <c r="P201" s="224"/>
      <c r="Q201" s="223"/>
      <c r="R201" s="228"/>
      <c r="S201" s="226"/>
      <c r="T201" s="215"/>
      <c r="U201" s="232"/>
      <c r="V201" s="232"/>
      <c r="W201" s="217"/>
      <c r="X201" s="217"/>
      <c r="Y201" s="232"/>
      <c r="Z201" s="232"/>
      <c r="AA201" s="232"/>
      <c r="AB201" s="232"/>
      <c r="AC201" s="232"/>
      <c r="AD201" s="232"/>
      <c r="AE201" s="232"/>
    </row>
    <row r="202" spans="1:31">
      <c r="A202" s="222"/>
      <c r="B202" s="222"/>
      <c r="C202" s="163"/>
      <c r="D202" s="223"/>
      <c r="E202" s="224"/>
      <c r="F202" s="225"/>
      <c r="G202" s="226"/>
      <c r="H202" s="222"/>
      <c r="I202" s="222"/>
      <c r="J202" s="222"/>
      <c r="K202" s="220"/>
      <c r="L202" s="232"/>
      <c r="M202" s="232"/>
      <c r="N202" s="222"/>
      <c r="O202" s="227"/>
      <c r="P202" s="224"/>
      <c r="Q202" s="223"/>
      <c r="R202" s="228"/>
      <c r="S202" s="226"/>
      <c r="T202" s="215"/>
      <c r="U202" s="232"/>
      <c r="V202" s="232"/>
      <c r="W202" s="217"/>
      <c r="X202" s="217"/>
      <c r="Y202" s="232"/>
      <c r="Z202" s="232"/>
      <c r="AA202" s="232"/>
      <c r="AB202" s="232"/>
      <c r="AC202" s="232"/>
      <c r="AD202" s="232"/>
      <c r="AE202" s="232"/>
    </row>
    <row r="203" spans="1:31">
      <c r="A203" s="222"/>
      <c r="B203" s="222"/>
      <c r="C203" s="163"/>
      <c r="D203" s="223"/>
      <c r="E203" s="224"/>
      <c r="F203" s="225"/>
      <c r="G203" s="226"/>
      <c r="H203" s="222"/>
      <c r="I203" s="222"/>
      <c r="J203" s="222"/>
      <c r="K203" s="220"/>
      <c r="L203" s="232"/>
      <c r="M203" s="232"/>
      <c r="N203" s="222"/>
      <c r="O203" s="227"/>
      <c r="P203" s="224"/>
      <c r="Q203" s="223"/>
      <c r="R203" s="228"/>
      <c r="S203" s="226"/>
      <c r="T203" s="215"/>
      <c r="U203" s="232"/>
      <c r="V203" s="232"/>
      <c r="W203" s="217"/>
      <c r="X203" s="217"/>
      <c r="Y203" s="232"/>
      <c r="Z203" s="232"/>
      <c r="AA203" s="232"/>
      <c r="AB203" s="232"/>
      <c r="AC203" s="232"/>
      <c r="AD203" s="232"/>
      <c r="AE203" s="232"/>
    </row>
    <row r="204" spans="1:31">
      <c r="A204" s="222"/>
      <c r="B204" s="222"/>
      <c r="C204" s="163"/>
      <c r="D204" s="223"/>
      <c r="E204" s="224"/>
      <c r="F204" s="225"/>
      <c r="G204" s="226"/>
      <c r="H204" s="222"/>
      <c r="I204" s="222"/>
      <c r="J204" s="222"/>
      <c r="K204" s="220"/>
      <c r="L204" s="232"/>
      <c r="M204" s="232"/>
      <c r="N204" s="222"/>
      <c r="O204" s="227"/>
      <c r="P204" s="224"/>
      <c r="Q204" s="223"/>
      <c r="R204" s="228"/>
      <c r="S204" s="226"/>
      <c r="T204" s="215"/>
      <c r="U204" s="232"/>
      <c r="V204" s="232"/>
      <c r="W204" s="217"/>
      <c r="X204" s="217"/>
      <c r="Y204" s="232"/>
      <c r="Z204" s="232"/>
      <c r="AA204" s="232"/>
      <c r="AB204" s="232"/>
      <c r="AC204" s="232"/>
      <c r="AD204" s="232"/>
      <c r="AE204" s="232"/>
    </row>
    <row r="205" spans="1:31">
      <c r="A205" s="222"/>
      <c r="B205" s="222"/>
      <c r="C205" s="163"/>
      <c r="D205" s="223"/>
      <c r="E205" s="224"/>
      <c r="F205" s="225"/>
      <c r="G205" s="226"/>
      <c r="H205" s="222"/>
      <c r="I205" s="222"/>
      <c r="J205" s="222"/>
      <c r="K205" s="220"/>
      <c r="L205" s="232"/>
      <c r="M205" s="232"/>
      <c r="N205" s="222"/>
      <c r="O205" s="227"/>
      <c r="P205" s="224"/>
      <c r="Q205" s="223"/>
      <c r="R205" s="228"/>
      <c r="S205" s="226"/>
      <c r="T205" s="215"/>
      <c r="U205" s="232"/>
      <c r="V205" s="232"/>
      <c r="W205" s="217"/>
      <c r="X205" s="217"/>
      <c r="Y205" s="232"/>
      <c r="Z205" s="232"/>
      <c r="AA205" s="232"/>
      <c r="AB205" s="232"/>
      <c r="AC205" s="232"/>
      <c r="AD205" s="232"/>
      <c r="AE205" s="232"/>
    </row>
    <row r="206" spans="1:31">
      <c r="A206" s="222"/>
      <c r="B206" s="222"/>
      <c r="C206" s="163"/>
      <c r="D206" s="223"/>
      <c r="E206" s="224"/>
      <c r="F206" s="225"/>
      <c r="G206" s="226"/>
      <c r="H206" s="222"/>
      <c r="I206" s="222"/>
      <c r="J206" s="222"/>
      <c r="K206" s="220"/>
      <c r="L206" s="232"/>
      <c r="M206" s="232"/>
      <c r="N206" s="222"/>
      <c r="O206" s="227"/>
      <c r="P206" s="224"/>
      <c r="Q206" s="223"/>
      <c r="R206" s="228"/>
      <c r="S206" s="226"/>
      <c r="T206" s="215"/>
      <c r="U206" s="232"/>
      <c r="V206" s="232"/>
      <c r="W206" s="217"/>
      <c r="X206" s="217"/>
      <c r="Y206" s="232"/>
      <c r="Z206" s="232"/>
      <c r="AA206" s="232"/>
      <c r="AB206" s="232"/>
      <c r="AC206" s="232"/>
      <c r="AD206" s="232"/>
      <c r="AE206" s="232"/>
    </row>
    <row r="207" spans="1:31">
      <c r="A207" s="222"/>
      <c r="B207" s="222"/>
      <c r="C207" s="163"/>
      <c r="D207" s="223"/>
      <c r="E207" s="224"/>
      <c r="F207" s="225"/>
      <c r="G207" s="226"/>
      <c r="H207" s="222"/>
      <c r="I207" s="222"/>
      <c r="J207" s="222"/>
      <c r="K207" s="220"/>
      <c r="L207" s="232"/>
      <c r="M207" s="232"/>
      <c r="N207" s="222"/>
      <c r="O207" s="227"/>
      <c r="P207" s="224"/>
      <c r="Q207" s="223"/>
      <c r="R207" s="228"/>
      <c r="S207" s="226"/>
      <c r="T207" s="215"/>
      <c r="U207" s="232"/>
      <c r="V207" s="232"/>
      <c r="W207" s="217"/>
      <c r="X207" s="217"/>
      <c r="Y207" s="232"/>
      <c r="Z207" s="232"/>
      <c r="AA207" s="232"/>
      <c r="AB207" s="232"/>
      <c r="AC207" s="232"/>
      <c r="AD207" s="232"/>
      <c r="AE207" s="232"/>
    </row>
    <row r="208" spans="1:31">
      <c r="A208" s="222"/>
      <c r="B208" s="222"/>
      <c r="C208" s="163"/>
      <c r="D208" s="223"/>
      <c r="E208" s="224"/>
      <c r="F208" s="225"/>
      <c r="G208" s="226"/>
      <c r="H208" s="222"/>
      <c r="I208" s="222"/>
      <c r="J208" s="222"/>
      <c r="K208" s="220"/>
      <c r="L208" s="232"/>
      <c r="M208" s="232"/>
      <c r="N208" s="222"/>
      <c r="O208" s="227"/>
      <c r="P208" s="224"/>
      <c r="Q208" s="223"/>
      <c r="R208" s="228"/>
      <c r="S208" s="226"/>
      <c r="T208" s="215"/>
      <c r="U208" s="232"/>
      <c r="V208" s="232"/>
      <c r="W208" s="217"/>
      <c r="X208" s="217"/>
      <c r="Y208" s="232"/>
      <c r="Z208" s="232"/>
      <c r="AA208" s="232"/>
      <c r="AB208" s="232"/>
      <c r="AC208" s="232"/>
      <c r="AD208" s="232"/>
      <c r="AE208" s="232"/>
    </row>
    <row r="209" spans="1:31">
      <c r="A209" s="222"/>
      <c r="B209" s="222"/>
      <c r="C209" s="163"/>
      <c r="D209" s="223"/>
      <c r="E209" s="224"/>
      <c r="F209" s="225"/>
      <c r="G209" s="226"/>
      <c r="H209" s="222"/>
      <c r="I209" s="222"/>
      <c r="J209" s="222"/>
      <c r="K209" s="220"/>
      <c r="L209" s="232"/>
      <c r="M209" s="232"/>
      <c r="N209" s="222"/>
      <c r="O209" s="227"/>
      <c r="P209" s="224"/>
      <c r="Q209" s="223"/>
      <c r="R209" s="228"/>
      <c r="S209" s="226"/>
      <c r="T209" s="215"/>
      <c r="U209" s="232"/>
      <c r="V209" s="232"/>
      <c r="W209" s="217"/>
      <c r="X209" s="217"/>
      <c r="Y209" s="232"/>
      <c r="Z209" s="232"/>
      <c r="AA209" s="232"/>
      <c r="AB209" s="232"/>
      <c r="AC209" s="232"/>
      <c r="AD209" s="232"/>
      <c r="AE209" s="232"/>
    </row>
    <row r="210" spans="1:31">
      <c r="A210" s="222"/>
      <c r="B210" s="222"/>
      <c r="C210" s="163"/>
      <c r="D210" s="223"/>
      <c r="E210" s="224"/>
      <c r="F210" s="225"/>
      <c r="G210" s="226"/>
      <c r="H210" s="222"/>
      <c r="I210" s="222"/>
      <c r="J210" s="222"/>
      <c r="K210" s="220"/>
      <c r="L210" s="232"/>
      <c r="M210" s="232"/>
      <c r="N210" s="222"/>
      <c r="O210" s="227"/>
      <c r="P210" s="224"/>
      <c r="Q210" s="223"/>
      <c r="R210" s="228"/>
      <c r="S210" s="226"/>
      <c r="T210" s="215"/>
      <c r="U210" s="232"/>
      <c r="V210" s="232"/>
      <c r="W210" s="217"/>
      <c r="X210" s="217"/>
      <c r="Y210" s="232"/>
      <c r="Z210" s="232"/>
      <c r="AA210" s="232"/>
      <c r="AB210" s="232"/>
      <c r="AC210" s="232"/>
      <c r="AD210" s="232"/>
      <c r="AE210" s="232"/>
    </row>
    <row r="211" spans="1:31">
      <c r="A211" s="222"/>
      <c r="B211" s="222"/>
      <c r="C211" s="163"/>
      <c r="D211" s="223"/>
      <c r="E211" s="224"/>
      <c r="F211" s="225"/>
      <c r="G211" s="226"/>
      <c r="H211" s="222"/>
      <c r="I211" s="222"/>
      <c r="J211" s="222"/>
      <c r="K211" s="220"/>
      <c r="L211" s="232"/>
      <c r="M211" s="232"/>
      <c r="N211" s="222"/>
      <c r="O211" s="227"/>
      <c r="P211" s="224"/>
      <c r="Q211" s="223"/>
      <c r="R211" s="228"/>
      <c r="S211" s="226"/>
      <c r="T211" s="215"/>
      <c r="U211" s="232"/>
      <c r="V211" s="232"/>
      <c r="W211" s="217"/>
      <c r="X211" s="217"/>
      <c r="Y211" s="232"/>
      <c r="Z211" s="232"/>
      <c r="AA211" s="232"/>
      <c r="AB211" s="232"/>
      <c r="AC211" s="232"/>
      <c r="AD211" s="232"/>
      <c r="AE211" s="232"/>
    </row>
    <row r="212" spans="1:31">
      <c r="A212" s="222"/>
      <c r="B212" s="222"/>
      <c r="C212" s="163"/>
      <c r="D212" s="223"/>
      <c r="E212" s="224"/>
      <c r="F212" s="225"/>
      <c r="G212" s="226"/>
      <c r="H212" s="222"/>
      <c r="I212" s="222"/>
      <c r="J212" s="222"/>
      <c r="K212" s="220"/>
      <c r="L212" s="232"/>
      <c r="M212" s="232"/>
      <c r="N212" s="222"/>
      <c r="O212" s="227"/>
      <c r="P212" s="224"/>
      <c r="Q212" s="223"/>
      <c r="R212" s="228"/>
      <c r="S212" s="226"/>
      <c r="T212" s="215"/>
      <c r="U212" s="232"/>
      <c r="V212" s="232"/>
      <c r="W212" s="217"/>
      <c r="X212" s="217"/>
      <c r="Y212" s="232"/>
      <c r="Z212" s="232"/>
      <c r="AA212" s="232"/>
      <c r="AB212" s="232"/>
      <c r="AC212" s="232"/>
      <c r="AD212" s="232"/>
      <c r="AE212" s="232"/>
    </row>
    <row r="213" spans="1:31">
      <c r="A213" s="222"/>
      <c r="B213" s="222"/>
      <c r="C213" s="163"/>
      <c r="D213" s="223"/>
      <c r="E213" s="224"/>
      <c r="F213" s="225"/>
      <c r="G213" s="226"/>
      <c r="H213" s="222"/>
      <c r="I213" s="222"/>
      <c r="J213" s="222"/>
      <c r="K213" s="220"/>
      <c r="L213" s="232"/>
      <c r="M213" s="232"/>
      <c r="N213" s="222"/>
      <c r="O213" s="227"/>
      <c r="P213" s="224"/>
      <c r="Q213" s="223"/>
      <c r="R213" s="228"/>
      <c r="S213" s="226"/>
      <c r="T213" s="215"/>
      <c r="U213" s="232"/>
      <c r="V213" s="232"/>
      <c r="W213" s="217"/>
      <c r="X213" s="217"/>
      <c r="Y213" s="232"/>
      <c r="Z213" s="232"/>
      <c r="AA213" s="232"/>
      <c r="AB213" s="232"/>
      <c r="AC213" s="232"/>
      <c r="AD213" s="232"/>
      <c r="AE213" s="232"/>
    </row>
    <row r="214" spans="1:31">
      <c r="A214" s="222"/>
      <c r="B214" s="222"/>
      <c r="C214" s="163"/>
      <c r="D214" s="223"/>
      <c r="E214" s="224"/>
      <c r="F214" s="225"/>
      <c r="G214" s="226"/>
      <c r="H214" s="222"/>
      <c r="I214" s="222"/>
      <c r="J214" s="222"/>
      <c r="K214" s="220"/>
      <c r="L214" s="232"/>
      <c r="M214" s="232"/>
      <c r="N214" s="222"/>
      <c r="O214" s="227"/>
      <c r="P214" s="224"/>
      <c r="Q214" s="223"/>
      <c r="R214" s="228"/>
      <c r="S214" s="226"/>
      <c r="T214" s="215"/>
      <c r="U214" s="232"/>
      <c r="V214" s="232"/>
      <c r="W214" s="217"/>
      <c r="X214" s="217"/>
      <c r="Y214" s="232"/>
      <c r="Z214" s="232"/>
      <c r="AA214" s="232"/>
      <c r="AB214" s="232"/>
      <c r="AC214" s="232"/>
      <c r="AD214" s="232"/>
      <c r="AE214" s="232"/>
    </row>
    <row r="215" spans="1:31">
      <c r="A215" s="222"/>
      <c r="B215" s="222"/>
      <c r="C215" s="163"/>
      <c r="D215" s="223"/>
      <c r="E215" s="224"/>
      <c r="F215" s="225"/>
      <c r="G215" s="226"/>
      <c r="H215" s="222"/>
      <c r="I215" s="222"/>
      <c r="J215" s="222"/>
      <c r="K215" s="220"/>
      <c r="L215" s="232"/>
      <c r="M215" s="232"/>
      <c r="N215" s="222"/>
      <c r="O215" s="227"/>
      <c r="P215" s="224"/>
      <c r="Q215" s="223"/>
      <c r="R215" s="228"/>
      <c r="S215" s="226"/>
      <c r="T215" s="215"/>
      <c r="U215" s="232"/>
      <c r="V215" s="232"/>
      <c r="W215" s="217"/>
      <c r="X215" s="217"/>
      <c r="Y215" s="232"/>
      <c r="Z215" s="232"/>
      <c r="AA215" s="232"/>
      <c r="AB215" s="232"/>
      <c r="AC215" s="232"/>
      <c r="AD215" s="232"/>
      <c r="AE215" s="232"/>
    </row>
    <row r="216" spans="1:31">
      <c r="A216" s="222"/>
      <c r="B216" s="222"/>
      <c r="C216" s="163"/>
      <c r="D216" s="223"/>
      <c r="E216" s="224"/>
      <c r="F216" s="225"/>
      <c r="G216" s="226"/>
      <c r="H216" s="222"/>
      <c r="I216" s="222"/>
      <c r="J216" s="222"/>
      <c r="K216" s="220"/>
      <c r="L216" s="232"/>
      <c r="M216" s="232"/>
      <c r="N216" s="222"/>
      <c r="O216" s="227"/>
      <c r="P216" s="224"/>
      <c r="Q216" s="223"/>
      <c r="R216" s="228"/>
      <c r="S216" s="226"/>
      <c r="T216" s="215"/>
      <c r="U216" s="232"/>
      <c r="V216" s="232"/>
      <c r="W216" s="217"/>
      <c r="X216" s="217"/>
      <c r="Y216" s="232"/>
      <c r="Z216" s="232"/>
      <c r="AA216" s="232"/>
      <c r="AB216" s="232"/>
      <c r="AC216" s="232"/>
      <c r="AD216" s="232"/>
      <c r="AE216" s="232"/>
    </row>
    <row r="217" spans="1:31">
      <c r="A217" s="222"/>
      <c r="B217" s="222"/>
      <c r="C217" s="163"/>
      <c r="D217" s="223"/>
      <c r="E217" s="224"/>
      <c r="F217" s="225"/>
      <c r="G217" s="226"/>
      <c r="H217" s="222"/>
      <c r="I217" s="222"/>
      <c r="J217" s="222"/>
      <c r="K217" s="220"/>
      <c r="L217" s="232"/>
      <c r="M217" s="232"/>
      <c r="N217" s="222"/>
      <c r="O217" s="227"/>
      <c r="P217" s="224"/>
      <c r="Q217" s="223"/>
      <c r="R217" s="228"/>
      <c r="S217" s="226"/>
      <c r="T217" s="215"/>
      <c r="U217" s="232"/>
      <c r="V217" s="232"/>
      <c r="W217" s="217"/>
      <c r="X217" s="217"/>
      <c r="Y217" s="232"/>
      <c r="Z217" s="232"/>
      <c r="AA217" s="232"/>
      <c r="AB217" s="232"/>
      <c r="AC217" s="232"/>
      <c r="AD217" s="232"/>
      <c r="AE217" s="232"/>
    </row>
    <row r="218" spans="1:31">
      <c r="A218" s="222"/>
      <c r="B218" s="222"/>
      <c r="C218" s="163"/>
      <c r="D218" s="223"/>
      <c r="E218" s="224"/>
      <c r="F218" s="225"/>
      <c r="G218" s="226"/>
      <c r="H218" s="222"/>
      <c r="I218" s="222"/>
      <c r="J218" s="222"/>
      <c r="K218" s="220"/>
      <c r="L218" s="232"/>
      <c r="M218" s="232"/>
      <c r="N218" s="222"/>
      <c r="O218" s="227"/>
      <c r="P218" s="224"/>
      <c r="Q218" s="223"/>
      <c r="R218" s="228"/>
      <c r="S218" s="226"/>
      <c r="T218" s="215"/>
      <c r="U218" s="232"/>
      <c r="V218" s="232"/>
      <c r="W218" s="217"/>
      <c r="X218" s="217"/>
      <c r="Y218" s="232"/>
      <c r="Z218" s="232"/>
      <c r="AA218" s="232"/>
      <c r="AB218" s="232"/>
      <c r="AC218" s="232"/>
      <c r="AD218" s="232"/>
      <c r="AE218" s="232"/>
    </row>
    <row r="219" spans="1:31">
      <c r="A219" s="222"/>
      <c r="B219" s="222"/>
      <c r="C219" s="163"/>
      <c r="D219" s="223"/>
      <c r="E219" s="224"/>
      <c r="F219" s="225"/>
      <c r="G219" s="226"/>
      <c r="H219" s="222"/>
      <c r="I219" s="222"/>
      <c r="J219" s="222"/>
      <c r="K219" s="220"/>
      <c r="L219" s="232"/>
      <c r="M219" s="232"/>
      <c r="N219" s="222"/>
      <c r="O219" s="227"/>
      <c r="P219" s="224"/>
      <c r="Q219" s="223"/>
      <c r="R219" s="228"/>
      <c r="S219" s="226"/>
      <c r="T219" s="215"/>
      <c r="U219" s="232"/>
      <c r="V219" s="232"/>
      <c r="W219" s="217"/>
      <c r="X219" s="217"/>
      <c r="Y219" s="232"/>
      <c r="Z219" s="232"/>
      <c r="AA219" s="232"/>
      <c r="AB219" s="232"/>
      <c r="AC219" s="232"/>
      <c r="AD219" s="232"/>
      <c r="AE219" s="232"/>
    </row>
    <row r="220" spans="1:31">
      <c r="A220" s="222"/>
      <c r="B220" s="222"/>
      <c r="C220" s="163"/>
      <c r="D220" s="223"/>
      <c r="E220" s="224"/>
      <c r="F220" s="225"/>
      <c r="G220" s="226"/>
      <c r="H220" s="222"/>
      <c r="I220" s="222"/>
      <c r="J220" s="222"/>
      <c r="K220" s="220"/>
      <c r="L220" s="232"/>
      <c r="M220" s="232"/>
      <c r="N220" s="222"/>
      <c r="O220" s="227"/>
      <c r="P220" s="224"/>
      <c r="Q220" s="223"/>
      <c r="R220" s="228"/>
      <c r="S220" s="226"/>
      <c r="T220" s="215"/>
      <c r="U220" s="232"/>
      <c r="V220" s="232"/>
      <c r="W220" s="217"/>
      <c r="X220" s="217"/>
      <c r="Y220" s="232"/>
      <c r="Z220" s="232"/>
      <c r="AA220" s="232"/>
      <c r="AB220" s="232"/>
      <c r="AC220" s="232"/>
      <c r="AD220" s="232"/>
      <c r="AE220" s="232"/>
    </row>
    <row r="221" spans="1:31">
      <c r="A221" s="222"/>
      <c r="B221" s="222"/>
      <c r="C221" s="163"/>
      <c r="D221" s="223"/>
      <c r="E221" s="224"/>
      <c r="F221" s="225"/>
      <c r="G221" s="226"/>
      <c r="H221" s="222"/>
      <c r="I221" s="222"/>
      <c r="J221" s="222"/>
      <c r="K221" s="220"/>
      <c r="L221" s="232"/>
      <c r="M221" s="232"/>
      <c r="N221" s="222"/>
      <c r="O221" s="227"/>
      <c r="P221" s="224"/>
      <c r="Q221" s="223"/>
      <c r="R221" s="228"/>
      <c r="S221" s="226"/>
      <c r="T221" s="215"/>
      <c r="U221" s="232"/>
      <c r="V221" s="232"/>
      <c r="W221" s="217"/>
      <c r="X221" s="217"/>
      <c r="Y221" s="232"/>
      <c r="Z221" s="232"/>
      <c r="AA221" s="232"/>
      <c r="AB221" s="232"/>
      <c r="AC221" s="232"/>
      <c r="AD221" s="232"/>
      <c r="AE221" s="232"/>
    </row>
    <row r="222" spans="1:31">
      <c r="A222" s="222"/>
      <c r="B222" s="222"/>
      <c r="C222" s="163"/>
      <c r="D222" s="223"/>
      <c r="E222" s="224"/>
      <c r="F222" s="225"/>
      <c r="G222" s="226"/>
      <c r="H222" s="222"/>
      <c r="I222" s="222"/>
      <c r="J222" s="222"/>
      <c r="K222" s="220"/>
      <c r="L222" s="232"/>
      <c r="M222" s="232"/>
      <c r="N222" s="222"/>
      <c r="O222" s="227"/>
      <c r="P222" s="224"/>
      <c r="Q222" s="223"/>
      <c r="R222" s="228"/>
      <c r="S222" s="226"/>
      <c r="T222" s="215"/>
      <c r="U222" s="232"/>
      <c r="V222" s="232"/>
      <c r="W222" s="217"/>
      <c r="X222" s="217"/>
      <c r="Y222" s="232"/>
      <c r="Z222" s="232"/>
      <c r="AA222" s="232"/>
      <c r="AB222" s="232"/>
      <c r="AC222" s="232"/>
      <c r="AD222" s="232"/>
      <c r="AE222" s="232"/>
    </row>
    <row r="223" spans="1:31">
      <c r="A223" s="222"/>
      <c r="B223" s="222"/>
      <c r="C223" s="163"/>
      <c r="D223" s="223"/>
      <c r="E223" s="224"/>
      <c r="F223" s="225"/>
      <c r="G223" s="226"/>
      <c r="H223" s="222"/>
      <c r="I223" s="222"/>
      <c r="J223" s="222"/>
      <c r="K223" s="220"/>
      <c r="L223" s="232"/>
      <c r="M223" s="232"/>
      <c r="N223" s="222"/>
      <c r="O223" s="227"/>
      <c r="P223" s="224"/>
      <c r="Q223" s="223"/>
      <c r="R223" s="228"/>
      <c r="S223" s="226"/>
      <c r="T223" s="215"/>
      <c r="U223" s="232"/>
      <c r="V223" s="232"/>
      <c r="W223" s="217"/>
      <c r="X223" s="217"/>
      <c r="Y223" s="232"/>
      <c r="Z223" s="232"/>
      <c r="AA223" s="232"/>
      <c r="AB223" s="232"/>
      <c r="AC223" s="232"/>
      <c r="AD223" s="232"/>
      <c r="AE223" s="232"/>
    </row>
    <row r="224" spans="1:31">
      <c r="A224" s="222"/>
      <c r="B224" s="222"/>
      <c r="C224" s="163"/>
      <c r="D224" s="223"/>
      <c r="E224" s="224"/>
      <c r="F224" s="225"/>
      <c r="G224" s="226"/>
      <c r="H224" s="222"/>
      <c r="I224" s="222"/>
      <c r="J224" s="222"/>
      <c r="K224" s="220"/>
      <c r="L224" s="232"/>
      <c r="M224" s="232"/>
      <c r="N224" s="222"/>
      <c r="O224" s="227"/>
      <c r="P224" s="224"/>
      <c r="Q224" s="223"/>
      <c r="R224" s="228"/>
      <c r="S224" s="226"/>
      <c r="T224" s="215"/>
      <c r="U224" s="232"/>
      <c r="V224" s="232"/>
      <c r="W224" s="217"/>
      <c r="X224" s="217"/>
      <c r="Y224" s="232"/>
      <c r="Z224" s="232"/>
      <c r="AA224" s="232"/>
      <c r="AB224" s="232"/>
      <c r="AC224" s="232"/>
      <c r="AD224" s="232"/>
      <c r="AE224" s="232"/>
    </row>
    <row r="225" spans="1:31">
      <c r="A225" s="222"/>
      <c r="B225" s="222"/>
      <c r="C225" s="163"/>
      <c r="D225" s="223"/>
      <c r="E225" s="224"/>
      <c r="F225" s="225"/>
      <c r="G225" s="226"/>
      <c r="H225" s="222"/>
      <c r="I225" s="222"/>
      <c r="J225" s="222"/>
      <c r="K225" s="220"/>
      <c r="L225" s="232"/>
      <c r="M225" s="232"/>
      <c r="N225" s="222"/>
      <c r="O225" s="227"/>
      <c r="P225" s="224"/>
      <c r="Q225" s="223"/>
      <c r="R225" s="228"/>
      <c r="S225" s="226"/>
      <c r="T225" s="215"/>
      <c r="U225" s="232"/>
      <c r="V225" s="232"/>
      <c r="W225" s="217"/>
      <c r="X225" s="217"/>
      <c r="Y225" s="232"/>
      <c r="Z225" s="232"/>
      <c r="AA225" s="232"/>
      <c r="AB225" s="232"/>
      <c r="AC225" s="232"/>
      <c r="AD225" s="232"/>
      <c r="AE225" s="232"/>
    </row>
    <row r="226" spans="1:31">
      <c r="A226" s="222"/>
      <c r="B226" s="222"/>
      <c r="C226" s="163"/>
      <c r="D226" s="223"/>
      <c r="E226" s="224"/>
      <c r="F226" s="225"/>
      <c r="G226" s="226"/>
      <c r="H226" s="222"/>
      <c r="I226" s="222"/>
      <c r="J226" s="222"/>
      <c r="K226" s="220"/>
      <c r="L226" s="232"/>
      <c r="M226" s="232"/>
      <c r="N226" s="222"/>
      <c r="O226" s="227"/>
      <c r="P226" s="224"/>
      <c r="Q226" s="223"/>
      <c r="R226" s="228"/>
      <c r="S226" s="226"/>
      <c r="T226" s="215"/>
      <c r="U226" s="232"/>
      <c r="V226" s="232"/>
      <c r="W226" s="217"/>
      <c r="X226" s="217"/>
      <c r="Y226" s="232"/>
      <c r="Z226" s="232"/>
      <c r="AA226" s="232"/>
      <c r="AB226" s="232"/>
      <c r="AC226" s="232"/>
      <c r="AD226" s="232"/>
      <c r="AE226" s="232"/>
    </row>
    <row r="227" spans="1:31">
      <c r="A227" s="222"/>
      <c r="B227" s="222"/>
      <c r="C227" s="163"/>
      <c r="D227" s="223"/>
      <c r="E227" s="224"/>
      <c r="F227" s="225"/>
      <c r="G227" s="226"/>
      <c r="H227" s="222"/>
      <c r="I227" s="222"/>
      <c r="J227" s="222"/>
      <c r="K227" s="220"/>
      <c r="L227" s="232"/>
      <c r="M227" s="232"/>
      <c r="N227" s="222"/>
      <c r="O227" s="227"/>
      <c r="P227" s="224"/>
      <c r="Q227" s="223"/>
      <c r="R227" s="228"/>
      <c r="S227" s="226"/>
      <c r="T227" s="215"/>
      <c r="U227" s="232"/>
      <c r="V227" s="232"/>
      <c r="W227" s="217"/>
      <c r="X227" s="217"/>
      <c r="Y227" s="232"/>
      <c r="Z227" s="232"/>
      <c r="AA227" s="232"/>
      <c r="AB227" s="232"/>
      <c r="AC227" s="232"/>
      <c r="AD227" s="232"/>
      <c r="AE227" s="232"/>
    </row>
    <row r="228" spans="1:31">
      <c r="A228" s="222"/>
      <c r="B228" s="222"/>
      <c r="C228" s="163"/>
      <c r="D228" s="223"/>
      <c r="E228" s="224"/>
      <c r="F228" s="225"/>
      <c r="G228" s="226"/>
      <c r="H228" s="222"/>
      <c r="I228" s="222"/>
      <c r="J228" s="222"/>
      <c r="K228" s="220"/>
      <c r="L228" s="232"/>
      <c r="M228" s="232"/>
      <c r="N228" s="222"/>
      <c r="O228" s="227"/>
      <c r="P228" s="224"/>
      <c r="Q228" s="223"/>
      <c r="R228" s="228"/>
      <c r="S228" s="226"/>
      <c r="T228" s="215"/>
      <c r="U228" s="232"/>
      <c r="V228" s="232"/>
      <c r="W228" s="217"/>
      <c r="X228" s="217"/>
      <c r="Y228" s="232"/>
      <c r="Z228" s="232"/>
      <c r="AA228" s="232"/>
      <c r="AB228" s="232"/>
      <c r="AC228" s="232"/>
      <c r="AD228" s="232"/>
      <c r="AE228" s="232"/>
    </row>
    <row r="229" spans="1:31">
      <c r="A229" s="222"/>
      <c r="B229" s="222"/>
      <c r="C229" s="163"/>
      <c r="D229" s="223"/>
      <c r="E229" s="224"/>
      <c r="F229" s="225"/>
      <c r="G229" s="226"/>
      <c r="H229" s="222"/>
      <c r="I229" s="222"/>
      <c r="J229" s="222"/>
      <c r="K229" s="220"/>
      <c r="L229" s="232"/>
      <c r="M229" s="232"/>
      <c r="N229" s="222"/>
      <c r="O229" s="227"/>
      <c r="P229" s="224"/>
      <c r="Q229" s="223"/>
      <c r="R229" s="228"/>
      <c r="S229" s="226"/>
      <c r="T229" s="215"/>
      <c r="U229" s="232"/>
      <c r="V229" s="232"/>
      <c r="W229" s="217"/>
      <c r="X229" s="217"/>
      <c r="Y229" s="232"/>
      <c r="Z229" s="232"/>
      <c r="AA229" s="232"/>
      <c r="AB229" s="232"/>
      <c r="AC229" s="232"/>
      <c r="AD229" s="232"/>
      <c r="AE229" s="232"/>
    </row>
  </sheetData>
  <mergeCells count="18">
    <mergeCell ref="K1:L1"/>
    <mergeCell ref="R1:W1"/>
    <mergeCell ref="X1:AD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4B083"/>
    <outlinePr summaryBelow="0" summaryRight="0"/>
  </sheetPr>
  <dimension ref="A1:X271"/>
  <sheetViews>
    <sheetView workbookViewId="0">
      <pane xSplit="10" ySplit="11" topLeftCell="K12" activePane="bottomRight" state="frozen"/>
      <selection/>
      <selection pane="topRight"/>
      <selection pane="bottomLeft"/>
      <selection pane="bottomRight" activeCell="A1" sqref="A1:J9"/>
    </sheetView>
  </sheetViews>
  <sheetFormatPr defaultColWidth="9" defaultRowHeight="15.75"/>
  <cols>
    <col min="1" max="1" width="5.46666666666667" customWidth="1"/>
    <col min="2" max="2" width="14.25" customWidth="1"/>
    <col min="3" max="3" width="9.525" customWidth="1"/>
    <col min="4" max="4" width="9.06666666666667" customWidth="1"/>
    <col min="5" max="5" width="10.425" customWidth="1"/>
    <col min="6" max="6" width="9.06666666666667" customWidth="1"/>
    <col min="7" max="7" width="6.59166666666667" customWidth="1"/>
    <col min="8" max="8" width="6.93333333333333" customWidth="1"/>
    <col min="9" max="9" width="9.75" customWidth="1"/>
    <col min="10" max="10" width="17.6333333333333" customWidth="1"/>
    <col min="11" max="11" width="10.425" customWidth="1"/>
    <col min="12" max="12" width="9.29166666666667" customWidth="1"/>
    <col min="13" max="13" width="9.75" customWidth="1"/>
    <col min="14" max="14" width="13.6916666666667" customWidth="1"/>
    <col min="15" max="15" width="38.5916666666667" customWidth="1"/>
    <col min="16" max="16" width="25.4083333333333" customWidth="1"/>
    <col min="17" max="17" width="45.0166666666667" customWidth="1"/>
    <col min="18" max="18" width="15.3833333333333" customWidth="1"/>
    <col min="19" max="24" width="9.06666666666667" customWidth="1"/>
  </cols>
  <sheetData>
    <row r="1" ht="13.7" customHeight="1" spans="1:24">
      <c r="A1" s="126" t="s">
        <v>418</v>
      </c>
      <c r="B1" s="127"/>
      <c r="C1" s="128"/>
      <c r="D1" s="128"/>
      <c r="E1" s="128"/>
      <c r="F1" s="128"/>
      <c r="G1" s="128"/>
      <c r="H1" s="128"/>
      <c r="I1" s="128"/>
      <c r="J1" s="128"/>
      <c r="K1" s="129"/>
      <c r="L1" s="129"/>
      <c r="M1" s="110"/>
      <c r="N1" s="34"/>
      <c r="O1" s="110"/>
      <c r="P1" s="110"/>
      <c r="Q1" s="110"/>
      <c r="R1" s="110"/>
      <c r="S1" s="110"/>
      <c r="T1" s="110"/>
      <c r="U1" s="110"/>
      <c r="V1" s="110"/>
      <c r="W1" s="110"/>
      <c r="X1" s="110"/>
    </row>
    <row r="2" ht="12.5" customHeight="1" spans="1:24">
      <c r="A2" s="128"/>
      <c r="B2" s="127"/>
      <c r="C2" s="128"/>
      <c r="D2" s="128"/>
      <c r="E2" s="128"/>
      <c r="F2" s="128"/>
      <c r="G2" s="128"/>
      <c r="H2" s="128"/>
      <c r="I2" s="128"/>
      <c r="J2" s="128"/>
      <c r="K2" s="129"/>
      <c r="L2" s="129"/>
      <c r="M2" s="110"/>
      <c r="N2" s="34"/>
      <c r="O2" s="110"/>
      <c r="P2" s="110"/>
      <c r="Q2" s="110"/>
      <c r="R2" s="110"/>
      <c r="S2" s="110"/>
      <c r="T2" s="110"/>
      <c r="U2" s="110"/>
      <c r="V2" s="110"/>
      <c r="W2" s="110"/>
      <c r="X2" s="110"/>
    </row>
    <row r="3" ht="12.5" customHeight="1" spans="1:24">
      <c r="A3" s="128"/>
      <c r="B3" s="127"/>
      <c r="C3" s="128"/>
      <c r="D3" s="128"/>
      <c r="E3" s="128"/>
      <c r="F3" s="128"/>
      <c r="G3" s="128"/>
      <c r="H3" s="128"/>
      <c r="I3" s="128"/>
      <c r="J3" s="128"/>
      <c r="K3" s="129"/>
      <c r="L3" s="129"/>
      <c r="M3" s="110"/>
      <c r="N3" s="34"/>
      <c r="O3" s="110"/>
      <c r="P3" s="110"/>
      <c r="Q3" s="110"/>
      <c r="R3" s="110"/>
      <c r="S3" s="110"/>
      <c r="T3" s="110"/>
      <c r="U3" s="110"/>
      <c r="V3" s="110"/>
      <c r="W3" s="110"/>
      <c r="X3" s="110"/>
    </row>
    <row r="4" ht="12.5" customHeight="1" spans="1:24">
      <c r="A4" s="128"/>
      <c r="B4" s="127"/>
      <c r="C4" s="128"/>
      <c r="D4" s="128"/>
      <c r="E4" s="128"/>
      <c r="F4" s="128"/>
      <c r="G4" s="128"/>
      <c r="H4" s="128"/>
      <c r="I4" s="128"/>
      <c r="J4" s="128"/>
      <c r="K4" s="129"/>
      <c r="L4" s="129"/>
      <c r="M4" s="110"/>
      <c r="N4" s="34"/>
      <c r="O4" s="110"/>
      <c r="P4" s="110"/>
      <c r="Q4" s="110"/>
      <c r="R4" s="110"/>
      <c r="S4" s="110"/>
      <c r="T4" s="110"/>
      <c r="U4" s="110"/>
      <c r="V4" s="110"/>
      <c r="W4" s="110"/>
      <c r="X4" s="110"/>
    </row>
    <row r="5" ht="12.5" customHeight="1" spans="1:24">
      <c r="A5" s="128"/>
      <c r="B5" s="127"/>
      <c r="C5" s="128"/>
      <c r="D5" s="128"/>
      <c r="E5" s="128"/>
      <c r="F5" s="128"/>
      <c r="G5" s="128"/>
      <c r="H5" s="128"/>
      <c r="I5" s="128"/>
      <c r="J5" s="128"/>
      <c r="K5" s="129"/>
      <c r="L5" s="129"/>
      <c r="M5" s="110"/>
      <c r="N5" s="34"/>
      <c r="O5" s="110"/>
      <c r="P5" s="110"/>
      <c r="Q5" s="110"/>
      <c r="R5" s="110"/>
      <c r="S5" s="110"/>
      <c r="T5" s="110"/>
      <c r="U5" s="110"/>
      <c r="V5" s="110"/>
      <c r="W5" s="110"/>
      <c r="X5" s="110"/>
    </row>
    <row r="6" ht="12.5" customHeight="1" spans="1:24">
      <c r="A6" s="128"/>
      <c r="B6" s="127"/>
      <c r="C6" s="128"/>
      <c r="D6" s="128"/>
      <c r="E6" s="128"/>
      <c r="F6" s="128"/>
      <c r="G6" s="128"/>
      <c r="H6" s="128"/>
      <c r="I6" s="128"/>
      <c r="J6" s="128"/>
      <c r="K6" s="129"/>
      <c r="L6" s="129"/>
      <c r="M6" s="110"/>
      <c r="N6" s="34"/>
      <c r="O6" s="110"/>
      <c r="P6" s="110"/>
      <c r="Q6" s="110"/>
      <c r="R6" s="110"/>
      <c r="S6" s="110"/>
      <c r="T6" s="110"/>
      <c r="U6" s="110"/>
      <c r="V6" s="110"/>
      <c r="W6" s="110"/>
      <c r="X6" s="110"/>
    </row>
    <row r="7" ht="12.5" customHeight="1" spans="1:24">
      <c r="A7" s="128"/>
      <c r="B7" s="127"/>
      <c r="C7" s="128"/>
      <c r="D7" s="128"/>
      <c r="E7" s="128"/>
      <c r="F7" s="128"/>
      <c r="G7" s="128"/>
      <c r="H7" s="128"/>
      <c r="I7" s="128"/>
      <c r="J7" s="128"/>
      <c r="K7" s="129"/>
      <c r="L7" s="129"/>
      <c r="M7" s="110"/>
      <c r="N7" s="34"/>
      <c r="O7" s="110"/>
      <c r="P7" s="110"/>
      <c r="Q7" s="110"/>
      <c r="R7" s="110"/>
      <c r="S7" s="110"/>
      <c r="T7" s="110"/>
      <c r="U7" s="110"/>
      <c r="V7" s="110"/>
      <c r="W7" s="110"/>
      <c r="X7" s="110"/>
    </row>
    <row r="8" ht="12.5" customHeight="1" spans="1:24">
      <c r="A8" s="128"/>
      <c r="B8" s="127"/>
      <c r="C8" s="128"/>
      <c r="D8" s="128"/>
      <c r="E8" s="128"/>
      <c r="F8" s="128"/>
      <c r="G8" s="128"/>
      <c r="H8" s="128"/>
      <c r="I8" s="128"/>
      <c r="J8" s="128"/>
      <c r="K8" s="129"/>
      <c r="L8" s="129"/>
      <c r="M8" s="110"/>
      <c r="N8" s="34"/>
      <c r="O8" s="110"/>
      <c r="P8" s="110"/>
      <c r="Q8" s="110"/>
      <c r="R8" s="110"/>
      <c r="S8" s="110"/>
      <c r="T8" s="110"/>
      <c r="U8" s="110"/>
      <c r="V8" s="110"/>
      <c r="W8" s="110"/>
      <c r="X8" s="110"/>
    </row>
    <row r="9" ht="29.75" customHeight="1" spans="1:24">
      <c r="A9" s="130"/>
      <c r="B9" s="131"/>
      <c r="C9" s="130"/>
      <c r="D9" s="130"/>
      <c r="E9" s="130"/>
      <c r="F9" s="130"/>
      <c r="G9" s="130"/>
      <c r="H9" s="130"/>
      <c r="I9" s="130"/>
      <c r="J9" s="130"/>
      <c r="K9" s="132"/>
      <c r="L9" s="132"/>
      <c r="M9" s="110"/>
      <c r="N9" s="34"/>
      <c r="O9" s="110"/>
      <c r="P9" s="110"/>
      <c r="Q9" s="110"/>
      <c r="R9" s="110"/>
      <c r="S9" s="110"/>
      <c r="T9" s="110"/>
      <c r="U9" s="110"/>
      <c r="V9" s="110"/>
      <c r="W9" s="110"/>
      <c r="X9" s="110"/>
    </row>
    <row r="10" ht="16.65" customHeight="1" spans="1:24">
      <c r="A10" s="133" t="s">
        <v>344</v>
      </c>
      <c r="B10" s="133" t="s">
        <v>345</v>
      </c>
      <c r="C10" s="133" t="s">
        <v>347</v>
      </c>
      <c r="D10" s="133" t="s">
        <v>350</v>
      </c>
      <c r="E10" s="133" t="s">
        <v>355</v>
      </c>
      <c r="F10" s="133" t="s">
        <v>212</v>
      </c>
      <c r="G10" s="133" t="s">
        <v>356</v>
      </c>
      <c r="H10" s="134" t="s">
        <v>419</v>
      </c>
      <c r="I10" s="134" t="s">
        <v>223</v>
      </c>
      <c r="J10" s="134" t="s">
        <v>225</v>
      </c>
      <c r="K10" s="134" t="s">
        <v>420</v>
      </c>
      <c r="L10" s="135" t="s">
        <v>256</v>
      </c>
      <c r="M10" s="136" t="s">
        <v>421</v>
      </c>
      <c r="N10" s="136"/>
      <c r="O10" s="137" t="s">
        <v>422</v>
      </c>
      <c r="P10" s="138" t="s">
        <v>423</v>
      </c>
      <c r="Q10" s="137" t="s">
        <v>424</v>
      </c>
      <c r="R10" s="137" t="s">
        <v>425</v>
      </c>
      <c r="S10" s="139"/>
      <c r="T10" s="139"/>
      <c r="U10" s="139"/>
      <c r="V10" s="139"/>
      <c r="W10" s="139"/>
      <c r="X10" s="139"/>
    </row>
    <row r="11" ht="16.65" customHeight="1" spans="1:24">
      <c r="A11" s="140"/>
      <c r="B11" s="140"/>
      <c r="C11" s="140"/>
      <c r="D11" s="140"/>
      <c r="E11" s="140"/>
      <c r="F11" s="140"/>
      <c r="G11" s="140"/>
      <c r="H11" s="141"/>
      <c r="I11" s="141"/>
      <c r="J11" s="141"/>
      <c r="K11" s="141"/>
      <c r="L11" s="142" t="s">
        <v>256</v>
      </c>
      <c r="M11" s="143" t="s">
        <v>426</v>
      </c>
      <c r="N11" s="144" t="s">
        <v>427</v>
      </c>
      <c r="O11" s="138"/>
      <c r="P11" s="145"/>
      <c r="Q11" s="138"/>
      <c r="R11" s="138"/>
      <c r="S11" s="139"/>
      <c r="T11" s="139"/>
      <c r="U11" s="139"/>
      <c r="V11" s="139"/>
      <c r="W11" s="139"/>
      <c r="X11" s="139"/>
    </row>
    <row r="12" ht="16.65" customHeight="1" spans="1:24">
      <c r="A12" s="146" t="s">
        <v>110</v>
      </c>
      <c r="B12" s="147" t="s">
        <v>428</v>
      </c>
      <c r="C12" s="148">
        <v>109.99</v>
      </c>
      <c r="D12" s="148">
        <v>6.28571428571429</v>
      </c>
      <c r="E12" s="148">
        <f>C12*D12*7</f>
        <v>4839.56</v>
      </c>
      <c r="F12" s="149">
        <v>0.0952380952380952</v>
      </c>
      <c r="G12" s="150">
        <f>D12/F12</f>
        <v>66.0000000000001</v>
      </c>
      <c r="H12" s="151">
        <f>D12*J12</f>
        <v>4.4</v>
      </c>
      <c r="I12" s="152">
        <f>H12*C12</f>
        <v>483.956</v>
      </c>
      <c r="J12" s="153">
        <v>0.7</v>
      </c>
      <c r="K12" s="154">
        <f t="shared" ref="K12:K71" si="0">L12*M12</f>
        <v>48</v>
      </c>
      <c r="L12" s="155">
        <f t="shared" ref="L12:L15" si="1">$H$12/N12</f>
        <v>40</v>
      </c>
      <c r="M12" s="156">
        <v>1.2</v>
      </c>
      <c r="N12" s="157">
        <v>0.11</v>
      </c>
      <c r="O12" s="158" t="s">
        <v>429</v>
      </c>
      <c r="P12" s="159" t="s">
        <v>430</v>
      </c>
      <c r="Q12" s="160" t="s">
        <v>431</v>
      </c>
      <c r="R12" s="161"/>
      <c r="S12" s="110"/>
      <c r="T12" s="110"/>
      <c r="U12" s="110"/>
      <c r="V12" s="110"/>
      <c r="W12" s="110"/>
      <c r="X12" s="110"/>
    </row>
    <row r="13" ht="16.65" customHeight="1" spans="1:24">
      <c r="A13" s="162"/>
      <c r="B13" s="163"/>
      <c r="C13" s="163"/>
      <c r="D13" s="163"/>
      <c r="E13" s="163"/>
      <c r="F13" s="164"/>
      <c r="G13" s="165"/>
      <c r="H13" s="166"/>
      <c r="I13" s="167"/>
      <c r="J13" s="168"/>
      <c r="K13" s="169">
        <f t="shared" si="0"/>
        <v>48</v>
      </c>
      <c r="L13" s="170">
        <f t="shared" si="1"/>
        <v>40</v>
      </c>
      <c r="M13" s="156">
        <v>1.2</v>
      </c>
      <c r="N13" s="157">
        <v>0.11</v>
      </c>
      <c r="O13" s="171"/>
      <c r="P13" s="159"/>
      <c r="Q13" s="160"/>
      <c r="R13" s="161"/>
      <c r="S13" s="110"/>
      <c r="T13" s="110"/>
      <c r="U13" s="110"/>
      <c r="V13" s="110"/>
      <c r="W13" s="110"/>
      <c r="X13" s="110"/>
    </row>
    <row r="14" ht="16.65" customHeight="1" spans="1:24">
      <c r="A14" s="162"/>
      <c r="B14" s="163"/>
      <c r="C14" s="163"/>
      <c r="D14" s="163"/>
      <c r="E14" s="163"/>
      <c r="F14" s="164"/>
      <c r="G14" s="165"/>
      <c r="H14" s="166"/>
      <c r="I14" s="167"/>
      <c r="J14" s="168"/>
      <c r="K14" s="169">
        <f t="shared" si="0"/>
        <v>48</v>
      </c>
      <c r="L14" s="170">
        <f t="shared" si="1"/>
        <v>40</v>
      </c>
      <c r="M14" s="156">
        <v>1.2</v>
      </c>
      <c r="N14" s="157">
        <v>0.11</v>
      </c>
      <c r="O14" s="171"/>
      <c r="P14" s="159"/>
      <c r="Q14" s="160"/>
      <c r="R14" s="161"/>
      <c r="S14" s="110"/>
      <c r="T14" s="110"/>
      <c r="U14" s="110"/>
      <c r="V14" s="110"/>
      <c r="W14" s="110"/>
      <c r="X14" s="110"/>
    </row>
    <row r="15" ht="13.1" customHeight="1" spans="1:24">
      <c r="A15" s="172"/>
      <c r="B15" s="173"/>
      <c r="C15" s="173"/>
      <c r="D15" s="173"/>
      <c r="E15" s="173"/>
      <c r="F15" s="174"/>
      <c r="G15" s="175"/>
      <c r="H15" s="176"/>
      <c r="I15" s="177"/>
      <c r="J15" s="178"/>
      <c r="K15" s="179">
        <f t="shared" si="0"/>
        <v>48</v>
      </c>
      <c r="L15" s="180">
        <f t="shared" si="1"/>
        <v>40</v>
      </c>
      <c r="M15" s="156">
        <v>1.2</v>
      </c>
      <c r="N15" s="157">
        <v>0.11</v>
      </c>
      <c r="O15" s="181"/>
      <c r="P15" s="159"/>
      <c r="Q15" s="160"/>
      <c r="R15" s="182"/>
      <c r="S15" s="110"/>
      <c r="T15" s="110"/>
      <c r="U15" s="110"/>
      <c r="V15" s="110"/>
      <c r="W15" s="110"/>
      <c r="X15" s="110"/>
    </row>
    <row r="16" ht="19.65" customHeight="1" spans="1:24">
      <c r="A16" s="183" t="s">
        <v>113</v>
      </c>
      <c r="B16" s="184" t="s">
        <v>432</v>
      </c>
      <c r="C16" s="148">
        <v>109.99</v>
      </c>
      <c r="D16" s="148">
        <v>11.5714285714286</v>
      </c>
      <c r="E16" s="148">
        <f>C16*D16*7</f>
        <v>8909.19000000002</v>
      </c>
      <c r="F16" s="149">
        <v>0.131493506493506</v>
      </c>
      <c r="G16" s="150">
        <f>D16/F16</f>
        <v>88.0000000000005</v>
      </c>
      <c r="H16" s="185">
        <f>D16*J16</f>
        <v>7.52142857142859</v>
      </c>
      <c r="I16" s="186">
        <f>H16*C16</f>
        <v>827.281928571431</v>
      </c>
      <c r="J16" s="187">
        <v>0.65</v>
      </c>
      <c r="K16" s="188">
        <f t="shared" si="0"/>
        <v>75.2142857142859</v>
      </c>
      <c r="L16" s="189">
        <f t="shared" ref="L16:L19" si="2">$H$16/N16</f>
        <v>62.6785714285716</v>
      </c>
      <c r="M16" s="156">
        <v>1.2</v>
      </c>
      <c r="N16" s="157">
        <v>0.12</v>
      </c>
      <c r="O16" s="190" t="s">
        <v>433</v>
      </c>
      <c r="P16" s="159"/>
      <c r="Q16" s="160"/>
      <c r="R16" s="191" t="s">
        <v>434</v>
      </c>
      <c r="S16" s="192" t="s">
        <v>270</v>
      </c>
      <c r="T16" s="192" t="s">
        <v>274</v>
      </c>
      <c r="U16" s="193" t="s">
        <v>275</v>
      </c>
      <c r="V16" s="194" t="s">
        <v>276</v>
      </c>
      <c r="W16" s="192" t="s">
        <v>277</v>
      </c>
      <c r="X16" s="192" t="s">
        <v>278</v>
      </c>
    </row>
    <row r="17" ht="19.65" customHeight="1" spans="1:24">
      <c r="A17" s="162"/>
      <c r="B17" s="195"/>
      <c r="C17" s="163"/>
      <c r="D17" s="163"/>
      <c r="E17" s="163"/>
      <c r="F17" s="164"/>
      <c r="G17" s="165"/>
      <c r="H17" s="166"/>
      <c r="I17" s="167"/>
      <c r="J17" s="168"/>
      <c r="K17" s="169">
        <f t="shared" si="0"/>
        <v>75.2142857142859</v>
      </c>
      <c r="L17" s="170">
        <f t="shared" si="2"/>
        <v>62.6785714285716</v>
      </c>
      <c r="M17" s="156">
        <v>1.2</v>
      </c>
      <c r="N17" s="157">
        <v>0.12</v>
      </c>
      <c r="O17" s="171"/>
      <c r="P17" s="159"/>
      <c r="Q17" s="160"/>
      <c r="R17" s="161"/>
      <c r="S17" s="2" t="s">
        <v>281</v>
      </c>
      <c r="T17" s="2" t="s">
        <v>282</v>
      </c>
      <c r="U17" s="196">
        <v>0.497508</v>
      </c>
      <c r="V17" s="197">
        <v>13984</v>
      </c>
      <c r="W17" s="13" t="s">
        <v>283</v>
      </c>
      <c r="X17" s="198">
        <v>0.3471</v>
      </c>
    </row>
    <row r="18" ht="19.65" customHeight="1" spans="1:24">
      <c r="A18" s="162"/>
      <c r="B18" s="195"/>
      <c r="C18" s="163"/>
      <c r="D18" s="163"/>
      <c r="E18" s="163"/>
      <c r="F18" s="164"/>
      <c r="G18" s="165"/>
      <c r="H18" s="166"/>
      <c r="I18" s="167"/>
      <c r="J18" s="168"/>
      <c r="K18" s="169">
        <f t="shared" si="0"/>
        <v>75.2142857142859</v>
      </c>
      <c r="L18" s="170">
        <f t="shared" si="2"/>
        <v>62.6785714285716</v>
      </c>
      <c r="M18" s="156">
        <v>1.2</v>
      </c>
      <c r="N18" s="157">
        <v>0.12</v>
      </c>
      <c r="O18" s="171"/>
      <c r="P18" s="159"/>
      <c r="Q18" s="160"/>
      <c r="R18" s="161"/>
      <c r="S18" s="2" t="s">
        <v>286</v>
      </c>
      <c r="T18" s="2" t="s">
        <v>287</v>
      </c>
      <c r="U18" s="196">
        <v>0.294441</v>
      </c>
      <c r="V18" s="197">
        <v>8276</v>
      </c>
      <c r="W18" s="13" t="s">
        <v>283</v>
      </c>
      <c r="X18" s="198">
        <v>0.41862</v>
      </c>
    </row>
    <row r="19" ht="19.65" customHeight="1" spans="1:24">
      <c r="A19" s="172"/>
      <c r="B19" s="199"/>
      <c r="C19" s="173"/>
      <c r="D19" s="173"/>
      <c r="E19" s="173"/>
      <c r="F19" s="174"/>
      <c r="G19" s="175"/>
      <c r="H19" s="176"/>
      <c r="I19" s="177"/>
      <c r="J19" s="178"/>
      <c r="K19" s="179">
        <f t="shared" si="0"/>
        <v>75.2142857142859</v>
      </c>
      <c r="L19" s="180">
        <f t="shared" si="2"/>
        <v>62.6785714285716</v>
      </c>
      <c r="M19" s="156">
        <v>1.2</v>
      </c>
      <c r="N19" s="157">
        <v>0.12</v>
      </c>
      <c r="O19" s="181"/>
      <c r="P19" s="159"/>
      <c r="Q19" s="160"/>
      <c r="R19" s="161"/>
      <c r="S19" s="2" t="s">
        <v>288</v>
      </c>
      <c r="T19" s="2" t="s">
        <v>289</v>
      </c>
      <c r="U19" s="196">
        <v>0.059295</v>
      </c>
      <c r="V19" s="197">
        <v>1667</v>
      </c>
      <c r="W19" s="13"/>
      <c r="X19" s="198">
        <v>0.61722</v>
      </c>
    </row>
    <row r="20" ht="20.85" customHeight="1" spans="1:24">
      <c r="A20" s="146" t="s">
        <v>114</v>
      </c>
      <c r="B20" s="184" t="s">
        <v>435</v>
      </c>
      <c r="C20" s="148">
        <v>109.99</v>
      </c>
      <c r="D20" s="148">
        <v>7.85714285714286</v>
      </c>
      <c r="E20" s="148">
        <f>C20*D20*7</f>
        <v>6049.45</v>
      </c>
      <c r="F20" s="149">
        <v>0.130952380952381</v>
      </c>
      <c r="G20" s="150">
        <f>D20/F20</f>
        <v>60</v>
      </c>
      <c r="H20" s="185">
        <f>D20*J20</f>
        <v>4.71428571428572</v>
      </c>
      <c r="I20" s="186">
        <f>H20*C20</f>
        <v>518.524285714286</v>
      </c>
      <c r="J20" s="187">
        <v>0.6</v>
      </c>
      <c r="K20" s="188">
        <f t="shared" si="0"/>
        <v>39.8901098901099</v>
      </c>
      <c r="L20" s="189">
        <f t="shared" ref="L20:L23" si="3">$H$20/N20</f>
        <v>36.2637362637363</v>
      </c>
      <c r="M20" s="156">
        <v>1.1</v>
      </c>
      <c r="N20" s="157">
        <v>0.13</v>
      </c>
      <c r="O20" s="190" t="s">
        <v>433</v>
      </c>
      <c r="P20" s="159"/>
      <c r="Q20" s="160"/>
      <c r="R20" s="161"/>
      <c r="S20" s="2" t="s">
        <v>290</v>
      </c>
      <c r="T20" s="2" t="s">
        <v>291</v>
      </c>
      <c r="U20" s="196">
        <v>0.047246</v>
      </c>
      <c r="V20" s="197">
        <v>1328</v>
      </c>
      <c r="W20" s="13"/>
      <c r="X20" s="198">
        <v>0.80955</v>
      </c>
    </row>
    <row r="21" ht="20.85" customHeight="1" spans="1:24">
      <c r="A21" s="162"/>
      <c r="B21" s="195"/>
      <c r="C21" s="163"/>
      <c r="D21" s="163"/>
      <c r="E21" s="163"/>
      <c r="F21" s="164"/>
      <c r="G21" s="165"/>
      <c r="H21" s="166"/>
      <c r="I21" s="167"/>
      <c r="J21" s="168"/>
      <c r="K21" s="169">
        <f t="shared" si="0"/>
        <v>39.8901098901099</v>
      </c>
      <c r="L21" s="170">
        <f t="shared" si="3"/>
        <v>36.2637362637363</v>
      </c>
      <c r="M21" s="156">
        <v>1.1</v>
      </c>
      <c r="N21" s="157">
        <v>0.13</v>
      </c>
      <c r="O21" s="171"/>
      <c r="P21" s="159"/>
      <c r="Q21" s="160"/>
      <c r="R21" s="161"/>
      <c r="S21" s="2" t="s">
        <v>292</v>
      </c>
      <c r="T21" s="2" t="s">
        <v>293</v>
      </c>
      <c r="U21" s="196">
        <v>0.02472</v>
      </c>
      <c r="V21" s="197">
        <v>695</v>
      </c>
      <c r="W21" s="13"/>
      <c r="X21" s="198">
        <v>0.46301</v>
      </c>
    </row>
    <row r="22" ht="20.85" customHeight="1" spans="1:24">
      <c r="A22" s="162"/>
      <c r="B22" s="195"/>
      <c r="C22" s="163"/>
      <c r="D22" s="163"/>
      <c r="E22" s="163"/>
      <c r="F22" s="164"/>
      <c r="G22" s="165"/>
      <c r="H22" s="166"/>
      <c r="I22" s="167"/>
      <c r="J22" s="168"/>
      <c r="K22" s="169">
        <f t="shared" si="0"/>
        <v>39.8901098901099</v>
      </c>
      <c r="L22" s="170">
        <f t="shared" si="3"/>
        <v>36.2637362637363</v>
      </c>
      <c r="M22" s="156">
        <v>1.1</v>
      </c>
      <c r="N22" s="157">
        <v>0.13</v>
      </c>
      <c r="O22" s="171"/>
      <c r="P22" s="159"/>
      <c r="Q22" s="160"/>
      <c r="R22" s="161"/>
      <c r="S22" s="2" t="s">
        <v>297</v>
      </c>
      <c r="T22" s="2" t="s">
        <v>298</v>
      </c>
      <c r="U22" s="196">
        <v>0.019301</v>
      </c>
      <c r="V22" s="197">
        <v>543</v>
      </c>
      <c r="W22" s="13"/>
      <c r="X22" s="198">
        <v>0.06106</v>
      </c>
    </row>
    <row r="23" ht="20.85" customHeight="1" spans="1:24">
      <c r="A23" s="172"/>
      <c r="B23" s="199"/>
      <c r="C23" s="173"/>
      <c r="D23" s="173"/>
      <c r="E23" s="173"/>
      <c r="F23" s="174"/>
      <c r="G23" s="175"/>
      <c r="H23" s="176"/>
      <c r="I23" s="177"/>
      <c r="J23" s="178"/>
      <c r="K23" s="179">
        <f t="shared" si="0"/>
        <v>39.8901098901099</v>
      </c>
      <c r="L23" s="180">
        <f t="shared" si="3"/>
        <v>36.2637362637363</v>
      </c>
      <c r="M23" s="156">
        <v>1.1</v>
      </c>
      <c r="N23" s="157">
        <v>0.13</v>
      </c>
      <c r="O23" s="181"/>
      <c r="P23" s="159"/>
      <c r="Q23" s="160"/>
      <c r="R23" s="182"/>
      <c r="S23" s="2" t="s">
        <v>301</v>
      </c>
      <c r="T23" s="2" t="s">
        <v>302</v>
      </c>
      <c r="U23" s="196">
        <v>0.017954</v>
      </c>
      <c r="V23" s="197">
        <v>505</v>
      </c>
      <c r="W23" s="13" t="s">
        <v>303</v>
      </c>
      <c r="X23" s="198">
        <v>0.50632</v>
      </c>
    </row>
    <row r="24" ht="22.6" customHeight="1" spans="1:24">
      <c r="A24" s="183" t="s">
        <v>116</v>
      </c>
      <c r="B24" s="184" t="s">
        <v>436</v>
      </c>
      <c r="C24" s="148">
        <v>109.99</v>
      </c>
      <c r="D24" s="148">
        <v>6.85714285714286</v>
      </c>
      <c r="E24" s="148">
        <f>C24*D24*7</f>
        <v>5279.52</v>
      </c>
      <c r="F24" s="149">
        <v>0.137142857142857</v>
      </c>
      <c r="G24" s="150">
        <f>D24/F24</f>
        <v>50.0000000000001</v>
      </c>
      <c r="H24" s="185">
        <f>D24*J24</f>
        <v>3.77142857142857</v>
      </c>
      <c r="I24" s="186">
        <f>H24*C24</f>
        <v>414.819428571429</v>
      </c>
      <c r="J24" s="187">
        <v>0.55</v>
      </c>
      <c r="K24" s="188">
        <f t="shared" si="0"/>
        <v>27.6571428571429</v>
      </c>
      <c r="L24" s="189">
        <f t="shared" ref="L24:L27" si="4">$H$24/N24</f>
        <v>25.1428571428572</v>
      </c>
      <c r="M24" s="156">
        <v>1.1</v>
      </c>
      <c r="N24" s="157">
        <v>0.15</v>
      </c>
      <c r="O24" s="190" t="s">
        <v>433</v>
      </c>
      <c r="P24" s="159"/>
      <c r="Q24" s="160"/>
      <c r="R24" s="191" t="s">
        <v>434</v>
      </c>
      <c r="S24" s="2" t="s">
        <v>306</v>
      </c>
      <c r="T24" s="2" t="s">
        <v>307</v>
      </c>
      <c r="U24" s="196">
        <v>0.008428</v>
      </c>
      <c r="V24" s="197">
        <v>237</v>
      </c>
      <c r="W24" s="13"/>
      <c r="X24" s="198">
        <v>0.28778</v>
      </c>
    </row>
    <row r="25" ht="22.6" customHeight="1" spans="1:24">
      <c r="A25" s="162"/>
      <c r="B25" s="195"/>
      <c r="C25" s="163"/>
      <c r="D25" s="163"/>
      <c r="E25" s="163"/>
      <c r="F25" s="164"/>
      <c r="G25" s="165"/>
      <c r="H25" s="166"/>
      <c r="I25" s="167"/>
      <c r="J25" s="168"/>
      <c r="K25" s="169">
        <f t="shared" si="0"/>
        <v>27.6571428571429</v>
      </c>
      <c r="L25" s="170">
        <f t="shared" si="4"/>
        <v>25.1428571428572</v>
      </c>
      <c r="M25" s="156">
        <v>1.1</v>
      </c>
      <c r="N25" s="157">
        <v>0.15</v>
      </c>
      <c r="O25" s="171"/>
      <c r="P25" s="159"/>
      <c r="Q25" s="160"/>
      <c r="R25" s="161"/>
      <c r="S25" s="2" t="s">
        <v>310</v>
      </c>
      <c r="T25" s="2" t="s">
        <v>311</v>
      </c>
      <c r="U25" s="196">
        <v>0.007424</v>
      </c>
      <c r="V25" s="197">
        <v>209</v>
      </c>
      <c r="W25" s="13"/>
      <c r="X25" s="13"/>
    </row>
    <row r="26" ht="22.6" customHeight="1" spans="1:24">
      <c r="A26" s="162"/>
      <c r="B26" s="195"/>
      <c r="C26" s="163"/>
      <c r="D26" s="163"/>
      <c r="E26" s="163"/>
      <c r="F26" s="164"/>
      <c r="G26" s="165"/>
      <c r="H26" s="166"/>
      <c r="I26" s="167"/>
      <c r="J26" s="168"/>
      <c r="K26" s="169">
        <f t="shared" si="0"/>
        <v>27.6571428571429</v>
      </c>
      <c r="L26" s="170">
        <f t="shared" si="4"/>
        <v>25.1428571428572</v>
      </c>
      <c r="M26" s="156">
        <v>1.1</v>
      </c>
      <c r="N26" s="157">
        <v>0.15</v>
      </c>
      <c r="O26" s="171"/>
      <c r="P26" s="159"/>
      <c r="Q26" s="160"/>
      <c r="R26" s="161"/>
      <c r="S26" s="2" t="s">
        <v>313</v>
      </c>
      <c r="T26" s="2" t="s">
        <v>314</v>
      </c>
      <c r="U26" s="196">
        <v>0.002209</v>
      </c>
      <c r="V26" s="197">
        <v>62</v>
      </c>
      <c r="W26" s="13"/>
      <c r="X26" s="13"/>
    </row>
    <row r="27" ht="22.6" customHeight="1" spans="1:24">
      <c r="A27" s="172"/>
      <c r="B27" s="199"/>
      <c r="C27" s="173"/>
      <c r="D27" s="173"/>
      <c r="E27" s="173"/>
      <c r="F27" s="174"/>
      <c r="G27" s="175"/>
      <c r="H27" s="176"/>
      <c r="I27" s="177"/>
      <c r="J27" s="178"/>
      <c r="K27" s="179">
        <f t="shared" si="0"/>
        <v>27.6571428571429</v>
      </c>
      <c r="L27" s="180">
        <f t="shared" si="4"/>
        <v>25.1428571428572</v>
      </c>
      <c r="M27" s="156">
        <v>1.1</v>
      </c>
      <c r="N27" s="157">
        <v>0.15</v>
      </c>
      <c r="O27" s="181"/>
      <c r="P27" s="200"/>
      <c r="Q27" s="160"/>
      <c r="R27" s="161"/>
      <c r="S27" s="2" t="s">
        <v>317</v>
      </c>
      <c r="T27" s="2" t="s">
        <v>318</v>
      </c>
      <c r="U27" s="196">
        <v>0.001316</v>
      </c>
      <c r="V27" s="197">
        <v>37</v>
      </c>
      <c r="W27" s="13"/>
      <c r="X27" s="13"/>
    </row>
    <row r="28" ht="23.2" customHeight="1" spans="1:24">
      <c r="A28" s="146" t="s">
        <v>117</v>
      </c>
      <c r="B28" s="184" t="s">
        <v>437</v>
      </c>
      <c r="C28" s="148">
        <v>119.99</v>
      </c>
      <c r="D28" s="148">
        <v>7.42857142857143</v>
      </c>
      <c r="E28" s="148">
        <f>C28*D28*7</f>
        <v>6239.48</v>
      </c>
      <c r="F28" s="149">
        <v>0.13265306122449</v>
      </c>
      <c r="G28" s="150">
        <f>D28/F28</f>
        <v>55.9999999999999</v>
      </c>
      <c r="H28" s="185">
        <f>D28*J28</f>
        <v>3.71428571428571</v>
      </c>
      <c r="I28" s="186">
        <f>H28*C28</f>
        <v>445.677142857143</v>
      </c>
      <c r="J28" s="187">
        <v>0.5</v>
      </c>
      <c r="K28" s="188">
        <f t="shared" si="0"/>
        <v>24.7619047619048</v>
      </c>
      <c r="L28" s="189">
        <f t="shared" ref="L28:L31" si="5">$H$28/N28</f>
        <v>24.7619047619048</v>
      </c>
      <c r="M28" s="156">
        <v>1</v>
      </c>
      <c r="N28" s="157">
        <v>0.15</v>
      </c>
      <c r="O28" s="190" t="s">
        <v>438</v>
      </c>
      <c r="P28" s="201" t="s">
        <v>439</v>
      </c>
      <c r="Q28" s="160"/>
      <c r="R28" s="161"/>
      <c r="S28" s="110"/>
      <c r="T28" s="110"/>
      <c r="U28" s="110"/>
      <c r="V28" s="110"/>
      <c r="W28" s="110"/>
      <c r="X28" s="110"/>
    </row>
    <row r="29" ht="23.2" customHeight="1" spans="1:24">
      <c r="A29" s="162"/>
      <c r="B29" s="195"/>
      <c r="C29" s="163"/>
      <c r="D29" s="163"/>
      <c r="E29" s="163"/>
      <c r="F29" s="164"/>
      <c r="G29" s="165"/>
      <c r="H29" s="166"/>
      <c r="I29" s="167"/>
      <c r="J29" s="168"/>
      <c r="K29" s="169">
        <f t="shared" si="0"/>
        <v>24.7619047619048</v>
      </c>
      <c r="L29" s="170">
        <f t="shared" si="5"/>
        <v>24.7619047619048</v>
      </c>
      <c r="M29" s="156">
        <v>1</v>
      </c>
      <c r="N29" s="157">
        <v>0.15</v>
      </c>
      <c r="O29" s="171"/>
      <c r="P29" s="159"/>
      <c r="Q29" s="160"/>
      <c r="R29" s="161"/>
      <c r="S29" s="110"/>
      <c r="T29" s="110"/>
      <c r="U29" s="110"/>
      <c r="V29" s="110"/>
      <c r="W29" s="110"/>
      <c r="X29" s="110"/>
    </row>
    <row r="30" ht="23.2" customHeight="1" spans="1:24">
      <c r="A30" s="162"/>
      <c r="B30" s="195"/>
      <c r="C30" s="163"/>
      <c r="D30" s="163"/>
      <c r="E30" s="163"/>
      <c r="F30" s="164"/>
      <c r="G30" s="165"/>
      <c r="H30" s="166"/>
      <c r="I30" s="167"/>
      <c r="J30" s="168"/>
      <c r="K30" s="169">
        <f t="shared" si="0"/>
        <v>24.7619047619048</v>
      </c>
      <c r="L30" s="170">
        <f t="shared" si="5"/>
        <v>24.7619047619048</v>
      </c>
      <c r="M30" s="156">
        <v>1</v>
      </c>
      <c r="N30" s="157">
        <v>0.15</v>
      </c>
      <c r="O30" s="171"/>
      <c r="P30" s="159"/>
      <c r="Q30" s="160"/>
      <c r="R30" s="161"/>
      <c r="S30" s="110"/>
      <c r="T30" s="110"/>
      <c r="U30" s="110"/>
      <c r="V30" s="110"/>
      <c r="W30" s="110"/>
      <c r="X30" s="110"/>
    </row>
    <row r="31" ht="23.2" customHeight="1" spans="1:24">
      <c r="A31" s="172"/>
      <c r="B31" s="199"/>
      <c r="C31" s="173"/>
      <c r="D31" s="173"/>
      <c r="E31" s="173"/>
      <c r="F31" s="174"/>
      <c r="G31" s="175"/>
      <c r="H31" s="176"/>
      <c r="I31" s="177"/>
      <c r="J31" s="178"/>
      <c r="K31" s="179">
        <f t="shared" si="0"/>
        <v>24.7619047619048</v>
      </c>
      <c r="L31" s="180">
        <f t="shared" si="5"/>
        <v>24.7619047619048</v>
      </c>
      <c r="M31" s="156">
        <v>1</v>
      </c>
      <c r="N31" s="157">
        <v>0.15</v>
      </c>
      <c r="O31" s="181"/>
      <c r="P31" s="159"/>
      <c r="Q31" s="160"/>
      <c r="R31" s="182"/>
      <c r="S31" s="110"/>
      <c r="T31" s="110"/>
      <c r="U31" s="110"/>
      <c r="V31" s="110"/>
      <c r="W31" s="110"/>
      <c r="X31" s="110"/>
    </row>
    <row r="32" ht="23.2" customHeight="1" spans="1:24">
      <c r="A32" s="183" t="s">
        <v>119</v>
      </c>
      <c r="B32" s="184" t="s">
        <v>440</v>
      </c>
      <c r="C32" s="148">
        <v>119.99</v>
      </c>
      <c r="D32" s="148">
        <v>7.14285714285714</v>
      </c>
      <c r="E32" s="148">
        <f>C32*D32*7</f>
        <v>5999.5</v>
      </c>
      <c r="F32" s="149">
        <v>0.119047619047619</v>
      </c>
      <c r="G32" s="150">
        <f>D32/F32</f>
        <v>60</v>
      </c>
      <c r="H32" s="185">
        <f>D32*J32</f>
        <v>3.57142857142857</v>
      </c>
      <c r="I32" s="186">
        <f>H32*C32</f>
        <v>428.535714285714</v>
      </c>
      <c r="J32" s="187">
        <v>0.5</v>
      </c>
      <c r="K32" s="188">
        <f t="shared" si="0"/>
        <v>23.8095238095238</v>
      </c>
      <c r="L32" s="189">
        <f t="shared" ref="L32:L35" si="6">$H$32/N32</f>
        <v>23.8095238095238</v>
      </c>
      <c r="M32" s="156">
        <v>1</v>
      </c>
      <c r="N32" s="157">
        <v>0.15</v>
      </c>
      <c r="O32" s="190" t="s">
        <v>438</v>
      </c>
      <c r="P32" s="159"/>
      <c r="Q32" s="160"/>
      <c r="R32" s="191" t="s">
        <v>434</v>
      </c>
      <c r="S32" s="110"/>
      <c r="T32" s="110"/>
      <c r="U32" s="110"/>
      <c r="V32" s="110"/>
      <c r="W32" s="110"/>
      <c r="X32" s="110"/>
    </row>
    <row r="33" ht="23.2" customHeight="1" spans="1:24">
      <c r="A33" s="162"/>
      <c r="B33" s="195"/>
      <c r="C33" s="163"/>
      <c r="D33" s="163"/>
      <c r="E33" s="163"/>
      <c r="F33" s="164"/>
      <c r="G33" s="165"/>
      <c r="H33" s="166"/>
      <c r="I33" s="167"/>
      <c r="J33" s="168"/>
      <c r="K33" s="169">
        <f t="shared" si="0"/>
        <v>23.8095238095238</v>
      </c>
      <c r="L33" s="170">
        <f t="shared" si="6"/>
        <v>23.8095238095238</v>
      </c>
      <c r="M33" s="156">
        <v>1</v>
      </c>
      <c r="N33" s="157">
        <v>0.15</v>
      </c>
      <c r="O33" s="171"/>
      <c r="P33" s="159"/>
      <c r="Q33" s="160"/>
      <c r="R33" s="161"/>
      <c r="S33" s="110"/>
      <c r="T33" s="110"/>
      <c r="U33" s="110"/>
      <c r="V33" s="110"/>
      <c r="W33" s="110"/>
      <c r="X33" s="110"/>
    </row>
    <row r="34" ht="23.2" customHeight="1" spans="1:24">
      <c r="A34" s="162"/>
      <c r="B34" s="195"/>
      <c r="C34" s="163"/>
      <c r="D34" s="163"/>
      <c r="E34" s="163"/>
      <c r="F34" s="164"/>
      <c r="G34" s="165"/>
      <c r="H34" s="166"/>
      <c r="I34" s="167"/>
      <c r="J34" s="168"/>
      <c r="K34" s="169">
        <f t="shared" si="0"/>
        <v>23.8095238095238</v>
      </c>
      <c r="L34" s="170">
        <f t="shared" si="6"/>
        <v>23.8095238095238</v>
      </c>
      <c r="M34" s="156">
        <v>1</v>
      </c>
      <c r="N34" s="157">
        <v>0.15</v>
      </c>
      <c r="O34" s="171"/>
      <c r="P34" s="159"/>
      <c r="Q34" s="160"/>
      <c r="R34" s="161"/>
      <c r="S34" s="110"/>
      <c r="T34" s="110"/>
      <c r="U34" s="110"/>
      <c r="V34" s="110"/>
      <c r="W34" s="110"/>
      <c r="X34" s="110"/>
    </row>
    <row r="35" ht="23.2" customHeight="1" spans="1:24">
      <c r="A35" s="172"/>
      <c r="B35" s="199"/>
      <c r="C35" s="173"/>
      <c r="D35" s="173"/>
      <c r="E35" s="173"/>
      <c r="F35" s="174"/>
      <c r="G35" s="175"/>
      <c r="H35" s="176"/>
      <c r="I35" s="177"/>
      <c r="J35" s="178"/>
      <c r="K35" s="179">
        <f t="shared" si="0"/>
        <v>23.8095238095238</v>
      </c>
      <c r="L35" s="180">
        <f t="shared" si="6"/>
        <v>23.8095238095238</v>
      </c>
      <c r="M35" s="156">
        <v>1</v>
      </c>
      <c r="N35" s="157">
        <v>0.15</v>
      </c>
      <c r="O35" s="181"/>
      <c r="P35" s="159"/>
      <c r="Q35" s="160"/>
      <c r="R35" s="161"/>
      <c r="S35" s="110"/>
      <c r="T35" s="110"/>
      <c r="U35" s="110"/>
      <c r="V35" s="110"/>
      <c r="W35" s="110"/>
      <c r="X35" s="110"/>
    </row>
    <row r="36" ht="23.2" customHeight="1" spans="1:24">
      <c r="A36" s="146" t="s">
        <v>120</v>
      </c>
      <c r="B36" s="184" t="s">
        <v>441</v>
      </c>
      <c r="C36" s="148">
        <v>119.99</v>
      </c>
      <c r="D36" s="148">
        <v>8.28571428571429</v>
      </c>
      <c r="E36" s="148">
        <f>C36*D36*7</f>
        <v>6959.42</v>
      </c>
      <c r="F36" s="149">
        <v>0.121848739495798</v>
      </c>
      <c r="G36" s="150">
        <f>D36/F36</f>
        <v>68.0000000000002</v>
      </c>
      <c r="H36" s="185">
        <f>D36*J36</f>
        <v>4.14285714285715</v>
      </c>
      <c r="I36" s="186">
        <f>H36*C36</f>
        <v>497.101428571429</v>
      </c>
      <c r="J36" s="187">
        <v>0.5</v>
      </c>
      <c r="K36" s="188">
        <f t="shared" si="0"/>
        <v>23.3035714285714</v>
      </c>
      <c r="L36" s="189">
        <f t="shared" ref="L36:L39" si="7">$H$36/N36</f>
        <v>25.8928571428572</v>
      </c>
      <c r="M36" s="156">
        <v>0.9</v>
      </c>
      <c r="N36" s="157">
        <v>0.16</v>
      </c>
      <c r="O36" s="190" t="s">
        <v>438</v>
      </c>
      <c r="P36" s="159"/>
      <c r="Q36" s="160"/>
      <c r="R36" s="161"/>
      <c r="S36" s="110"/>
      <c r="T36" s="110"/>
      <c r="U36" s="110"/>
      <c r="V36" s="110"/>
      <c r="W36" s="110"/>
      <c r="X36" s="110"/>
    </row>
    <row r="37" ht="23.2" customHeight="1" spans="1:24">
      <c r="A37" s="162"/>
      <c r="B37" s="195"/>
      <c r="C37" s="163"/>
      <c r="D37" s="163"/>
      <c r="E37" s="163"/>
      <c r="F37" s="164"/>
      <c r="G37" s="165"/>
      <c r="H37" s="166"/>
      <c r="I37" s="167"/>
      <c r="J37" s="168"/>
      <c r="K37" s="169">
        <f t="shared" si="0"/>
        <v>23.3035714285714</v>
      </c>
      <c r="L37" s="170">
        <f t="shared" si="7"/>
        <v>25.8928571428572</v>
      </c>
      <c r="M37" s="156">
        <v>0.9</v>
      </c>
      <c r="N37" s="157">
        <v>0.16</v>
      </c>
      <c r="O37" s="171"/>
      <c r="P37" s="159"/>
      <c r="Q37" s="160"/>
      <c r="R37" s="161"/>
      <c r="S37" s="110"/>
      <c r="T37" s="110"/>
      <c r="U37" s="110"/>
      <c r="V37" s="110"/>
      <c r="W37" s="110"/>
      <c r="X37" s="110"/>
    </row>
    <row r="38" ht="23.2" customHeight="1" spans="1:24">
      <c r="A38" s="162"/>
      <c r="B38" s="195"/>
      <c r="C38" s="163"/>
      <c r="D38" s="163"/>
      <c r="E38" s="163"/>
      <c r="F38" s="164"/>
      <c r="G38" s="165"/>
      <c r="H38" s="166"/>
      <c r="I38" s="167"/>
      <c r="J38" s="168"/>
      <c r="K38" s="169">
        <f t="shared" si="0"/>
        <v>23.3035714285714</v>
      </c>
      <c r="L38" s="170">
        <f t="shared" si="7"/>
        <v>25.8928571428572</v>
      </c>
      <c r="M38" s="156">
        <v>0.9</v>
      </c>
      <c r="N38" s="157">
        <v>0.16</v>
      </c>
      <c r="O38" s="171"/>
      <c r="P38" s="159"/>
      <c r="Q38" s="160"/>
      <c r="R38" s="161"/>
      <c r="S38" s="110"/>
      <c r="T38" s="110"/>
      <c r="U38" s="110"/>
      <c r="V38" s="110"/>
      <c r="W38" s="110"/>
      <c r="X38" s="110"/>
    </row>
    <row r="39" ht="23.2" customHeight="1" spans="1:24">
      <c r="A39" s="172"/>
      <c r="B39" s="199"/>
      <c r="C39" s="173"/>
      <c r="D39" s="173"/>
      <c r="E39" s="173"/>
      <c r="F39" s="174"/>
      <c r="G39" s="175"/>
      <c r="H39" s="176"/>
      <c r="I39" s="177"/>
      <c r="J39" s="178"/>
      <c r="K39" s="179">
        <f t="shared" si="0"/>
        <v>23.3035714285714</v>
      </c>
      <c r="L39" s="180">
        <f t="shared" si="7"/>
        <v>25.8928571428572</v>
      </c>
      <c r="M39" s="156">
        <v>0.9</v>
      </c>
      <c r="N39" s="157">
        <v>0.16</v>
      </c>
      <c r="O39" s="181"/>
      <c r="P39" s="159"/>
      <c r="Q39" s="160"/>
      <c r="R39" s="182"/>
      <c r="S39" s="110"/>
      <c r="T39" s="110"/>
      <c r="U39" s="110"/>
      <c r="V39" s="110"/>
      <c r="W39" s="110"/>
      <c r="X39" s="110"/>
    </row>
    <row r="40" ht="23.2" customHeight="1" spans="1:24">
      <c r="A40" s="183" t="s">
        <v>122</v>
      </c>
      <c r="B40" s="184" t="s">
        <v>442</v>
      </c>
      <c r="C40" s="148">
        <v>119.99</v>
      </c>
      <c r="D40" s="148">
        <v>7.14285714285714</v>
      </c>
      <c r="E40" s="148">
        <f>C40*D40*7</f>
        <v>5999.5</v>
      </c>
      <c r="F40" s="149">
        <v>0.105042016806723</v>
      </c>
      <c r="G40" s="150">
        <f>D40/F40</f>
        <v>67.9999999999998</v>
      </c>
      <c r="H40" s="185">
        <f>D40*J40</f>
        <v>3.21428571428571</v>
      </c>
      <c r="I40" s="186">
        <f>H40*C40</f>
        <v>385.682142857143</v>
      </c>
      <c r="J40" s="187">
        <v>0.45</v>
      </c>
      <c r="K40" s="188">
        <f t="shared" si="0"/>
        <v>18.0803571428571</v>
      </c>
      <c r="L40" s="189">
        <f t="shared" ref="L40:L43" si="8">$H$40/N40</f>
        <v>20.0892857142857</v>
      </c>
      <c r="M40" s="156">
        <v>0.9</v>
      </c>
      <c r="N40" s="157">
        <v>0.16</v>
      </c>
      <c r="O40" s="190" t="s">
        <v>438</v>
      </c>
      <c r="P40" s="159"/>
      <c r="Q40" s="160"/>
      <c r="R40" s="191" t="s">
        <v>434</v>
      </c>
      <c r="S40" s="110"/>
      <c r="T40" s="110"/>
      <c r="U40" s="110"/>
      <c r="V40" s="110"/>
      <c r="W40" s="110"/>
      <c r="X40" s="110"/>
    </row>
    <row r="41" ht="23.2" customHeight="1" spans="1:24">
      <c r="A41" s="162"/>
      <c r="B41" s="195"/>
      <c r="C41" s="163"/>
      <c r="D41" s="163"/>
      <c r="E41" s="163"/>
      <c r="F41" s="164"/>
      <c r="G41" s="165"/>
      <c r="H41" s="166"/>
      <c r="I41" s="167"/>
      <c r="J41" s="168"/>
      <c r="K41" s="169">
        <f t="shared" si="0"/>
        <v>18.0803571428571</v>
      </c>
      <c r="L41" s="170">
        <f t="shared" si="8"/>
        <v>20.0892857142857</v>
      </c>
      <c r="M41" s="156">
        <v>0.9</v>
      </c>
      <c r="N41" s="157">
        <v>0.16</v>
      </c>
      <c r="O41" s="171"/>
      <c r="P41" s="159"/>
      <c r="Q41" s="160"/>
      <c r="R41" s="161"/>
      <c r="S41" s="110"/>
      <c r="T41" s="110"/>
      <c r="U41" s="110"/>
      <c r="V41" s="110"/>
      <c r="W41" s="110"/>
      <c r="X41" s="110"/>
    </row>
    <row r="42" ht="23.2" customHeight="1" spans="1:24">
      <c r="A42" s="162"/>
      <c r="B42" s="195"/>
      <c r="C42" s="163"/>
      <c r="D42" s="163"/>
      <c r="E42" s="163"/>
      <c r="F42" s="164"/>
      <c r="G42" s="165"/>
      <c r="H42" s="166"/>
      <c r="I42" s="167"/>
      <c r="J42" s="168"/>
      <c r="K42" s="169">
        <f t="shared" si="0"/>
        <v>18.0803571428571</v>
      </c>
      <c r="L42" s="170">
        <f t="shared" si="8"/>
        <v>20.0892857142857</v>
      </c>
      <c r="M42" s="156">
        <v>0.9</v>
      </c>
      <c r="N42" s="157">
        <v>0.16</v>
      </c>
      <c r="O42" s="171"/>
      <c r="P42" s="159"/>
      <c r="Q42" s="160"/>
      <c r="R42" s="161"/>
      <c r="S42" s="110"/>
      <c r="T42" s="110"/>
      <c r="U42" s="110"/>
      <c r="V42" s="110"/>
      <c r="W42" s="110"/>
      <c r="X42" s="110"/>
    </row>
    <row r="43" ht="23.2" customHeight="1" spans="1:24">
      <c r="A43" s="172"/>
      <c r="B43" s="199"/>
      <c r="C43" s="173"/>
      <c r="D43" s="173"/>
      <c r="E43" s="173"/>
      <c r="F43" s="174"/>
      <c r="G43" s="175"/>
      <c r="H43" s="176"/>
      <c r="I43" s="177"/>
      <c r="J43" s="178"/>
      <c r="K43" s="179">
        <f t="shared" si="0"/>
        <v>18.0803571428571</v>
      </c>
      <c r="L43" s="180">
        <f t="shared" si="8"/>
        <v>20.0892857142857</v>
      </c>
      <c r="M43" s="156">
        <v>0.9</v>
      </c>
      <c r="N43" s="157">
        <v>0.16</v>
      </c>
      <c r="O43" s="181"/>
      <c r="P43" s="159"/>
      <c r="Q43" s="160"/>
      <c r="R43" s="161"/>
      <c r="S43" s="110"/>
      <c r="T43" s="110"/>
      <c r="U43" s="110"/>
      <c r="V43" s="110"/>
      <c r="W43" s="110"/>
      <c r="X43" s="110"/>
    </row>
    <row r="44" ht="23.2" customHeight="1" spans="1:24">
      <c r="A44" s="146" t="s">
        <v>123</v>
      </c>
      <c r="B44" s="184" t="s">
        <v>443</v>
      </c>
      <c r="C44" s="148">
        <v>119.99</v>
      </c>
      <c r="D44" s="148">
        <v>7.85714285714286</v>
      </c>
      <c r="E44" s="148">
        <f>C44*D44*7</f>
        <v>6599.45</v>
      </c>
      <c r="F44" s="149">
        <v>0.112244897959184</v>
      </c>
      <c r="G44" s="150">
        <f>D44/F44</f>
        <v>69.9999999999998</v>
      </c>
      <c r="H44" s="185">
        <f>D44*J44</f>
        <v>3.53571428571429</v>
      </c>
      <c r="I44" s="186">
        <f>H44*C44</f>
        <v>424.250357142857</v>
      </c>
      <c r="J44" s="187">
        <v>0.45</v>
      </c>
      <c r="K44" s="188">
        <f t="shared" si="0"/>
        <v>19.8883928571429</v>
      </c>
      <c r="L44" s="189">
        <f t="shared" ref="L44:L47" si="9">$H$44/N44</f>
        <v>22.0982142857143</v>
      </c>
      <c r="M44" s="156">
        <v>0.9</v>
      </c>
      <c r="N44" s="157">
        <v>0.16</v>
      </c>
      <c r="O44" s="190" t="s">
        <v>438</v>
      </c>
      <c r="P44" s="159"/>
      <c r="Q44" s="160"/>
      <c r="R44" s="161"/>
      <c r="S44" s="110"/>
      <c r="T44" s="110"/>
      <c r="U44" s="110"/>
      <c r="V44" s="110"/>
      <c r="W44" s="110"/>
      <c r="X44" s="110"/>
    </row>
    <row r="45" ht="23.2" customHeight="1" spans="1:24">
      <c r="A45" s="162"/>
      <c r="B45" s="195"/>
      <c r="C45" s="163"/>
      <c r="D45" s="163"/>
      <c r="E45" s="163"/>
      <c r="F45" s="164"/>
      <c r="G45" s="165"/>
      <c r="H45" s="166"/>
      <c r="I45" s="167"/>
      <c r="J45" s="168"/>
      <c r="K45" s="169">
        <f t="shared" si="0"/>
        <v>19.8883928571429</v>
      </c>
      <c r="L45" s="170">
        <f t="shared" si="9"/>
        <v>22.0982142857143</v>
      </c>
      <c r="M45" s="156">
        <v>0.9</v>
      </c>
      <c r="N45" s="157">
        <v>0.16</v>
      </c>
      <c r="O45" s="171"/>
      <c r="P45" s="159"/>
      <c r="Q45" s="160"/>
      <c r="R45" s="161"/>
      <c r="S45" s="110"/>
      <c r="T45" s="110"/>
      <c r="U45" s="110"/>
      <c r="V45" s="110"/>
      <c r="W45" s="110"/>
      <c r="X45" s="110"/>
    </row>
    <row r="46" ht="23.2" customHeight="1" spans="1:24">
      <c r="A46" s="162"/>
      <c r="B46" s="195"/>
      <c r="C46" s="163"/>
      <c r="D46" s="163"/>
      <c r="E46" s="163"/>
      <c r="F46" s="164"/>
      <c r="G46" s="165"/>
      <c r="H46" s="166"/>
      <c r="I46" s="167"/>
      <c r="J46" s="168"/>
      <c r="K46" s="169">
        <f t="shared" si="0"/>
        <v>19.8883928571429</v>
      </c>
      <c r="L46" s="170">
        <f t="shared" si="9"/>
        <v>22.0982142857143</v>
      </c>
      <c r="M46" s="156">
        <v>0.9</v>
      </c>
      <c r="N46" s="157">
        <v>0.16</v>
      </c>
      <c r="O46" s="171"/>
      <c r="P46" s="159"/>
      <c r="Q46" s="160"/>
      <c r="R46" s="161"/>
      <c r="S46" s="110"/>
      <c r="T46" s="110"/>
      <c r="U46" s="110"/>
      <c r="V46" s="110"/>
      <c r="W46" s="110"/>
      <c r="X46" s="110"/>
    </row>
    <row r="47" ht="23.2" customHeight="1" spans="1:24">
      <c r="A47" s="172"/>
      <c r="B47" s="199"/>
      <c r="C47" s="173"/>
      <c r="D47" s="173"/>
      <c r="E47" s="173"/>
      <c r="F47" s="174"/>
      <c r="G47" s="175"/>
      <c r="H47" s="176"/>
      <c r="I47" s="177"/>
      <c r="J47" s="178"/>
      <c r="K47" s="179">
        <f t="shared" si="0"/>
        <v>19.8883928571429</v>
      </c>
      <c r="L47" s="180">
        <f t="shared" si="9"/>
        <v>22.0982142857143</v>
      </c>
      <c r="M47" s="156">
        <v>0.9</v>
      </c>
      <c r="N47" s="157">
        <v>0.16</v>
      </c>
      <c r="O47" s="181"/>
      <c r="P47" s="159"/>
      <c r="Q47" s="160"/>
      <c r="R47" s="182"/>
      <c r="S47" s="110"/>
      <c r="T47" s="110"/>
      <c r="U47" s="110"/>
      <c r="V47" s="110"/>
      <c r="W47" s="110"/>
      <c r="X47" s="110"/>
    </row>
    <row r="48" ht="23.2" customHeight="1" spans="1:24">
      <c r="A48" s="183" t="s">
        <v>125</v>
      </c>
      <c r="B48" s="184" t="s">
        <v>444</v>
      </c>
      <c r="C48" s="148">
        <v>119.99</v>
      </c>
      <c r="D48" s="148">
        <v>9.28571428571429</v>
      </c>
      <c r="E48" s="148">
        <f>C48*D48*7</f>
        <v>7799.35</v>
      </c>
      <c r="F48" s="149">
        <v>0.123809523809524</v>
      </c>
      <c r="G48" s="150">
        <f>D48/F48</f>
        <v>74.9999999999999</v>
      </c>
      <c r="H48" s="185">
        <f>D48*J48</f>
        <v>3.71428571428572</v>
      </c>
      <c r="I48" s="186">
        <f>H48*C48</f>
        <v>445.677142857143</v>
      </c>
      <c r="J48" s="187">
        <v>0.4</v>
      </c>
      <c r="K48" s="188">
        <f t="shared" si="0"/>
        <v>20.8928571428572</v>
      </c>
      <c r="L48" s="189">
        <f t="shared" ref="L48:L51" si="10">$H$48/N48</f>
        <v>23.2142857142857</v>
      </c>
      <c r="M48" s="156">
        <v>0.9</v>
      </c>
      <c r="N48" s="157">
        <v>0.16</v>
      </c>
      <c r="O48" s="190" t="s">
        <v>438</v>
      </c>
      <c r="P48" s="159"/>
      <c r="Q48" s="160"/>
      <c r="R48" s="191" t="s">
        <v>434</v>
      </c>
      <c r="S48" s="110"/>
      <c r="T48" s="110"/>
      <c r="U48" s="110"/>
      <c r="V48" s="110"/>
      <c r="W48" s="110"/>
      <c r="X48" s="110"/>
    </row>
    <row r="49" ht="23.2" customHeight="1" spans="1:24">
      <c r="A49" s="162"/>
      <c r="B49" s="195"/>
      <c r="C49" s="163"/>
      <c r="D49" s="163"/>
      <c r="E49" s="163"/>
      <c r="F49" s="164"/>
      <c r="G49" s="165"/>
      <c r="H49" s="166"/>
      <c r="I49" s="167"/>
      <c r="J49" s="168"/>
      <c r="K49" s="169">
        <f t="shared" si="0"/>
        <v>20.8928571428572</v>
      </c>
      <c r="L49" s="170">
        <f t="shared" si="10"/>
        <v>23.2142857142857</v>
      </c>
      <c r="M49" s="156">
        <v>0.9</v>
      </c>
      <c r="N49" s="157">
        <v>0.16</v>
      </c>
      <c r="O49" s="171"/>
      <c r="P49" s="159"/>
      <c r="Q49" s="160"/>
      <c r="R49" s="161"/>
      <c r="S49" s="110"/>
      <c r="T49" s="110"/>
      <c r="U49" s="110"/>
      <c r="V49" s="110"/>
      <c r="W49" s="110"/>
      <c r="X49" s="110"/>
    </row>
    <row r="50" ht="23.2" customHeight="1" spans="1:24">
      <c r="A50" s="162"/>
      <c r="B50" s="195"/>
      <c r="C50" s="163"/>
      <c r="D50" s="163"/>
      <c r="E50" s="163"/>
      <c r="F50" s="164"/>
      <c r="G50" s="165"/>
      <c r="H50" s="166"/>
      <c r="I50" s="167"/>
      <c r="J50" s="168"/>
      <c r="K50" s="169">
        <f t="shared" si="0"/>
        <v>20.8928571428572</v>
      </c>
      <c r="L50" s="170">
        <f t="shared" si="10"/>
        <v>23.2142857142857</v>
      </c>
      <c r="M50" s="156">
        <v>0.9</v>
      </c>
      <c r="N50" s="157">
        <v>0.16</v>
      </c>
      <c r="O50" s="171"/>
      <c r="P50" s="159"/>
      <c r="Q50" s="160"/>
      <c r="R50" s="161"/>
      <c r="S50" s="110"/>
      <c r="T50" s="110"/>
      <c r="U50" s="110"/>
      <c r="V50" s="110"/>
      <c r="W50" s="110"/>
      <c r="X50" s="110"/>
    </row>
    <row r="51" ht="23.2" customHeight="1" spans="1:24">
      <c r="A51" s="172"/>
      <c r="B51" s="199"/>
      <c r="C51" s="173"/>
      <c r="D51" s="173"/>
      <c r="E51" s="173"/>
      <c r="F51" s="174"/>
      <c r="G51" s="175"/>
      <c r="H51" s="176"/>
      <c r="I51" s="177"/>
      <c r="J51" s="178"/>
      <c r="K51" s="179">
        <f t="shared" si="0"/>
        <v>20.8928571428572</v>
      </c>
      <c r="L51" s="180">
        <f t="shared" si="10"/>
        <v>23.2142857142857</v>
      </c>
      <c r="M51" s="156">
        <v>0.9</v>
      </c>
      <c r="N51" s="157">
        <v>0.16</v>
      </c>
      <c r="O51" s="181"/>
      <c r="P51" s="159"/>
      <c r="Q51" s="160"/>
      <c r="R51" s="161"/>
      <c r="S51" s="110"/>
      <c r="T51" s="110"/>
      <c r="U51" s="110"/>
      <c r="V51" s="110"/>
      <c r="W51" s="110"/>
      <c r="X51" s="110"/>
    </row>
    <row r="52" ht="23.2" customHeight="1" spans="1:24">
      <c r="A52" s="146" t="s">
        <v>126</v>
      </c>
      <c r="B52" s="184" t="s">
        <v>445</v>
      </c>
      <c r="C52" s="148">
        <v>119.99</v>
      </c>
      <c r="D52" s="148">
        <v>10.2857142857143</v>
      </c>
      <c r="E52" s="148">
        <f>C52*D52*7</f>
        <v>8639.28000000001</v>
      </c>
      <c r="F52" s="149">
        <v>0.137142857142857</v>
      </c>
      <c r="G52" s="150">
        <f>D52/F52</f>
        <v>75.0000000000002</v>
      </c>
      <c r="H52" s="185">
        <f>D52*J52</f>
        <v>3.6</v>
      </c>
      <c r="I52" s="186">
        <f>H52*C52</f>
        <v>431.964000000001</v>
      </c>
      <c r="J52" s="187">
        <v>0.35</v>
      </c>
      <c r="K52" s="188">
        <f t="shared" si="0"/>
        <v>20.25</v>
      </c>
      <c r="L52" s="189">
        <f t="shared" ref="L52:L55" si="11">$H$52/N52</f>
        <v>22.5</v>
      </c>
      <c r="M52" s="156">
        <v>0.9</v>
      </c>
      <c r="N52" s="157">
        <v>0.16</v>
      </c>
      <c r="O52" s="190" t="s">
        <v>438</v>
      </c>
      <c r="P52" s="159"/>
      <c r="Q52" s="160"/>
      <c r="R52" s="161"/>
      <c r="S52" s="110"/>
      <c r="T52" s="110"/>
      <c r="U52" s="110"/>
      <c r="V52" s="110"/>
      <c r="W52" s="110"/>
      <c r="X52" s="110"/>
    </row>
    <row r="53" ht="23.2" customHeight="1" spans="1:24">
      <c r="A53" s="162"/>
      <c r="B53" s="195"/>
      <c r="C53" s="163"/>
      <c r="D53" s="163"/>
      <c r="E53" s="163"/>
      <c r="F53" s="164"/>
      <c r="G53" s="165"/>
      <c r="H53" s="166"/>
      <c r="I53" s="167"/>
      <c r="J53" s="168"/>
      <c r="K53" s="169">
        <f t="shared" si="0"/>
        <v>20.25</v>
      </c>
      <c r="L53" s="170">
        <f t="shared" si="11"/>
        <v>22.5</v>
      </c>
      <c r="M53" s="156">
        <v>0.9</v>
      </c>
      <c r="N53" s="157">
        <v>0.16</v>
      </c>
      <c r="O53" s="171"/>
      <c r="P53" s="159"/>
      <c r="Q53" s="160"/>
      <c r="R53" s="161"/>
      <c r="S53" s="110"/>
      <c r="T53" s="110"/>
      <c r="U53" s="110"/>
      <c r="V53" s="110"/>
      <c r="W53" s="110"/>
      <c r="X53" s="110"/>
    </row>
    <row r="54" ht="23.2" customHeight="1" spans="1:24">
      <c r="A54" s="162"/>
      <c r="B54" s="195"/>
      <c r="C54" s="163"/>
      <c r="D54" s="163"/>
      <c r="E54" s="163"/>
      <c r="F54" s="164"/>
      <c r="G54" s="165"/>
      <c r="H54" s="166"/>
      <c r="I54" s="167"/>
      <c r="J54" s="168"/>
      <c r="K54" s="169">
        <f t="shared" si="0"/>
        <v>20.25</v>
      </c>
      <c r="L54" s="170">
        <f t="shared" si="11"/>
        <v>22.5</v>
      </c>
      <c r="M54" s="156">
        <v>0.9</v>
      </c>
      <c r="N54" s="157">
        <v>0.16</v>
      </c>
      <c r="O54" s="171"/>
      <c r="P54" s="159"/>
      <c r="Q54" s="160"/>
      <c r="R54" s="161"/>
      <c r="S54" s="110"/>
      <c r="T54" s="110"/>
      <c r="U54" s="110"/>
      <c r="V54" s="110"/>
      <c r="W54" s="110"/>
      <c r="X54" s="110"/>
    </row>
    <row r="55" ht="23.2" customHeight="1" spans="1:24">
      <c r="A55" s="172"/>
      <c r="B55" s="199"/>
      <c r="C55" s="173"/>
      <c r="D55" s="173"/>
      <c r="E55" s="173"/>
      <c r="F55" s="174"/>
      <c r="G55" s="175"/>
      <c r="H55" s="176"/>
      <c r="I55" s="177"/>
      <c r="J55" s="178"/>
      <c r="K55" s="179">
        <f t="shared" si="0"/>
        <v>20.25</v>
      </c>
      <c r="L55" s="180">
        <f t="shared" si="11"/>
        <v>22.5</v>
      </c>
      <c r="M55" s="156">
        <v>0.9</v>
      </c>
      <c r="N55" s="157">
        <v>0.16</v>
      </c>
      <c r="O55" s="181"/>
      <c r="P55" s="200"/>
      <c r="Q55" s="160"/>
      <c r="R55" s="182"/>
      <c r="S55" s="110"/>
      <c r="T55" s="110"/>
      <c r="U55" s="110"/>
      <c r="V55" s="110"/>
      <c r="W55" s="110"/>
      <c r="X55" s="110"/>
    </row>
    <row r="56" ht="23.2" customHeight="1" spans="1:24">
      <c r="A56" s="183" t="s">
        <v>128</v>
      </c>
      <c r="B56" s="184" t="s">
        <v>446</v>
      </c>
      <c r="C56" s="148">
        <v>119.99</v>
      </c>
      <c r="D56" s="148">
        <v>10.7142857142857</v>
      </c>
      <c r="E56" s="148">
        <f>C56*D56*7</f>
        <v>8999.24999999999</v>
      </c>
      <c r="F56" s="149">
        <v>0.142857142857143</v>
      </c>
      <c r="G56" s="150">
        <f>D56/F56</f>
        <v>74.9999999999998</v>
      </c>
      <c r="H56" s="185">
        <f>D56*J56</f>
        <v>3.21428571428571</v>
      </c>
      <c r="I56" s="186">
        <f>H56*C56</f>
        <v>385.682142857142</v>
      </c>
      <c r="J56" s="187">
        <v>0.3</v>
      </c>
      <c r="K56" s="188">
        <f t="shared" si="0"/>
        <v>18.0803571428571</v>
      </c>
      <c r="L56" s="189">
        <f t="shared" ref="L56:L59" si="12">$H$56/N56</f>
        <v>20.0892857142857</v>
      </c>
      <c r="M56" s="156">
        <v>0.9</v>
      </c>
      <c r="N56" s="157">
        <v>0.16</v>
      </c>
      <c r="O56" s="190" t="s">
        <v>447</v>
      </c>
      <c r="P56" s="201" t="s">
        <v>448</v>
      </c>
      <c r="Q56" s="160"/>
      <c r="R56" s="191" t="s">
        <v>449</v>
      </c>
      <c r="S56" s="110"/>
      <c r="T56" s="110"/>
      <c r="U56" s="110"/>
      <c r="V56" s="110"/>
      <c r="W56" s="110"/>
      <c r="X56" s="110"/>
    </row>
    <row r="57" ht="23.2" customHeight="1" spans="1:24">
      <c r="A57" s="162"/>
      <c r="B57" s="195"/>
      <c r="C57" s="163"/>
      <c r="D57" s="163"/>
      <c r="E57" s="163"/>
      <c r="F57" s="164"/>
      <c r="G57" s="165"/>
      <c r="H57" s="166"/>
      <c r="I57" s="167"/>
      <c r="J57" s="168"/>
      <c r="K57" s="169">
        <f t="shared" si="0"/>
        <v>18.0803571428571</v>
      </c>
      <c r="L57" s="170">
        <f t="shared" si="12"/>
        <v>20.0892857142857</v>
      </c>
      <c r="M57" s="156">
        <v>0.9</v>
      </c>
      <c r="N57" s="157">
        <v>0.16</v>
      </c>
      <c r="O57" s="171"/>
      <c r="P57" s="159"/>
      <c r="Q57" s="160"/>
      <c r="R57" s="161"/>
      <c r="S57" s="110"/>
      <c r="T57" s="110"/>
      <c r="U57" s="110"/>
      <c r="V57" s="110"/>
      <c r="W57" s="110"/>
      <c r="X57" s="110"/>
    </row>
    <row r="58" ht="23.2" customHeight="1" spans="1:24">
      <c r="A58" s="162"/>
      <c r="B58" s="195"/>
      <c r="C58" s="163"/>
      <c r="D58" s="163"/>
      <c r="E58" s="163"/>
      <c r="F58" s="164"/>
      <c r="G58" s="165"/>
      <c r="H58" s="166"/>
      <c r="I58" s="167"/>
      <c r="J58" s="168"/>
      <c r="K58" s="169">
        <f t="shared" si="0"/>
        <v>18.0803571428571</v>
      </c>
      <c r="L58" s="170">
        <f t="shared" si="12"/>
        <v>20.0892857142857</v>
      </c>
      <c r="M58" s="156">
        <v>0.9</v>
      </c>
      <c r="N58" s="157">
        <v>0.16</v>
      </c>
      <c r="O58" s="171"/>
      <c r="P58" s="159"/>
      <c r="Q58" s="160"/>
      <c r="R58" s="161"/>
      <c r="S58" s="110"/>
      <c r="T58" s="110"/>
      <c r="U58" s="110"/>
      <c r="V58" s="110"/>
      <c r="W58" s="110"/>
      <c r="X58" s="110"/>
    </row>
    <row r="59" ht="23.2" customHeight="1" spans="1:24">
      <c r="A59" s="172"/>
      <c r="B59" s="199"/>
      <c r="C59" s="173"/>
      <c r="D59" s="173"/>
      <c r="E59" s="173"/>
      <c r="F59" s="174"/>
      <c r="G59" s="175"/>
      <c r="H59" s="176"/>
      <c r="I59" s="177"/>
      <c r="J59" s="178"/>
      <c r="K59" s="179">
        <f t="shared" si="0"/>
        <v>18.0803571428571</v>
      </c>
      <c r="L59" s="180">
        <f t="shared" si="12"/>
        <v>20.0892857142857</v>
      </c>
      <c r="M59" s="156">
        <v>0.9</v>
      </c>
      <c r="N59" s="157">
        <v>0.16</v>
      </c>
      <c r="O59" s="181"/>
      <c r="P59" s="159"/>
      <c r="Q59" s="160"/>
      <c r="R59" s="161"/>
      <c r="S59" s="110"/>
      <c r="T59" s="110"/>
      <c r="U59" s="110"/>
      <c r="V59" s="110"/>
      <c r="W59" s="110"/>
      <c r="X59" s="110"/>
    </row>
    <row r="60" ht="23.2" customHeight="1" spans="1:24">
      <c r="A60" s="146" t="s">
        <v>129</v>
      </c>
      <c r="B60" s="184" t="s">
        <v>450</v>
      </c>
      <c r="C60" s="148">
        <v>119.99</v>
      </c>
      <c r="D60" s="148">
        <v>11.4285714285714</v>
      </c>
      <c r="E60" s="148">
        <f>C60*D60*7</f>
        <v>9599.19999999998</v>
      </c>
      <c r="F60" s="149">
        <v>0.152380952380952</v>
      </c>
      <c r="G60" s="150">
        <f>D60/F60</f>
        <v>75</v>
      </c>
      <c r="H60" s="185">
        <f>D60*J60</f>
        <v>3.42857142857142</v>
      </c>
      <c r="I60" s="186">
        <f>H60*C60</f>
        <v>411.394285714285</v>
      </c>
      <c r="J60" s="187">
        <v>0.3</v>
      </c>
      <c r="K60" s="188">
        <f t="shared" si="0"/>
        <v>18.1512605042016</v>
      </c>
      <c r="L60" s="189">
        <f t="shared" ref="L60:L63" si="13">$H$60/N60</f>
        <v>20.1680672268907</v>
      </c>
      <c r="M60" s="156">
        <v>0.9</v>
      </c>
      <c r="N60" s="157">
        <v>0.17</v>
      </c>
      <c r="O60" s="190" t="s">
        <v>447</v>
      </c>
      <c r="P60" s="159"/>
      <c r="Q60" s="160"/>
      <c r="R60" s="161"/>
      <c r="S60" s="110"/>
      <c r="T60" s="110"/>
      <c r="U60" s="110"/>
      <c r="V60" s="110"/>
      <c r="W60" s="110"/>
      <c r="X60" s="110"/>
    </row>
    <row r="61" ht="23.2" customHeight="1" spans="1:24">
      <c r="A61" s="162"/>
      <c r="B61" s="195"/>
      <c r="C61" s="163"/>
      <c r="D61" s="163"/>
      <c r="E61" s="163"/>
      <c r="F61" s="164"/>
      <c r="G61" s="165"/>
      <c r="H61" s="166"/>
      <c r="I61" s="167"/>
      <c r="J61" s="168"/>
      <c r="K61" s="169">
        <f t="shared" si="0"/>
        <v>18.1512605042016</v>
      </c>
      <c r="L61" s="170">
        <f t="shared" si="13"/>
        <v>20.1680672268907</v>
      </c>
      <c r="M61" s="156">
        <v>0.9</v>
      </c>
      <c r="N61" s="157">
        <v>0.17</v>
      </c>
      <c r="O61" s="171"/>
      <c r="P61" s="159"/>
      <c r="Q61" s="160"/>
      <c r="R61" s="161"/>
      <c r="S61" s="110"/>
      <c r="T61" s="110"/>
      <c r="U61" s="110"/>
      <c r="V61" s="110"/>
      <c r="W61" s="110"/>
      <c r="X61" s="110"/>
    </row>
    <row r="62" ht="23.2" customHeight="1" spans="1:24">
      <c r="A62" s="162"/>
      <c r="B62" s="195"/>
      <c r="C62" s="163"/>
      <c r="D62" s="163"/>
      <c r="E62" s="163"/>
      <c r="F62" s="164"/>
      <c r="G62" s="165"/>
      <c r="H62" s="166"/>
      <c r="I62" s="167"/>
      <c r="J62" s="168"/>
      <c r="K62" s="169">
        <f t="shared" si="0"/>
        <v>18.1512605042016</v>
      </c>
      <c r="L62" s="170">
        <f t="shared" si="13"/>
        <v>20.1680672268907</v>
      </c>
      <c r="M62" s="156">
        <v>0.9</v>
      </c>
      <c r="N62" s="157">
        <v>0.17</v>
      </c>
      <c r="O62" s="171"/>
      <c r="P62" s="159"/>
      <c r="Q62" s="160"/>
      <c r="R62" s="161"/>
      <c r="S62" s="110"/>
      <c r="T62" s="110"/>
      <c r="U62" s="110"/>
      <c r="V62" s="110"/>
      <c r="W62" s="110"/>
      <c r="X62" s="110"/>
    </row>
    <row r="63" ht="23.2" customHeight="1" spans="1:24">
      <c r="A63" s="172"/>
      <c r="B63" s="199"/>
      <c r="C63" s="173"/>
      <c r="D63" s="173"/>
      <c r="E63" s="173"/>
      <c r="F63" s="174"/>
      <c r="G63" s="175"/>
      <c r="H63" s="176"/>
      <c r="I63" s="177"/>
      <c r="J63" s="178"/>
      <c r="K63" s="179">
        <f t="shared" si="0"/>
        <v>18.1512605042016</v>
      </c>
      <c r="L63" s="180">
        <f t="shared" si="13"/>
        <v>20.1680672268907</v>
      </c>
      <c r="M63" s="156">
        <v>0.9</v>
      </c>
      <c r="N63" s="157">
        <v>0.17</v>
      </c>
      <c r="O63" s="181"/>
      <c r="P63" s="200"/>
      <c r="Q63" s="202"/>
      <c r="R63" s="182"/>
      <c r="S63" s="110"/>
      <c r="T63" s="110"/>
      <c r="U63" s="110"/>
      <c r="V63" s="110"/>
      <c r="W63" s="110"/>
      <c r="X63" s="110"/>
    </row>
    <row r="64" ht="23.2" customHeight="1" spans="1:24">
      <c r="A64" s="183" t="s">
        <v>128</v>
      </c>
      <c r="B64" s="184" t="s">
        <v>446</v>
      </c>
      <c r="C64" s="148">
        <v>119.99</v>
      </c>
      <c r="D64" s="148">
        <v>10.7142857142857</v>
      </c>
      <c r="E64" s="148">
        <f>C64*D64*7</f>
        <v>8999.24999999999</v>
      </c>
      <c r="F64" s="149">
        <v>0.178571428571429</v>
      </c>
      <c r="G64" s="150">
        <f>D64/F64</f>
        <v>59.9999999999998</v>
      </c>
      <c r="H64" s="185">
        <f>D64*J64</f>
        <v>3.21428571428571</v>
      </c>
      <c r="I64" s="186">
        <f>H64*C64</f>
        <v>385.682142857142</v>
      </c>
      <c r="J64" s="187">
        <v>0.3</v>
      </c>
      <c r="K64" s="188">
        <f t="shared" si="0"/>
        <v>17.0168067226891</v>
      </c>
      <c r="L64" s="189">
        <f t="shared" ref="L64:L67" si="14">$H$56/N64</f>
        <v>18.9075630252101</v>
      </c>
      <c r="M64" s="156">
        <v>0.9</v>
      </c>
      <c r="N64" s="157">
        <v>0.17</v>
      </c>
      <c r="O64" s="190" t="s">
        <v>447</v>
      </c>
      <c r="P64" s="201" t="s">
        <v>451</v>
      </c>
      <c r="Q64" s="31" t="s">
        <v>281</v>
      </c>
      <c r="R64" s="191" t="s">
        <v>449</v>
      </c>
      <c r="S64" s="110"/>
      <c r="T64" s="110"/>
      <c r="U64" s="110"/>
      <c r="V64" s="110"/>
      <c r="W64" s="110"/>
      <c r="X64" s="110"/>
    </row>
    <row r="65" ht="23.2" customHeight="1" spans="1:24">
      <c r="A65" s="162"/>
      <c r="B65" s="195"/>
      <c r="C65" s="163"/>
      <c r="D65" s="163"/>
      <c r="E65" s="163"/>
      <c r="F65" s="164"/>
      <c r="G65" s="165"/>
      <c r="H65" s="166"/>
      <c r="I65" s="167"/>
      <c r="J65" s="168"/>
      <c r="K65" s="169">
        <f t="shared" si="0"/>
        <v>17.0168067226891</v>
      </c>
      <c r="L65" s="170">
        <f t="shared" si="14"/>
        <v>18.9075630252101</v>
      </c>
      <c r="M65" s="156">
        <v>0.9</v>
      </c>
      <c r="N65" s="157">
        <v>0.17</v>
      </c>
      <c r="O65" s="171"/>
      <c r="P65" s="159"/>
      <c r="Q65" s="31" t="s">
        <v>281</v>
      </c>
      <c r="R65" s="161"/>
      <c r="S65" s="110"/>
      <c r="T65" s="110"/>
      <c r="U65" s="110"/>
      <c r="V65" s="110"/>
      <c r="W65" s="110"/>
      <c r="X65" s="110"/>
    </row>
    <row r="66" ht="23.2" customHeight="1" spans="1:24">
      <c r="A66" s="162"/>
      <c r="B66" s="195"/>
      <c r="C66" s="163"/>
      <c r="D66" s="163"/>
      <c r="E66" s="163"/>
      <c r="F66" s="164"/>
      <c r="G66" s="165"/>
      <c r="H66" s="166"/>
      <c r="I66" s="167"/>
      <c r="J66" s="168"/>
      <c r="K66" s="169">
        <f t="shared" si="0"/>
        <v>17.0168067226891</v>
      </c>
      <c r="L66" s="170">
        <f t="shared" si="14"/>
        <v>18.9075630252101</v>
      </c>
      <c r="M66" s="156">
        <v>0.9</v>
      </c>
      <c r="N66" s="157">
        <v>0.17</v>
      </c>
      <c r="O66" s="171"/>
      <c r="P66" s="159"/>
      <c r="Q66" s="31" t="s">
        <v>281</v>
      </c>
      <c r="R66" s="161"/>
      <c r="S66" s="110"/>
      <c r="T66" s="110"/>
      <c r="U66" s="110"/>
      <c r="V66" s="110"/>
      <c r="W66" s="110"/>
      <c r="X66" s="110"/>
    </row>
    <row r="67" ht="23.2" customHeight="1" spans="1:24">
      <c r="A67" s="172"/>
      <c r="B67" s="199"/>
      <c r="C67" s="173"/>
      <c r="D67" s="173"/>
      <c r="E67" s="173"/>
      <c r="F67" s="174"/>
      <c r="G67" s="175"/>
      <c r="H67" s="176"/>
      <c r="I67" s="177"/>
      <c r="J67" s="178"/>
      <c r="K67" s="179">
        <f t="shared" si="0"/>
        <v>17.0168067226891</v>
      </c>
      <c r="L67" s="180">
        <f t="shared" si="14"/>
        <v>18.9075630252101</v>
      </c>
      <c r="M67" s="156">
        <v>0.9</v>
      </c>
      <c r="N67" s="157">
        <v>0.17</v>
      </c>
      <c r="O67" s="181"/>
      <c r="P67" s="159"/>
      <c r="Q67" s="31" t="s">
        <v>281</v>
      </c>
      <c r="R67" s="161"/>
      <c r="S67" s="110"/>
      <c r="T67" s="110"/>
      <c r="U67" s="110"/>
      <c r="V67" s="110"/>
      <c r="W67" s="110"/>
      <c r="X67" s="110"/>
    </row>
    <row r="68" ht="23.2" customHeight="1" spans="1:24">
      <c r="A68" s="146" t="s">
        <v>129</v>
      </c>
      <c r="B68" s="184" t="s">
        <v>450</v>
      </c>
      <c r="C68" s="148">
        <v>119.99</v>
      </c>
      <c r="D68" s="148">
        <v>11.4285714285714</v>
      </c>
      <c r="E68" s="148">
        <f>C68*D68*7</f>
        <v>9599.19999999998</v>
      </c>
      <c r="F68" s="149">
        <v>0.19047619047619</v>
      </c>
      <c r="G68" s="150">
        <f>D68/F68</f>
        <v>60</v>
      </c>
      <c r="H68" s="185">
        <f>D68*J68</f>
        <v>3.42857142857142</v>
      </c>
      <c r="I68" s="186">
        <f>H68*C68</f>
        <v>411.394285714285</v>
      </c>
      <c r="J68" s="187">
        <v>0.3</v>
      </c>
      <c r="K68" s="188">
        <f t="shared" si="0"/>
        <v>18.1512605042016</v>
      </c>
      <c r="L68" s="189">
        <f t="shared" ref="L68:L71" si="15">$H$60/N68</f>
        <v>20.1680672268907</v>
      </c>
      <c r="M68" s="156">
        <v>0.9</v>
      </c>
      <c r="N68" s="157">
        <v>0.17</v>
      </c>
      <c r="O68" s="190" t="s">
        <v>447</v>
      </c>
      <c r="P68" s="159"/>
      <c r="Q68" s="31" t="s">
        <v>281</v>
      </c>
      <c r="R68" s="161"/>
      <c r="S68" s="110"/>
      <c r="T68" s="110"/>
      <c r="U68" s="110"/>
      <c r="V68" s="110"/>
      <c r="W68" s="110"/>
      <c r="X68" s="110"/>
    </row>
    <row r="69" ht="23.2" customHeight="1" spans="1:24">
      <c r="A69" s="162"/>
      <c r="B69" s="195"/>
      <c r="C69" s="163"/>
      <c r="D69" s="163"/>
      <c r="E69" s="163"/>
      <c r="F69" s="164"/>
      <c r="G69" s="165"/>
      <c r="H69" s="166"/>
      <c r="I69" s="167"/>
      <c r="J69" s="168"/>
      <c r="K69" s="169">
        <f t="shared" si="0"/>
        <v>18.1512605042016</v>
      </c>
      <c r="L69" s="170">
        <f t="shared" si="15"/>
        <v>20.1680672268907</v>
      </c>
      <c r="M69" s="156">
        <v>0.9</v>
      </c>
      <c r="N69" s="157">
        <v>0.17</v>
      </c>
      <c r="O69" s="171"/>
      <c r="P69" s="159"/>
      <c r="Q69" s="31" t="s">
        <v>281</v>
      </c>
      <c r="R69" s="161"/>
      <c r="S69" s="110"/>
      <c r="T69" s="110"/>
      <c r="U69" s="110"/>
      <c r="V69" s="110"/>
      <c r="W69" s="110"/>
      <c r="X69" s="110"/>
    </row>
    <row r="70" ht="23.2" customHeight="1" spans="1:24">
      <c r="A70" s="162"/>
      <c r="B70" s="195"/>
      <c r="C70" s="163"/>
      <c r="D70" s="163"/>
      <c r="E70" s="163"/>
      <c r="F70" s="164"/>
      <c r="G70" s="165"/>
      <c r="H70" s="166"/>
      <c r="I70" s="167"/>
      <c r="J70" s="168"/>
      <c r="K70" s="169">
        <f t="shared" si="0"/>
        <v>18.1512605042016</v>
      </c>
      <c r="L70" s="170">
        <f t="shared" si="15"/>
        <v>20.1680672268907</v>
      </c>
      <c r="M70" s="156">
        <v>0.9</v>
      </c>
      <c r="N70" s="157">
        <v>0.17</v>
      </c>
      <c r="O70" s="171"/>
      <c r="P70" s="159"/>
      <c r="Q70" s="31" t="s">
        <v>281</v>
      </c>
      <c r="R70" s="161"/>
      <c r="S70" s="110"/>
      <c r="T70" s="110"/>
      <c r="U70" s="110"/>
      <c r="V70" s="110"/>
      <c r="W70" s="110"/>
      <c r="X70" s="110"/>
    </row>
    <row r="71" ht="23.2" customHeight="1" spans="1:24">
      <c r="A71" s="172"/>
      <c r="B71" s="199"/>
      <c r="C71" s="173"/>
      <c r="D71" s="173"/>
      <c r="E71" s="173"/>
      <c r="F71" s="174"/>
      <c r="G71" s="175"/>
      <c r="H71" s="176"/>
      <c r="I71" s="177"/>
      <c r="J71" s="178"/>
      <c r="K71" s="179">
        <f t="shared" si="0"/>
        <v>18.1512605042016</v>
      </c>
      <c r="L71" s="180">
        <f t="shared" si="15"/>
        <v>20.1680672268907</v>
      </c>
      <c r="M71" s="156">
        <v>0.9</v>
      </c>
      <c r="N71" s="157">
        <v>0.17</v>
      </c>
      <c r="O71" s="181"/>
      <c r="P71" s="200"/>
      <c r="Q71" s="31" t="s">
        <v>281</v>
      </c>
      <c r="R71" s="182"/>
      <c r="S71" s="110"/>
      <c r="T71" s="110"/>
      <c r="U71" s="110"/>
      <c r="V71" s="110"/>
      <c r="W71" s="110"/>
      <c r="X71" s="110"/>
    </row>
    <row r="72" ht="16.5" spans="1:24">
      <c r="A72" s="172"/>
      <c r="B72" s="199"/>
      <c r="C72" s="173"/>
      <c r="D72" s="173"/>
      <c r="E72" s="173"/>
      <c r="F72" s="174"/>
      <c r="G72" s="175"/>
      <c r="H72" s="176"/>
      <c r="I72" s="177"/>
      <c r="J72" s="178"/>
      <c r="K72" s="179"/>
      <c r="L72" s="180"/>
      <c r="M72" s="156"/>
      <c r="N72" s="157"/>
      <c r="O72" s="181"/>
      <c r="P72" s="200"/>
      <c r="Q72" s="202"/>
      <c r="R72" s="182"/>
      <c r="S72" s="110"/>
      <c r="T72" s="110"/>
      <c r="U72" s="110"/>
      <c r="V72" s="110"/>
      <c r="W72" s="110"/>
      <c r="X72" s="110"/>
    </row>
    <row r="73" ht="16.5" spans="1:24">
      <c r="A73" s="172"/>
      <c r="B73" s="199"/>
      <c r="C73" s="173"/>
      <c r="D73" s="173"/>
      <c r="E73" s="173"/>
      <c r="F73" s="174"/>
      <c r="G73" s="175"/>
      <c r="H73" s="176"/>
      <c r="I73" s="177"/>
      <c r="J73" s="178"/>
      <c r="K73" s="179"/>
      <c r="L73" s="180"/>
      <c r="M73" s="156"/>
      <c r="N73" s="157"/>
      <c r="O73" s="181"/>
      <c r="P73" s="200"/>
      <c r="Q73" s="202"/>
      <c r="R73" s="182"/>
      <c r="S73" s="110"/>
      <c r="T73" s="110"/>
      <c r="U73" s="110"/>
      <c r="V73" s="110"/>
      <c r="W73" s="110"/>
      <c r="X73" s="110"/>
    </row>
    <row r="74" ht="16.5" spans="1:24">
      <c r="A74" s="172"/>
      <c r="B74" s="199"/>
      <c r="C74" s="173"/>
      <c r="D74" s="173"/>
      <c r="E74" s="173"/>
      <c r="F74" s="174"/>
      <c r="G74" s="175"/>
      <c r="H74" s="176"/>
      <c r="I74" s="177"/>
      <c r="J74" s="178"/>
      <c r="K74" s="179"/>
      <c r="L74" s="180"/>
      <c r="M74" s="156"/>
      <c r="N74" s="157"/>
      <c r="O74" s="181"/>
      <c r="P74" s="200"/>
      <c r="Q74" s="202"/>
      <c r="R74" s="182"/>
      <c r="S74" s="110"/>
      <c r="T74" s="110"/>
      <c r="U74" s="110"/>
      <c r="V74" s="110"/>
      <c r="W74" s="110"/>
      <c r="X74" s="110"/>
    </row>
    <row r="75" ht="16.5" spans="1:24">
      <c r="A75" s="172"/>
      <c r="B75" s="199"/>
      <c r="C75" s="173"/>
      <c r="D75" s="173"/>
      <c r="E75" s="173"/>
      <c r="F75" s="174"/>
      <c r="G75" s="175"/>
      <c r="H75" s="176"/>
      <c r="I75" s="177"/>
      <c r="J75" s="178"/>
      <c r="K75" s="179"/>
      <c r="L75" s="180"/>
      <c r="M75" s="156"/>
      <c r="N75" s="157"/>
      <c r="O75" s="181"/>
      <c r="P75" s="200"/>
      <c r="Q75" s="202"/>
      <c r="R75" s="182"/>
      <c r="S75" s="110"/>
      <c r="T75" s="110"/>
      <c r="U75" s="110"/>
      <c r="V75" s="110"/>
      <c r="W75" s="110"/>
      <c r="X75" s="110"/>
    </row>
    <row r="76" ht="16.5" spans="1:24">
      <c r="A76" s="172"/>
      <c r="B76" s="199"/>
      <c r="C76" s="173"/>
      <c r="D76" s="173"/>
      <c r="E76" s="173"/>
      <c r="F76" s="174"/>
      <c r="G76" s="175"/>
      <c r="H76" s="176"/>
      <c r="I76" s="177"/>
      <c r="J76" s="178"/>
      <c r="K76" s="179"/>
      <c r="L76" s="180"/>
      <c r="M76" s="156"/>
      <c r="N76" s="157"/>
      <c r="O76" s="181"/>
      <c r="P76" s="200"/>
      <c r="Q76" s="202"/>
      <c r="R76" s="182"/>
      <c r="S76" s="110"/>
      <c r="T76" s="110"/>
      <c r="U76" s="110"/>
      <c r="V76" s="110"/>
      <c r="W76" s="110"/>
      <c r="X76" s="110"/>
    </row>
    <row r="77" ht="16.5" spans="1:24">
      <c r="A77" s="172"/>
      <c r="B77" s="199"/>
      <c r="C77" s="173"/>
      <c r="D77" s="173"/>
      <c r="E77" s="173"/>
      <c r="F77" s="174"/>
      <c r="G77" s="175"/>
      <c r="H77" s="176"/>
      <c r="I77" s="177"/>
      <c r="J77" s="178"/>
      <c r="K77" s="179"/>
      <c r="L77" s="180"/>
      <c r="M77" s="156"/>
      <c r="N77" s="157"/>
      <c r="O77" s="181"/>
      <c r="P77" s="200"/>
      <c r="Q77" s="202"/>
      <c r="R77" s="182"/>
      <c r="S77" s="110"/>
      <c r="T77" s="110"/>
      <c r="U77" s="110"/>
      <c r="V77" s="110"/>
      <c r="W77" s="110"/>
      <c r="X77" s="110"/>
    </row>
    <row r="78" ht="16.5" spans="1:24">
      <c r="A78" s="172"/>
      <c r="B78" s="199"/>
      <c r="C78" s="173"/>
      <c r="D78" s="173"/>
      <c r="E78" s="173"/>
      <c r="F78" s="174"/>
      <c r="G78" s="175"/>
      <c r="H78" s="176"/>
      <c r="I78" s="177"/>
      <c r="J78" s="178"/>
      <c r="K78" s="179"/>
      <c r="L78" s="180"/>
      <c r="M78" s="156"/>
      <c r="N78" s="157"/>
      <c r="O78" s="181"/>
      <c r="P78" s="200"/>
      <c r="Q78" s="202"/>
      <c r="R78" s="182"/>
      <c r="S78" s="110"/>
      <c r="T78" s="110"/>
      <c r="U78" s="110"/>
      <c r="V78" s="110"/>
      <c r="W78" s="110"/>
      <c r="X78" s="110"/>
    </row>
    <row r="79" ht="16.5" spans="1:24">
      <c r="A79" s="172"/>
      <c r="B79" s="199"/>
      <c r="C79" s="173"/>
      <c r="D79" s="173"/>
      <c r="E79" s="173"/>
      <c r="F79" s="174"/>
      <c r="G79" s="175"/>
      <c r="H79" s="176"/>
      <c r="I79" s="177"/>
      <c r="J79" s="178"/>
      <c r="K79" s="179"/>
      <c r="L79" s="180"/>
      <c r="M79" s="156"/>
      <c r="N79" s="157"/>
      <c r="O79" s="181"/>
      <c r="P79" s="200"/>
      <c r="Q79" s="202"/>
      <c r="R79" s="182"/>
      <c r="S79" s="110"/>
      <c r="T79" s="110"/>
      <c r="U79" s="110"/>
      <c r="V79" s="110"/>
      <c r="W79" s="110"/>
      <c r="X79" s="110"/>
    </row>
    <row r="80" ht="16.5" spans="1:24">
      <c r="A80" s="172"/>
      <c r="B80" s="199"/>
      <c r="C80" s="173"/>
      <c r="D80" s="173"/>
      <c r="E80" s="173"/>
      <c r="F80" s="174"/>
      <c r="G80" s="175"/>
      <c r="H80" s="176"/>
      <c r="I80" s="177"/>
      <c r="J80" s="178"/>
      <c r="K80" s="179"/>
      <c r="L80" s="180"/>
      <c r="M80" s="156"/>
      <c r="N80" s="157"/>
      <c r="O80" s="181"/>
      <c r="P80" s="200"/>
      <c r="Q80" s="202"/>
      <c r="R80" s="182"/>
      <c r="S80" s="110"/>
      <c r="T80" s="110"/>
      <c r="U80" s="110"/>
      <c r="V80" s="110"/>
      <c r="W80" s="110"/>
      <c r="X80" s="110"/>
    </row>
    <row r="81" ht="16.5" spans="1:24">
      <c r="A81" s="172"/>
      <c r="B81" s="199"/>
      <c r="C81" s="173"/>
      <c r="D81" s="173"/>
      <c r="E81" s="173"/>
      <c r="F81" s="174"/>
      <c r="G81" s="175"/>
      <c r="H81" s="176"/>
      <c r="I81" s="177"/>
      <c r="J81" s="178"/>
      <c r="K81" s="179"/>
      <c r="L81" s="180"/>
      <c r="M81" s="156"/>
      <c r="N81" s="157"/>
      <c r="O81" s="181"/>
      <c r="P81" s="200"/>
      <c r="Q81" s="202"/>
      <c r="R81" s="182"/>
      <c r="S81" s="110"/>
      <c r="T81" s="110"/>
      <c r="U81" s="110"/>
      <c r="V81" s="110"/>
      <c r="W81" s="110"/>
      <c r="X81" s="110"/>
    </row>
    <row r="82" ht="16.5" spans="1:24">
      <c r="A82" s="172"/>
      <c r="B82" s="199"/>
      <c r="C82" s="173"/>
      <c r="D82" s="173"/>
      <c r="E82" s="173"/>
      <c r="F82" s="174"/>
      <c r="G82" s="175"/>
      <c r="H82" s="176"/>
      <c r="I82" s="177"/>
      <c r="J82" s="178"/>
      <c r="K82" s="179"/>
      <c r="L82" s="180"/>
      <c r="M82" s="156"/>
      <c r="N82" s="157"/>
      <c r="O82" s="181"/>
      <c r="P82" s="200"/>
      <c r="Q82" s="202"/>
      <c r="R82" s="182"/>
      <c r="S82" s="110"/>
      <c r="T82" s="110"/>
      <c r="U82" s="110"/>
      <c r="V82" s="110"/>
      <c r="W82" s="110"/>
      <c r="X82" s="110"/>
    </row>
    <row r="83" ht="16.5" spans="1:24">
      <c r="A83" s="172"/>
      <c r="B83" s="199"/>
      <c r="C83" s="173"/>
      <c r="D83" s="173"/>
      <c r="E83" s="173"/>
      <c r="F83" s="174"/>
      <c r="G83" s="175"/>
      <c r="H83" s="176"/>
      <c r="I83" s="177"/>
      <c r="J83" s="178"/>
      <c r="K83" s="179"/>
      <c r="L83" s="180"/>
      <c r="M83" s="156"/>
      <c r="N83" s="157"/>
      <c r="O83" s="181"/>
      <c r="P83" s="200"/>
      <c r="Q83" s="202"/>
      <c r="R83" s="182"/>
      <c r="S83" s="110"/>
      <c r="T83" s="110"/>
      <c r="U83" s="110"/>
      <c r="V83" s="110"/>
      <c r="W83" s="110"/>
      <c r="X83" s="110"/>
    </row>
    <row r="84" ht="16.5" spans="1:24">
      <c r="A84" s="172"/>
      <c r="B84" s="199"/>
      <c r="C84" s="173"/>
      <c r="D84" s="173"/>
      <c r="E84" s="173"/>
      <c r="F84" s="174"/>
      <c r="G84" s="175"/>
      <c r="H84" s="176"/>
      <c r="I84" s="177"/>
      <c r="J84" s="178"/>
      <c r="K84" s="179"/>
      <c r="L84" s="180"/>
      <c r="M84" s="156"/>
      <c r="N84" s="157"/>
      <c r="O84" s="181"/>
      <c r="P84" s="200"/>
      <c r="Q84" s="202"/>
      <c r="R84" s="182"/>
      <c r="S84" s="110"/>
      <c r="T84" s="110"/>
      <c r="U84" s="110"/>
      <c r="V84" s="110"/>
      <c r="W84" s="110"/>
      <c r="X84" s="110"/>
    </row>
    <row r="85" ht="16.5" spans="1:24">
      <c r="A85" s="172"/>
      <c r="B85" s="199"/>
      <c r="C85" s="173"/>
      <c r="D85" s="173"/>
      <c r="E85" s="173"/>
      <c r="F85" s="174"/>
      <c r="G85" s="175"/>
      <c r="H85" s="176"/>
      <c r="I85" s="177"/>
      <c r="J85" s="178"/>
      <c r="K85" s="179"/>
      <c r="L85" s="180"/>
      <c r="M85" s="156"/>
      <c r="N85" s="157"/>
      <c r="O85" s="181"/>
      <c r="P85" s="200"/>
      <c r="Q85" s="202"/>
      <c r="R85" s="182"/>
      <c r="S85" s="110"/>
      <c r="T85" s="110"/>
      <c r="U85" s="110"/>
      <c r="V85" s="110"/>
      <c r="W85" s="110"/>
      <c r="X85" s="110"/>
    </row>
    <row r="86" ht="16.5" spans="1:24">
      <c r="A86" s="172"/>
      <c r="B86" s="199"/>
      <c r="C86" s="173"/>
      <c r="D86" s="173"/>
      <c r="E86" s="173"/>
      <c r="F86" s="174"/>
      <c r="G86" s="175"/>
      <c r="H86" s="176"/>
      <c r="I86" s="177"/>
      <c r="J86" s="178"/>
      <c r="K86" s="179"/>
      <c r="L86" s="180"/>
      <c r="M86" s="156"/>
      <c r="N86" s="157"/>
      <c r="O86" s="181"/>
      <c r="P86" s="200"/>
      <c r="Q86" s="202"/>
      <c r="R86" s="182"/>
      <c r="S86" s="110"/>
      <c r="T86" s="110"/>
      <c r="U86" s="110"/>
      <c r="V86" s="110"/>
      <c r="W86" s="110"/>
      <c r="X86" s="110"/>
    </row>
    <row r="87" ht="16.5" spans="1:24">
      <c r="A87" s="172"/>
      <c r="B87" s="199"/>
      <c r="C87" s="173"/>
      <c r="D87" s="173"/>
      <c r="E87" s="173"/>
      <c r="F87" s="174"/>
      <c r="G87" s="175"/>
      <c r="H87" s="176"/>
      <c r="I87" s="177"/>
      <c r="J87" s="178"/>
      <c r="K87" s="179"/>
      <c r="L87" s="180"/>
      <c r="M87" s="156"/>
      <c r="N87" s="157"/>
      <c r="O87" s="181"/>
      <c r="P87" s="200"/>
      <c r="Q87" s="202"/>
      <c r="R87" s="182"/>
      <c r="S87" s="110"/>
      <c r="T87" s="110"/>
      <c r="U87" s="110"/>
      <c r="V87" s="110"/>
      <c r="W87" s="110"/>
      <c r="X87" s="110"/>
    </row>
    <row r="88" ht="16.5" spans="1:24">
      <c r="A88" s="172"/>
      <c r="B88" s="199"/>
      <c r="C88" s="173"/>
      <c r="D88" s="173"/>
      <c r="E88" s="173"/>
      <c r="F88" s="174"/>
      <c r="G88" s="175"/>
      <c r="H88" s="176"/>
      <c r="I88" s="177"/>
      <c r="J88" s="178"/>
      <c r="K88" s="179"/>
      <c r="L88" s="180"/>
      <c r="M88" s="156"/>
      <c r="N88" s="157"/>
      <c r="O88" s="181"/>
      <c r="P88" s="200"/>
      <c r="Q88" s="202"/>
      <c r="R88" s="182"/>
      <c r="S88" s="110"/>
      <c r="T88" s="110"/>
      <c r="U88" s="110"/>
      <c r="V88" s="110"/>
      <c r="W88" s="110"/>
      <c r="X88" s="110"/>
    </row>
    <row r="89" ht="16.5" spans="1:24">
      <c r="A89" s="172"/>
      <c r="B89" s="199"/>
      <c r="C89" s="173"/>
      <c r="D89" s="173"/>
      <c r="E89" s="173"/>
      <c r="F89" s="174"/>
      <c r="G89" s="175"/>
      <c r="H89" s="176"/>
      <c r="I89" s="177"/>
      <c r="J89" s="178"/>
      <c r="K89" s="179"/>
      <c r="L89" s="180"/>
      <c r="M89" s="156"/>
      <c r="N89" s="157"/>
      <c r="O89" s="181"/>
      <c r="P89" s="200"/>
      <c r="Q89" s="202"/>
      <c r="R89" s="182"/>
      <c r="S89" s="110"/>
      <c r="T89" s="110"/>
      <c r="U89" s="110"/>
      <c r="V89" s="110"/>
      <c r="W89" s="110"/>
      <c r="X89" s="110"/>
    </row>
    <row r="90" ht="16.5" spans="1:24">
      <c r="A90" s="172"/>
      <c r="B90" s="199"/>
      <c r="C90" s="173"/>
      <c r="D90" s="173"/>
      <c r="E90" s="173"/>
      <c r="F90" s="174"/>
      <c r="G90" s="175"/>
      <c r="H90" s="176"/>
      <c r="I90" s="177"/>
      <c r="J90" s="178"/>
      <c r="K90" s="179"/>
      <c r="L90" s="180"/>
      <c r="M90" s="156"/>
      <c r="N90" s="157"/>
      <c r="O90" s="181"/>
      <c r="P90" s="200"/>
      <c r="Q90" s="202"/>
      <c r="R90" s="182"/>
      <c r="S90" s="110"/>
      <c r="T90" s="110"/>
      <c r="U90" s="110"/>
      <c r="V90" s="110"/>
      <c r="W90" s="110"/>
      <c r="X90" s="110"/>
    </row>
    <row r="91" ht="16.5" spans="1:24">
      <c r="A91" s="172"/>
      <c r="B91" s="199"/>
      <c r="C91" s="173"/>
      <c r="D91" s="173"/>
      <c r="E91" s="173"/>
      <c r="F91" s="174"/>
      <c r="G91" s="175"/>
      <c r="H91" s="176"/>
      <c r="I91" s="177"/>
      <c r="J91" s="178"/>
      <c r="K91" s="179"/>
      <c r="L91" s="180"/>
      <c r="M91" s="156"/>
      <c r="N91" s="157"/>
      <c r="O91" s="181"/>
      <c r="P91" s="200"/>
      <c r="Q91" s="202"/>
      <c r="R91" s="182"/>
      <c r="S91" s="110"/>
      <c r="T91" s="110"/>
      <c r="U91" s="110"/>
      <c r="V91" s="110"/>
      <c r="W91" s="110"/>
      <c r="X91" s="110"/>
    </row>
    <row r="92" ht="16.5" spans="1:24">
      <c r="A92" s="172"/>
      <c r="B92" s="199"/>
      <c r="C92" s="173"/>
      <c r="D92" s="173"/>
      <c r="E92" s="173"/>
      <c r="F92" s="174"/>
      <c r="G92" s="175"/>
      <c r="H92" s="176"/>
      <c r="I92" s="177"/>
      <c r="J92" s="178"/>
      <c r="K92" s="179"/>
      <c r="L92" s="180"/>
      <c r="M92" s="156"/>
      <c r="N92" s="157"/>
      <c r="O92" s="181"/>
      <c r="P92" s="200"/>
      <c r="Q92" s="202"/>
      <c r="R92" s="182"/>
      <c r="S92" s="110"/>
      <c r="T92" s="110"/>
      <c r="U92" s="110"/>
      <c r="V92" s="110"/>
      <c r="W92" s="110"/>
      <c r="X92" s="110"/>
    </row>
    <row r="93" ht="16.5" spans="1:24">
      <c r="A93" s="172"/>
      <c r="B93" s="199"/>
      <c r="C93" s="173"/>
      <c r="D93" s="173"/>
      <c r="E93" s="173"/>
      <c r="F93" s="174"/>
      <c r="G93" s="175"/>
      <c r="H93" s="176"/>
      <c r="I93" s="177"/>
      <c r="J93" s="178"/>
      <c r="K93" s="179"/>
      <c r="L93" s="180"/>
      <c r="M93" s="156"/>
      <c r="N93" s="157"/>
      <c r="O93" s="181"/>
      <c r="P93" s="200"/>
      <c r="Q93" s="202"/>
      <c r="R93" s="182"/>
      <c r="S93" s="110"/>
      <c r="T93" s="110"/>
      <c r="U93" s="110"/>
      <c r="V93" s="110"/>
      <c r="W93" s="110"/>
      <c r="X93" s="110"/>
    </row>
    <row r="94" ht="16.5" spans="1:24">
      <c r="A94" s="172"/>
      <c r="B94" s="199"/>
      <c r="C94" s="173"/>
      <c r="D94" s="173"/>
      <c r="E94" s="173"/>
      <c r="F94" s="174"/>
      <c r="G94" s="175"/>
      <c r="H94" s="176"/>
      <c r="I94" s="177"/>
      <c r="J94" s="178"/>
      <c r="K94" s="179"/>
      <c r="L94" s="180"/>
      <c r="M94" s="156"/>
      <c r="N94" s="157"/>
      <c r="O94" s="181"/>
      <c r="P94" s="200"/>
      <c r="Q94" s="202"/>
      <c r="R94" s="182"/>
      <c r="S94" s="110"/>
      <c r="T94" s="110"/>
      <c r="U94" s="110"/>
      <c r="V94" s="110"/>
      <c r="W94" s="110"/>
      <c r="X94" s="110"/>
    </row>
    <row r="95" ht="16.5" spans="1:24">
      <c r="A95" s="172"/>
      <c r="B95" s="199"/>
      <c r="C95" s="173"/>
      <c r="D95" s="173"/>
      <c r="E95" s="173"/>
      <c r="F95" s="174"/>
      <c r="G95" s="175"/>
      <c r="H95" s="176"/>
      <c r="I95" s="177"/>
      <c r="J95" s="178"/>
      <c r="K95" s="179"/>
      <c r="L95" s="180"/>
      <c r="M95" s="156"/>
      <c r="N95" s="157"/>
      <c r="O95" s="181"/>
      <c r="P95" s="200"/>
      <c r="Q95" s="202"/>
      <c r="R95" s="182"/>
      <c r="S95" s="110"/>
      <c r="T95" s="110"/>
      <c r="U95" s="110"/>
      <c r="V95" s="110"/>
      <c r="W95" s="110"/>
      <c r="X95" s="110"/>
    </row>
    <row r="96" ht="16.5" spans="1:24">
      <c r="A96" s="172"/>
      <c r="B96" s="199"/>
      <c r="C96" s="173"/>
      <c r="D96" s="173"/>
      <c r="E96" s="173"/>
      <c r="F96" s="174"/>
      <c r="G96" s="175"/>
      <c r="H96" s="176"/>
      <c r="I96" s="177"/>
      <c r="J96" s="178"/>
      <c r="K96" s="179"/>
      <c r="L96" s="180"/>
      <c r="M96" s="156"/>
      <c r="N96" s="157"/>
      <c r="O96" s="181"/>
      <c r="P96" s="200"/>
      <c r="Q96" s="202"/>
      <c r="R96" s="182"/>
      <c r="S96" s="110"/>
      <c r="T96" s="110"/>
      <c r="U96" s="110"/>
      <c r="V96" s="110"/>
      <c r="W96" s="110"/>
      <c r="X96" s="110"/>
    </row>
    <row r="97" ht="16.5" spans="1:24">
      <c r="A97" s="172"/>
      <c r="B97" s="199"/>
      <c r="C97" s="173"/>
      <c r="D97" s="173"/>
      <c r="E97" s="173"/>
      <c r="F97" s="174"/>
      <c r="G97" s="175"/>
      <c r="H97" s="176"/>
      <c r="I97" s="177"/>
      <c r="J97" s="178"/>
      <c r="K97" s="179"/>
      <c r="L97" s="180"/>
      <c r="M97" s="156"/>
      <c r="N97" s="157"/>
      <c r="O97" s="181"/>
      <c r="P97" s="200"/>
      <c r="Q97" s="202"/>
      <c r="R97" s="182"/>
      <c r="S97" s="110"/>
      <c r="T97" s="110"/>
      <c r="U97" s="110"/>
      <c r="V97" s="110"/>
      <c r="W97" s="110"/>
      <c r="X97" s="110"/>
    </row>
    <row r="98" ht="16.5" spans="1:24">
      <c r="A98" s="172"/>
      <c r="B98" s="199"/>
      <c r="C98" s="173"/>
      <c r="D98" s="173"/>
      <c r="E98" s="173"/>
      <c r="F98" s="174"/>
      <c r="G98" s="175"/>
      <c r="H98" s="176"/>
      <c r="I98" s="177"/>
      <c r="J98" s="178"/>
      <c r="K98" s="179"/>
      <c r="L98" s="180"/>
      <c r="M98" s="156"/>
      <c r="N98" s="157"/>
      <c r="O98" s="181"/>
      <c r="P98" s="200"/>
      <c r="Q98" s="202"/>
      <c r="R98" s="182"/>
      <c r="S98" s="110"/>
      <c r="T98" s="110"/>
      <c r="U98" s="110"/>
      <c r="V98" s="110"/>
      <c r="W98" s="110"/>
      <c r="X98" s="110"/>
    </row>
    <row r="99" ht="16.5" spans="1:24">
      <c r="A99" s="172"/>
      <c r="B99" s="199"/>
      <c r="C99" s="173"/>
      <c r="D99" s="173"/>
      <c r="E99" s="173"/>
      <c r="F99" s="174"/>
      <c r="G99" s="175"/>
      <c r="H99" s="176"/>
      <c r="I99" s="177"/>
      <c r="J99" s="178"/>
      <c r="K99" s="179"/>
      <c r="L99" s="180"/>
      <c r="M99" s="156"/>
      <c r="N99" s="157"/>
      <c r="O99" s="181"/>
      <c r="P99" s="200"/>
      <c r="Q99" s="202"/>
      <c r="R99" s="182"/>
      <c r="S99" s="110"/>
      <c r="T99" s="110"/>
      <c r="U99" s="110"/>
      <c r="V99" s="110"/>
      <c r="W99" s="110"/>
      <c r="X99" s="110"/>
    </row>
    <row r="100" ht="16.5" spans="1:24">
      <c r="A100" s="172"/>
      <c r="B100" s="199"/>
      <c r="C100" s="173"/>
      <c r="D100" s="173"/>
      <c r="E100" s="173"/>
      <c r="F100" s="174"/>
      <c r="G100" s="175"/>
      <c r="H100" s="176"/>
      <c r="I100" s="177"/>
      <c r="J100" s="178"/>
      <c r="K100" s="179"/>
      <c r="L100" s="180"/>
      <c r="M100" s="156"/>
      <c r="N100" s="157"/>
      <c r="O100" s="181"/>
      <c r="P100" s="200"/>
      <c r="Q100" s="202"/>
      <c r="R100" s="182"/>
      <c r="S100" s="110"/>
      <c r="T100" s="110"/>
      <c r="U100" s="110"/>
      <c r="V100" s="110"/>
      <c r="W100" s="110"/>
      <c r="X100" s="110"/>
    </row>
    <row r="101" ht="16.5" spans="1:24">
      <c r="A101" s="172"/>
      <c r="B101" s="199"/>
      <c r="C101" s="173"/>
      <c r="D101" s="173"/>
      <c r="E101" s="173"/>
      <c r="F101" s="174"/>
      <c r="G101" s="175"/>
      <c r="H101" s="176"/>
      <c r="I101" s="177"/>
      <c r="J101" s="178"/>
      <c r="K101" s="179"/>
      <c r="L101" s="180"/>
      <c r="M101" s="156"/>
      <c r="N101" s="157"/>
      <c r="O101" s="181"/>
      <c r="P101" s="200"/>
      <c r="Q101" s="202"/>
      <c r="R101" s="182"/>
      <c r="S101" s="110"/>
      <c r="T101" s="110"/>
      <c r="U101" s="110"/>
      <c r="V101" s="110"/>
      <c r="W101" s="110"/>
      <c r="X101" s="110"/>
    </row>
    <row r="102" ht="16.5" spans="1:24">
      <c r="A102" s="172"/>
      <c r="B102" s="199"/>
      <c r="C102" s="173"/>
      <c r="D102" s="173"/>
      <c r="E102" s="173"/>
      <c r="F102" s="174"/>
      <c r="G102" s="175"/>
      <c r="H102" s="176"/>
      <c r="I102" s="177"/>
      <c r="J102" s="178"/>
      <c r="K102" s="179"/>
      <c r="L102" s="180"/>
      <c r="M102" s="156"/>
      <c r="N102" s="157"/>
      <c r="O102" s="181"/>
      <c r="P102" s="200"/>
      <c r="Q102" s="202"/>
      <c r="R102" s="182"/>
      <c r="S102" s="110"/>
      <c r="T102" s="110"/>
      <c r="U102" s="110"/>
      <c r="V102" s="110"/>
      <c r="W102" s="110"/>
      <c r="X102" s="110"/>
    </row>
    <row r="103" ht="16.5" spans="1:24">
      <c r="A103" s="172"/>
      <c r="B103" s="199"/>
      <c r="C103" s="173"/>
      <c r="D103" s="173"/>
      <c r="E103" s="173"/>
      <c r="F103" s="174"/>
      <c r="G103" s="175"/>
      <c r="H103" s="176"/>
      <c r="I103" s="177"/>
      <c r="J103" s="178"/>
      <c r="K103" s="179"/>
      <c r="L103" s="180"/>
      <c r="M103" s="156"/>
      <c r="N103" s="157"/>
      <c r="O103" s="181"/>
      <c r="P103" s="200"/>
      <c r="Q103" s="202"/>
      <c r="R103" s="182"/>
      <c r="S103" s="110"/>
      <c r="T103" s="110"/>
      <c r="U103" s="110"/>
      <c r="V103" s="110"/>
      <c r="W103" s="110"/>
      <c r="X103" s="110"/>
    </row>
    <row r="104" ht="16.5" spans="1:24">
      <c r="A104" s="172"/>
      <c r="B104" s="199"/>
      <c r="C104" s="173"/>
      <c r="D104" s="173"/>
      <c r="E104" s="173"/>
      <c r="F104" s="174"/>
      <c r="G104" s="175"/>
      <c r="H104" s="176"/>
      <c r="I104" s="177"/>
      <c r="J104" s="178"/>
      <c r="K104" s="179"/>
      <c r="L104" s="180"/>
      <c r="M104" s="156"/>
      <c r="N104" s="157"/>
      <c r="O104" s="181"/>
      <c r="P104" s="200"/>
      <c r="Q104" s="202"/>
      <c r="R104" s="182"/>
      <c r="S104" s="110"/>
      <c r="T104" s="110"/>
      <c r="U104" s="110"/>
      <c r="V104" s="110"/>
      <c r="W104" s="110"/>
      <c r="X104" s="110"/>
    </row>
    <row r="105" ht="16.5" spans="1:24">
      <c r="A105" s="172"/>
      <c r="B105" s="199"/>
      <c r="C105" s="173"/>
      <c r="D105" s="173"/>
      <c r="E105" s="173"/>
      <c r="F105" s="174"/>
      <c r="G105" s="175"/>
      <c r="H105" s="176"/>
      <c r="I105" s="177"/>
      <c r="J105" s="178"/>
      <c r="K105" s="179"/>
      <c r="L105" s="180"/>
      <c r="M105" s="156"/>
      <c r="N105" s="157"/>
      <c r="O105" s="181"/>
      <c r="P105" s="200"/>
      <c r="Q105" s="202"/>
      <c r="R105" s="182"/>
      <c r="S105" s="110"/>
      <c r="T105" s="110"/>
      <c r="U105" s="110"/>
      <c r="V105" s="110"/>
      <c r="W105" s="110"/>
      <c r="X105" s="110"/>
    </row>
    <row r="106" ht="16.5" spans="1:24">
      <c r="A106" s="172"/>
      <c r="B106" s="199"/>
      <c r="C106" s="173"/>
      <c r="D106" s="173"/>
      <c r="E106" s="173"/>
      <c r="F106" s="174"/>
      <c r="G106" s="175"/>
      <c r="H106" s="176"/>
      <c r="I106" s="177"/>
      <c r="J106" s="178"/>
      <c r="K106" s="179"/>
      <c r="L106" s="180"/>
      <c r="M106" s="156"/>
      <c r="N106" s="157"/>
      <c r="O106" s="181"/>
      <c r="P106" s="200"/>
      <c r="Q106" s="202"/>
      <c r="R106" s="182"/>
      <c r="S106" s="110"/>
      <c r="T106" s="110"/>
      <c r="U106" s="110"/>
      <c r="V106" s="110"/>
      <c r="W106" s="110"/>
      <c r="X106" s="110"/>
    </row>
    <row r="107" ht="16.5" spans="1:24">
      <c r="A107" s="172"/>
      <c r="B107" s="199"/>
      <c r="C107" s="173"/>
      <c r="D107" s="173"/>
      <c r="E107" s="173"/>
      <c r="F107" s="174"/>
      <c r="G107" s="175"/>
      <c r="H107" s="176"/>
      <c r="I107" s="177"/>
      <c r="J107" s="178"/>
      <c r="K107" s="179"/>
      <c r="L107" s="180"/>
      <c r="M107" s="156"/>
      <c r="N107" s="157"/>
      <c r="O107" s="181"/>
      <c r="P107" s="200"/>
      <c r="Q107" s="202"/>
      <c r="R107" s="182"/>
      <c r="S107" s="110"/>
      <c r="T107" s="110"/>
      <c r="U107" s="110"/>
      <c r="V107" s="110"/>
      <c r="W107" s="110"/>
      <c r="X107" s="110"/>
    </row>
    <row r="108" ht="16.5" spans="1:24">
      <c r="A108" s="172"/>
      <c r="B108" s="199"/>
      <c r="C108" s="173"/>
      <c r="D108" s="173"/>
      <c r="E108" s="173"/>
      <c r="F108" s="174"/>
      <c r="G108" s="175"/>
      <c r="H108" s="176"/>
      <c r="I108" s="177"/>
      <c r="J108" s="178"/>
      <c r="K108" s="179"/>
      <c r="L108" s="180"/>
      <c r="M108" s="156"/>
      <c r="N108" s="157"/>
      <c r="O108" s="181"/>
      <c r="P108" s="200"/>
      <c r="Q108" s="202"/>
      <c r="R108" s="182"/>
      <c r="S108" s="110"/>
      <c r="T108" s="110"/>
      <c r="U108" s="110"/>
      <c r="V108" s="110"/>
      <c r="W108" s="110"/>
      <c r="X108" s="110"/>
    </row>
    <row r="109" ht="16.5" spans="1:24">
      <c r="A109" s="172"/>
      <c r="B109" s="199"/>
      <c r="C109" s="173"/>
      <c r="D109" s="173"/>
      <c r="E109" s="173"/>
      <c r="F109" s="174"/>
      <c r="G109" s="175"/>
      <c r="H109" s="176"/>
      <c r="I109" s="177"/>
      <c r="J109" s="178"/>
      <c r="K109" s="179"/>
      <c r="L109" s="180"/>
      <c r="M109" s="156"/>
      <c r="N109" s="157"/>
      <c r="O109" s="181"/>
      <c r="P109" s="200"/>
      <c r="Q109" s="202"/>
      <c r="R109" s="182"/>
      <c r="S109" s="110"/>
      <c r="T109" s="110"/>
      <c r="U109" s="110"/>
      <c r="V109" s="110"/>
      <c r="W109" s="110"/>
      <c r="X109" s="110"/>
    </row>
    <row r="110" ht="16.5" spans="1:24">
      <c r="A110" s="172"/>
      <c r="B110" s="199"/>
      <c r="C110" s="173"/>
      <c r="D110" s="173"/>
      <c r="E110" s="173"/>
      <c r="F110" s="174"/>
      <c r="G110" s="175"/>
      <c r="H110" s="176"/>
      <c r="I110" s="177"/>
      <c r="J110" s="178"/>
      <c r="K110" s="179"/>
      <c r="L110" s="180"/>
      <c r="M110" s="156"/>
      <c r="N110" s="157"/>
      <c r="O110" s="181"/>
      <c r="P110" s="200"/>
      <c r="Q110" s="202"/>
      <c r="R110" s="182"/>
      <c r="S110" s="110"/>
      <c r="T110" s="110"/>
      <c r="U110" s="110"/>
      <c r="V110" s="110"/>
      <c r="W110" s="110"/>
      <c r="X110" s="110"/>
    </row>
    <row r="111" ht="16.5" spans="1:24">
      <c r="A111" s="172"/>
      <c r="B111" s="199"/>
      <c r="C111" s="173"/>
      <c r="D111" s="173"/>
      <c r="E111" s="173"/>
      <c r="F111" s="174"/>
      <c r="G111" s="175"/>
      <c r="H111" s="176"/>
      <c r="I111" s="177"/>
      <c r="J111" s="178"/>
      <c r="K111" s="179"/>
      <c r="L111" s="180"/>
      <c r="M111" s="156"/>
      <c r="N111" s="157"/>
      <c r="O111" s="181"/>
      <c r="P111" s="200"/>
      <c r="Q111" s="202"/>
      <c r="R111" s="182"/>
      <c r="S111" s="110"/>
      <c r="T111" s="110"/>
      <c r="U111" s="110"/>
      <c r="V111" s="110"/>
      <c r="W111" s="110"/>
      <c r="X111" s="110"/>
    </row>
    <row r="112" ht="16.5" spans="1:24">
      <c r="A112" s="172"/>
      <c r="B112" s="199"/>
      <c r="C112" s="173"/>
      <c r="D112" s="173"/>
      <c r="E112" s="173"/>
      <c r="F112" s="174"/>
      <c r="G112" s="175"/>
      <c r="H112" s="176"/>
      <c r="I112" s="177"/>
      <c r="J112" s="178"/>
      <c r="K112" s="179"/>
      <c r="L112" s="180"/>
      <c r="M112" s="156"/>
      <c r="N112" s="157"/>
      <c r="O112" s="181"/>
      <c r="P112" s="200"/>
      <c r="Q112" s="202"/>
      <c r="R112" s="182"/>
      <c r="S112" s="110"/>
      <c r="T112" s="110"/>
      <c r="U112" s="110"/>
      <c r="V112" s="110"/>
      <c r="W112" s="110"/>
      <c r="X112" s="110"/>
    </row>
    <row r="113" ht="16.5" spans="1:24">
      <c r="A113" s="172"/>
      <c r="B113" s="199"/>
      <c r="C113" s="173"/>
      <c r="D113" s="173"/>
      <c r="E113" s="173"/>
      <c r="F113" s="174"/>
      <c r="G113" s="175"/>
      <c r="H113" s="176"/>
      <c r="I113" s="177"/>
      <c r="J113" s="178"/>
      <c r="K113" s="179"/>
      <c r="L113" s="180"/>
      <c r="M113" s="156"/>
      <c r="N113" s="157"/>
      <c r="O113" s="181"/>
      <c r="P113" s="200"/>
      <c r="Q113" s="202"/>
      <c r="R113" s="182"/>
      <c r="S113" s="110"/>
      <c r="T113" s="110"/>
      <c r="U113" s="110"/>
      <c r="V113" s="110"/>
      <c r="W113" s="110"/>
      <c r="X113" s="110"/>
    </row>
    <row r="114" ht="16.5" spans="1:24">
      <c r="A114" s="172"/>
      <c r="B114" s="199"/>
      <c r="C114" s="173"/>
      <c r="D114" s="173"/>
      <c r="E114" s="173"/>
      <c r="F114" s="174"/>
      <c r="G114" s="175"/>
      <c r="H114" s="176"/>
      <c r="I114" s="177"/>
      <c r="J114" s="178"/>
      <c r="K114" s="179"/>
      <c r="L114" s="180"/>
      <c r="M114" s="156"/>
      <c r="N114" s="157"/>
      <c r="O114" s="181"/>
      <c r="P114" s="200"/>
      <c r="Q114" s="202"/>
      <c r="R114" s="182"/>
      <c r="S114" s="110"/>
      <c r="T114" s="110"/>
      <c r="U114" s="110"/>
      <c r="V114" s="110"/>
      <c r="W114" s="110"/>
      <c r="X114" s="110"/>
    </row>
    <row r="115" ht="16.5" spans="1:24">
      <c r="A115" s="172"/>
      <c r="B115" s="199"/>
      <c r="C115" s="173"/>
      <c r="D115" s="173"/>
      <c r="E115" s="173"/>
      <c r="F115" s="174"/>
      <c r="G115" s="175"/>
      <c r="H115" s="176"/>
      <c r="I115" s="177"/>
      <c r="J115" s="178"/>
      <c r="K115" s="179"/>
      <c r="L115" s="180"/>
      <c r="M115" s="156"/>
      <c r="N115" s="157"/>
      <c r="O115" s="181"/>
      <c r="P115" s="200"/>
      <c r="Q115" s="202"/>
      <c r="R115" s="182"/>
      <c r="S115" s="110"/>
      <c r="T115" s="110"/>
      <c r="U115" s="110"/>
      <c r="V115" s="110"/>
      <c r="W115" s="110"/>
      <c r="X115" s="110"/>
    </row>
    <row r="116" ht="16.5" spans="1:24">
      <c r="A116" s="172"/>
      <c r="B116" s="199"/>
      <c r="C116" s="173"/>
      <c r="D116" s="173"/>
      <c r="E116" s="173"/>
      <c r="F116" s="174"/>
      <c r="G116" s="175"/>
      <c r="H116" s="176"/>
      <c r="I116" s="177"/>
      <c r="J116" s="178"/>
      <c r="K116" s="179"/>
      <c r="L116" s="180"/>
      <c r="M116" s="156"/>
      <c r="N116" s="157"/>
      <c r="O116" s="181"/>
      <c r="P116" s="200"/>
      <c r="Q116" s="202"/>
      <c r="R116" s="182"/>
      <c r="S116" s="110"/>
      <c r="T116" s="110"/>
      <c r="U116" s="110"/>
      <c r="V116" s="110"/>
      <c r="W116" s="110"/>
      <c r="X116" s="110"/>
    </row>
    <row r="117" ht="16.5" spans="1:24">
      <c r="A117" s="172"/>
      <c r="B117" s="199"/>
      <c r="C117" s="173"/>
      <c r="D117" s="173"/>
      <c r="E117" s="173"/>
      <c r="F117" s="174"/>
      <c r="G117" s="175"/>
      <c r="H117" s="176"/>
      <c r="I117" s="177"/>
      <c r="J117" s="178"/>
      <c r="K117" s="179"/>
      <c r="L117" s="180"/>
      <c r="M117" s="156"/>
      <c r="N117" s="157"/>
      <c r="O117" s="181"/>
      <c r="P117" s="200"/>
      <c r="Q117" s="202"/>
      <c r="R117" s="182"/>
      <c r="S117" s="110"/>
      <c r="T117" s="110"/>
      <c r="U117" s="110"/>
      <c r="V117" s="110"/>
      <c r="W117" s="110"/>
      <c r="X117" s="110"/>
    </row>
    <row r="118" ht="16.5" spans="1:24">
      <c r="A118" s="172"/>
      <c r="B118" s="199"/>
      <c r="C118" s="173"/>
      <c r="D118" s="173"/>
      <c r="E118" s="173"/>
      <c r="F118" s="174"/>
      <c r="G118" s="175"/>
      <c r="H118" s="176"/>
      <c r="I118" s="177"/>
      <c r="J118" s="178"/>
      <c r="K118" s="179"/>
      <c r="L118" s="180"/>
      <c r="M118" s="156"/>
      <c r="N118" s="157"/>
      <c r="O118" s="181"/>
      <c r="P118" s="200"/>
      <c r="Q118" s="202"/>
      <c r="R118" s="182"/>
      <c r="S118" s="110"/>
      <c r="T118" s="110"/>
      <c r="U118" s="110"/>
      <c r="V118" s="110"/>
      <c r="W118" s="110"/>
      <c r="X118" s="110"/>
    </row>
    <row r="119" ht="16.5" spans="1:24">
      <c r="A119" s="172"/>
      <c r="B119" s="199"/>
      <c r="C119" s="173"/>
      <c r="D119" s="173"/>
      <c r="E119" s="173"/>
      <c r="F119" s="174"/>
      <c r="G119" s="175"/>
      <c r="H119" s="176"/>
      <c r="I119" s="177"/>
      <c r="J119" s="178"/>
      <c r="K119" s="179"/>
      <c r="L119" s="180"/>
      <c r="M119" s="156"/>
      <c r="N119" s="157"/>
      <c r="O119" s="181"/>
      <c r="P119" s="200"/>
      <c r="Q119" s="202"/>
      <c r="R119" s="182"/>
      <c r="S119" s="110"/>
      <c r="T119" s="110"/>
      <c r="U119" s="110"/>
      <c r="V119" s="110"/>
      <c r="W119" s="110"/>
      <c r="X119" s="110"/>
    </row>
    <row r="120" ht="16.5" spans="1:24">
      <c r="A120" s="172"/>
      <c r="B120" s="199"/>
      <c r="C120" s="173"/>
      <c r="D120" s="173"/>
      <c r="E120" s="173"/>
      <c r="F120" s="174"/>
      <c r="G120" s="175"/>
      <c r="H120" s="176"/>
      <c r="I120" s="177"/>
      <c r="J120" s="178"/>
      <c r="K120" s="179"/>
      <c r="L120" s="180"/>
      <c r="M120" s="156"/>
      <c r="N120" s="157"/>
      <c r="O120" s="181"/>
      <c r="P120" s="200"/>
      <c r="Q120" s="202"/>
      <c r="R120" s="182"/>
      <c r="S120" s="110"/>
      <c r="T120" s="110"/>
      <c r="U120" s="110"/>
      <c r="V120" s="110"/>
      <c r="W120" s="110"/>
      <c r="X120" s="110"/>
    </row>
    <row r="121" ht="16.5" spans="1:24">
      <c r="A121" s="172"/>
      <c r="B121" s="199"/>
      <c r="C121" s="173"/>
      <c r="D121" s="173"/>
      <c r="E121" s="173"/>
      <c r="F121" s="174"/>
      <c r="G121" s="175"/>
      <c r="H121" s="176"/>
      <c r="I121" s="177"/>
      <c r="J121" s="178"/>
      <c r="K121" s="179"/>
      <c r="L121" s="180"/>
      <c r="M121" s="156"/>
      <c r="N121" s="157"/>
      <c r="O121" s="181"/>
      <c r="P121" s="200"/>
      <c r="Q121" s="202"/>
      <c r="R121" s="182"/>
      <c r="S121" s="110"/>
      <c r="T121" s="110"/>
      <c r="U121" s="110"/>
      <c r="V121" s="110"/>
      <c r="W121" s="110"/>
      <c r="X121" s="110"/>
    </row>
    <row r="122" ht="16.5" spans="1:24">
      <c r="A122" s="172"/>
      <c r="B122" s="199"/>
      <c r="C122" s="173"/>
      <c r="D122" s="173"/>
      <c r="E122" s="173"/>
      <c r="F122" s="174"/>
      <c r="G122" s="175"/>
      <c r="H122" s="176"/>
      <c r="I122" s="177"/>
      <c r="J122" s="178"/>
      <c r="K122" s="179"/>
      <c r="L122" s="180"/>
      <c r="M122" s="156"/>
      <c r="N122" s="157"/>
      <c r="O122" s="181"/>
      <c r="P122" s="200"/>
      <c r="Q122" s="202"/>
      <c r="R122" s="182"/>
      <c r="S122" s="110"/>
      <c r="T122" s="110"/>
      <c r="U122" s="110"/>
      <c r="V122" s="110"/>
      <c r="W122" s="110"/>
      <c r="X122" s="110"/>
    </row>
    <row r="123" ht="16.5" spans="1:24">
      <c r="A123" s="172"/>
      <c r="B123" s="199"/>
      <c r="C123" s="173"/>
      <c r="D123" s="173"/>
      <c r="E123" s="173"/>
      <c r="F123" s="174"/>
      <c r="G123" s="175"/>
      <c r="H123" s="176"/>
      <c r="I123" s="177"/>
      <c r="J123" s="178"/>
      <c r="K123" s="179"/>
      <c r="L123" s="180"/>
      <c r="M123" s="156"/>
      <c r="N123" s="157"/>
      <c r="O123" s="181"/>
      <c r="P123" s="200"/>
      <c r="Q123" s="202"/>
      <c r="R123" s="182"/>
      <c r="S123" s="110"/>
      <c r="T123" s="110"/>
      <c r="U123" s="110"/>
      <c r="V123" s="110"/>
      <c r="W123" s="110"/>
      <c r="X123" s="110"/>
    </row>
    <row r="124" ht="16.5" spans="1:24">
      <c r="A124" s="172"/>
      <c r="B124" s="199"/>
      <c r="C124" s="173"/>
      <c r="D124" s="173"/>
      <c r="E124" s="173"/>
      <c r="F124" s="174"/>
      <c r="G124" s="175"/>
      <c r="H124" s="176"/>
      <c r="I124" s="177"/>
      <c r="J124" s="178"/>
      <c r="K124" s="179"/>
      <c r="L124" s="180"/>
      <c r="M124" s="156"/>
      <c r="N124" s="157"/>
      <c r="O124" s="181"/>
      <c r="P124" s="200"/>
      <c r="Q124" s="202"/>
      <c r="R124" s="182"/>
      <c r="S124" s="110"/>
      <c r="T124" s="110"/>
      <c r="U124" s="110"/>
      <c r="V124" s="110"/>
      <c r="W124" s="110"/>
      <c r="X124" s="110"/>
    </row>
    <row r="125" ht="16.5" spans="1:24">
      <c r="A125" s="172"/>
      <c r="B125" s="199"/>
      <c r="C125" s="173"/>
      <c r="D125" s="173"/>
      <c r="E125" s="173"/>
      <c r="F125" s="174"/>
      <c r="G125" s="175"/>
      <c r="H125" s="176"/>
      <c r="I125" s="177"/>
      <c r="J125" s="178"/>
      <c r="K125" s="179"/>
      <c r="L125" s="180"/>
      <c r="M125" s="156"/>
      <c r="N125" s="157"/>
      <c r="O125" s="181"/>
      <c r="P125" s="200"/>
      <c r="Q125" s="202"/>
      <c r="R125" s="182"/>
      <c r="S125" s="110"/>
      <c r="T125" s="110"/>
      <c r="U125" s="110"/>
      <c r="V125" s="110"/>
      <c r="W125" s="110"/>
      <c r="X125" s="110"/>
    </row>
    <row r="126" ht="16.5" spans="1:24">
      <c r="A126" s="172"/>
      <c r="B126" s="199"/>
      <c r="C126" s="173"/>
      <c r="D126" s="173"/>
      <c r="E126" s="173"/>
      <c r="F126" s="174"/>
      <c r="G126" s="175"/>
      <c r="H126" s="176"/>
      <c r="I126" s="177"/>
      <c r="J126" s="178"/>
      <c r="K126" s="179"/>
      <c r="L126" s="180"/>
      <c r="M126" s="156"/>
      <c r="N126" s="157"/>
      <c r="O126" s="181"/>
      <c r="P126" s="200"/>
      <c r="Q126" s="202"/>
      <c r="R126" s="182"/>
      <c r="S126" s="110"/>
      <c r="T126" s="110"/>
      <c r="U126" s="110"/>
      <c r="V126" s="110"/>
      <c r="W126" s="110"/>
      <c r="X126" s="110"/>
    </row>
    <row r="127" ht="16.5" spans="1:24">
      <c r="A127" s="172"/>
      <c r="B127" s="199"/>
      <c r="C127" s="173"/>
      <c r="D127" s="173"/>
      <c r="E127" s="173"/>
      <c r="F127" s="174"/>
      <c r="G127" s="175"/>
      <c r="H127" s="176"/>
      <c r="I127" s="177"/>
      <c r="J127" s="178"/>
      <c r="K127" s="179"/>
      <c r="L127" s="180"/>
      <c r="M127" s="156"/>
      <c r="N127" s="157"/>
      <c r="O127" s="181"/>
      <c r="P127" s="200"/>
      <c r="Q127" s="202"/>
      <c r="R127" s="182"/>
      <c r="S127" s="110"/>
      <c r="T127" s="110"/>
      <c r="U127" s="110"/>
      <c r="V127" s="110"/>
      <c r="W127" s="110"/>
      <c r="X127" s="110"/>
    </row>
    <row r="128" ht="16.5" spans="1:24">
      <c r="A128" s="172"/>
      <c r="B128" s="199"/>
      <c r="C128" s="173"/>
      <c r="D128" s="173"/>
      <c r="E128" s="173"/>
      <c r="F128" s="174"/>
      <c r="G128" s="175"/>
      <c r="H128" s="176"/>
      <c r="I128" s="177"/>
      <c r="J128" s="178"/>
      <c r="K128" s="179"/>
      <c r="L128" s="180"/>
      <c r="M128" s="156"/>
      <c r="N128" s="157"/>
      <c r="O128" s="181"/>
      <c r="P128" s="200"/>
      <c r="Q128" s="202"/>
      <c r="R128" s="182"/>
      <c r="S128" s="110"/>
      <c r="T128" s="110"/>
      <c r="U128" s="110"/>
      <c r="V128" s="110"/>
      <c r="W128" s="110"/>
      <c r="X128" s="110"/>
    </row>
    <row r="129" ht="16.5" spans="1:24">
      <c r="A129" s="172"/>
      <c r="B129" s="199"/>
      <c r="C129" s="173"/>
      <c r="D129" s="173"/>
      <c r="E129" s="173"/>
      <c r="F129" s="174"/>
      <c r="G129" s="175"/>
      <c r="H129" s="176"/>
      <c r="I129" s="177"/>
      <c r="J129" s="178"/>
      <c r="K129" s="179"/>
      <c r="L129" s="180"/>
      <c r="M129" s="156"/>
      <c r="N129" s="157"/>
      <c r="O129" s="181"/>
      <c r="P129" s="200"/>
      <c r="Q129" s="202"/>
      <c r="R129" s="182"/>
      <c r="S129" s="110"/>
      <c r="T129" s="110"/>
      <c r="U129" s="110"/>
      <c r="V129" s="110"/>
      <c r="W129" s="110"/>
      <c r="X129" s="110"/>
    </row>
    <row r="130" ht="16.5" spans="1:24">
      <c r="A130" s="172"/>
      <c r="B130" s="199"/>
      <c r="C130" s="173"/>
      <c r="D130" s="173"/>
      <c r="E130" s="173"/>
      <c r="F130" s="174"/>
      <c r="G130" s="175"/>
      <c r="H130" s="176"/>
      <c r="I130" s="177"/>
      <c r="J130" s="178"/>
      <c r="K130" s="179"/>
      <c r="L130" s="180"/>
      <c r="M130" s="156"/>
      <c r="N130" s="157"/>
      <c r="O130" s="181"/>
      <c r="P130" s="200"/>
      <c r="Q130" s="202"/>
      <c r="R130" s="182"/>
      <c r="S130" s="110"/>
      <c r="T130" s="110"/>
      <c r="U130" s="110"/>
      <c r="V130" s="110"/>
      <c r="W130" s="110"/>
      <c r="X130" s="110"/>
    </row>
    <row r="131" ht="16.5" spans="1:24">
      <c r="A131" s="172"/>
      <c r="B131" s="199"/>
      <c r="C131" s="173"/>
      <c r="D131" s="173"/>
      <c r="E131" s="173"/>
      <c r="F131" s="174"/>
      <c r="G131" s="175"/>
      <c r="H131" s="176"/>
      <c r="I131" s="177"/>
      <c r="J131" s="178"/>
      <c r="K131" s="179"/>
      <c r="L131" s="180"/>
      <c r="M131" s="156"/>
      <c r="N131" s="157"/>
      <c r="O131" s="181"/>
      <c r="P131" s="200"/>
      <c r="Q131" s="202"/>
      <c r="R131" s="182"/>
      <c r="S131" s="110"/>
      <c r="T131" s="110"/>
      <c r="U131" s="110"/>
      <c r="V131" s="110"/>
      <c r="W131" s="110"/>
      <c r="X131" s="110"/>
    </row>
    <row r="132" ht="16.5" spans="1:24">
      <c r="A132" s="172"/>
      <c r="B132" s="199"/>
      <c r="C132" s="173"/>
      <c r="D132" s="173"/>
      <c r="E132" s="173"/>
      <c r="F132" s="174"/>
      <c r="G132" s="175"/>
      <c r="H132" s="176"/>
      <c r="I132" s="177"/>
      <c r="J132" s="178"/>
      <c r="K132" s="179"/>
      <c r="L132" s="180"/>
      <c r="M132" s="156"/>
      <c r="N132" s="157"/>
      <c r="O132" s="181"/>
      <c r="P132" s="200"/>
      <c r="Q132" s="202"/>
      <c r="R132" s="182"/>
      <c r="S132" s="110"/>
      <c r="T132" s="110"/>
      <c r="U132" s="110"/>
      <c r="V132" s="110"/>
      <c r="W132" s="110"/>
      <c r="X132" s="110"/>
    </row>
    <row r="133" ht="16.5" spans="1:24">
      <c r="A133" s="172"/>
      <c r="B133" s="199"/>
      <c r="C133" s="173"/>
      <c r="D133" s="173"/>
      <c r="E133" s="173"/>
      <c r="F133" s="174"/>
      <c r="G133" s="175"/>
      <c r="H133" s="176"/>
      <c r="I133" s="177"/>
      <c r="J133" s="178"/>
      <c r="K133" s="179"/>
      <c r="L133" s="180"/>
      <c r="M133" s="156"/>
      <c r="N133" s="157"/>
      <c r="O133" s="181"/>
      <c r="P133" s="200"/>
      <c r="Q133" s="202"/>
      <c r="R133" s="182"/>
      <c r="S133" s="110"/>
      <c r="T133" s="110"/>
      <c r="U133" s="110"/>
      <c r="V133" s="110"/>
      <c r="W133" s="110"/>
      <c r="X133" s="110"/>
    </row>
    <row r="134" ht="16.5" spans="1:24">
      <c r="A134" s="172"/>
      <c r="B134" s="199"/>
      <c r="C134" s="173"/>
      <c r="D134" s="173"/>
      <c r="E134" s="173"/>
      <c r="F134" s="174"/>
      <c r="G134" s="175"/>
      <c r="H134" s="176"/>
      <c r="I134" s="177"/>
      <c r="J134" s="178"/>
      <c r="K134" s="179"/>
      <c r="L134" s="180"/>
      <c r="M134" s="156"/>
      <c r="N134" s="157"/>
      <c r="O134" s="181"/>
      <c r="P134" s="200"/>
      <c r="Q134" s="202"/>
      <c r="R134" s="182"/>
      <c r="S134" s="110"/>
      <c r="T134" s="110"/>
      <c r="U134" s="110"/>
      <c r="V134" s="110"/>
      <c r="W134" s="110"/>
      <c r="X134" s="110"/>
    </row>
    <row r="135" ht="16.5" spans="1:24">
      <c r="A135" s="172"/>
      <c r="B135" s="199"/>
      <c r="C135" s="173"/>
      <c r="D135" s="173"/>
      <c r="E135" s="173"/>
      <c r="F135" s="174"/>
      <c r="G135" s="175"/>
      <c r="H135" s="176"/>
      <c r="I135" s="177"/>
      <c r="J135" s="178"/>
      <c r="K135" s="179"/>
      <c r="L135" s="180"/>
      <c r="M135" s="156"/>
      <c r="N135" s="157"/>
      <c r="O135" s="181"/>
      <c r="P135" s="200"/>
      <c r="Q135" s="202"/>
      <c r="R135" s="182"/>
      <c r="S135" s="110"/>
      <c r="T135" s="110"/>
      <c r="U135" s="110"/>
      <c r="V135" s="110"/>
      <c r="W135" s="110"/>
      <c r="X135" s="110"/>
    </row>
    <row r="136" ht="16.5" spans="1:24">
      <c r="A136" s="172"/>
      <c r="B136" s="199"/>
      <c r="C136" s="173"/>
      <c r="D136" s="173"/>
      <c r="E136" s="173"/>
      <c r="F136" s="174"/>
      <c r="G136" s="175"/>
      <c r="H136" s="176"/>
      <c r="I136" s="177"/>
      <c r="J136" s="178"/>
      <c r="K136" s="179"/>
      <c r="L136" s="180"/>
      <c r="M136" s="156"/>
      <c r="N136" s="157"/>
      <c r="O136" s="181"/>
      <c r="P136" s="200"/>
      <c r="Q136" s="202"/>
      <c r="R136" s="182"/>
      <c r="S136" s="110"/>
      <c r="T136" s="110"/>
      <c r="U136" s="110"/>
      <c r="V136" s="110"/>
      <c r="W136" s="110"/>
      <c r="X136" s="110"/>
    </row>
    <row r="137" ht="16.5" spans="1:24">
      <c r="A137" s="172"/>
      <c r="B137" s="199"/>
      <c r="C137" s="173"/>
      <c r="D137" s="173"/>
      <c r="E137" s="173"/>
      <c r="F137" s="174"/>
      <c r="G137" s="175"/>
      <c r="H137" s="176"/>
      <c r="I137" s="177"/>
      <c r="J137" s="178"/>
      <c r="K137" s="179"/>
      <c r="L137" s="180"/>
      <c r="M137" s="156"/>
      <c r="N137" s="157"/>
      <c r="O137" s="181"/>
      <c r="P137" s="200"/>
      <c r="Q137" s="202"/>
      <c r="R137" s="182"/>
      <c r="S137" s="110"/>
      <c r="T137" s="110"/>
      <c r="U137" s="110"/>
      <c r="V137" s="110"/>
      <c r="W137" s="110"/>
      <c r="X137" s="110"/>
    </row>
    <row r="138" ht="16.5" spans="1:24">
      <c r="A138" s="172"/>
      <c r="B138" s="199"/>
      <c r="C138" s="173"/>
      <c r="D138" s="173"/>
      <c r="E138" s="173"/>
      <c r="F138" s="174"/>
      <c r="G138" s="175"/>
      <c r="H138" s="176"/>
      <c r="I138" s="177"/>
      <c r="J138" s="178"/>
      <c r="K138" s="179"/>
      <c r="L138" s="180"/>
      <c r="M138" s="156"/>
      <c r="N138" s="157"/>
      <c r="O138" s="181"/>
      <c r="P138" s="200"/>
      <c r="Q138" s="202"/>
      <c r="R138" s="182"/>
      <c r="S138" s="110"/>
      <c r="T138" s="110"/>
      <c r="U138" s="110"/>
      <c r="V138" s="110"/>
      <c r="W138" s="110"/>
      <c r="X138" s="110"/>
    </row>
    <row r="139" ht="16.5" spans="1:24">
      <c r="A139" s="172"/>
      <c r="B139" s="199"/>
      <c r="C139" s="173"/>
      <c r="D139" s="173"/>
      <c r="E139" s="173"/>
      <c r="F139" s="174"/>
      <c r="G139" s="175"/>
      <c r="H139" s="176"/>
      <c r="I139" s="177"/>
      <c r="J139" s="178"/>
      <c r="K139" s="179"/>
      <c r="L139" s="180"/>
      <c r="M139" s="156"/>
      <c r="N139" s="157"/>
      <c r="O139" s="181"/>
      <c r="P139" s="200"/>
      <c r="Q139" s="202"/>
      <c r="R139" s="182"/>
      <c r="S139" s="110"/>
      <c r="T139" s="110"/>
      <c r="U139" s="110"/>
      <c r="V139" s="110"/>
      <c r="W139" s="110"/>
      <c r="X139" s="110"/>
    </row>
    <row r="140" ht="16.5" spans="1:24">
      <c r="A140" s="172"/>
      <c r="B140" s="199"/>
      <c r="C140" s="173"/>
      <c r="D140" s="173"/>
      <c r="E140" s="173"/>
      <c r="F140" s="174"/>
      <c r="G140" s="175"/>
      <c r="H140" s="176"/>
      <c r="I140" s="177"/>
      <c r="J140" s="178"/>
      <c r="K140" s="179"/>
      <c r="L140" s="180"/>
      <c r="M140" s="156"/>
      <c r="N140" s="157"/>
      <c r="O140" s="181"/>
      <c r="P140" s="200"/>
      <c r="Q140" s="202"/>
      <c r="R140" s="182"/>
      <c r="S140" s="110"/>
      <c r="T140" s="110"/>
      <c r="U140" s="110"/>
      <c r="V140" s="110"/>
      <c r="W140" s="110"/>
      <c r="X140" s="110"/>
    </row>
    <row r="141" ht="16.5" spans="1:24">
      <c r="A141" s="172"/>
      <c r="B141" s="199"/>
      <c r="C141" s="173"/>
      <c r="D141" s="173"/>
      <c r="E141" s="173"/>
      <c r="F141" s="174"/>
      <c r="G141" s="175"/>
      <c r="H141" s="176"/>
      <c r="I141" s="177"/>
      <c r="J141" s="178"/>
      <c r="K141" s="179"/>
      <c r="L141" s="180"/>
      <c r="M141" s="156"/>
      <c r="N141" s="157"/>
      <c r="O141" s="181"/>
      <c r="P141" s="200"/>
      <c r="Q141" s="202"/>
      <c r="R141" s="182"/>
      <c r="S141" s="110"/>
      <c r="T141" s="110"/>
      <c r="U141" s="110"/>
      <c r="V141" s="110"/>
      <c r="W141" s="110"/>
      <c r="X141" s="110"/>
    </row>
    <row r="142" ht="16.5" spans="1:24">
      <c r="A142" s="172"/>
      <c r="B142" s="199"/>
      <c r="C142" s="173"/>
      <c r="D142" s="173"/>
      <c r="E142" s="173"/>
      <c r="F142" s="174"/>
      <c r="G142" s="175"/>
      <c r="H142" s="176"/>
      <c r="I142" s="177"/>
      <c r="J142" s="178"/>
      <c r="K142" s="179"/>
      <c r="L142" s="180"/>
      <c r="M142" s="156"/>
      <c r="N142" s="157"/>
      <c r="O142" s="181"/>
      <c r="P142" s="200"/>
      <c r="Q142" s="202"/>
      <c r="R142" s="182"/>
      <c r="S142" s="110"/>
      <c r="T142" s="110"/>
      <c r="U142" s="110"/>
      <c r="V142" s="110"/>
      <c r="W142" s="110"/>
      <c r="X142" s="110"/>
    </row>
    <row r="143" ht="16.5" spans="1:24">
      <c r="A143" s="172"/>
      <c r="B143" s="199"/>
      <c r="C143" s="173"/>
      <c r="D143" s="173"/>
      <c r="E143" s="173"/>
      <c r="F143" s="174"/>
      <c r="G143" s="175"/>
      <c r="H143" s="176"/>
      <c r="I143" s="177"/>
      <c r="J143" s="178"/>
      <c r="K143" s="179"/>
      <c r="L143" s="180"/>
      <c r="M143" s="156"/>
      <c r="N143" s="157"/>
      <c r="O143" s="181"/>
      <c r="P143" s="200"/>
      <c r="Q143" s="202"/>
      <c r="R143" s="182"/>
      <c r="S143" s="110"/>
      <c r="T143" s="110"/>
      <c r="U143" s="110"/>
      <c r="V143" s="110"/>
      <c r="W143" s="110"/>
      <c r="X143" s="110"/>
    </row>
    <row r="144" ht="16.5" spans="1:24">
      <c r="A144" s="172"/>
      <c r="B144" s="199"/>
      <c r="C144" s="173"/>
      <c r="D144" s="173"/>
      <c r="E144" s="173"/>
      <c r="F144" s="174"/>
      <c r="G144" s="175"/>
      <c r="H144" s="176"/>
      <c r="I144" s="177"/>
      <c r="J144" s="178"/>
      <c r="K144" s="179"/>
      <c r="L144" s="180"/>
      <c r="M144" s="156"/>
      <c r="N144" s="157"/>
      <c r="O144" s="181"/>
      <c r="P144" s="200"/>
      <c r="Q144" s="202"/>
      <c r="R144" s="182"/>
      <c r="S144" s="110"/>
      <c r="T144" s="110"/>
      <c r="U144" s="110"/>
      <c r="V144" s="110"/>
      <c r="W144" s="110"/>
      <c r="X144" s="110"/>
    </row>
    <row r="145" ht="16.5" spans="1:24">
      <c r="A145" s="172"/>
      <c r="B145" s="199"/>
      <c r="C145" s="173"/>
      <c r="D145" s="173"/>
      <c r="E145" s="173"/>
      <c r="F145" s="174"/>
      <c r="G145" s="175"/>
      <c r="H145" s="176"/>
      <c r="I145" s="177"/>
      <c r="J145" s="178"/>
      <c r="K145" s="179"/>
      <c r="L145" s="180"/>
      <c r="M145" s="156"/>
      <c r="N145" s="157"/>
      <c r="O145" s="181"/>
      <c r="P145" s="200"/>
      <c r="Q145" s="202"/>
      <c r="R145" s="182"/>
      <c r="S145" s="110"/>
      <c r="T145" s="110"/>
      <c r="U145" s="110"/>
      <c r="V145" s="110"/>
      <c r="W145" s="110"/>
      <c r="X145" s="110"/>
    </row>
    <row r="146" ht="16.5" spans="1:24">
      <c r="A146" s="172"/>
      <c r="B146" s="199"/>
      <c r="C146" s="173"/>
      <c r="D146" s="173"/>
      <c r="E146" s="173"/>
      <c r="F146" s="174"/>
      <c r="G146" s="175"/>
      <c r="H146" s="176"/>
      <c r="I146" s="177"/>
      <c r="J146" s="178"/>
      <c r="K146" s="179"/>
      <c r="L146" s="180"/>
      <c r="M146" s="156"/>
      <c r="N146" s="157"/>
      <c r="O146" s="181"/>
      <c r="P146" s="200"/>
      <c r="Q146" s="202"/>
      <c r="R146" s="182"/>
      <c r="S146" s="110"/>
      <c r="T146" s="110"/>
      <c r="U146" s="110"/>
      <c r="V146" s="110"/>
      <c r="W146" s="110"/>
      <c r="X146" s="110"/>
    </row>
    <row r="147" ht="16.5" spans="1:24">
      <c r="A147" s="172"/>
      <c r="B147" s="199"/>
      <c r="C147" s="173"/>
      <c r="D147" s="173"/>
      <c r="E147" s="173"/>
      <c r="F147" s="174"/>
      <c r="G147" s="175"/>
      <c r="H147" s="176"/>
      <c r="I147" s="177"/>
      <c r="J147" s="178"/>
      <c r="K147" s="179"/>
      <c r="L147" s="180"/>
      <c r="M147" s="156"/>
      <c r="N147" s="157"/>
      <c r="O147" s="181"/>
      <c r="P147" s="200"/>
      <c r="Q147" s="202"/>
      <c r="R147" s="182"/>
      <c r="S147" s="110"/>
      <c r="T147" s="110"/>
      <c r="U147" s="110"/>
      <c r="V147" s="110"/>
      <c r="W147" s="110"/>
      <c r="X147" s="110"/>
    </row>
    <row r="148" ht="16.5" spans="1:24">
      <c r="A148" s="172"/>
      <c r="B148" s="199"/>
      <c r="C148" s="173"/>
      <c r="D148" s="173"/>
      <c r="E148" s="173"/>
      <c r="F148" s="174"/>
      <c r="G148" s="175"/>
      <c r="H148" s="176"/>
      <c r="I148" s="177"/>
      <c r="J148" s="178"/>
      <c r="K148" s="179"/>
      <c r="L148" s="180"/>
      <c r="M148" s="156"/>
      <c r="N148" s="157"/>
      <c r="O148" s="181"/>
      <c r="P148" s="200"/>
      <c r="Q148" s="202"/>
      <c r="R148" s="182"/>
      <c r="S148" s="110"/>
      <c r="T148" s="110"/>
      <c r="U148" s="110"/>
      <c r="V148" s="110"/>
      <c r="W148" s="110"/>
      <c r="X148" s="110"/>
    </row>
    <row r="149" ht="16.5" spans="1:24">
      <c r="A149" s="172"/>
      <c r="B149" s="199"/>
      <c r="C149" s="173"/>
      <c r="D149" s="173"/>
      <c r="E149" s="173"/>
      <c r="F149" s="174"/>
      <c r="G149" s="175"/>
      <c r="H149" s="176"/>
      <c r="I149" s="177"/>
      <c r="J149" s="178"/>
      <c r="K149" s="179"/>
      <c r="L149" s="180"/>
      <c r="M149" s="156"/>
      <c r="N149" s="157"/>
      <c r="O149" s="181"/>
      <c r="P149" s="200"/>
      <c r="Q149" s="202"/>
      <c r="R149" s="182"/>
      <c r="S149" s="110"/>
      <c r="T149" s="110"/>
      <c r="U149" s="110"/>
      <c r="V149" s="110"/>
      <c r="W149" s="110"/>
      <c r="X149" s="110"/>
    </row>
    <row r="150" ht="16.5" spans="1:24">
      <c r="A150" s="172"/>
      <c r="B150" s="199"/>
      <c r="C150" s="173"/>
      <c r="D150" s="173"/>
      <c r="E150" s="173"/>
      <c r="F150" s="174"/>
      <c r="G150" s="175"/>
      <c r="H150" s="176"/>
      <c r="I150" s="177"/>
      <c r="J150" s="178"/>
      <c r="K150" s="179"/>
      <c r="L150" s="180"/>
      <c r="M150" s="156"/>
      <c r="N150" s="157"/>
      <c r="O150" s="181"/>
      <c r="P150" s="200"/>
      <c r="Q150" s="202"/>
      <c r="R150" s="182"/>
      <c r="S150" s="110"/>
      <c r="T150" s="110"/>
      <c r="U150" s="110"/>
      <c r="V150" s="110"/>
      <c r="W150" s="110"/>
      <c r="X150" s="110"/>
    </row>
    <row r="151" ht="16.5" spans="1:24">
      <c r="A151" s="172"/>
      <c r="B151" s="199"/>
      <c r="C151" s="173"/>
      <c r="D151" s="173"/>
      <c r="E151" s="173"/>
      <c r="F151" s="174"/>
      <c r="G151" s="175"/>
      <c r="H151" s="176"/>
      <c r="I151" s="177"/>
      <c r="J151" s="178"/>
      <c r="K151" s="179"/>
      <c r="L151" s="180"/>
      <c r="M151" s="156"/>
      <c r="N151" s="157"/>
      <c r="O151" s="181"/>
      <c r="P151" s="200"/>
      <c r="Q151" s="202"/>
      <c r="R151" s="182"/>
      <c r="S151" s="110"/>
      <c r="T151" s="110"/>
      <c r="U151" s="110"/>
      <c r="V151" s="110"/>
      <c r="W151" s="110"/>
      <c r="X151" s="110"/>
    </row>
    <row r="152" ht="16.5" spans="1:24">
      <c r="A152" s="172"/>
      <c r="B152" s="199"/>
      <c r="C152" s="173"/>
      <c r="D152" s="173"/>
      <c r="E152" s="173"/>
      <c r="F152" s="174"/>
      <c r="G152" s="175"/>
      <c r="H152" s="176"/>
      <c r="I152" s="177"/>
      <c r="J152" s="178"/>
      <c r="K152" s="179"/>
      <c r="L152" s="180"/>
      <c r="M152" s="156"/>
      <c r="N152" s="157"/>
      <c r="O152" s="181"/>
      <c r="P152" s="200"/>
      <c r="Q152" s="202"/>
      <c r="R152" s="182"/>
      <c r="S152" s="110"/>
      <c r="T152" s="110"/>
      <c r="U152" s="110"/>
      <c r="V152" s="110"/>
      <c r="W152" s="110"/>
      <c r="X152" s="110"/>
    </row>
    <row r="153" ht="16.5" spans="1:24">
      <c r="A153" s="172"/>
      <c r="B153" s="199"/>
      <c r="C153" s="173"/>
      <c r="D153" s="173"/>
      <c r="E153" s="173"/>
      <c r="F153" s="174"/>
      <c r="G153" s="175"/>
      <c r="H153" s="176"/>
      <c r="I153" s="177"/>
      <c r="J153" s="178"/>
      <c r="K153" s="179"/>
      <c r="L153" s="180"/>
      <c r="M153" s="156"/>
      <c r="N153" s="157"/>
      <c r="O153" s="181"/>
      <c r="P153" s="200"/>
      <c r="Q153" s="202"/>
      <c r="R153" s="182"/>
      <c r="S153" s="110"/>
      <c r="T153" s="110"/>
      <c r="U153" s="110"/>
      <c r="V153" s="110"/>
      <c r="W153" s="110"/>
      <c r="X153" s="110"/>
    </row>
    <row r="154" ht="16.5" spans="1:24">
      <c r="A154" s="172"/>
      <c r="B154" s="199"/>
      <c r="C154" s="173"/>
      <c r="D154" s="173"/>
      <c r="E154" s="173"/>
      <c r="F154" s="174"/>
      <c r="G154" s="175"/>
      <c r="H154" s="176"/>
      <c r="I154" s="177"/>
      <c r="J154" s="178"/>
      <c r="K154" s="179"/>
      <c r="L154" s="180"/>
      <c r="M154" s="156"/>
      <c r="N154" s="157"/>
      <c r="O154" s="181"/>
      <c r="P154" s="200"/>
      <c r="Q154" s="202"/>
      <c r="R154" s="182"/>
      <c r="S154" s="110"/>
      <c r="T154" s="110"/>
      <c r="U154" s="110"/>
      <c r="V154" s="110"/>
      <c r="W154" s="110"/>
      <c r="X154" s="110"/>
    </row>
    <row r="155" ht="16.5" spans="1:24">
      <c r="A155" s="172"/>
      <c r="B155" s="199"/>
      <c r="C155" s="173"/>
      <c r="D155" s="173"/>
      <c r="E155" s="173"/>
      <c r="F155" s="174"/>
      <c r="G155" s="175"/>
      <c r="H155" s="176"/>
      <c r="I155" s="177"/>
      <c r="J155" s="178"/>
      <c r="K155" s="179"/>
      <c r="L155" s="180"/>
      <c r="M155" s="156"/>
      <c r="N155" s="157"/>
      <c r="O155" s="181"/>
      <c r="P155" s="200"/>
      <c r="Q155" s="202"/>
      <c r="R155" s="182"/>
      <c r="S155" s="110"/>
      <c r="T155" s="110"/>
      <c r="U155" s="110"/>
      <c r="V155" s="110"/>
      <c r="W155" s="110"/>
      <c r="X155" s="110"/>
    </row>
    <row r="156" ht="16.5" spans="1:24">
      <c r="A156" s="172"/>
      <c r="B156" s="199"/>
      <c r="C156" s="173"/>
      <c r="D156" s="173"/>
      <c r="E156" s="173"/>
      <c r="F156" s="174"/>
      <c r="G156" s="175"/>
      <c r="H156" s="176"/>
      <c r="I156" s="177"/>
      <c r="J156" s="178"/>
      <c r="K156" s="179"/>
      <c r="L156" s="180"/>
      <c r="M156" s="156"/>
      <c r="N156" s="157"/>
      <c r="O156" s="181"/>
      <c r="P156" s="200"/>
      <c r="Q156" s="202"/>
      <c r="R156" s="182"/>
      <c r="S156" s="110"/>
      <c r="T156" s="110"/>
      <c r="U156" s="110"/>
      <c r="V156" s="110"/>
      <c r="W156" s="110"/>
      <c r="X156" s="110"/>
    </row>
    <row r="157" ht="16.5" spans="1:24">
      <c r="A157" s="172"/>
      <c r="B157" s="199"/>
      <c r="C157" s="173"/>
      <c r="D157" s="173"/>
      <c r="E157" s="173"/>
      <c r="F157" s="174"/>
      <c r="G157" s="175"/>
      <c r="H157" s="176"/>
      <c r="I157" s="177"/>
      <c r="J157" s="178"/>
      <c r="K157" s="179"/>
      <c r="L157" s="180"/>
      <c r="M157" s="156"/>
      <c r="N157" s="157"/>
      <c r="O157" s="181"/>
      <c r="P157" s="200"/>
      <c r="Q157" s="202"/>
      <c r="R157" s="182"/>
      <c r="S157" s="110"/>
      <c r="T157" s="110"/>
      <c r="U157" s="110"/>
      <c r="V157" s="110"/>
      <c r="W157" s="110"/>
      <c r="X157" s="110"/>
    </row>
    <row r="158" ht="16.5" spans="1:24">
      <c r="A158" s="172"/>
      <c r="B158" s="199"/>
      <c r="C158" s="173"/>
      <c r="D158" s="173"/>
      <c r="E158" s="173"/>
      <c r="F158" s="174"/>
      <c r="G158" s="175"/>
      <c r="H158" s="176"/>
      <c r="I158" s="177"/>
      <c r="J158" s="178"/>
      <c r="K158" s="179"/>
      <c r="L158" s="180"/>
      <c r="M158" s="156"/>
      <c r="N158" s="157"/>
      <c r="O158" s="181"/>
      <c r="P158" s="200"/>
      <c r="Q158" s="202"/>
      <c r="R158" s="182"/>
      <c r="S158" s="110"/>
      <c r="T158" s="110"/>
      <c r="U158" s="110"/>
      <c r="V158" s="110"/>
      <c r="W158" s="110"/>
      <c r="X158" s="110"/>
    </row>
    <row r="159" ht="16.5" spans="1:24">
      <c r="A159" s="172"/>
      <c r="B159" s="199"/>
      <c r="C159" s="173"/>
      <c r="D159" s="173"/>
      <c r="E159" s="173"/>
      <c r="F159" s="174"/>
      <c r="G159" s="175"/>
      <c r="H159" s="176"/>
      <c r="I159" s="177"/>
      <c r="J159" s="178"/>
      <c r="K159" s="179"/>
      <c r="L159" s="180"/>
      <c r="M159" s="156"/>
      <c r="N159" s="157"/>
      <c r="O159" s="181"/>
      <c r="P159" s="200"/>
      <c r="Q159" s="202"/>
      <c r="R159" s="182"/>
      <c r="S159" s="110"/>
      <c r="T159" s="110"/>
      <c r="U159" s="110"/>
      <c r="V159" s="110"/>
      <c r="W159" s="110"/>
      <c r="X159" s="110"/>
    </row>
    <row r="160" ht="16.5" spans="1:24">
      <c r="A160" s="172"/>
      <c r="B160" s="199"/>
      <c r="C160" s="173"/>
      <c r="D160" s="173"/>
      <c r="E160" s="173"/>
      <c r="F160" s="174"/>
      <c r="G160" s="175"/>
      <c r="H160" s="176"/>
      <c r="I160" s="177"/>
      <c r="J160" s="178"/>
      <c r="K160" s="179"/>
      <c r="L160" s="180"/>
      <c r="M160" s="156"/>
      <c r="N160" s="157"/>
      <c r="O160" s="181"/>
      <c r="P160" s="200"/>
      <c r="Q160" s="202"/>
      <c r="R160" s="182"/>
      <c r="S160" s="110"/>
      <c r="T160" s="110"/>
      <c r="U160" s="110"/>
      <c r="V160" s="110"/>
      <c r="W160" s="110"/>
      <c r="X160" s="110"/>
    </row>
    <row r="161" ht="16.5" spans="1:24">
      <c r="A161" s="172"/>
      <c r="B161" s="199"/>
      <c r="C161" s="173"/>
      <c r="D161" s="173"/>
      <c r="E161" s="173"/>
      <c r="F161" s="174"/>
      <c r="G161" s="175"/>
      <c r="H161" s="176"/>
      <c r="I161" s="177"/>
      <c r="J161" s="178"/>
      <c r="K161" s="179"/>
      <c r="L161" s="180"/>
      <c r="M161" s="156"/>
      <c r="N161" s="157"/>
      <c r="O161" s="181"/>
      <c r="P161" s="200"/>
      <c r="Q161" s="202"/>
      <c r="R161" s="182"/>
      <c r="S161" s="110"/>
      <c r="T161" s="110"/>
      <c r="U161" s="110"/>
      <c r="V161" s="110"/>
      <c r="W161" s="110"/>
      <c r="X161" s="110"/>
    </row>
    <row r="162" ht="16.5" spans="1:24">
      <c r="A162" s="172"/>
      <c r="B162" s="199"/>
      <c r="C162" s="173"/>
      <c r="D162" s="173"/>
      <c r="E162" s="173"/>
      <c r="F162" s="174"/>
      <c r="G162" s="175"/>
      <c r="H162" s="176"/>
      <c r="I162" s="177"/>
      <c r="J162" s="178"/>
      <c r="K162" s="179"/>
      <c r="L162" s="180"/>
      <c r="M162" s="156"/>
      <c r="N162" s="157"/>
      <c r="O162" s="181"/>
      <c r="P162" s="200"/>
      <c r="Q162" s="202"/>
      <c r="R162" s="182"/>
      <c r="S162" s="110"/>
      <c r="T162" s="110"/>
      <c r="U162" s="110"/>
      <c r="V162" s="110"/>
      <c r="W162" s="110"/>
      <c r="X162" s="110"/>
    </row>
    <row r="163" ht="16.5" spans="1:24">
      <c r="A163" s="172"/>
      <c r="B163" s="199"/>
      <c r="C163" s="173"/>
      <c r="D163" s="173"/>
      <c r="E163" s="173"/>
      <c r="F163" s="174"/>
      <c r="G163" s="175"/>
      <c r="H163" s="176"/>
      <c r="I163" s="177"/>
      <c r="J163" s="178"/>
      <c r="K163" s="179"/>
      <c r="L163" s="180"/>
      <c r="M163" s="156"/>
      <c r="N163" s="157"/>
      <c r="O163" s="181"/>
      <c r="P163" s="200"/>
      <c r="Q163" s="202"/>
      <c r="R163" s="182"/>
      <c r="S163" s="110"/>
      <c r="T163" s="110"/>
      <c r="U163" s="110"/>
      <c r="V163" s="110"/>
      <c r="W163" s="110"/>
      <c r="X163" s="110"/>
    </row>
    <row r="164" ht="16.5" spans="1:24">
      <c r="A164" s="172"/>
      <c r="B164" s="199"/>
      <c r="C164" s="173"/>
      <c r="D164" s="173"/>
      <c r="E164" s="173"/>
      <c r="F164" s="174"/>
      <c r="G164" s="175"/>
      <c r="H164" s="176"/>
      <c r="I164" s="177"/>
      <c r="J164" s="178"/>
      <c r="K164" s="179"/>
      <c r="L164" s="180"/>
      <c r="M164" s="156"/>
      <c r="N164" s="157"/>
      <c r="O164" s="181"/>
      <c r="P164" s="200"/>
      <c r="Q164" s="202"/>
      <c r="R164" s="182"/>
      <c r="S164" s="110"/>
      <c r="T164" s="110"/>
      <c r="U164" s="110"/>
      <c r="V164" s="110"/>
      <c r="W164" s="110"/>
      <c r="X164" s="110"/>
    </row>
    <row r="165" ht="16.5" spans="1:24">
      <c r="A165" s="172"/>
      <c r="B165" s="199"/>
      <c r="C165" s="173"/>
      <c r="D165" s="173"/>
      <c r="E165" s="173"/>
      <c r="F165" s="174"/>
      <c r="G165" s="175"/>
      <c r="H165" s="176"/>
      <c r="I165" s="177"/>
      <c r="J165" s="178"/>
      <c r="K165" s="179"/>
      <c r="L165" s="180"/>
      <c r="M165" s="156"/>
      <c r="N165" s="157"/>
      <c r="O165" s="181"/>
      <c r="P165" s="200"/>
      <c r="Q165" s="202"/>
      <c r="R165" s="182"/>
      <c r="S165" s="110"/>
      <c r="T165" s="110"/>
      <c r="U165" s="110"/>
      <c r="V165" s="110"/>
      <c r="W165" s="110"/>
      <c r="X165" s="110"/>
    </row>
    <row r="166" ht="16.5" spans="1:24">
      <c r="A166" s="172"/>
      <c r="B166" s="199"/>
      <c r="C166" s="173"/>
      <c r="D166" s="173"/>
      <c r="E166" s="173"/>
      <c r="F166" s="174"/>
      <c r="G166" s="175"/>
      <c r="H166" s="176"/>
      <c r="I166" s="177"/>
      <c r="J166" s="178"/>
      <c r="K166" s="179"/>
      <c r="L166" s="180"/>
      <c r="M166" s="156"/>
      <c r="N166" s="157"/>
      <c r="O166" s="181"/>
      <c r="P166" s="200"/>
      <c r="Q166" s="202"/>
      <c r="R166" s="182"/>
      <c r="S166" s="110"/>
      <c r="T166" s="110"/>
      <c r="U166" s="110"/>
      <c r="V166" s="110"/>
      <c r="W166" s="110"/>
      <c r="X166" s="110"/>
    </row>
    <row r="167" ht="16.5" spans="1:24">
      <c r="A167" s="172"/>
      <c r="B167" s="199"/>
      <c r="C167" s="173"/>
      <c r="D167" s="173"/>
      <c r="E167" s="173"/>
      <c r="F167" s="174"/>
      <c r="G167" s="175"/>
      <c r="H167" s="176"/>
      <c r="I167" s="177"/>
      <c r="J167" s="178"/>
      <c r="K167" s="179"/>
      <c r="L167" s="180"/>
      <c r="M167" s="156"/>
      <c r="N167" s="157"/>
      <c r="O167" s="181"/>
      <c r="P167" s="200"/>
      <c r="Q167" s="202"/>
      <c r="R167" s="182"/>
      <c r="S167" s="110"/>
      <c r="T167" s="110"/>
      <c r="U167" s="110"/>
      <c r="V167" s="110"/>
      <c r="W167" s="110"/>
      <c r="X167" s="110"/>
    </row>
    <row r="168" ht="16.5" spans="1:24">
      <c r="A168" s="172"/>
      <c r="B168" s="199"/>
      <c r="C168" s="173"/>
      <c r="D168" s="173"/>
      <c r="E168" s="173"/>
      <c r="F168" s="174"/>
      <c r="G168" s="175"/>
      <c r="H168" s="176"/>
      <c r="I168" s="177"/>
      <c r="J168" s="178"/>
      <c r="K168" s="179"/>
      <c r="L168" s="180"/>
      <c r="M168" s="156"/>
      <c r="N168" s="157"/>
      <c r="O168" s="181"/>
      <c r="P168" s="200"/>
      <c r="Q168" s="202"/>
      <c r="R168" s="182"/>
      <c r="S168" s="110"/>
      <c r="T168" s="110"/>
      <c r="U168" s="110"/>
      <c r="V168" s="110"/>
      <c r="W168" s="110"/>
      <c r="X168" s="110"/>
    </row>
    <row r="169" ht="16.5" spans="1:24">
      <c r="A169" s="172"/>
      <c r="B169" s="199"/>
      <c r="C169" s="173"/>
      <c r="D169" s="173"/>
      <c r="E169" s="173"/>
      <c r="F169" s="174"/>
      <c r="G169" s="175"/>
      <c r="H169" s="176"/>
      <c r="I169" s="177"/>
      <c r="J169" s="178"/>
      <c r="K169" s="179"/>
      <c r="L169" s="180"/>
      <c r="M169" s="156"/>
      <c r="N169" s="157"/>
      <c r="O169" s="181"/>
      <c r="P169" s="200"/>
      <c r="Q169" s="202"/>
      <c r="R169" s="182"/>
      <c r="S169" s="110"/>
      <c r="T169" s="110"/>
      <c r="U169" s="110"/>
      <c r="V169" s="110"/>
      <c r="W169" s="110"/>
      <c r="X169" s="110"/>
    </row>
    <row r="170" ht="16.5" spans="1:24">
      <c r="A170" s="172"/>
      <c r="B170" s="199"/>
      <c r="C170" s="173"/>
      <c r="D170" s="173"/>
      <c r="E170" s="173"/>
      <c r="F170" s="174"/>
      <c r="G170" s="175"/>
      <c r="H170" s="176"/>
      <c r="I170" s="177"/>
      <c r="J170" s="178"/>
      <c r="K170" s="179"/>
      <c r="L170" s="180"/>
      <c r="M170" s="156"/>
      <c r="N170" s="157"/>
      <c r="O170" s="181"/>
      <c r="P170" s="200"/>
      <c r="Q170" s="202"/>
      <c r="R170" s="182"/>
      <c r="S170" s="110"/>
      <c r="T170" s="110"/>
      <c r="U170" s="110"/>
      <c r="V170" s="110"/>
      <c r="W170" s="110"/>
      <c r="X170" s="110"/>
    </row>
    <row r="171" ht="16.5" spans="1:24">
      <c r="A171" s="172"/>
      <c r="B171" s="199"/>
      <c r="C171" s="173"/>
      <c r="D171" s="173"/>
      <c r="E171" s="173"/>
      <c r="F171" s="174"/>
      <c r="G171" s="175"/>
      <c r="H171" s="176"/>
      <c r="I171" s="177"/>
      <c r="J171" s="178"/>
      <c r="K171" s="179"/>
      <c r="L171" s="180"/>
      <c r="M171" s="156"/>
      <c r="N171" s="157"/>
      <c r="O171" s="181"/>
      <c r="P171" s="200"/>
      <c r="Q171" s="202"/>
      <c r="R171" s="182"/>
      <c r="S171" s="110"/>
      <c r="T171" s="110"/>
      <c r="U171" s="110"/>
      <c r="V171" s="110"/>
      <c r="W171" s="110"/>
      <c r="X171" s="110"/>
    </row>
    <row r="172" ht="16.5" spans="1:24">
      <c r="A172" s="172"/>
      <c r="B172" s="199"/>
      <c r="C172" s="173"/>
      <c r="D172" s="173"/>
      <c r="E172" s="173"/>
      <c r="F172" s="174"/>
      <c r="G172" s="175"/>
      <c r="H172" s="176"/>
      <c r="I172" s="177"/>
      <c r="J172" s="178"/>
      <c r="K172" s="179"/>
      <c r="L172" s="180"/>
      <c r="M172" s="156"/>
      <c r="N172" s="157"/>
      <c r="O172" s="181"/>
      <c r="P172" s="200"/>
      <c r="Q172" s="202"/>
      <c r="R172" s="182"/>
      <c r="S172" s="110"/>
      <c r="T172" s="110"/>
      <c r="U172" s="110"/>
      <c r="V172" s="110"/>
      <c r="W172" s="110"/>
      <c r="X172" s="110"/>
    </row>
    <row r="173" ht="16.5" spans="1:24">
      <c r="A173" s="172"/>
      <c r="B173" s="199"/>
      <c r="C173" s="173"/>
      <c r="D173" s="173"/>
      <c r="E173" s="173"/>
      <c r="F173" s="174"/>
      <c r="G173" s="175"/>
      <c r="H173" s="176"/>
      <c r="I173" s="177"/>
      <c r="J173" s="178"/>
      <c r="K173" s="179"/>
      <c r="L173" s="180"/>
      <c r="M173" s="156"/>
      <c r="N173" s="157"/>
      <c r="O173" s="181"/>
      <c r="P173" s="200"/>
      <c r="Q173" s="202"/>
      <c r="R173" s="182"/>
      <c r="S173" s="110"/>
      <c r="T173" s="110"/>
      <c r="U173" s="110"/>
      <c r="V173" s="110"/>
      <c r="W173" s="110"/>
      <c r="X173" s="110"/>
    </row>
    <row r="174" ht="16.5" spans="1:24">
      <c r="A174" s="172"/>
      <c r="B174" s="199"/>
      <c r="C174" s="173"/>
      <c r="D174" s="173"/>
      <c r="E174" s="173"/>
      <c r="F174" s="174"/>
      <c r="G174" s="175"/>
      <c r="H174" s="176"/>
      <c r="I174" s="177"/>
      <c r="J174" s="178"/>
      <c r="K174" s="179"/>
      <c r="L174" s="180"/>
      <c r="M174" s="156"/>
      <c r="N174" s="157"/>
      <c r="O174" s="181"/>
      <c r="P174" s="200"/>
      <c r="Q174" s="202"/>
      <c r="R174" s="182"/>
      <c r="S174" s="110"/>
      <c r="T174" s="110"/>
      <c r="U174" s="110"/>
      <c r="V174" s="110"/>
      <c r="W174" s="110"/>
      <c r="X174" s="110"/>
    </row>
    <row r="175" ht="16.5" spans="1:24">
      <c r="A175" s="172"/>
      <c r="B175" s="199"/>
      <c r="C175" s="173"/>
      <c r="D175" s="173"/>
      <c r="E175" s="173"/>
      <c r="F175" s="174"/>
      <c r="G175" s="175"/>
      <c r="H175" s="176"/>
      <c r="I175" s="177"/>
      <c r="J175" s="178"/>
      <c r="K175" s="179"/>
      <c r="L175" s="180"/>
      <c r="M175" s="156"/>
      <c r="N175" s="157"/>
      <c r="O175" s="181"/>
      <c r="P175" s="200"/>
      <c r="Q175" s="202"/>
      <c r="R175" s="182"/>
      <c r="S175" s="110"/>
      <c r="T175" s="110"/>
      <c r="U175" s="110"/>
      <c r="V175" s="110"/>
      <c r="W175" s="110"/>
      <c r="X175" s="110"/>
    </row>
    <row r="176" ht="16.5" spans="1:24">
      <c r="A176" s="172"/>
      <c r="B176" s="199"/>
      <c r="C176" s="173"/>
      <c r="D176" s="173"/>
      <c r="E176" s="173"/>
      <c r="F176" s="174"/>
      <c r="G176" s="175"/>
      <c r="H176" s="176"/>
      <c r="I176" s="177"/>
      <c r="J176" s="178"/>
      <c r="K176" s="179"/>
      <c r="L176" s="180"/>
      <c r="M176" s="156"/>
      <c r="N176" s="157"/>
      <c r="O176" s="181"/>
      <c r="P176" s="200"/>
      <c r="Q176" s="202"/>
      <c r="R176" s="182"/>
      <c r="S176" s="110"/>
      <c r="T176" s="110"/>
      <c r="U176" s="110"/>
      <c r="V176" s="110"/>
      <c r="W176" s="110"/>
      <c r="X176" s="110"/>
    </row>
    <row r="177" ht="16.5" spans="1:24">
      <c r="A177" s="172"/>
      <c r="B177" s="199"/>
      <c r="C177" s="173"/>
      <c r="D177" s="173"/>
      <c r="E177" s="173"/>
      <c r="F177" s="174"/>
      <c r="G177" s="175"/>
      <c r="H177" s="176"/>
      <c r="I177" s="177"/>
      <c r="J177" s="178"/>
      <c r="K177" s="179"/>
      <c r="L177" s="180"/>
      <c r="M177" s="156"/>
      <c r="N177" s="157"/>
      <c r="O177" s="181"/>
      <c r="P177" s="200"/>
      <c r="Q177" s="202"/>
      <c r="R177" s="182"/>
      <c r="S177" s="110"/>
      <c r="T177" s="110"/>
      <c r="U177" s="110"/>
      <c r="V177" s="110"/>
      <c r="W177" s="110"/>
      <c r="X177" s="110"/>
    </row>
    <row r="178" ht="16.5" spans="1:24">
      <c r="A178" s="172"/>
      <c r="B178" s="199"/>
      <c r="C178" s="173"/>
      <c r="D178" s="173"/>
      <c r="E178" s="173"/>
      <c r="F178" s="174"/>
      <c r="G178" s="175"/>
      <c r="H178" s="176"/>
      <c r="I178" s="177"/>
      <c r="J178" s="178"/>
      <c r="K178" s="179"/>
      <c r="L178" s="180"/>
      <c r="M178" s="156"/>
      <c r="N178" s="157"/>
      <c r="O178" s="181"/>
      <c r="P178" s="200"/>
      <c r="Q178" s="202"/>
      <c r="R178" s="182"/>
      <c r="S178" s="110"/>
      <c r="T178" s="110"/>
      <c r="U178" s="110"/>
      <c r="V178" s="110"/>
      <c r="W178" s="110"/>
      <c r="X178" s="110"/>
    </row>
    <row r="179" ht="16.5" spans="1:24">
      <c r="A179" s="172"/>
      <c r="B179" s="199"/>
      <c r="C179" s="173"/>
      <c r="D179" s="173"/>
      <c r="E179" s="173"/>
      <c r="F179" s="174"/>
      <c r="G179" s="175"/>
      <c r="H179" s="176"/>
      <c r="I179" s="177"/>
      <c r="J179" s="178"/>
      <c r="K179" s="179"/>
      <c r="L179" s="180"/>
      <c r="M179" s="156"/>
      <c r="N179" s="157"/>
      <c r="O179" s="181"/>
      <c r="P179" s="200"/>
      <c r="Q179" s="202"/>
      <c r="R179" s="182"/>
      <c r="S179" s="110"/>
      <c r="T179" s="110"/>
      <c r="U179" s="110"/>
      <c r="V179" s="110"/>
      <c r="W179" s="110"/>
      <c r="X179" s="110"/>
    </row>
    <row r="180" ht="16.5" spans="1:24">
      <c r="A180" s="172"/>
      <c r="B180" s="199"/>
      <c r="C180" s="173"/>
      <c r="D180" s="173"/>
      <c r="E180" s="173"/>
      <c r="F180" s="174"/>
      <c r="G180" s="175"/>
      <c r="H180" s="176"/>
      <c r="I180" s="177"/>
      <c r="J180" s="178"/>
      <c r="K180" s="179"/>
      <c r="L180" s="180"/>
      <c r="M180" s="156"/>
      <c r="N180" s="157"/>
      <c r="O180" s="181"/>
      <c r="P180" s="200"/>
      <c r="Q180" s="202"/>
      <c r="R180" s="182"/>
      <c r="S180" s="110"/>
      <c r="T180" s="110"/>
      <c r="U180" s="110"/>
      <c r="V180" s="110"/>
      <c r="W180" s="110"/>
      <c r="X180" s="110"/>
    </row>
    <row r="181" ht="16.5" spans="1:24">
      <c r="A181" s="172"/>
      <c r="B181" s="199"/>
      <c r="C181" s="173"/>
      <c r="D181" s="173"/>
      <c r="E181" s="173"/>
      <c r="F181" s="174"/>
      <c r="G181" s="175"/>
      <c r="H181" s="176"/>
      <c r="I181" s="177"/>
      <c r="J181" s="178"/>
      <c r="K181" s="179"/>
      <c r="L181" s="180"/>
      <c r="M181" s="156"/>
      <c r="N181" s="157"/>
      <c r="O181" s="181"/>
      <c r="P181" s="200"/>
      <c r="Q181" s="202"/>
      <c r="R181" s="182"/>
      <c r="S181" s="110"/>
      <c r="T181" s="110"/>
      <c r="U181" s="110"/>
      <c r="V181" s="110"/>
      <c r="W181" s="110"/>
      <c r="X181" s="110"/>
    </row>
    <row r="182" ht="16.5" spans="1:24">
      <c r="A182" s="172"/>
      <c r="B182" s="199"/>
      <c r="C182" s="173"/>
      <c r="D182" s="173"/>
      <c r="E182" s="173"/>
      <c r="F182" s="174"/>
      <c r="G182" s="175"/>
      <c r="H182" s="176"/>
      <c r="I182" s="177"/>
      <c r="J182" s="178"/>
      <c r="K182" s="179"/>
      <c r="L182" s="180"/>
      <c r="M182" s="156"/>
      <c r="N182" s="157"/>
      <c r="O182" s="181"/>
      <c r="P182" s="200"/>
      <c r="Q182" s="202"/>
      <c r="R182" s="182"/>
      <c r="S182" s="110"/>
      <c r="T182" s="110"/>
      <c r="U182" s="110"/>
      <c r="V182" s="110"/>
      <c r="W182" s="110"/>
      <c r="X182" s="110"/>
    </row>
    <row r="183" ht="16.5" spans="1:24">
      <c r="A183" s="172"/>
      <c r="B183" s="199"/>
      <c r="C183" s="173"/>
      <c r="D183" s="173"/>
      <c r="E183" s="173"/>
      <c r="F183" s="174"/>
      <c r="G183" s="175"/>
      <c r="H183" s="176"/>
      <c r="I183" s="177"/>
      <c r="J183" s="178"/>
      <c r="K183" s="179"/>
      <c r="L183" s="180"/>
      <c r="M183" s="156"/>
      <c r="N183" s="157"/>
      <c r="O183" s="181"/>
      <c r="P183" s="200"/>
      <c r="Q183" s="202"/>
      <c r="R183" s="182"/>
      <c r="S183" s="110"/>
      <c r="T183" s="110"/>
      <c r="U183" s="110"/>
      <c r="V183" s="110"/>
      <c r="W183" s="110"/>
      <c r="X183" s="110"/>
    </row>
    <row r="184" ht="16.5" spans="1:24">
      <c r="A184" s="172"/>
      <c r="B184" s="199"/>
      <c r="C184" s="173"/>
      <c r="D184" s="173"/>
      <c r="E184" s="173"/>
      <c r="F184" s="174"/>
      <c r="G184" s="175"/>
      <c r="H184" s="176"/>
      <c r="I184" s="177"/>
      <c r="J184" s="178"/>
      <c r="K184" s="179"/>
      <c r="L184" s="180"/>
      <c r="M184" s="156"/>
      <c r="N184" s="157"/>
      <c r="O184" s="181"/>
      <c r="P184" s="200"/>
      <c r="Q184" s="202"/>
      <c r="R184" s="182"/>
      <c r="S184" s="110"/>
      <c r="T184" s="110"/>
      <c r="U184" s="110"/>
      <c r="V184" s="110"/>
      <c r="W184" s="110"/>
      <c r="X184" s="110"/>
    </row>
    <row r="185" ht="16.5" spans="1:24">
      <c r="A185" s="172"/>
      <c r="B185" s="199"/>
      <c r="C185" s="173"/>
      <c r="D185" s="173"/>
      <c r="E185" s="173"/>
      <c r="F185" s="174"/>
      <c r="G185" s="175"/>
      <c r="H185" s="176"/>
      <c r="I185" s="177"/>
      <c r="J185" s="178"/>
      <c r="K185" s="179"/>
      <c r="L185" s="180"/>
      <c r="M185" s="156"/>
      <c r="N185" s="157"/>
      <c r="O185" s="181"/>
      <c r="P185" s="200"/>
      <c r="Q185" s="202"/>
      <c r="R185" s="182"/>
      <c r="S185" s="110"/>
      <c r="T185" s="110"/>
      <c r="U185" s="110"/>
      <c r="V185" s="110"/>
      <c r="W185" s="110"/>
      <c r="X185" s="110"/>
    </row>
    <row r="186" ht="16.5" spans="1:24">
      <c r="A186" s="172"/>
      <c r="B186" s="199"/>
      <c r="C186" s="173"/>
      <c r="D186" s="173"/>
      <c r="E186" s="173"/>
      <c r="F186" s="174"/>
      <c r="G186" s="175"/>
      <c r="H186" s="176"/>
      <c r="I186" s="177"/>
      <c r="J186" s="178"/>
      <c r="K186" s="179"/>
      <c r="L186" s="180"/>
      <c r="M186" s="156"/>
      <c r="N186" s="157"/>
      <c r="O186" s="181"/>
      <c r="P186" s="200"/>
      <c r="Q186" s="202"/>
      <c r="R186" s="182"/>
      <c r="S186" s="110"/>
      <c r="T186" s="110"/>
      <c r="U186" s="110"/>
      <c r="V186" s="110"/>
      <c r="W186" s="110"/>
      <c r="X186" s="110"/>
    </row>
    <row r="187" ht="16.5" spans="1:24">
      <c r="A187" s="172"/>
      <c r="B187" s="199"/>
      <c r="C187" s="173"/>
      <c r="D187" s="173"/>
      <c r="E187" s="173"/>
      <c r="F187" s="174"/>
      <c r="G187" s="175"/>
      <c r="H187" s="176"/>
      <c r="I187" s="177"/>
      <c r="J187" s="178"/>
      <c r="K187" s="179"/>
      <c r="L187" s="180"/>
      <c r="M187" s="156"/>
      <c r="N187" s="157"/>
      <c r="O187" s="181"/>
      <c r="P187" s="200"/>
      <c r="Q187" s="202"/>
      <c r="R187" s="182"/>
      <c r="S187" s="110"/>
      <c r="T187" s="110"/>
      <c r="U187" s="110"/>
      <c r="V187" s="110"/>
      <c r="W187" s="110"/>
      <c r="X187" s="110"/>
    </row>
    <row r="188" ht="16.5" spans="1:24">
      <c r="A188" s="172"/>
      <c r="B188" s="199"/>
      <c r="C188" s="173"/>
      <c r="D188" s="173"/>
      <c r="E188" s="173"/>
      <c r="F188" s="174"/>
      <c r="G188" s="175"/>
      <c r="H188" s="176"/>
      <c r="I188" s="177"/>
      <c r="J188" s="178"/>
      <c r="K188" s="179"/>
      <c r="L188" s="180"/>
      <c r="M188" s="156"/>
      <c r="N188" s="157"/>
      <c r="O188" s="181"/>
      <c r="P188" s="200"/>
      <c r="Q188" s="202"/>
      <c r="R188" s="182"/>
      <c r="S188" s="110"/>
      <c r="T188" s="110"/>
      <c r="U188" s="110"/>
      <c r="V188" s="110"/>
      <c r="W188" s="110"/>
      <c r="X188" s="110"/>
    </row>
    <row r="189" ht="16.5" spans="1:24">
      <c r="A189" s="172"/>
      <c r="B189" s="199"/>
      <c r="C189" s="173"/>
      <c r="D189" s="173"/>
      <c r="E189" s="173"/>
      <c r="F189" s="174"/>
      <c r="G189" s="175"/>
      <c r="H189" s="176"/>
      <c r="I189" s="177"/>
      <c r="J189" s="178"/>
      <c r="K189" s="179"/>
      <c r="L189" s="180"/>
      <c r="M189" s="156"/>
      <c r="N189" s="157"/>
      <c r="O189" s="181"/>
      <c r="P189" s="200"/>
      <c r="Q189" s="202"/>
      <c r="R189" s="182"/>
      <c r="S189" s="110"/>
      <c r="T189" s="110"/>
      <c r="U189" s="110"/>
      <c r="V189" s="110"/>
      <c r="W189" s="110"/>
      <c r="X189" s="110"/>
    </row>
    <row r="190" ht="16.5" spans="1:24">
      <c r="A190" s="172"/>
      <c r="B190" s="199"/>
      <c r="C190" s="173"/>
      <c r="D190" s="173"/>
      <c r="E190" s="173"/>
      <c r="F190" s="174"/>
      <c r="G190" s="175"/>
      <c r="H190" s="176"/>
      <c r="I190" s="177"/>
      <c r="J190" s="178"/>
      <c r="K190" s="179"/>
      <c r="L190" s="180"/>
      <c r="M190" s="156"/>
      <c r="N190" s="157"/>
      <c r="O190" s="181"/>
      <c r="P190" s="200"/>
      <c r="Q190" s="202"/>
      <c r="R190" s="182"/>
      <c r="S190" s="110"/>
      <c r="T190" s="110"/>
      <c r="U190" s="110"/>
      <c r="V190" s="110"/>
      <c r="W190" s="110"/>
      <c r="X190" s="110"/>
    </row>
    <row r="191" ht="16.5" spans="1:24">
      <c r="A191" s="172"/>
      <c r="B191" s="199"/>
      <c r="C191" s="173"/>
      <c r="D191" s="173"/>
      <c r="E191" s="173"/>
      <c r="F191" s="174"/>
      <c r="G191" s="175"/>
      <c r="H191" s="176"/>
      <c r="I191" s="177"/>
      <c r="J191" s="178"/>
      <c r="K191" s="179"/>
      <c r="L191" s="180"/>
      <c r="M191" s="156"/>
      <c r="N191" s="157"/>
      <c r="O191" s="181"/>
      <c r="P191" s="200"/>
      <c r="Q191" s="202"/>
      <c r="R191" s="182"/>
      <c r="S191" s="110"/>
      <c r="T191" s="110"/>
      <c r="U191" s="110"/>
      <c r="V191" s="110"/>
      <c r="W191" s="110"/>
      <c r="X191" s="110"/>
    </row>
    <row r="192" ht="16.5" spans="1:24">
      <c r="A192" s="172"/>
      <c r="B192" s="199"/>
      <c r="C192" s="173"/>
      <c r="D192" s="173"/>
      <c r="E192" s="173"/>
      <c r="F192" s="174"/>
      <c r="G192" s="175"/>
      <c r="H192" s="176"/>
      <c r="I192" s="177"/>
      <c r="J192" s="178"/>
      <c r="K192" s="179"/>
      <c r="L192" s="180"/>
      <c r="M192" s="156"/>
      <c r="N192" s="157"/>
      <c r="O192" s="181"/>
      <c r="P192" s="200"/>
      <c r="Q192" s="202"/>
      <c r="R192" s="182"/>
      <c r="S192" s="110"/>
      <c r="T192" s="110"/>
      <c r="U192" s="110"/>
      <c r="V192" s="110"/>
      <c r="W192" s="110"/>
      <c r="X192" s="110"/>
    </row>
    <row r="193" ht="16.5" spans="1:24">
      <c r="A193" s="172"/>
      <c r="B193" s="199"/>
      <c r="C193" s="173"/>
      <c r="D193" s="173"/>
      <c r="E193" s="173"/>
      <c r="F193" s="174"/>
      <c r="G193" s="175"/>
      <c r="H193" s="176"/>
      <c r="I193" s="177"/>
      <c r="J193" s="178"/>
      <c r="K193" s="179"/>
      <c r="L193" s="180"/>
      <c r="M193" s="156"/>
      <c r="N193" s="157"/>
      <c r="O193" s="181"/>
      <c r="P193" s="200"/>
      <c r="Q193" s="202"/>
      <c r="R193" s="182"/>
      <c r="S193" s="110"/>
      <c r="T193" s="110"/>
      <c r="U193" s="110"/>
      <c r="V193" s="110"/>
      <c r="W193" s="110"/>
      <c r="X193" s="110"/>
    </row>
    <row r="194" ht="16.5" spans="1:24">
      <c r="A194" s="172"/>
      <c r="B194" s="199"/>
      <c r="C194" s="173"/>
      <c r="D194" s="173"/>
      <c r="E194" s="173"/>
      <c r="F194" s="174"/>
      <c r="G194" s="175"/>
      <c r="H194" s="176"/>
      <c r="I194" s="177"/>
      <c r="J194" s="178"/>
      <c r="K194" s="179"/>
      <c r="L194" s="180"/>
      <c r="M194" s="156"/>
      <c r="N194" s="157"/>
      <c r="O194" s="181"/>
      <c r="P194" s="200"/>
      <c r="Q194" s="202"/>
      <c r="R194" s="182"/>
      <c r="S194" s="110"/>
      <c r="T194" s="110"/>
      <c r="U194" s="110"/>
      <c r="V194" s="110"/>
      <c r="W194" s="110"/>
      <c r="X194" s="110"/>
    </row>
    <row r="195" ht="16.5" spans="1:24">
      <c r="A195" s="172"/>
      <c r="B195" s="199"/>
      <c r="C195" s="173"/>
      <c r="D195" s="173"/>
      <c r="E195" s="173"/>
      <c r="F195" s="174"/>
      <c r="G195" s="175"/>
      <c r="H195" s="176"/>
      <c r="I195" s="177"/>
      <c r="J195" s="178"/>
      <c r="K195" s="179"/>
      <c r="L195" s="180"/>
      <c r="M195" s="156"/>
      <c r="N195" s="157"/>
      <c r="O195" s="181"/>
      <c r="P195" s="200"/>
      <c r="Q195" s="202"/>
      <c r="R195" s="182"/>
      <c r="S195" s="110"/>
      <c r="T195" s="110"/>
      <c r="U195" s="110"/>
      <c r="V195" s="110"/>
      <c r="W195" s="110"/>
      <c r="X195" s="110"/>
    </row>
    <row r="196" ht="16.5" spans="1:24">
      <c r="A196" s="172"/>
      <c r="B196" s="199"/>
      <c r="C196" s="173"/>
      <c r="D196" s="173"/>
      <c r="E196" s="173"/>
      <c r="F196" s="174"/>
      <c r="G196" s="175"/>
      <c r="H196" s="176"/>
      <c r="I196" s="177"/>
      <c r="J196" s="178"/>
      <c r="K196" s="179"/>
      <c r="L196" s="180"/>
      <c r="M196" s="156"/>
      <c r="N196" s="157"/>
      <c r="O196" s="181"/>
      <c r="P196" s="200"/>
      <c r="Q196" s="202"/>
      <c r="R196" s="182"/>
      <c r="S196" s="110"/>
      <c r="T196" s="110"/>
      <c r="U196" s="110"/>
      <c r="V196" s="110"/>
      <c r="W196" s="110"/>
      <c r="X196" s="110"/>
    </row>
    <row r="197" ht="16.5" spans="1:24">
      <c r="A197" s="172"/>
      <c r="B197" s="199"/>
      <c r="C197" s="173"/>
      <c r="D197" s="173"/>
      <c r="E197" s="173"/>
      <c r="F197" s="174"/>
      <c r="G197" s="175"/>
      <c r="H197" s="176"/>
      <c r="I197" s="177"/>
      <c r="J197" s="178"/>
      <c r="K197" s="179"/>
      <c r="L197" s="180"/>
      <c r="M197" s="156"/>
      <c r="N197" s="157"/>
      <c r="O197" s="181"/>
      <c r="P197" s="200"/>
      <c r="Q197" s="202"/>
      <c r="R197" s="182"/>
      <c r="S197" s="110"/>
      <c r="T197" s="110"/>
      <c r="U197" s="110"/>
      <c r="V197" s="110"/>
      <c r="W197" s="110"/>
      <c r="X197" s="110"/>
    </row>
    <row r="198" ht="16.5" spans="1:24">
      <c r="A198" s="172"/>
      <c r="B198" s="199"/>
      <c r="C198" s="173"/>
      <c r="D198" s="173"/>
      <c r="E198" s="173"/>
      <c r="F198" s="174"/>
      <c r="G198" s="175"/>
      <c r="H198" s="176"/>
      <c r="I198" s="177"/>
      <c r="J198" s="178"/>
      <c r="K198" s="179"/>
      <c r="L198" s="180"/>
      <c r="M198" s="156"/>
      <c r="N198" s="157"/>
      <c r="O198" s="181"/>
      <c r="P198" s="200"/>
      <c r="Q198" s="202"/>
      <c r="R198" s="182"/>
      <c r="S198" s="110"/>
      <c r="T198" s="110"/>
      <c r="U198" s="110"/>
      <c r="V198" s="110"/>
      <c r="W198" s="110"/>
      <c r="X198" s="110"/>
    </row>
    <row r="199" ht="16.5" spans="1:24">
      <c r="A199" s="172"/>
      <c r="B199" s="199"/>
      <c r="C199" s="173"/>
      <c r="D199" s="173"/>
      <c r="E199" s="173"/>
      <c r="F199" s="174"/>
      <c r="G199" s="175"/>
      <c r="H199" s="176"/>
      <c r="I199" s="177"/>
      <c r="J199" s="178"/>
      <c r="K199" s="179"/>
      <c r="L199" s="180"/>
      <c r="M199" s="156"/>
      <c r="N199" s="157"/>
      <c r="O199" s="181"/>
      <c r="P199" s="200"/>
      <c r="Q199" s="202"/>
      <c r="R199" s="182"/>
      <c r="S199" s="110"/>
      <c r="T199" s="110"/>
      <c r="U199" s="110"/>
      <c r="V199" s="110"/>
      <c r="W199" s="110"/>
      <c r="X199" s="110"/>
    </row>
    <row r="200" ht="16.5" spans="1:24">
      <c r="A200" s="172"/>
      <c r="B200" s="199"/>
      <c r="C200" s="173"/>
      <c r="D200" s="173"/>
      <c r="E200" s="173"/>
      <c r="F200" s="174"/>
      <c r="G200" s="175"/>
      <c r="H200" s="176"/>
      <c r="I200" s="177"/>
      <c r="J200" s="178"/>
      <c r="K200" s="179"/>
      <c r="L200" s="180"/>
      <c r="M200" s="156"/>
      <c r="N200" s="157"/>
      <c r="O200" s="181"/>
      <c r="P200" s="200"/>
      <c r="Q200" s="202"/>
      <c r="R200" s="182"/>
      <c r="S200" s="110"/>
      <c r="T200" s="110"/>
      <c r="U200" s="110"/>
      <c r="V200" s="110"/>
      <c r="W200" s="110"/>
      <c r="X200" s="110"/>
    </row>
    <row r="201" ht="16.5" spans="1:24">
      <c r="A201" s="172"/>
      <c r="B201" s="199"/>
      <c r="C201" s="173"/>
      <c r="D201" s="173"/>
      <c r="E201" s="173"/>
      <c r="F201" s="174"/>
      <c r="G201" s="175"/>
      <c r="H201" s="176"/>
      <c r="I201" s="177"/>
      <c r="J201" s="178"/>
      <c r="K201" s="179"/>
      <c r="L201" s="180"/>
      <c r="M201" s="156"/>
      <c r="N201" s="157"/>
      <c r="O201" s="181"/>
      <c r="P201" s="200"/>
      <c r="Q201" s="202"/>
      <c r="R201" s="182"/>
      <c r="S201" s="110"/>
      <c r="T201" s="110"/>
      <c r="U201" s="110"/>
      <c r="V201" s="110"/>
      <c r="W201" s="110"/>
      <c r="X201" s="110"/>
    </row>
    <row r="202" ht="16.5" spans="1:24">
      <c r="A202" s="172"/>
      <c r="B202" s="199"/>
      <c r="C202" s="173"/>
      <c r="D202" s="173"/>
      <c r="E202" s="173"/>
      <c r="F202" s="174"/>
      <c r="G202" s="175"/>
      <c r="H202" s="176"/>
      <c r="I202" s="177"/>
      <c r="J202" s="178"/>
      <c r="K202" s="179"/>
      <c r="L202" s="180"/>
      <c r="M202" s="156"/>
      <c r="N202" s="157"/>
      <c r="O202" s="181"/>
      <c r="P202" s="200"/>
      <c r="Q202" s="202"/>
      <c r="R202" s="182"/>
      <c r="S202" s="110"/>
      <c r="T202" s="110"/>
      <c r="U202" s="110"/>
      <c r="V202" s="110"/>
      <c r="W202" s="110"/>
      <c r="X202" s="110"/>
    </row>
    <row r="203" ht="16.5" spans="1:24">
      <c r="A203" s="172"/>
      <c r="B203" s="199"/>
      <c r="C203" s="173"/>
      <c r="D203" s="173"/>
      <c r="E203" s="173"/>
      <c r="F203" s="174"/>
      <c r="G203" s="175"/>
      <c r="H203" s="176"/>
      <c r="I203" s="177"/>
      <c r="J203" s="178"/>
      <c r="K203" s="179"/>
      <c r="L203" s="180"/>
      <c r="M203" s="156"/>
      <c r="N203" s="157"/>
      <c r="O203" s="181"/>
      <c r="P203" s="200"/>
      <c r="Q203" s="202"/>
      <c r="R203" s="182"/>
      <c r="S203" s="110"/>
      <c r="T203" s="110"/>
      <c r="U203" s="110"/>
      <c r="V203" s="110"/>
      <c r="W203" s="110"/>
      <c r="X203" s="110"/>
    </row>
    <row r="204" ht="16.5" spans="1:24">
      <c r="A204" s="172"/>
      <c r="B204" s="199"/>
      <c r="C204" s="173"/>
      <c r="D204" s="173"/>
      <c r="E204" s="173"/>
      <c r="F204" s="174"/>
      <c r="G204" s="175"/>
      <c r="H204" s="176"/>
      <c r="I204" s="177"/>
      <c r="J204" s="178"/>
      <c r="K204" s="179"/>
      <c r="L204" s="180"/>
      <c r="M204" s="156"/>
      <c r="N204" s="157"/>
      <c r="O204" s="181"/>
      <c r="P204" s="200"/>
      <c r="Q204" s="202"/>
      <c r="R204" s="182"/>
      <c r="S204" s="110"/>
      <c r="T204" s="110"/>
      <c r="U204" s="110"/>
      <c r="V204" s="110"/>
      <c r="W204" s="110"/>
      <c r="X204" s="110"/>
    </row>
    <row r="205" ht="16.5" spans="1:24">
      <c r="A205" s="172"/>
      <c r="B205" s="199"/>
      <c r="C205" s="173"/>
      <c r="D205" s="173"/>
      <c r="E205" s="173"/>
      <c r="F205" s="174"/>
      <c r="G205" s="175"/>
      <c r="H205" s="176"/>
      <c r="I205" s="177"/>
      <c r="J205" s="178"/>
      <c r="K205" s="179"/>
      <c r="L205" s="180"/>
      <c r="M205" s="156"/>
      <c r="N205" s="157"/>
      <c r="O205" s="181"/>
      <c r="P205" s="200"/>
      <c r="Q205" s="202"/>
      <c r="R205" s="182"/>
      <c r="S205" s="110"/>
      <c r="T205" s="110"/>
      <c r="U205" s="110"/>
      <c r="V205" s="110"/>
      <c r="W205" s="110"/>
      <c r="X205" s="110"/>
    </row>
    <row r="206" ht="16.5" spans="1:24">
      <c r="A206" s="172"/>
      <c r="B206" s="199"/>
      <c r="C206" s="173"/>
      <c r="D206" s="173"/>
      <c r="E206" s="173"/>
      <c r="F206" s="174"/>
      <c r="G206" s="175"/>
      <c r="H206" s="176"/>
      <c r="I206" s="177"/>
      <c r="J206" s="178"/>
      <c r="K206" s="179"/>
      <c r="L206" s="180"/>
      <c r="M206" s="156"/>
      <c r="N206" s="157"/>
      <c r="O206" s="181"/>
      <c r="P206" s="200"/>
      <c r="Q206" s="202"/>
      <c r="R206" s="182"/>
      <c r="S206" s="110"/>
      <c r="T206" s="110"/>
      <c r="U206" s="110"/>
      <c r="V206" s="110"/>
      <c r="W206" s="110"/>
      <c r="X206" s="110"/>
    </row>
    <row r="207" ht="16.5" spans="1:24">
      <c r="A207" s="172"/>
      <c r="B207" s="199"/>
      <c r="C207" s="173"/>
      <c r="D207" s="173"/>
      <c r="E207" s="173"/>
      <c r="F207" s="174"/>
      <c r="G207" s="175"/>
      <c r="H207" s="176"/>
      <c r="I207" s="177"/>
      <c r="J207" s="178"/>
      <c r="K207" s="179"/>
      <c r="L207" s="180"/>
      <c r="M207" s="156"/>
      <c r="N207" s="157"/>
      <c r="O207" s="181"/>
      <c r="P207" s="200"/>
      <c r="Q207" s="202"/>
      <c r="R207" s="182"/>
      <c r="S207" s="110"/>
      <c r="T207" s="110"/>
      <c r="U207" s="110"/>
      <c r="V207" s="110"/>
      <c r="W207" s="110"/>
      <c r="X207" s="110"/>
    </row>
    <row r="208" ht="16.5" spans="1:24">
      <c r="A208" s="172"/>
      <c r="B208" s="199"/>
      <c r="C208" s="173"/>
      <c r="D208" s="173"/>
      <c r="E208" s="173"/>
      <c r="F208" s="174"/>
      <c r="G208" s="175"/>
      <c r="H208" s="176"/>
      <c r="I208" s="177"/>
      <c r="J208" s="178"/>
      <c r="K208" s="179"/>
      <c r="L208" s="180"/>
      <c r="M208" s="156"/>
      <c r="N208" s="157"/>
      <c r="O208" s="181"/>
      <c r="P208" s="200"/>
      <c r="Q208" s="202"/>
      <c r="R208" s="182"/>
      <c r="S208" s="110"/>
      <c r="T208" s="110"/>
      <c r="U208" s="110"/>
      <c r="V208" s="110"/>
      <c r="W208" s="110"/>
      <c r="X208" s="110"/>
    </row>
    <row r="209" ht="16.5" spans="1:24">
      <c r="A209" s="172"/>
      <c r="B209" s="199"/>
      <c r="C209" s="173"/>
      <c r="D209" s="173"/>
      <c r="E209" s="173"/>
      <c r="F209" s="174"/>
      <c r="G209" s="175"/>
      <c r="H209" s="176"/>
      <c r="I209" s="177"/>
      <c r="J209" s="178"/>
      <c r="K209" s="179"/>
      <c r="L209" s="180"/>
      <c r="M209" s="156"/>
      <c r="N209" s="157"/>
      <c r="O209" s="181"/>
      <c r="P209" s="200"/>
      <c r="Q209" s="202"/>
      <c r="R209" s="182"/>
      <c r="S209" s="110"/>
      <c r="T209" s="110"/>
      <c r="U209" s="110"/>
      <c r="V209" s="110"/>
      <c r="W209" s="110"/>
      <c r="X209" s="110"/>
    </row>
    <row r="210" ht="16.5" spans="1:24">
      <c r="A210" s="172"/>
      <c r="B210" s="199"/>
      <c r="C210" s="173"/>
      <c r="D210" s="173"/>
      <c r="E210" s="173"/>
      <c r="F210" s="174"/>
      <c r="G210" s="175"/>
      <c r="H210" s="176"/>
      <c r="I210" s="177"/>
      <c r="J210" s="178"/>
      <c r="K210" s="179"/>
      <c r="L210" s="180"/>
      <c r="M210" s="156"/>
      <c r="N210" s="157"/>
      <c r="O210" s="181"/>
      <c r="P210" s="200"/>
      <c r="Q210" s="202"/>
      <c r="R210" s="182"/>
      <c r="S210" s="110"/>
      <c r="T210" s="110"/>
      <c r="U210" s="110"/>
      <c r="V210" s="110"/>
      <c r="W210" s="110"/>
      <c r="X210" s="110"/>
    </row>
    <row r="211" ht="16.5" spans="1:24">
      <c r="A211" s="172"/>
      <c r="B211" s="199"/>
      <c r="C211" s="173"/>
      <c r="D211" s="173"/>
      <c r="E211" s="173"/>
      <c r="F211" s="174"/>
      <c r="G211" s="175"/>
      <c r="H211" s="176"/>
      <c r="I211" s="177"/>
      <c r="J211" s="178"/>
      <c r="K211" s="179"/>
      <c r="L211" s="180"/>
      <c r="M211" s="156"/>
      <c r="N211" s="157"/>
      <c r="O211" s="181"/>
      <c r="P211" s="200"/>
      <c r="Q211" s="202"/>
      <c r="R211" s="182"/>
      <c r="S211" s="110"/>
      <c r="T211" s="110"/>
      <c r="U211" s="110"/>
      <c r="V211" s="110"/>
      <c r="W211" s="110"/>
      <c r="X211" s="110"/>
    </row>
    <row r="212" ht="16.5" spans="1:24">
      <c r="A212" s="172"/>
      <c r="B212" s="199"/>
      <c r="C212" s="173"/>
      <c r="D212" s="173"/>
      <c r="E212" s="173"/>
      <c r="F212" s="174"/>
      <c r="G212" s="175"/>
      <c r="H212" s="176"/>
      <c r="I212" s="177"/>
      <c r="J212" s="178"/>
      <c r="K212" s="179"/>
      <c r="L212" s="180"/>
      <c r="M212" s="156"/>
      <c r="N212" s="157"/>
      <c r="O212" s="181"/>
      <c r="P212" s="200"/>
      <c r="Q212" s="202"/>
      <c r="R212" s="182"/>
      <c r="S212" s="110"/>
      <c r="T212" s="110"/>
      <c r="U212" s="110"/>
      <c r="V212" s="110"/>
      <c r="W212" s="110"/>
      <c r="X212" s="110"/>
    </row>
    <row r="213" ht="16.5" spans="1:24">
      <c r="A213" s="172"/>
      <c r="B213" s="199"/>
      <c r="C213" s="173"/>
      <c r="D213" s="173"/>
      <c r="E213" s="173"/>
      <c r="F213" s="174"/>
      <c r="G213" s="175"/>
      <c r="H213" s="176"/>
      <c r="I213" s="177"/>
      <c r="J213" s="178"/>
      <c r="K213" s="179"/>
      <c r="L213" s="180"/>
      <c r="M213" s="156"/>
      <c r="N213" s="157"/>
      <c r="O213" s="181"/>
      <c r="P213" s="200"/>
      <c r="Q213" s="202"/>
      <c r="R213" s="182"/>
      <c r="S213" s="110"/>
      <c r="T213" s="110"/>
      <c r="U213" s="110"/>
      <c r="V213" s="110"/>
      <c r="W213" s="110"/>
      <c r="X213" s="110"/>
    </row>
    <row r="214" ht="16.5" spans="1:24">
      <c r="A214" s="172"/>
      <c r="B214" s="199"/>
      <c r="C214" s="173"/>
      <c r="D214" s="173"/>
      <c r="E214" s="173"/>
      <c r="F214" s="174"/>
      <c r="G214" s="175"/>
      <c r="H214" s="176"/>
      <c r="I214" s="177"/>
      <c r="J214" s="178"/>
      <c r="K214" s="179"/>
      <c r="L214" s="180"/>
      <c r="M214" s="156"/>
      <c r="N214" s="157"/>
      <c r="O214" s="181"/>
      <c r="P214" s="200"/>
      <c r="Q214" s="202"/>
      <c r="R214" s="182"/>
      <c r="S214" s="110"/>
      <c r="T214" s="110"/>
      <c r="U214" s="110"/>
      <c r="V214" s="110"/>
      <c r="W214" s="110"/>
      <c r="X214" s="110"/>
    </row>
    <row r="215" ht="16.5" spans="1:24">
      <c r="A215" s="172"/>
      <c r="B215" s="199"/>
      <c r="C215" s="173"/>
      <c r="D215" s="173"/>
      <c r="E215" s="173"/>
      <c r="F215" s="174"/>
      <c r="G215" s="175"/>
      <c r="H215" s="176"/>
      <c r="I215" s="177"/>
      <c r="J215" s="178"/>
      <c r="K215" s="179"/>
      <c r="L215" s="180"/>
      <c r="M215" s="156"/>
      <c r="N215" s="157"/>
      <c r="O215" s="181"/>
      <c r="P215" s="200"/>
      <c r="Q215" s="202"/>
      <c r="R215" s="182"/>
      <c r="S215" s="110"/>
      <c r="T215" s="110"/>
      <c r="U215" s="110"/>
      <c r="V215" s="110"/>
      <c r="W215" s="110"/>
      <c r="X215" s="110"/>
    </row>
    <row r="216" ht="16.5" spans="1:24">
      <c r="A216" s="172"/>
      <c r="B216" s="199"/>
      <c r="C216" s="173"/>
      <c r="D216" s="173"/>
      <c r="E216" s="173"/>
      <c r="F216" s="174"/>
      <c r="G216" s="175"/>
      <c r="H216" s="176"/>
      <c r="I216" s="177"/>
      <c r="J216" s="178"/>
      <c r="K216" s="179"/>
      <c r="L216" s="180"/>
      <c r="M216" s="156"/>
      <c r="N216" s="157"/>
      <c r="O216" s="181"/>
      <c r="P216" s="200"/>
      <c r="Q216" s="202"/>
      <c r="R216" s="182"/>
      <c r="S216" s="110"/>
      <c r="T216" s="110"/>
      <c r="U216" s="110"/>
      <c r="V216" s="110"/>
      <c r="W216" s="110"/>
      <c r="X216" s="110"/>
    </row>
    <row r="217" ht="16.5" spans="1:24">
      <c r="A217" s="172"/>
      <c r="B217" s="199"/>
      <c r="C217" s="173"/>
      <c r="D217" s="173"/>
      <c r="E217" s="173"/>
      <c r="F217" s="174"/>
      <c r="G217" s="175"/>
      <c r="H217" s="176"/>
      <c r="I217" s="177"/>
      <c r="J217" s="178"/>
      <c r="K217" s="179"/>
      <c r="L217" s="180"/>
      <c r="M217" s="156"/>
      <c r="N217" s="157"/>
      <c r="O217" s="181"/>
      <c r="P217" s="200"/>
      <c r="Q217" s="202"/>
      <c r="R217" s="182"/>
      <c r="S217" s="110"/>
      <c r="T217" s="110"/>
      <c r="U217" s="110"/>
      <c r="V217" s="110"/>
      <c r="W217" s="110"/>
      <c r="X217" s="110"/>
    </row>
    <row r="218" ht="16.5" spans="1:24">
      <c r="A218" s="172"/>
      <c r="B218" s="199"/>
      <c r="C218" s="173"/>
      <c r="D218" s="173"/>
      <c r="E218" s="173"/>
      <c r="F218" s="174"/>
      <c r="G218" s="175"/>
      <c r="H218" s="176"/>
      <c r="I218" s="177"/>
      <c r="J218" s="178"/>
      <c r="K218" s="179"/>
      <c r="L218" s="180"/>
      <c r="M218" s="156"/>
      <c r="N218" s="157"/>
      <c r="O218" s="181"/>
      <c r="P218" s="200"/>
      <c r="Q218" s="202"/>
      <c r="R218" s="182"/>
      <c r="S218" s="110"/>
      <c r="T218" s="110"/>
      <c r="U218" s="110"/>
      <c r="V218" s="110"/>
      <c r="W218" s="110"/>
      <c r="X218" s="110"/>
    </row>
    <row r="219" ht="16.5" spans="1:24">
      <c r="A219" s="172"/>
      <c r="B219" s="199"/>
      <c r="C219" s="173"/>
      <c r="D219" s="173"/>
      <c r="E219" s="173"/>
      <c r="F219" s="174"/>
      <c r="G219" s="175"/>
      <c r="H219" s="176"/>
      <c r="I219" s="177"/>
      <c r="J219" s="178"/>
      <c r="K219" s="179"/>
      <c r="L219" s="180"/>
      <c r="M219" s="156"/>
      <c r="N219" s="157"/>
      <c r="O219" s="181"/>
      <c r="P219" s="200"/>
      <c r="Q219" s="202"/>
      <c r="R219" s="182"/>
      <c r="S219" s="110"/>
      <c r="T219" s="110"/>
      <c r="U219" s="110"/>
      <c r="V219" s="110"/>
      <c r="W219" s="110"/>
      <c r="X219" s="110"/>
    </row>
    <row r="220" ht="16.5" spans="1:24">
      <c r="A220" s="172"/>
      <c r="B220" s="199"/>
      <c r="C220" s="173"/>
      <c r="D220" s="173"/>
      <c r="E220" s="173"/>
      <c r="F220" s="174"/>
      <c r="G220" s="175"/>
      <c r="H220" s="176"/>
      <c r="I220" s="177"/>
      <c r="J220" s="178"/>
      <c r="K220" s="179"/>
      <c r="L220" s="180"/>
      <c r="M220" s="156"/>
      <c r="N220" s="157"/>
      <c r="O220" s="181"/>
      <c r="P220" s="200"/>
      <c r="Q220" s="202"/>
      <c r="R220" s="182"/>
      <c r="S220" s="110"/>
      <c r="T220" s="110"/>
      <c r="U220" s="110"/>
      <c r="V220" s="110"/>
      <c r="W220" s="110"/>
      <c r="X220" s="110"/>
    </row>
    <row r="221" ht="16.5" spans="1:24">
      <c r="A221" s="172"/>
      <c r="B221" s="199"/>
      <c r="C221" s="173"/>
      <c r="D221" s="173"/>
      <c r="E221" s="173"/>
      <c r="F221" s="174"/>
      <c r="G221" s="175"/>
      <c r="H221" s="176"/>
      <c r="I221" s="177"/>
      <c r="J221" s="178"/>
      <c r="K221" s="179"/>
      <c r="L221" s="180"/>
      <c r="M221" s="156"/>
      <c r="N221" s="157"/>
      <c r="O221" s="181"/>
      <c r="P221" s="200"/>
      <c r="Q221" s="202"/>
      <c r="R221" s="182"/>
      <c r="S221" s="110"/>
      <c r="T221" s="110"/>
      <c r="U221" s="110"/>
      <c r="V221" s="110"/>
      <c r="W221" s="110"/>
      <c r="X221" s="110"/>
    </row>
    <row r="222" ht="16.5" spans="1:24">
      <c r="A222" s="172"/>
      <c r="B222" s="199"/>
      <c r="C222" s="173"/>
      <c r="D222" s="173"/>
      <c r="E222" s="173"/>
      <c r="F222" s="174"/>
      <c r="G222" s="175"/>
      <c r="H222" s="176"/>
      <c r="I222" s="177"/>
      <c r="J222" s="178"/>
      <c r="K222" s="179"/>
      <c r="L222" s="180"/>
      <c r="M222" s="156"/>
      <c r="N222" s="157"/>
      <c r="O222" s="181"/>
      <c r="P222" s="200"/>
      <c r="Q222" s="202"/>
      <c r="R222" s="182"/>
      <c r="S222" s="110"/>
      <c r="T222" s="110"/>
      <c r="U222" s="110"/>
      <c r="V222" s="110"/>
      <c r="W222" s="110"/>
      <c r="X222" s="110"/>
    </row>
    <row r="223" ht="16.5" spans="1:24">
      <c r="A223" s="172"/>
      <c r="B223" s="199"/>
      <c r="C223" s="173"/>
      <c r="D223" s="173"/>
      <c r="E223" s="173"/>
      <c r="F223" s="174"/>
      <c r="G223" s="175"/>
      <c r="H223" s="176"/>
      <c r="I223" s="177"/>
      <c r="J223" s="178"/>
      <c r="K223" s="179"/>
      <c r="L223" s="180"/>
      <c r="M223" s="156"/>
      <c r="N223" s="157"/>
      <c r="O223" s="181"/>
      <c r="P223" s="200"/>
      <c r="Q223" s="202"/>
      <c r="R223" s="182"/>
      <c r="S223" s="110"/>
      <c r="T223" s="110"/>
      <c r="U223" s="110"/>
      <c r="V223" s="110"/>
      <c r="W223" s="110"/>
      <c r="X223" s="110"/>
    </row>
    <row r="224" ht="16.5" spans="1:24">
      <c r="A224" s="172"/>
      <c r="B224" s="199"/>
      <c r="C224" s="173"/>
      <c r="D224" s="173"/>
      <c r="E224" s="173"/>
      <c r="F224" s="174"/>
      <c r="G224" s="175"/>
      <c r="H224" s="176"/>
      <c r="I224" s="177"/>
      <c r="J224" s="178"/>
      <c r="K224" s="179"/>
      <c r="L224" s="180"/>
      <c r="M224" s="156"/>
      <c r="N224" s="157"/>
      <c r="O224" s="181"/>
      <c r="P224" s="200"/>
      <c r="Q224" s="202"/>
      <c r="R224" s="182"/>
      <c r="S224" s="110"/>
      <c r="T224" s="110"/>
      <c r="U224" s="110"/>
      <c r="V224" s="110"/>
      <c r="W224" s="110"/>
      <c r="X224" s="110"/>
    </row>
    <row r="225" ht="16.5" spans="1:24">
      <c r="A225" s="172"/>
      <c r="B225" s="199"/>
      <c r="C225" s="173"/>
      <c r="D225" s="173"/>
      <c r="E225" s="173"/>
      <c r="F225" s="174"/>
      <c r="G225" s="175"/>
      <c r="H225" s="176"/>
      <c r="I225" s="177"/>
      <c r="J225" s="178"/>
      <c r="K225" s="179"/>
      <c r="L225" s="180"/>
      <c r="M225" s="156"/>
      <c r="N225" s="157"/>
      <c r="O225" s="181"/>
      <c r="P225" s="200"/>
      <c r="Q225" s="202"/>
      <c r="R225" s="182"/>
      <c r="S225" s="110"/>
      <c r="T225" s="110"/>
      <c r="U225" s="110"/>
      <c r="V225" s="110"/>
      <c r="W225" s="110"/>
      <c r="X225" s="110"/>
    </row>
    <row r="226" ht="16.5" spans="1:24">
      <c r="A226" s="172"/>
      <c r="B226" s="199"/>
      <c r="C226" s="173"/>
      <c r="D226" s="173"/>
      <c r="E226" s="173"/>
      <c r="F226" s="174"/>
      <c r="G226" s="175"/>
      <c r="H226" s="176"/>
      <c r="I226" s="177"/>
      <c r="J226" s="178"/>
      <c r="K226" s="179"/>
      <c r="L226" s="180"/>
      <c r="M226" s="156"/>
      <c r="N226" s="157"/>
      <c r="O226" s="181"/>
      <c r="P226" s="200"/>
      <c r="Q226" s="202"/>
      <c r="R226" s="182"/>
      <c r="S226" s="110"/>
      <c r="T226" s="110"/>
      <c r="U226" s="110"/>
      <c r="V226" s="110"/>
      <c r="W226" s="110"/>
      <c r="X226" s="110"/>
    </row>
    <row r="227" ht="16.5" spans="1:24">
      <c r="A227" s="172"/>
      <c r="B227" s="199"/>
      <c r="C227" s="173"/>
      <c r="D227" s="173"/>
      <c r="E227" s="173"/>
      <c r="F227" s="174"/>
      <c r="G227" s="175"/>
      <c r="H227" s="176"/>
      <c r="I227" s="177"/>
      <c r="J227" s="178"/>
      <c r="K227" s="179"/>
      <c r="L227" s="180"/>
      <c r="M227" s="156"/>
      <c r="N227" s="157"/>
      <c r="O227" s="181"/>
      <c r="P227" s="200"/>
      <c r="Q227" s="202"/>
      <c r="R227" s="182"/>
      <c r="S227" s="110"/>
      <c r="T227" s="110"/>
      <c r="U227" s="110"/>
      <c r="V227" s="110"/>
      <c r="W227" s="110"/>
      <c r="X227" s="110"/>
    </row>
    <row r="228" ht="16.5" spans="1:24">
      <c r="A228" s="172"/>
      <c r="B228" s="199"/>
      <c r="C228" s="173"/>
      <c r="D228" s="173"/>
      <c r="E228" s="173"/>
      <c r="F228" s="174"/>
      <c r="G228" s="175"/>
      <c r="H228" s="176"/>
      <c r="I228" s="177"/>
      <c r="J228" s="178"/>
      <c r="K228" s="179"/>
      <c r="L228" s="180"/>
      <c r="M228" s="156"/>
      <c r="N228" s="157"/>
      <c r="O228" s="181"/>
      <c r="P228" s="200"/>
      <c r="Q228" s="202"/>
      <c r="R228" s="182"/>
      <c r="S228" s="110"/>
      <c r="T228" s="110"/>
      <c r="U228" s="110"/>
      <c r="V228" s="110"/>
      <c r="W228" s="110"/>
      <c r="X228" s="110"/>
    </row>
    <row r="229" ht="16.5" spans="1:24">
      <c r="A229" s="172"/>
      <c r="B229" s="199"/>
      <c r="C229" s="173"/>
      <c r="D229" s="173"/>
      <c r="E229" s="173"/>
      <c r="F229" s="174"/>
      <c r="G229" s="175"/>
      <c r="H229" s="176"/>
      <c r="I229" s="177"/>
      <c r="J229" s="178"/>
      <c r="K229" s="179"/>
      <c r="L229" s="180"/>
      <c r="M229" s="156"/>
      <c r="N229" s="157"/>
      <c r="O229" s="181"/>
      <c r="P229" s="200"/>
      <c r="Q229" s="202"/>
      <c r="R229" s="182"/>
      <c r="S229" s="110"/>
      <c r="T229" s="110"/>
      <c r="U229" s="110"/>
      <c r="V229" s="110"/>
      <c r="W229" s="110"/>
      <c r="X229" s="110"/>
    </row>
    <row r="230" ht="16.5" spans="1:24">
      <c r="A230" s="172"/>
      <c r="B230" s="199"/>
      <c r="C230" s="173"/>
      <c r="D230" s="173"/>
      <c r="E230" s="173"/>
      <c r="F230" s="174"/>
      <c r="G230" s="175"/>
      <c r="H230" s="176"/>
      <c r="I230" s="177"/>
      <c r="J230" s="178"/>
      <c r="K230" s="179"/>
      <c r="L230" s="180"/>
      <c r="M230" s="156"/>
      <c r="N230" s="157"/>
      <c r="O230" s="181"/>
      <c r="P230" s="200"/>
      <c r="Q230" s="202"/>
      <c r="R230" s="182"/>
      <c r="S230" s="110"/>
      <c r="T230" s="110"/>
      <c r="U230" s="110"/>
      <c r="V230" s="110"/>
      <c r="W230" s="110"/>
      <c r="X230" s="110"/>
    </row>
    <row r="231" ht="16.5" spans="1:24">
      <c r="A231" s="172"/>
      <c r="B231" s="199"/>
      <c r="C231" s="173"/>
      <c r="D231" s="173"/>
      <c r="E231" s="173"/>
      <c r="F231" s="174"/>
      <c r="G231" s="175"/>
      <c r="H231" s="176"/>
      <c r="I231" s="177"/>
      <c r="J231" s="178"/>
      <c r="K231" s="179"/>
      <c r="L231" s="180"/>
      <c r="M231" s="156"/>
      <c r="N231" s="157"/>
      <c r="O231" s="181"/>
      <c r="P231" s="200"/>
      <c r="Q231" s="202"/>
      <c r="R231" s="182"/>
      <c r="S231" s="110"/>
      <c r="T231" s="110"/>
      <c r="U231" s="110"/>
      <c r="V231" s="110"/>
      <c r="W231" s="110"/>
      <c r="X231" s="110"/>
    </row>
    <row r="232" ht="16.5" spans="1:24">
      <c r="A232" s="172"/>
      <c r="B232" s="199"/>
      <c r="C232" s="173"/>
      <c r="D232" s="173"/>
      <c r="E232" s="173"/>
      <c r="F232" s="174"/>
      <c r="G232" s="175"/>
      <c r="H232" s="176"/>
      <c r="I232" s="177"/>
      <c r="J232" s="178"/>
      <c r="K232" s="179"/>
      <c r="L232" s="180"/>
      <c r="M232" s="156"/>
      <c r="N232" s="157"/>
      <c r="O232" s="181"/>
      <c r="P232" s="200"/>
      <c r="Q232" s="202"/>
      <c r="R232" s="182"/>
      <c r="S232" s="110"/>
      <c r="T232" s="110"/>
      <c r="U232" s="110"/>
      <c r="V232" s="110"/>
      <c r="W232" s="110"/>
      <c r="X232" s="110"/>
    </row>
    <row r="233" ht="16.5" spans="1:24">
      <c r="A233" s="172"/>
      <c r="B233" s="199"/>
      <c r="C233" s="173"/>
      <c r="D233" s="173"/>
      <c r="E233" s="173"/>
      <c r="F233" s="174"/>
      <c r="G233" s="175"/>
      <c r="H233" s="176"/>
      <c r="I233" s="177"/>
      <c r="J233" s="178"/>
      <c r="K233" s="179"/>
      <c r="L233" s="180"/>
      <c r="M233" s="156"/>
      <c r="N233" s="157"/>
      <c r="O233" s="181"/>
      <c r="P233" s="200"/>
      <c r="Q233" s="202"/>
      <c r="R233" s="182"/>
      <c r="S233" s="110"/>
      <c r="T233" s="110"/>
      <c r="U233" s="110"/>
      <c r="V233" s="110"/>
      <c r="W233" s="110"/>
      <c r="X233" s="110"/>
    </row>
    <row r="234" ht="16.5" spans="1:24">
      <c r="A234" s="172"/>
      <c r="B234" s="199"/>
      <c r="C234" s="173"/>
      <c r="D234" s="173"/>
      <c r="E234" s="173"/>
      <c r="F234" s="174"/>
      <c r="G234" s="175"/>
      <c r="H234" s="176"/>
      <c r="I234" s="177"/>
      <c r="J234" s="178"/>
      <c r="K234" s="179"/>
      <c r="L234" s="180"/>
      <c r="M234" s="156"/>
      <c r="N234" s="157"/>
      <c r="O234" s="181"/>
      <c r="P234" s="200"/>
      <c r="Q234" s="202"/>
      <c r="R234" s="182"/>
      <c r="S234" s="110"/>
      <c r="T234" s="110"/>
      <c r="U234" s="110"/>
      <c r="V234" s="110"/>
      <c r="W234" s="110"/>
      <c r="X234" s="110"/>
    </row>
    <row r="235" ht="16.5" spans="1:24">
      <c r="A235" s="172"/>
      <c r="B235" s="199"/>
      <c r="C235" s="173"/>
      <c r="D235" s="173"/>
      <c r="E235" s="173"/>
      <c r="F235" s="174"/>
      <c r="G235" s="175"/>
      <c r="H235" s="176"/>
      <c r="I235" s="177"/>
      <c r="J235" s="178"/>
      <c r="K235" s="179"/>
      <c r="L235" s="180"/>
      <c r="M235" s="156"/>
      <c r="N235" s="157"/>
      <c r="O235" s="181"/>
      <c r="P235" s="200"/>
      <c r="Q235" s="202"/>
      <c r="R235" s="182"/>
      <c r="S235" s="110"/>
      <c r="T235" s="110"/>
      <c r="U235" s="110"/>
      <c r="V235" s="110"/>
      <c r="W235" s="110"/>
      <c r="X235" s="110"/>
    </row>
    <row r="236" ht="16.5" spans="1:24">
      <c r="A236" s="172"/>
      <c r="B236" s="199"/>
      <c r="C236" s="173"/>
      <c r="D236" s="173"/>
      <c r="E236" s="173"/>
      <c r="F236" s="174"/>
      <c r="G236" s="175"/>
      <c r="H236" s="176"/>
      <c r="I236" s="177"/>
      <c r="J236" s="178"/>
      <c r="K236" s="179"/>
      <c r="L236" s="180"/>
      <c r="M236" s="156"/>
      <c r="N236" s="157"/>
      <c r="O236" s="181"/>
      <c r="P236" s="200"/>
      <c r="Q236" s="202"/>
      <c r="R236" s="182"/>
      <c r="S236" s="110"/>
      <c r="T236" s="110"/>
      <c r="U236" s="110"/>
      <c r="V236" s="110"/>
      <c r="W236" s="110"/>
      <c r="X236" s="110"/>
    </row>
    <row r="237" ht="16.5" spans="1:24">
      <c r="A237" s="172"/>
      <c r="B237" s="199"/>
      <c r="C237" s="173"/>
      <c r="D237" s="173"/>
      <c r="E237" s="173"/>
      <c r="F237" s="174"/>
      <c r="G237" s="175"/>
      <c r="H237" s="176"/>
      <c r="I237" s="177"/>
      <c r="J237" s="178"/>
      <c r="K237" s="179"/>
      <c r="L237" s="180"/>
      <c r="M237" s="156"/>
      <c r="N237" s="157"/>
      <c r="O237" s="181"/>
      <c r="P237" s="200"/>
      <c r="Q237" s="202"/>
      <c r="R237" s="182"/>
      <c r="S237" s="110"/>
      <c r="T237" s="110"/>
      <c r="U237" s="110"/>
      <c r="V237" s="110"/>
      <c r="W237" s="110"/>
      <c r="X237" s="110"/>
    </row>
    <row r="238" ht="16.5" spans="1:24">
      <c r="A238" s="172"/>
      <c r="B238" s="199"/>
      <c r="C238" s="173"/>
      <c r="D238" s="173"/>
      <c r="E238" s="173"/>
      <c r="F238" s="174"/>
      <c r="G238" s="175"/>
      <c r="H238" s="176"/>
      <c r="I238" s="177"/>
      <c r="J238" s="178"/>
      <c r="K238" s="179"/>
      <c r="L238" s="180"/>
      <c r="M238" s="156"/>
      <c r="N238" s="157"/>
      <c r="O238" s="181"/>
      <c r="P238" s="200"/>
      <c r="Q238" s="202"/>
      <c r="R238" s="182"/>
      <c r="S238" s="110"/>
      <c r="T238" s="110"/>
      <c r="U238" s="110"/>
      <c r="V238" s="110"/>
      <c r="W238" s="110"/>
      <c r="X238" s="110"/>
    </row>
    <row r="239" ht="16.5" spans="1:24">
      <c r="A239" s="172"/>
      <c r="B239" s="199"/>
      <c r="C239" s="173"/>
      <c r="D239" s="173"/>
      <c r="E239" s="173"/>
      <c r="F239" s="174"/>
      <c r="G239" s="175"/>
      <c r="H239" s="176"/>
      <c r="I239" s="177"/>
      <c r="J239" s="178"/>
      <c r="K239" s="179"/>
      <c r="L239" s="180"/>
      <c r="M239" s="156"/>
      <c r="N239" s="157"/>
      <c r="O239" s="181"/>
      <c r="P239" s="200"/>
      <c r="Q239" s="202"/>
      <c r="R239" s="182"/>
      <c r="S239" s="110"/>
      <c r="T239" s="110"/>
      <c r="U239" s="110"/>
      <c r="V239" s="110"/>
      <c r="W239" s="110"/>
      <c r="X239" s="110"/>
    </row>
    <row r="240" ht="16.5" spans="1:24">
      <c r="A240" s="172"/>
      <c r="B240" s="199"/>
      <c r="C240" s="173"/>
      <c r="D240" s="173"/>
      <c r="E240" s="173"/>
      <c r="F240" s="174"/>
      <c r="G240" s="175"/>
      <c r="H240" s="176"/>
      <c r="I240" s="177"/>
      <c r="J240" s="178"/>
      <c r="K240" s="179"/>
      <c r="L240" s="180"/>
      <c r="M240" s="156"/>
      <c r="N240" s="157"/>
      <c r="O240" s="181"/>
      <c r="P240" s="200"/>
      <c r="Q240" s="202"/>
      <c r="R240" s="182"/>
      <c r="S240" s="110"/>
      <c r="T240" s="110"/>
      <c r="U240" s="110"/>
      <c r="V240" s="110"/>
      <c r="W240" s="110"/>
      <c r="X240" s="110"/>
    </row>
    <row r="241" ht="16.5" spans="1:24">
      <c r="A241" s="172"/>
      <c r="B241" s="199"/>
      <c r="C241" s="173"/>
      <c r="D241" s="173"/>
      <c r="E241" s="173"/>
      <c r="F241" s="174"/>
      <c r="G241" s="175"/>
      <c r="H241" s="176"/>
      <c r="I241" s="177"/>
      <c r="J241" s="178"/>
      <c r="K241" s="179"/>
      <c r="L241" s="180"/>
      <c r="M241" s="156"/>
      <c r="N241" s="157"/>
      <c r="O241" s="181"/>
      <c r="P241" s="200"/>
      <c r="Q241" s="202"/>
      <c r="R241" s="182"/>
      <c r="S241" s="110"/>
      <c r="T241" s="110"/>
      <c r="U241" s="110"/>
      <c r="V241" s="110"/>
      <c r="W241" s="110"/>
      <c r="X241" s="110"/>
    </row>
    <row r="242" ht="16.5" spans="1:24">
      <c r="A242" s="172"/>
      <c r="B242" s="199"/>
      <c r="C242" s="173"/>
      <c r="D242" s="173"/>
      <c r="E242" s="173"/>
      <c r="F242" s="174"/>
      <c r="G242" s="175"/>
      <c r="H242" s="176"/>
      <c r="I242" s="177"/>
      <c r="J242" s="178"/>
      <c r="K242" s="179"/>
      <c r="L242" s="180"/>
      <c r="M242" s="156"/>
      <c r="N242" s="157"/>
      <c r="O242" s="181"/>
      <c r="P242" s="200"/>
      <c r="Q242" s="202"/>
      <c r="R242" s="182"/>
      <c r="S242" s="110"/>
      <c r="T242" s="110"/>
      <c r="U242" s="110"/>
      <c r="V242" s="110"/>
      <c r="W242" s="110"/>
      <c r="X242" s="110"/>
    </row>
    <row r="243" ht="16.5" spans="1:24">
      <c r="A243" s="172"/>
      <c r="B243" s="199"/>
      <c r="C243" s="173"/>
      <c r="D243" s="173"/>
      <c r="E243" s="173"/>
      <c r="F243" s="174"/>
      <c r="G243" s="175"/>
      <c r="H243" s="176"/>
      <c r="I243" s="177"/>
      <c r="J243" s="178"/>
      <c r="K243" s="179"/>
      <c r="L243" s="180"/>
      <c r="M243" s="156"/>
      <c r="N243" s="157"/>
      <c r="O243" s="181"/>
      <c r="P243" s="200"/>
      <c r="Q243" s="202"/>
      <c r="R243" s="182"/>
      <c r="S243" s="110"/>
      <c r="T243" s="110"/>
      <c r="U243" s="110"/>
      <c r="V243" s="110"/>
      <c r="W243" s="110"/>
      <c r="X243" s="110"/>
    </row>
    <row r="244" ht="16.5" spans="1:24">
      <c r="A244" s="172"/>
      <c r="B244" s="199"/>
      <c r="C244" s="173"/>
      <c r="D244" s="173"/>
      <c r="E244" s="173"/>
      <c r="F244" s="174"/>
      <c r="G244" s="175"/>
      <c r="H244" s="176"/>
      <c r="I244" s="177"/>
      <c r="J244" s="178"/>
      <c r="K244" s="179"/>
      <c r="L244" s="180"/>
      <c r="M244" s="156"/>
      <c r="N244" s="157"/>
      <c r="O244" s="181"/>
      <c r="P244" s="200"/>
      <c r="Q244" s="202"/>
      <c r="R244" s="182"/>
      <c r="S244" s="110"/>
      <c r="T244" s="110"/>
      <c r="U244" s="110"/>
      <c r="V244" s="110"/>
      <c r="W244" s="110"/>
      <c r="X244" s="110"/>
    </row>
    <row r="245" ht="16.5" spans="1:24">
      <c r="A245" s="172"/>
      <c r="B245" s="199"/>
      <c r="C245" s="173"/>
      <c r="D245" s="173"/>
      <c r="E245" s="173"/>
      <c r="F245" s="174"/>
      <c r="G245" s="175"/>
      <c r="H245" s="176"/>
      <c r="I245" s="177"/>
      <c r="J245" s="178"/>
      <c r="K245" s="179"/>
      <c r="L245" s="180"/>
      <c r="M245" s="156"/>
      <c r="N245" s="157"/>
      <c r="O245" s="181"/>
      <c r="P245" s="200"/>
      <c r="Q245" s="202"/>
      <c r="R245" s="182"/>
      <c r="S245" s="110"/>
      <c r="T245" s="110"/>
      <c r="U245" s="110"/>
      <c r="V245" s="110"/>
      <c r="W245" s="110"/>
      <c r="X245" s="110"/>
    </row>
    <row r="246" ht="16.5" spans="1:24">
      <c r="A246" s="172"/>
      <c r="B246" s="199"/>
      <c r="C246" s="173"/>
      <c r="D246" s="173"/>
      <c r="E246" s="173"/>
      <c r="F246" s="174"/>
      <c r="G246" s="175"/>
      <c r="H246" s="176"/>
      <c r="I246" s="177"/>
      <c r="J246" s="178"/>
      <c r="K246" s="179"/>
      <c r="L246" s="180"/>
      <c r="M246" s="156"/>
      <c r="N246" s="157"/>
      <c r="O246" s="181"/>
      <c r="P246" s="200"/>
      <c r="Q246" s="202"/>
      <c r="R246" s="182"/>
      <c r="S246" s="110"/>
      <c r="T246" s="110"/>
      <c r="U246" s="110"/>
      <c r="V246" s="110"/>
      <c r="W246" s="110"/>
      <c r="X246" s="110"/>
    </row>
    <row r="247" ht="16.5" spans="1:24">
      <c r="A247" s="172"/>
      <c r="B247" s="199"/>
      <c r="C247" s="173"/>
      <c r="D247" s="173"/>
      <c r="E247" s="173"/>
      <c r="F247" s="174"/>
      <c r="G247" s="175"/>
      <c r="H247" s="176"/>
      <c r="I247" s="177"/>
      <c r="J247" s="178"/>
      <c r="K247" s="179"/>
      <c r="L247" s="180"/>
      <c r="M247" s="156"/>
      <c r="N247" s="157"/>
      <c r="O247" s="181"/>
      <c r="P247" s="200"/>
      <c r="Q247" s="202"/>
      <c r="R247" s="182"/>
      <c r="S247" s="110"/>
      <c r="T247" s="110"/>
      <c r="U247" s="110"/>
      <c r="V247" s="110"/>
      <c r="W247" s="110"/>
      <c r="X247" s="110"/>
    </row>
    <row r="248" ht="16.5" spans="1:24">
      <c r="A248" s="172"/>
      <c r="B248" s="199"/>
      <c r="C248" s="173"/>
      <c r="D248" s="173"/>
      <c r="E248" s="173"/>
      <c r="F248" s="174"/>
      <c r="G248" s="175"/>
      <c r="H248" s="176"/>
      <c r="I248" s="177"/>
      <c r="J248" s="178"/>
      <c r="K248" s="179"/>
      <c r="L248" s="180"/>
      <c r="M248" s="156"/>
      <c r="N248" s="157"/>
      <c r="O248" s="181"/>
      <c r="P248" s="200"/>
      <c r="Q248" s="202"/>
      <c r="R248" s="182"/>
      <c r="S248" s="110"/>
      <c r="T248" s="110"/>
      <c r="U248" s="110"/>
      <c r="V248" s="110"/>
      <c r="W248" s="110"/>
      <c r="X248" s="110"/>
    </row>
    <row r="249" ht="16.5" spans="1:24">
      <c r="A249" s="172"/>
      <c r="B249" s="199"/>
      <c r="C249" s="173"/>
      <c r="D249" s="173"/>
      <c r="E249" s="173"/>
      <c r="F249" s="174"/>
      <c r="G249" s="175"/>
      <c r="H249" s="176"/>
      <c r="I249" s="177"/>
      <c r="J249" s="178"/>
      <c r="K249" s="179"/>
      <c r="L249" s="180"/>
      <c r="M249" s="156"/>
      <c r="N249" s="157"/>
      <c r="O249" s="181"/>
      <c r="P249" s="200"/>
      <c r="Q249" s="202"/>
      <c r="R249" s="182"/>
      <c r="S249" s="110"/>
      <c r="T249" s="110"/>
      <c r="U249" s="110"/>
      <c r="V249" s="110"/>
      <c r="W249" s="110"/>
      <c r="X249" s="110"/>
    </row>
    <row r="250" ht="16.5" spans="1:24">
      <c r="A250" s="172"/>
      <c r="B250" s="199"/>
      <c r="C250" s="173"/>
      <c r="D250" s="173"/>
      <c r="E250" s="173"/>
      <c r="F250" s="174"/>
      <c r="G250" s="175"/>
      <c r="H250" s="176"/>
      <c r="I250" s="177"/>
      <c r="J250" s="178"/>
      <c r="K250" s="179"/>
      <c r="L250" s="180"/>
      <c r="M250" s="156"/>
      <c r="N250" s="157"/>
      <c r="O250" s="181"/>
      <c r="P250" s="200"/>
      <c r="Q250" s="202"/>
      <c r="R250" s="182"/>
      <c r="S250" s="110"/>
      <c r="T250" s="110"/>
      <c r="U250" s="110"/>
      <c r="V250" s="110"/>
      <c r="W250" s="110"/>
      <c r="X250" s="110"/>
    </row>
    <row r="251" ht="16.5" spans="1:24">
      <c r="A251" s="172"/>
      <c r="B251" s="199"/>
      <c r="C251" s="173"/>
      <c r="D251" s="173"/>
      <c r="E251" s="173"/>
      <c r="F251" s="174"/>
      <c r="G251" s="175"/>
      <c r="H251" s="176"/>
      <c r="I251" s="177"/>
      <c r="J251" s="178"/>
      <c r="K251" s="179"/>
      <c r="L251" s="180"/>
      <c r="M251" s="156"/>
      <c r="N251" s="157"/>
      <c r="O251" s="181"/>
      <c r="P251" s="200"/>
      <c r="Q251" s="202"/>
      <c r="R251" s="182"/>
      <c r="S251" s="110"/>
      <c r="T251" s="110"/>
      <c r="U251" s="110"/>
      <c r="V251" s="110"/>
      <c r="W251" s="110"/>
      <c r="X251" s="110"/>
    </row>
    <row r="252" ht="16.5" spans="1:24">
      <c r="A252" s="172"/>
      <c r="B252" s="199"/>
      <c r="C252" s="173"/>
      <c r="D252" s="173"/>
      <c r="E252" s="173"/>
      <c r="F252" s="174"/>
      <c r="G252" s="175"/>
      <c r="H252" s="176"/>
      <c r="I252" s="177"/>
      <c r="J252" s="178"/>
      <c r="K252" s="179"/>
      <c r="L252" s="180"/>
      <c r="M252" s="156"/>
      <c r="N252" s="157"/>
      <c r="O252" s="181"/>
      <c r="P252" s="200"/>
      <c r="Q252" s="202"/>
      <c r="R252" s="182"/>
      <c r="S252" s="110"/>
      <c r="T252" s="110"/>
      <c r="U252" s="110"/>
      <c r="V252" s="110"/>
      <c r="W252" s="110"/>
      <c r="X252" s="110"/>
    </row>
    <row r="253" ht="16.5" spans="1:24">
      <c r="A253" s="172"/>
      <c r="B253" s="199"/>
      <c r="C253" s="173"/>
      <c r="D253" s="173"/>
      <c r="E253" s="173"/>
      <c r="F253" s="174"/>
      <c r="G253" s="175"/>
      <c r="H253" s="176"/>
      <c r="I253" s="177"/>
      <c r="J253" s="178"/>
      <c r="K253" s="179"/>
      <c r="L253" s="180"/>
      <c r="M253" s="156"/>
      <c r="N253" s="157"/>
      <c r="O253" s="181"/>
      <c r="P253" s="200"/>
      <c r="Q253" s="202"/>
      <c r="R253" s="182"/>
      <c r="S253" s="110"/>
      <c r="T253" s="110"/>
      <c r="U253" s="110"/>
      <c r="V253" s="110"/>
      <c r="W253" s="110"/>
      <c r="X253" s="110"/>
    </row>
    <row r="254" ht="16.5" spans="1:24">
      <c r="A254" s="172"/>
      <c r="B254" s="199"/>
      <c r="C254" s="173"/>
      <c r="D254" s="173"/>
      <c r="E254" s="173"/>
      <c r="F254" s="174"/>
      <c r="G254" s="175"/>
      <c r="H254" s="176"/>
      <c r="I254" s="177"/>
      <c r="J254" s="178"/>
      <c r="K254" s="179"/>
      <c r="L254" s="180"/>
      <c r="M254" s="156"/>
      <c r="N254" s="157"/>
      <c r="O254" s="181"/>
      <c r="P254" s="200"/>
      <c r="Q254" s="202"/>
      <c r="R254" s="182"/>
      <c r="S254" s="110"/>
      <c r="T254" s="110"/>
      <c r="U254" s="110"/>
      <c r="V254" s="110"/>
      <c r="W254" s="110"/>
      <c r="X254" s="110"/>
    </row>
    <row r="255" ht="16.5" spans="1:24">
      <c r="A255" s="172"/>
      <c r="B255" s="199"/>
      <c r="C255" s="173"/>
      <c r="D255" s="173"/>
      <c r="E255" s="173"/>
      <c r="F255" s="174"/>
      <c r="G255" s="175"/>
      <c r="H255" s="176"/>
      <c r="I255" s="177"/>
      <c r="J255" s="178"/>
      <c r="K255" s="179"/>
      <c r="L255" s="180"/>
      <c r="M255" s="156"/>
      <c r="N255" s="157"/>
      <c r="O255" s="181"/>
      <c r="P255" s="200"/>
      <c r="Q255" s="202"/>
      <c r="R255" s="182"/>
      <c r="S255" s="110"/>
      <c r="T255" s="110"/>
      <c r="U255" s="110"/>
      <c r="V255" s="110"/>
      <c r="W255" s="110"/>
      <c r="X255" s="110"/>
    </row>
    <row r="256" ht="16.5" spans="1:24">
      <c r="A256" s="172"/>
      <c r="B256" s="199"/>
      <c r="C256" s="173"/>
      <c r="D256" s="173"/>
      <c r="E256" s="173"/>
      <c r="F256" s="174"/>
      <c r="G256" s="175"/>
      <c r="H256" s="176"/>
      <c r="I256" s="177"/>
      <c r="J256" s="178"/>
      <c r="K256" s="179"/>
      <c r="L256" s="180"/>
      <c r="M256" s="156"/>
      <c r="N256" s="157"/>
      <c r="O256" s="181"/>
      <c r="P256" s="200"/>
      <c r="Q256" s="202"/>
      <c r="R256" s="182"/>
      <c r="S256" s="110"/>
      <c r="T256" s="110"/>
      <c r="U256" s="110"/>
      <c r="V256" s="110"/>
      <c r="W256" s="110"/>
      <c r="X256" s="110"/>
    </row>
    <row r="257" ht="16.5" spans="1:24">
      <c r="A257" s="172"/>
      <c r="B257" s="199"/>
      <c r="C257" s="173"/>
      <c r="D257" s="173"/>
      <c r="E257" s="173"/>
      <c r="F257" s="174"/>
      <c r="G257" s="175"/>
      <c r="H257" s="176"/>
      <c r="I257" s="177"/>
      <c r="J257" s="178"/>
      <c r="K257" s="179"/>
      <c r="L257" s="180"/>
      <c r="M257" s="156"/>
      <c r="N257" s="157"/>
      <c r="O257" s="181"/>
      <c r="P257" s="200"/>
      <c r="Q257" s="202"/>
      <c r="R257" s="182"/>
      <c r="S257" s="110"/>
      <c r="T257" s="110"/>
      <c r="U257" s="110"/>
      <c r="V257" s="110"/>
      <c r="W257" s="110"/>
      <c r="X257" s="110"/>
    </row>
    <row r="258" ht="16.5" spans="1:24">
      <c r="A258" s="172"/>
      <c r="B258" s="199"/>
      <c r="C258" s="173"/>
      <c r="D258" s="173"/>
      <c r="E258" s="173"/>
      <c r="F258" s="174"/>
      <c r="G258" s="175"/>
      <c r="H258" s="176"/>
      <c r="I258" s="177"/>
      <c r="J258" s="178"/>
      <c r="K258" s="179"/>
      <c r="L258" s="180"/>
      <c r="M258" s="156"/>
      <c r="N258" s="157"/>
      <c r="O258" s="181"/>
      <c r="P258" s="200"/>
      <c r="Q258" s="202"/>
      <c r="R258" s="182"/>
      <c r="S258" s="110"/>
      <c r="T258" s="110"/>
      <c r="U258" s="110"/>
      <c r="V258" s="110"/>
      <c r="W258" s="110"/>
      <c r="X258" s="110"/>
    </row>
    <row r="259" ht="16.5" spans="1:24">
      <c r="A259" s="172"/>
      <c r="B259" s="199"/>
      <c r="C259" s="173"/>
      <c r="D259" s="173"/>
      <c r="E259" s="173"/>
      <c r="F259" s="174"/>
      <c r="G259" s="175"/>
      <c r="H259" s="176"/>
      <c r="I259" s="177"/>
      <c r="J259" s="178"/>
      <c r="K259" s="179"/>
      <c r="L259" s="180"/>
      <c r="M259" s="156"/>
      <c r="N259" s="157"/>
      <c r="O259" s="181"/>
      <c r="P259" s="200"/>
      <c r="Q259" s="202"/>
      <c r="R259" s="182"/>
      <c r="S259" s="110"/>
      <c r="T259" s="110"/>
      <c r="U259" s="110"/>
      <c r="V259" s="110"/>
      <c r="W259" s="110"/>
      <c r="X259" s="110"/>
    </row>
    <row r="260" ht="16.5" spans="1:24">
      <c r="A260" s="172"/>
      <c r="B260" s="199"/>
      <c r="C260" s="173"/>
      <c r="D260" s="173"/>
      <c r="E260" s="173"/>
      <c r="F260" s="174"/>
      <c r="G260" s="175"/>
      <c r="H260" s="176"/>
      <c r="I260" s="177"/>
      <c r="J260" s="178"/>
      <c r="K260" s="179"/>
      <c r="L260" s="180"/>
      <c r="M260" s="156"/>
      <c r="N260" s="157"/>
      <c r="O260" s="181"/>
      <c r="P260" s="200"/>
      <c r="Q260" s="202"/>
      <c r="R260" s="182"/>
      <c r="S260" s="110"/>
      <c r="T260" s="110"/>
      <c r="U260" s="110"/>
      <c r="V260" s="110"/>
      <c r="W260" s="110"/>
      <c r="X260" s="110"/>
    </row>
    <row r="261" ht="16.5" spans="1:24">
      <c r="A261" s="172"/>
      <c r="B261" s="199"/>
      <c r="C261" s="173"/>
      <c r="D261" s="173"/>
      <c r="E261" s="173"/>
      <c r="F261" s="174"/>
      <c r="G261" s="175"/>
      <c r="H261" s="176"/>
      <c r="I261" s="177"/>
      <c r="J261" s="178"/>
      <c r="K261" s="179"/>
      <c r="L261" s="180"/>
      <c r="M261" s="156"/>
      <c r="N261" s="157"/>
      <c r="O261" s="181"/>
      <c r="P261" s="200"/>
      <c r="Q261" s="202"/>
      <c r="R261" s="182"/>
      <c r="S261" s="110"/>
      <c r="T261" s="110"/>
      <c r="U261" s="110"/>
      <c r="V261" s="110"/>
      <c r="W261" s="110"/>
      <c r="X261" s="110"/>
    </row>
    <row r="262" ht="16.5" spans="1:24">
      <c r="A262" s="172"/>
      <c r="B262" s="199"/>
      <c r="C262" s="173"/>
      <c r="D262" s="173"/>
      <c r="E262" s="173"/>
      <c r="F262" s="174"/>
      <c r="G262" s="175"/>
      <c r="H262" s="176"/>
      <c r="I262" s="177"/>
      <c r="J262" s="178"/>
      <c r="K262" s="179"/>
      <c r="L262" s="180"/>
      <c r="M262" s="156"/>
      <c r="N262" s="157"/>
      <c r="O262" s="181"/>
      <c r="P262" s="200"/>
      <c r="Q262" s="202"/>
      <c r="R262" s="182"/>
      <c r="S262" s="110"/>
      <c r="T262" s="110"/>
      <c r="U262" s="110"/>
      <c r="V262" s="110"/>
      <c r="W262" s="110"/>
      <c r="X262" s="110"/>
    </row>
    <row r="263" ht="16.5" spans="1:24">
      <c r="A263" s="172"/>
      <c r="B263" s="199"/>
      <c r="C263" s="173"/>
      <c r="D263" s="173"/>
      <c r="E263" s="173"/>
      <c r="F263" s="174"/>
      <c r="G263" s="175"/>
      <c r="H263" s="176"/>
      <c r="I263" s="177"/>
      <c r="J263" s="178"/>
      <c r="K263" s="179"/>
      <c r="L263" s="180"/>
      <c r="M263" s="156"/>
      <c r="N263" s="157"/>
      <c r="O263" s="181"/>
      <c r="P263" s="200"/>
      <c r="Q263" s="202"/>
      <c r="R263" s="182"/>
      <c r="S263" s="110"/>
      <c r="T263" s="110"/>
      <c r="U263" s="110"/>
      <c r="V263" s="110"/>
      <c r="W263" s="110"/>
      <c r="X263" s="110"/>
    </row>
    <row r="264" ht="16.5" spans="1:24">
      <c r="A264" s="172"/>
      <c r="B264" s="199"/>
      <c r="C264" s="173"/>
      <c r="D264" s="173"/>
      <c r="E264" s="173"/>
      <c r="F264" s="174"/>
      <c r="G264" s="175"/>
      <c r="H264" s="176"/>
      <c r="I264" s="177"/>
      <c r="J264" s="178"/>
      <c r="K264" s="179"/>
      <c r="L264" s="180"/>
      <c r="M264" s="156"/>
      <c r="N264" s="157"/>
      <c r="O264" s="181"/>
      <c r="P264" s="200"/>
      <c r="Q264" s="202"/>
      <c r="R264" s="182"/>
      <c r="S264" s="110"/>
      <c r="T264" s="110"/>
      <c r="U264" s="110"/>
      <c r="V264" s="110"/>
      <c r="W264" s="110"/>
      <c r="X264" s="110"/>
    </row>
    <row r="265" ht="16.5" spans="1:24">
      <c r="A265" s="172"/>
      <c r="B265" s="199"/>
      <c r="C265" s="173"/>
      <c r="D265" s="173"/>
      <c r="E265" s="173"/>
      <c r="F265" s="174"/>
      <c r="G265" s="175"/>
      <c r="H265" s="176"/>
      <c r="I265" s="177"/>
      <c r="J265" s="178"/>
      <c r="K265" s="179"/>
      <c r="L265" s="180"/>
      <c r="M265" s="156"/>
      <c r="N265" s="157"/>
      <c r="O265" s="181"/>
      <c r="P265" s="200"/>
      <c r="Q265" s="202"/>
      <c r="R265" s="182"/>
      <c r="S265" s="110"/>
      <c r="T265" s="110"/>
      <c r="U265" s="110"/>
      <c r="V265" s="110"/>
      <c r="W265" s="110"/>
      <c r="X265" s="110"/>
    </row>
    <row r="266" ht="16.5" spans="1:24">
      <c r="A266" s="172"/>
      <c r="B266" s="199"/>
      <c r="C266" s="173"/>
      <c r="D266" s="173"/>
      <c r="E266" s="173"/>
      <c r="F266" s="174"/>
      <c r="G266" s="175"/>
      <c r="H266" s="176"/>
      <c r="I266" s="177"/>
      <c r="J266" s="178"/>
      <c r="K266" s="179"/>
      <c r="L266" s="180"/>
      <c r="M266" s="156"/>
      <c r="N266" s="157"/>
      <c r="O266" s="181"/>
      <c r="P266" s="200"/>
      <c r="Q266" s="202"/>
      <c r="R266" s="182"/>
      <c r="S266" s="110"/>
      <c r="T266" s="110"/>
      <c r="U266" s="110"/>
      <c r="V266" s="110"/>
      <c r="W266" s="110"/>
      <c r="X266" s="110"/>
    </row>
    <row r="267" ht="16.5" spans="1:24">
      <c r="A267" s="172"/>
      <c r="B267" s="199"/>
      <c r="C267" s="173"/>
      <c r="D267" s="173"/>
      <c r="E267" s="173"/>
      <c r="F267" s="174"/>
      <c r="G267" s="175"/>
      <c r="H267" s="176"/>
      <c r="I267" s="177"/>
      <c r="J267" s="178"/>
      <c r="K267" s="179"/>
      <c r="L267" s="180"/>
      <c r="M267" s="156"/>
      <c r="N267" s="157"/>
      <c r="O267" s="181"/>
      <c r="P267" s="200"/>
      <c r="Q267" s="202"/>
      <c r="R267" s="182"/>
      <c r="S267" s="110"/>
      <c r="T267" s="110"/>
      <c r="U267" s="110"/>
      <c r="V267" s="110"/>
      <c r="W267" s="110"/>
      <c r="X267" s="110"/>
    </row>
    <row r="268" ht="16.5" spans="1:24">
      <c r="A268" s="172"/>
      <c r="B268" s="199"/>
      <c r="C268" s="173"/>
      <c r="D268" s="173"/>
      <c r="E268" s="173"/>
      <c r="F268" s="174"/>
      <c r="G268" s="175"/>
      <c r="H268" s="176"/>
      <c r="I268" s="177"/>
      <c r="J268" s="178"/>
      <c r="K268" s="179"/>
      <c r="L268" s="180"/>
      <c r="M268" s="156"/>
      <c r="N268" s="157"/>
      <c r="O268" s="181"/>
      <c r="P268" s="200"/>
      <c r="Q268" s="202"/>
      <c r="R268" s="182"/>
      <c r="S268" s="110"/>
      <c r="T268" s="110"/>
      <c r="U268" s="110"/>
      <c r="V268" s="110"/>
      <c r="W268" s="110"/>
      <c r="X268" s="110"/>
    </row>
    <row r="269" ht="16.5" spans="1:24">
      <c r="A269" s="172"/>
      <c r="B269" s="199"/>
      <c r="C269" s="173"/>
      <c r="D269" s="173"/>
      <c r="E269" s="173"/>
      <c r="F269" s="174"/>
      <c r="G269" s="175"/>
      <c r="H269" s="176"/>
      <c r="I269" s="177"/>
      <c r="J269" s="178"/>
      <c r="K269" s="179"/>
      <c r="L269" s="180"/>
      <c r="M269" s="156"/>
      <c r="N269" s="157"/>
      <c r="O269" s="181"/>
      <c r="P269" s="200"/>
      <c r="Q269" s="202"/>
      <c r="R269" s="182"/>
      <c r="S269" s="110"/>
      <c r="T269" s="110"/>
      <c r="U269" s="110"/>
      <c r="V269" s="110"/>
      <c r="W269" s="110"/>
      <c r="X269" s="110"/>
    </row>
    <row r="270" ht="16.5" spans="1:24">
      <c r="A270" s="172"/>
      <c r="B270" s="199"/>
      <c r="C270" s="173"/>
      <c r="D270" s="173"/>
      <c r="E270" s="173"/>
      <c r="F270" s="174"/>
      <c r="G270" s="175"/>
      <c r="H270" s="176"/>
      <c r="I270" s="177"/>
      <c r="J270" s="178"/>
      <c r="K270" s="179"/>
      <c r="L270" s="180"/>
      <c r="M270" s="156"/>
      <c r="N270" s="157"/>
      <c r="O270" s="181"/>
      <c r="P270" s="200"/>
      <c r="Q270" s="202"/>
      <c r="R270" s="182"/>
      <c r="S270" s="110"/>
      <c r="T270" s="110"/>
      <c r="U270" s="110"/>
      <c r="V270" s="110"/>
      <c r="W270" s="110"/>
      <c r="X270" s="110"/>
    </row>
    <row r="271" ht="16.5" spans="1:24">
      <c r="A271" s="172"/>
      <c r="B271" s="199"/>
      <c r="C271" s="173"/>
      <c r="D271" s="173"/>
      <c r="E271" s="173"/>
      <c r="F271" s="174"/>
      <c r="G271" s="175"/>
      <c r="H271" s="176"/>
      <c r="I271" s="177"/>
      <c r="J271" s="178"/>
      <c r="K271" s="179"/>
      <c r="L271" s="180"/>
      <c r="M271" s="156"/>
      <c r="N271" s="157"/>
      <c r="O271" s="181"/>
      <c r="P271" s="200"/>
      <c r="Q271" s="202"/>
      <c r="R271" s="182"/>
      <c r="S271" s="110"/>
      <c r="T271" s="110"/>
      <c r="U271" s="110"/>
      <c r="V271" s="110"/>
      <c r="W271" s="110"/>
      <c r="X271" s="110"/>
    </row>
  </sheetData>
  <mergeCells count="196">
    <mergeCell ref="M10:N10"/>
    <mergeCell ref="A10:A11"/>
    <mergeCell ref="A12:A15"/>
    <mergeCell ref="A16:A19"/>
    <mergeCell ref="A20:A23"/>
    <mergeCell ref="A24:A27"/>
    <mergeCell ref="A28:A31"/>
    <mergeCell ref="A32:A35"/>
    <mergeCell ref="A36:A39"/>
    <mergeCell ref="A40:A43"/>
    <mergeCell ref="A44:A47"/>
    <mergeCell ref="A48:A51"/>
    <mergeCell ref="A52:A55"/>
    <mergeCell ref="A56:A59"/>
    <mergeCell ref="A60:A63"/>
    <mergeCell ref="A64:A67"/>
    <mergeCell ref="A68:A71"/>
    <mergeCell ref="B10:B11"/>
    <mergeCell ref="B12:B15"/>
    <mergeCell ref="B16:B19"/>
    <mergeCell ref="B20:B23"/>
    <mergeCell ref="B24:B27"/>
    <mergeCell ref="B28:B31"/>
    <mergeCell ref="B32:B35"/>
    <mergeCell ref="B36:B39"/>
    <mergeCell ref="B40:B43"/>
    <mergeCell ref="B44:B47"/>
    <mergeCell ref="B48:B51"/>
    <mergeCell ref="B52:B55"/>
    <mergeCell ref="B56:B59"/>
    <mergeCell ref="B60:B63"/>
    <mergeCell ref="B64:B67"/>
    <mergeCell ref="B68:B71"/>
    <mergeCell ref="C10:C11"/>
    <mergeCell ref="C12:C15"/>
    <mergeCell ref="C16:C19"/>
    <mergeCell ref="C20:C23"/>
    <mergeCell ref="C24:C27"/>
    <mergeCell ref="C28:C31"/>
    <mergeCell ref="C32:C35"/>
    <mergeCell ref="C36:C39"/>
    <mergeCell ref="C40:C43"/>
    <mergeCell ref="C44:C47"/>
    <mergeCell ref="C48:C51"/>
    <mergeCell ref="C52:C55"/>
    <mergeCell ref="C56:C59"/>
    <mergeCell ref="C60:C63"/>
    <mergeCell ref="C64:C67"/>
    <mergeCell ref="C68:C71"/>
    <mergeCell ref="D10:D11"/>
    <mergeCell ref="D12:D15"/>
    <mergeCell ref="D16:D19"/>
    <mergeCell ref="D20:D23"/>
    <mergeCell ref="D24:D27"/>
    <mergeCell ref="D28:D31"/>
    <mergeCell ref="D32:D35"/>
    <mergeCell ref="D36:D39"/>
    <mergeCell ref="D40:D43"/>
    <mergeCell ref="D44:D47"/>
    <mergeCell ref="D48:D51"/>
    <mergeCell ref="D52:D55"/>
    <mergeCell ref="D56:D59"/>
    <mergeCell ref="D60:D63"/>
    <mergeCell ref="D64:D67"/>
    <mergeCell ref="D68:D71"/>
    <mergeCell ref="E10:E11"/>
    <mergeCell ref="E12:E15"/>
    <mergeCell ref="E16:E19"/>
    <mergeCell ref="E20:E23"/>
    <mergeCell ref="E24:E27"/>
    <mergeCell ref="E28:E31"/>
    <mergeCell ref="E32:E35"/>
    <mergeCell ref="E36:E39"/>
    <mergeCell ref="E40:E43"/>
    <mergeCell ref="E44:E47"/>
    <mergeCell ref="E48:E51"/>
    <mergeCell ref="E52:E55"/>
    <mergeCell ref="E56:E59"/>
    <mergeCell ref="E60:E63"/>
    <mergeCell ref="E64:E67"/>
    <mergeCell ref="E68:E71"/>
    <mergeCell ref="F10:F11"/>
    <mergeCell ref="F12:F15"/>
    <mergeCell ref="F16:F19"/>
    <mergeCell ref="F20:F23"/>
    <mergeCell ref="F24:F27"/>
    <mergeCell ref="F28:F31"/>
    <mergeCell ref="F32:F35"/>
    <mergeCell ref="F36:F39"/>
    <mergeCell ref="F40:F43"/>
    <mergeCell ref="F44:F47"/>
    <mergeCell ref="F48:F51"/>
    <mergeCell ref="F52:F55"/>
    <mergeCell ref="F56:F59"/>
    <mergeCell ref="F60:F63"/>
    <mergeCell ref="F64:F67"/>
    <mergeCell ref="F68:F71"/>
    <mergeCell ref="G10:G11"/>
    <mergeCell ref="G12:G15"/>
    <mergeCell ref="G16:G19"/>
    <mergeCell ref="G20:G23"/>
    <mergeCell ref="G24:G27"/>
    <mergeCell ref="G28:G31"/>
    <mergeCell ref="G32:G35"/>
    <mergeCell ref="G36:G39"/>
    <mergeCell ref="G40:G43"/>
    <mergeCell ref="G44:G47"/>
    <mergeCell ref="G48:G51"/>
    <mergeCell ref="G52:G55"/>
    <mergeCell ref="G56:G59"/>
    <mergeCell ref="G60:G63"/>
    <mergeCell ref="G64:G67"/>
    <mergeCell ref="G68:G71"/>
    <mergeCell ref="H10:H11"/>
    <mergeCell ref="H12:H15"/>
    <mergeCell ref="H16:H19"/>
    <mergeCell ref="H20:H23"/>
    <mergeCell ref="H24:H27"/>
    <mergeCell ref="H28:H31"/>
    <mergeCell ref="H32:H35"/>
    <mergeCell ref="H36:H39"/>
    <mergeCell ref="H40:H43"/>
    <mergeCell ref="H44:H47"/>
    <mergeCell ref="H48:H51"/>
    <mergeCell ref="H52:H55"/>
    <mergeCell ref="H56:H59"/>
    <mergeCell ref="H60:H63"/>
    <mergeCell ref="H64:H67"/>
    <mergeCell ref="H68:H71"/>
    <mergeCell ref="I10:I11"/>
    <mergeCell ref="I12:I15"/>
    <mergeCell ref="I16:I19"/>
    <mergeCell ref="I20:I23"/>
    <mergeCell ref="I24:I27"/>
    <mergeCell ref="I28:I31"/>
    <mergeCell ref="I32:I35"/>
    <mergeCell ref="I36:I39"/>
    <mergeCell ref="I40:I43"/>
    <mergeCell ref="I44:I47"/>
    <mergeCell ref="I48:I51"/>
    <mergeCell ref="I52:I55"/>
    <mergeCell ref="I56:I59"/>
    <mergeCell ref="I60:I63"/>
    <mergeCell ref="I64:I67"/>
    <mergeCell ref="I68:I71"/>
    <mergeCell ref="J10:J11"/>
    <mergeCell ref="J12:J15"/>
    <mergeCell ref="J16:J19"/>
    <mergeCell ref="J20:J23"/>
    <mergeCell ref="J24:J27"/>
    <mergeCell ref="J28:J31"/>
    <mergeCell ref="J32:J35"/>
    <mergeCell ref="J36:J39"/>
    <mergeCell ref="J40:J43"/>
    <mergeCell ref="J44:J47"/>
    <mergeCell ref="J48:J51"/>
    <mergeCell ref="J52:J55"/>
    <mergeCell ref="J56:J59"/>
    <mergeCell ref="J60:J63"/>
    <mergeCell ref="J64:J67"/>
    <mergeCell ref="J68:J71"/>
    <mergeCell ref="K10:K11"/>
    <mergeCell ref="L10:L11"/>
    <mergeCell ref="O10:O11"/>
    <mergeCell ref="O12:O15"/>
    <mergeCell ref="O16:O19"/>
    <mergeCell ref="O20:O23"/>
    <mergeCell ref="O24:O27"/>
    <mergeCell ref="O28:O31"/>
    <mergeCell ref="O32:O35"/>
    <mergeCell ref="O36:O39"/>
    <mergeCell ref="O40:O43"/>
    <mergeCell ref="O44:O47"/>
    <mergeCell ref="O48:O51"/>
    <mergeCell ref="O52:O55"/>
    <mergeCell ref="O56:O59"/>
    <mergeCell ref="O60:O63"/>
    <mergeCell ref="O64:O67"/>
    <mergeCell ref="O68:O71"/>
    <mergeCell ref="P10:P11"/>
    <mergeCell ref="P12:P27"/>
    <mergeCell ref="P28:P55"/>
    <mergeCell ref="P56:P63"/>
    <mergeCell ref="P64:P71"/>
    <mergeCell ref="Q10:Q11"/>
    <mergeCell ref="Q12:Q63"/>
    <mergeCell ref="R10:R11"/>
    <mergeCell ref="R12:R15"/>
    <mergeCell ref="R16:R23"/>
    <mergeCell ref="R24:R31"/>
    <mergeCell ref="R32:R39"/>
    <mergeCell ref="R40:R47"/>
    <mergeCell ref="R48:R55"/>
    <mergeCell ref="R56:R63"/>
    <mergeCell ref="R64:R71"/>
    <mergeCell ref="A1:J9"/>
  </mergeCells>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W235"/>
  <sheetViews>
    <sheetView workbookViewId="0">
      <selection activeCell="A1" sqref="A1:J1"/>
    </sheetView>
  </sheetViews>
  <sheetFormatPr defaultColWidth="9" defaultRowHeight="15.75"/>
  <cols>
    <col min="1" max="1" width="14.7083333333333" customWidth="1"/>
    <col min="2" max="2" width="19.6583333333333" customWidth="1"/>
    <col min="3" max="3" width="12.7916666666667" customWidth="1"/>
    <col min="4" max="4" width="16.8416666666667" customWidth="1"/>
    <col min="5" max="5" width="12.45" customWidth="1"/>
    <col min="6" max="6" width="11.2083333333333" customWidth="1"/>
    <col min="7" max="7" width="11.6583333333333" customWidth="1"/>
    <col min="8" max="8" width="12.3416666666667" customWidth="1"/>
    <col min="9" max="9" width="12.1166666666667" customWidth="1"/>
    <col min="10" max="11" width="11.2083333333333" customWidth="1"/>
    <col min="12" max="12" width="15.3833333333333" customWidth="1"/>
    <col min="13" max="14" width="16.5083333333333" customWidth="1"/>
    <col min="15" max="15" width="12.1166666666667" customWidth="1"/>
    <col min="16" max="17" width="11.2083333333333" customWidth="1"/>
    <col min="18" max="18" width="15.8333333333333" customWidth="1"/>
    <col min="19" max="20" width="11.2083333333333" customWidth="1"/>
    <col min="21" max="21" width="17.4083333333333" customWidth="1"/>
    <col min="22" max="23" width="11.2083333333333" customWidth="1"/>
    <col min="24" max="24" width="13.125" customWidth="1"/>
    <col min="25" max="36" width="11.2083333333333" customWidth="1"/>
    <col min="37" max="37" width="15.0416666666667" customWidth="1"/>
    <col min="38" max="39" width="11.2083333333333" customWidth="1"/>
    <col min="40" max="40" width="13.9166666666667" customWidth="1"/>
    <col min="41" max="53" width="11.2083333333333" customWidth="1"/>
    <col min="54" max="54" width="16.1666666666667" customWidth="1"/>
    <col min="55" max="55" width="11.2083333333333" customWidth="1"/>
    <col min="56" max="56" width="14.8166666666667" customWidth="1"/>
    <col min="57" max="75" width="11.2083333333333" customWidth="1"/>
  </cols>
  <sheetData>
    <row r="1" ht="14.9" customHeight="1" spans="1:75">
      <c r="A1" s="40" t="s">
        <v>452</v>
      </c>
      <c r="B1" s="40"/>
      <c r="C1" s="40"/>
      <c r="D1" s="40"/>
      <c r="E1" s="40"/>
      <c r="F1" s="40"/>
      <c r="G1" s="40"/>
      <c r="H1" s="40"/>
      <c r="I1" s="40"/>
      <c r="J1" s="40"/>
      <c r="K1" s="40"/>
      <c r="L1" s="41" t="s">
        <v>453</v>
      </c>
      <c r="M1" s="42"/>
      <c r="N1" s="42"/>
      <c r="O1" s="43"/>
      <c r="P1" s="43"/>
      <c r="Q1" s="43"/>
      <c r="R1" s="43"/>
      <c r="S1" s="44"/>
      <c r="T1" s="44"/>
      <c r="U1" s="44"/>
      <c r="V1" s="44"/>
      <c r="W1" s="43"/>
      <c r="X1" s="44"/>
      <c r="Y1" s="44"/>
      <c r="Z1" s="44"/>
      <c r="AA1" s="44"/>
      <c r="AB1" s="45" t="s">
        <v>454</v>
      </c>
      <c r="AC1" s="46"/>
      <c r="AD1" s="46"/>
      <c r="AE1" s="47"/>
      <c r="AF1" s="47"/>
      <c r="AG1" s="47"/>
      <c r="AH1" s="47"/>
      <c r="AI1" s="47"/>
      <c r="AJ1" s="47"/>
      <c r="AK1" s="47"/>
      <c r="AL1" s="47"/>
      <c r="AM1" s="47"/>
      <c r="AN1" s="47"/>
      <c r="AO1" s="47"/>
      <c r="AP1" s="47"/>
      <c r="AQ1" s="47"/>
      <c r="AR1" s="48" t="s">
        <v>455</v>
      </c>
      <c r="AS1" s="49"/>
      <c r="AT1" s="50"/>
      <c r="AU1" s="50"/>
      <c r="AV1" s="50"/>
      <c r="AW1" s="50"/>
      <c r="AX1" s="50"/>
      <c r="AY1" s="50"/>
      <c r="AZ1" s="50"/>
      <c r="BA1" s="50"/>
      <c r="BB1" s="50"/>
      <c r="BC1" s="50"/>
      <c r="BD1" s="50"/>
      <c r="BE1" s="50"/>
      <c r="BF1" s="50"/>
      <c r="BG1" s="50"/>
      <c r="BH1" s="51" t="s">
        <v>456</v>
      </c>
      <c r="BI1" s="52"/>
      <c r="BJ1" s="53"/>
      <c r="BK1" s="53"/>
      <c r="BL1" s="53"/>
      <c r="BM1" s="53"/>
      <c r="BN1" s="53"/>
      <c r="BO1" s="53"/>
      <c r="BP1" s="53"/>
      <c r="BQ1" s="53"/>
      <c r="BR1" s="53"/>
      <c r="BS1" s="53"/>
      <c r="BT1" s="53"/>
      <c r="BU1" s="53"/>
      <c r="BV1" s="53"/>
      <c r="BW1" s="53"/>
    </row>
    <row r="2" ht="43.45" customHeight="1" spans="1:75">
      <c r="A2" s="54" t="s">
        <v>457</v>
      </c>
      <c r="B2" s="54" t="s">
        <v>458</v>
      </c>
      <c r="C2" s="54" t="s">
        <v>459</v>
      </c>
      <c r="D2" s="54" t="s">
        <v>460</v>
      </c>
      <c r="E2" s="54" t="s">
        <v>461</v>
      </c>
      <c r="F2" s="55" t="s">
        <v>462</v>
      </c>
      <c r="G2" s="55" t="s">
        <v>463</v>
      </c>
      <c r="H2" s="54" t="s">
        <v>464</v>
      </c>
      <c r="I2" s="54" t="s">
        <v>465</v>
      </c>
      <c r="J2" s="56" t="s">
        <v>466</v>
      </c>
      <c r="K2" s="56" t="s">
        <v>467</v>
      </c>
      <c r="L2" s="57" t="s">
        <v>468</v>
      </c>
      <c r="M2" s="57" t="s">
        <v>347</v>
      </c>
      <c r="N2" s="58" t="s">
        <v>469</v>
      </c>
      <c r="O2" s="59" t="s">
        <v>470</v>
      </c>
      <c r="P2" s="59" t="s">
        <v>471</v>
      </c>
      <c r="Q2" s="59" t="s">
        <v>472</v>
      </c>
      <c r="R2" s="59" t="s">
        <v>473</v>
      </c>
      <c r="S2" s="57" t="s">
        <v>474</v>
      </c>
      <c r="T2" s="57" t="s">
        <v>420</v>
      </c>
      <c r="U2" s="57" t="s">
        <v>475</v>
      </c>
      <c r="V2" s="57" t="s">
        <v>467</v>
      </c>
      <c r="W2" s="59" t="s">
        <v>476</v>
      </c>
      <c r="X2" s="57" t="s">
        <v>477</v>
      </c>
      <c r="Y2" s="57" t="s">
        <v>478</v>
      </c>
      <c r="Z2" s="57" t="s">
        <v>479</v>
      </c>
      <c r="AA2" s="44" t="s">
        <v>480</v>
      </c>
      <c r="AB2" s="60" t="s">
        <v>207</v>
      </c>
      <c r="AC2" s="60" t="s">
        <v>347</v>
      </c>
      <c r="AD2" s="60" t="s">
        <v>469</v>
      </c>
      <c r="AE2" s="60" t="s">
        <v>470</v>
      </c>
      <c r="AF2" s="60" t="s">
        <v>471</v>
      </c>
      <c r="AG2" s="60" t="s">
        <v>472</v>
      </c>
      <c r="AH2" s="60" t="s">
        <v>473</v>
      </c>
      <c r="AI2" s="60" t="s">
        <v>474</v>
      </c>
      <c r="AJ2" s="60" t="s">
        <v>420</v>
      </c>
      <c r="AK2" s="60" t="s">
        <v>475</v>
      </c>
      <c r="AL2" s="60" t="s">
        <v>481</v>
      </c>
      <c r="AM2" s="60" t="s">
        <v>476</v>
      </c>
      <c r="AN2" s="60" t="s">
        <v>482</v>
      </c>
      <c r="AO2" s="60" t="s">
        <v>478</v>
      </c>
      <c r="AP2" s="60" t="s">
        <v>479</v>
      </c>
      <c r="AQ2" s="60" t="s">
        <v>480</v>
      </c>
      <c r="AR2" s="61" t="s">
        <v>207</v>
      </c>
      <c r="AS2" s="61" t="s">
        <v>347</v>
      </c>
      <c r="AT2" s="61" t="s">
        <v>469</v>
      </c>
      <c r="AU2" s="61" t="s">
        <v>470</v>
      </c>
      <c r="AV2" s="61" t="s">
        <v>471</v>
      </c>
      <c r="AW2" s="61" t="s">
        <v>472</v>
      </c>
      <c r="AX2" s="61" t="s">
        <v>473</v>
      </c>
      <c r="AY2" s="61" t="s">
        <v>474</v>
      </c>
      <c r="AZ2" s="61" t="s">
        <v>420</v>
      </c>
      <c r="BA2" s="61" t="s">
        <v>475</v>
      </c>
      <c r="BB2" s="61" t="s">
        <v>467</v>
      </c>
      <c r="BC2" s="61" t="s">
        <v>476</v>
      </c>
      <c r="BD2" s="61" t="s">
        <v>482</v>
      </c>
      <c r="BE2" s="61" t="s">
        <v>478</v>
      </c>
      <c r="BF2" s="61" t="s">
        <v>483</v>
      </c>
      <c r="BG2" s="61" t="s">
        <v>480</v>
      </c>
      <c r="BH2" s="62" t="s">
        <v>207</v>
      </c>
      <c r="BI2" s="62" t="s">
        <v>347</v>
      </c>
      <c r="BJ2" s="62" t="s">
        <v>469</v>
      </c>
      <c r="BK2" s="62" t="s">
        <v>470</v>
      </c>
      <c r="BL2" s="62" t="s">
        <v>59</v>
      </c>
      <c r="BM2" s="62" t="s">
        <v>472</v>
      </c>
      <c r="BN2" s="62" t="s">
        <v>473</v>
      </c>
      <c r="BO2" s="62" t="s">
        <v>474</v>
      </c>
      <c r="BP2" s="62" t="s">
        <v>420</v>
      </c>
      <c r="BQ2" s="62" t="s">
        <v>475</v>
      </c>
      <c r="BR2" s="62" t="s">
        <v>467</v>
      </c>
      <c r="BS2" s="62" t="s">
        <v>476</v>
      </c>
      <c r="BT2" s="62" t="s">
        <v>484</v>
      </c>
      <c r="BU2" s="62" t="s">
        <v>478</v>
      </c>
      <c r="BV2" s="62" t="s">
        <v>485</v>
      </c>
      <c r="BW2" s="62" t="s">
        <v>480</v>
      </c>
    </row>
    <row r="3" ht="14.9" customHeight="1" spans="1:75">
      <c r="A3" s="63" t="s">
        <v>486</v>
      </c>
      <c r="B3" s="63" t="s">
        <v>487</v>
      </c>
      <c r="C3" s="64" t="s">
        <v>488</v>
      </c>
      <c r="D3" s="65" t="s">
        <v>489</v>
      </c>
      <c r="E3" s="66">
        <v>0.15</v>
      </c>
      <c r="F3" s="66">
        <v>0.07</v>
      </c>
      <c r="G3" s="67">
        <v>0.15</v>
      </c>
      <c r="H3" s="68">
        <f t="shared" ref="H3:H6" si="0">122.56/7.4</f>
        <v>16.5621621621622</v>
      </c>
      <c r="I3" s="68">
        <v>5.69</v>
      </c>
      <c r="J3" s="68">
        <f t="shared" ref="J3:J6" si="1">(H3+I3)*F3</f>
        <v>1.55765135135135</v>
      </c>
      <c r="K3" s="68">
        <v>0.16</v>
      </c>
      <c r="L3" s="63" t="s">
        <v>487</v>
      </c>
      <c r="M3" s="69">
        <v>109.99</v>
      </c>
      <c r="N3" s="70">
        <v>450</v>
      </c>
      <c r="O3" s="71">
        <f t="shared" ref="O3:O6" si="2">M3*N3</f>
        <v>49495.5</v>
      </c>
      <c r="P3" s="71">
        <f t="shared" ref="P3:P6" si="3">$H3*N3</f>
        <v>7452.97297297297</v>
      </c>
      <c r="Q3" s="71">
        <f t="shared" ref="Q3:Q6" si="4">M3*$E3*N3</f>
        <v>7424.325</v>
      </c>
      <c r="R3" s="71">
        <f t="shared" ref="R3:R6" si="5">I3*N3</f>
        <v>2560.5</v>
      </c>
      <c r="S3" s="71">
        <f t="shared" ref="S3:S6" si="6">$J3*N3</f>
        <v>700.943108108108</v>
      </c>
      <c r="T3" s="72">
        <f t="shared" ref="T3:T6" si="7">O3*18%</f>
        <v>8909.19</v>
      </c>
      <c r="U3" s="73">
        <f t="shared" ref="U3:U6" si="8">O3*12%</f>
        <v>5939.46</v>
      </c>
      <c r="V3" s="72">
        <f t="shared" ref="V3:V6" si="9">O3*K3</f>
        <v>7919.28</v>
      </c>
      <c r="W3" s="71">
        <f t="shared" ref="W3:W6" si="10">P3+Q3+R3+S3+T3+U3+V3</f>
        <v>40906.6710810811</v>
      </c>
      <c r="X3" s="74">
        <f t="shared" ref="X3:X6" si="11">O3-Q3-R3-T3-U3-V3</f>
        <v>16742.745</v>
      </c>
      <c r="Y3" s="67">
        <f t="shared" ref="Y3:Y6" si="12">X3/O3</f>
        <v>0.338268024365852</v>
      </c>
      <c r="Z3" s="71">
        <f t="shared" ref="Z3:Z6" si="13">O3-W3</f>
        <v>8588.82891891892</v>
      </c>
      <c r="AA3" s="67">
        <f t="shared" ref="AA3:AA6" si="14">Z3/O3</f>
        <v>0.173527470556291</v>
      </c>
      <c r="AB3" s="68"/>
      <c r="AC3" s="69">
        <v>114.99</v>
      </c>
      <c r="AD3" s="70">
        <v>500</v>
      </c>
      <c r="AE3" s="71">
        <f t="shared" ref="AE3:AE4" si="15">AC3*AD3</f>
        <v>57495</v>
      </c>
      <c r="AF3" s="71">
        <f t="shared" ref="AF3:AF4" si="16">$H3*AD3</f>
        <v>8281.08108108108</v>
      </c>
      <c r="AG3" s="71">
        <f t="shared" ref="AG3:AG4" si="17">AC3*$E3*AD3</f>
        <v>8624.25</v>
      </c>
      <c r="AH3" s="71">
        <f t="shared" ref="AH3:AH4" si="18">AD3*I3</f>
        <v>2845</v>
      </c>
      <c r="AI3" s="71">
        <f t="shared" ref="AI3:AI4" si="19">$J3*AD3</f>
        <v>778.825675675676</v>
      </c>
      <c r="AJ3" s="72">
        <f t="shared" ref="AJ3:AJ4" si="20">AE3*10%</f>
        <v>5749.5</v>
      </c>
      <c r="AK3" s="73">
        <f t="shared" ref="AK3:AK4" si="21">AE3*6%</f>
        <v>3449.7</v>
      </c>
      <c r="AL3" s="72">
        <f t="shared" ref="AL3:AL4" si="22">AE3*K3</f>
        <v>9199.2</v>
      </c>
      <c r="AM3" s="71">
        <f t="shared" ref="AM3:AM4" si="23">AF3+AG3+AH3+AI3+AJ3+AK3+AL3</f>
        <v>38927.5567567568</v>
      </c>
      <c r="AN3" s="74">
        <f t="shared" ref="AN3:AN4" si="24">AE3-AG3-AH3-AJ3-AL3</f>
        <v>31077.05</v>
      </c>
      <c r="AO3" s="67">
        <f t="shared" ref="AO3:AO4" si="25">AN3/AE3</f>
        <v>0.540517436298809</v>
      </c>
      <c r="AP3" s="71">
        <f t="shared" ref="AP3:AP4" si="26">AE3-AM3</f>
        <v>18567.4432432432</v>
      </c>
      <c r="AQ3" s="67">
        <f t="shared" ref="AQ3:AQ4" si="27">AP3/AE3</f>
        <v>0.322940138155374</v>
      </c>
      <c r="AR3" s="68"/>
      <c r="AS3" s="69">
        <v>116.99</v>
      </c>
      <c r="AT3" s="70">
        <v>700</v>
      </c>
      <c r="AU3" s="71">
        <f t="shared" ref="AU3:AU4" si="28">AS3*AT3</f>
        <v>81893</v>
      </c>
      <c r="AV3" s="71">
        <f t="shared" ref="AV3:AV4" si="29">$H3*AT3</f>
        <v>11593.5135135135</v>
      </c>
      <c r="AW3" s="71">
        <f t="shared" ref="AW3:AW4" si="30">AS3*$E3*AT3</f>
        <v>12283.95</v>
      </c>
      <c r="AX3" s="71">
        <f t="shared" ref="AX3:AX4" si="31">AT3*I3</f>
        <v>3983</v>
      </c>
      <c r="AY3" s="71">
        <f t="shared" ref="AY3:AY4" si="32">$J3*AT3</f>
        <v>1090.35594594595</v>
      </c>
      <c r="AZ3" s="72">
        <f t="shared" ref="AZ3:AZ4" si="33">AU3*7%</f>
        <v>5732.51</v>
      </c>
      <c r="BA3" s="73">
        <f t="shared" ref="BA3:BA4" si="34">AU3*15%</f>
        <v>12283.95</v>
      </c>
      <c r="BB3" s="72">
        <f t="shared" ref="BB3:BB4" si="35">K3*AU3</f>
        <v>13102.88</v>
      </c>
      <c r="BC3" s="71">
        <f t="shared" ref="BC3:BC4" si="36">AV3+AW3+AX3+AY3+AZ3+BA3+BB3</f>
        <v>60070.1594594594</v>
      </c>
      <c r="BD3" s="74">
        <f t="shared" ref="BD3:BD4" si="37">AU3-AW3-AX3-AZ3-BB3</f>
        <v>46790.66</v>
      </c>
      <c r="BE3" s="67">
        <f t="shared" ref="BE3:BE4" si="38">BD3/AU3</f>
        <v>0.571363364390119</v>
      </c>
      <c r="BF3" s="71">
        <f t="shared" ref="BF3:BF4" si="39">AU3-BC3</f>
        <v>21822.8405405406</v>
      </c>
      <c r="BG3" s="67">
        <f t="shared" ref="BG3:BG4" si="40">BF3/AU3</f>
        <v>0.26647992551916</v>
      </c>
      <c r="BH3" s="68"/>
      <c r="BI3" s="69">
        <v>119.99</v>
      </c>
      <c r="BJ3" s="70">
        <v>1500</v>
      </c>
      <c r="BK3" s="71">
        <f t="shared" ref="BK3:BK4" si="41">BI3*BJ3</f>
        <v>179985</v>
      </c>
      <c r="BL3" s="71">
        <f t="shared" ref="BL3:BL4" si="42">$H3*BJ3</f>
        <v>24843.2432432432</v>
      </c>
      <c r="BM3" s="71">
        <f t="shared" ref="BM3:BM4" si="43">E3*BK3</f>
        <v>26997.75</v>
      </c>
      <c r="BN3" s="75">
        <f t="shared" ref="BN3:BN4" si="44">I3*BJ3</f>
        <v>8535</v>
      </c>
      <c r="BO3" s="71">
        <f t="shared" ref="BO3:BO4" si="45">$J3*BJ3</f>
        <v>2336.47702702703</v>
      </c>
      <c r="BP3" s="72">
        <f t="shared" ref="BP3:BP4" si="46">BK3*5.5%</f>
        <v>9899.175</v>
      </c>
      <c r="BQ3" s="73">
        <f t="shared" ref="BQ3:BQ4" si="47">BK3*8%</f>
        <v>14398.8</v>
      </c>
      <c r="BR3" s="72">
        <f t="shared" ref="BR3:BR4" si="48">K3*BK3</f>
        <v>28797.6</v>
      </c>
      <c r="BS3" s="71">
        <f t="shared" ref="BS3:BS4" si="49">BL3+BM3+BN3+BO3+BP3+BQ3+BR3</f>
        <v>115808.04527027</v>
      </c>
      <c r="BT3" s="74">
        <f t="shared" ref="BT3:BT4" si="50">BK3-BM3-BN3-BP3-BR3</f>
        <v>105755.475</v>
      </c>
      <c r="BU3" s="67">
        <f t="shared" ref="BU3:BU4" si="51">BT3/BK3</f>
        <v>0.587579381615135</v>
      </c>
      <c r="BV3" s="71">
        <f t="shared" ref="BV3:BV4" si="52">BK3-BS3</f>
        <v>64176.9547297297</v>
      </c>
      <c r="BW3" s="67">
        <f t="shared" ref="BW3:BW4" si="53">BV3/BK3</f>
        <v>0.356568351416672</v>
      </c>
    </row>
    <row r="4" ht="14.9" customHeight="1" spans="1:75">
      <c r="A4" s="63" t="s">
        <v>490</v>
      </c>
      <c r="B4" s="63" t="s">
        <v>487</v>
      </c>
      <c r="C4" s="64" t="s">
        <v>488</v>
      </c>
      <c r="D4" s="65" t="s">
        <v>489</v>
      </c>
      <c r="E4" s="66">
        <v>0.15</v>
      </c>
      <c r="F4" s="66">
        <v>0.07</v>
      </c>
      <c r="G4" s="67">
        <v>0.15</v>
      </c>
      <c r="H4" s="68">
        <f t="shared" si="0"/>
        <v>16.5621621621622</v>
      </c>
      <c r="I4" s="68">
        <v>5.69</v>
      </c>
      <c r="J4" s="68">
        <f t="shared" si="1"/>
        <v>1.55765135135135</v>
      </c>
      <c r="K4" s="68">
        <v>0.16</v>
      </c>
      <c r="L4" s="63" t="s">
        <v>487</v>
      </c>
      <c r="M4" s="69">
        <v>109.99</v>
      </c>
      <c r="N4" s="70">
        <v>450</v>
      </c>
      <c r="O4" s="71">
        <f t="shared" si="2"/>
        <v>49495.5</v>
      </c>
      <c r="P4" s="71">
        <f t="shared" si="3"/>
        <v>7452.97297297297</v>
      </c>
      <c r="Q4" s="71">
        <f t="shared" si="4"/>
        <v>7424.325</v>
      </c>
      <c r="R4" s="71">
        <f t="shared" si="5"/>
        <v>2560.5</v>
      </c>
      <c r="S4" s="71">
        <f t="shared" si="6"/>
        <v>700.943108108108</v>
      </c>
      <c r="T4" s="72">
        <f t="shared" si="7"/>
        <v>8909.19</v>
      </c>
      <c r="U4" s="73">
        <f t="shared" si="8"/>
        <v>5939.46</v>
      </c>
      <c r="V4" s="72">
        <f t="shared" si="9"/>
        <v>7919.28</v>
      </c>
      <c r="W4" s="71">
        <f t="shared" si="10"/>
        <v>40906.6710810811</v>
      </c>
      <c r="X4" s="74">
        <f t="shared" si="11"/>
        <v>16742.745</v>
      </c>
      <c r="Y4" s="67">
        <f t="shared" si="12"/>
        <v>0.338268024365852</v>
      </c>
      <c r="Z4" s="71">
        <f t="shared" si="13"/>
        <v>8588.82891891892</v>
      </c>
      <c r="AA4" s="67">
        <f t="shared" si="14"/>
        <v>0.173527470556291</v>
      </c>
      <c r="AB4" s="68"/>
      <c r="AC4" s="69">
        <v>114.99</v>
      </c>
      <c r="AD4" s="70">
        <v>500</v>
      </c>
      <c r="AE4" s="71">
        <f t="shared" si="15"/>
        <v>57495</v>
      </c>
      <c r="AF4" s="71">
        <f t="shared" si="16"/>
        <v>8281.08108108108</v>
      </c>
      <c r="AG4" s="71">
        <f t="shared" si="17"/>
        <v>8624.25</v>
      </c>
      <c r="AH4" s="71">
        <f t="shared" si="18"/>
        <v>2845</v>
      </c>
      <c r="AI4" s="71">
        <f t="shared" si="19"/>
        <v>778.825675675676</v>
      </c>
      <c r="AJ4" s="72">
        <f t="shared" si="20"/>
        <v>5749.5</v>
      </c>
      <c r="AK4" s="73">
        <f t="shared" si="21"/>
        <v>3449.7</v>
      </c>
      <c r="AL4" s="72">
        <f t="shared" si="22"/>
        <v>9199.2</v>
      </c>
      <c r="AM4" s="71">
        <f t="shared" si="23"/>
        <v>38927.5567567568</v>
      </c>
      <c r="AN4" s="74">
        <f t="shared" si="24"/>
        <v>31077.05</v>
      </c>
      <c r="AO4" s="67">
        <f t="shared" si="25"/>
        <v>0.540517436298809</v>
      </c>
      <c r="AP4" s="71">
        <f t="shared" si="26"/>
        <v>18567.4432432432</v>
      </c>
      <c r="AQ4" s="67">
        <f t="shared" si="27"/>
        <v>0.322940138155374</v>
      </c>
      <c r="AR4" s="68"/>
      <c r="AS4" s="69">
        <v>116.99</v>
      </c>
      <c r="AT4" s="70">
        <v>700</v>
      </c>
      <c r="AU4" s="71">
        <f t="shared" si="28"/>
        <v>81893</v>
      </c>
      <c r="AV4" s="71">
        <f t="shared" si="29"/>
        <v>11593.5135135135</v>
      </c>
      <c r="AW4" s="71">
        <f t="shared" si="30"/>
        <v>12283.95</v>
      </c>
      <c r="AX4" s="71">
        <f t="shared" si="31"/>
        <v>3983</v>
      </c>
      <c r="AY4" s="71">
        <f t="shared" si="32"/>
        <v>1090.35594594595</v>
      </c>
      <c r="AZ4" s="72">
        <f t="shared" si="33"/>
        <v>5732.51</v>
      </c>
      <c r="BA4" s="73">
        <f t="shared" si="34"/>
        <v>12283.95</v>
      </c>
      <c r="BB4" s="72">
        <f t="shared" si="35"/>
        <v>13102.88</v>
      </c>
      <c r="BC4" s="71">
        <f t="shared" si="36"/>
        <v>60070.1594594594</v>
      </c>
      <c r="BD4" s="74">
        <f t="shared" si="37"/>
        <v>46790.66</v>
      </c>
      <c r="BE4" s="67">
        <f t="shared" si="38"/>
        <v>0.571363364390119</v>
      </c>
      <c r="BF4" s="71">
        <f t="shared" si="39"/>
        <v>21822.8405405406</v>
      </c>
      <c r="BG4" s="67">
        <f t="shared" si="40"/>
        <v>0.26647992551916</v>
      </c>
      <c r="BH4" s="68"/>
      <c r="BI4" s="69">
        <v>119.99</v>
      </c>
      <c r="BJ4" s="70">
        <v>1500</v>
      </c>
      <c r="BK4" s="71">
        <f t="shared" si="41"/>
        <v>179985</v>
      </c>
      <c r="BL4" s="71">
        <f t="shared" si="42"/>
        <v>24843.2432432432</v>
      </c>
      <c r="BM4" s="71">
        <f t="shared" si="43"/>
        <v>26997.75</v>
      </c>
      <c r="BN4" s="75">
        <f t="shared" si="44"/>
        <v>8535</v>
      </c>
      <c r="BO4" s="71">
        <f t="shared" si="45"/>
        <v>2336.47702702703</v>
      </c>
      <c r="BP4" s="72">
        <f t="shared" si="46"/>
        <v>9899.175</v>
      </c>
      <c r="BQ4" s="73">
        <f t="shared" si="47"/>
        <v>14398.8</v>
      </c>
      <c r="BR4" s="72">
        <f t="shared" si="48"/>
        <v>28797.6</v>
      </c>
      <c r="BS4" s="71">
        <f t="shared" si="49"/>
        <v>115808.04527027</v>
      </c>
      <c r="BT4" s="74">
        <f t="shared" si="50"/>
        <v>105755.475</v>
      </c>
      <c r="BU4" s="67">
        <f t="shared" si="51"/>
        <v>0.587579381615135</v>
      </c>
      <c r="BV4" s="71">
        <f t="shared" si="52"/>
        <v>64176.9547297297</v>
      </c>
      <c r="BW4" s="67">
        <f t="shared" si="53"/>
        <v>0.356568351416672</v>
      </c>
    </row>
    <row r="5" ht="14.9" customHeight="1" spans="1:75">
      <c r="A5" s="63" t="s">
        <v>491</v>
      </c>
      <c r="B5" s="63" t="s">
        <v>487</v>
      </c>
      <c r="C5" s="64" t="s">
        <v>488</v>
      </c>
      <c r="D5" s="65" t="s">
        <v>489</v>
      </c>
      <c r="E5" s="66">
        <v>0.15</v>
      </c>
      <c r="F5" s="66">
        <v>0.07</v>
      </c>
      <c r="G5" s="67">
        <v>0.15</v>
      </c>
      <c r="H5" s="68">
        <f t="shared" si="0"/>
        <v>16.5621621621622</v>
      </c>
      <c r="I5" s="68">
        <v>5.69</v>
      </c>
      <c r="J5" s="68">
        <f t="shared" si="1"/>
        <v>1.55765135135135</v>
      </c>
      <c r="K5" s="68">
        <v>0.16</v>
      </c>
      <c r="L5" s="63" t="s">
        <v>487</v>
      </c>
      <c r="M5" s="69">
        <v>109.99</v>
      </c>
      <c r="N5" s="70">
        <v>450</v>
      </c>
      <c r="O5" s="71">
        <f t="shared" si="2"/>
        <v>49495.5</v>
      </c>
      <c r="P5" s="71">
        <f t="shared" si="3"/>
        <v>7452.97297297297</v>
      </c>
      <c r="Q5" s="71">
        <f t="shared" si="4"/>
        <v>7424.325</v>
      </c>
      <c r="R5" s="71">
        <f t="shared" si="5"/>
        <v>2560.5</v>
      </c>
      <c r="S5" s="71">
        <f t="shared" si="6"/>
        <v>700.943108108108</v>
      </c>
      <c r="T5" s="72">
        <f t="shared" si="7"/>
        <v>8909.19</v>
      </c>
      <c r="U5" s="73">
        <f t="shared" si="8"/>
        <v>5939.46</v>
      </c>
      <c r="V5" s="72">
        <f t="shared" si="9"/>
        <v>7919.28</v>
      </c>
      <c r="W5" s="71">
        <f t="shared" si="10"/>
        <v>40906.6710810811</v>
      </c>
      <c r="X5" s="74">
        <f t="shared" si="11"/>
        <v>16742.745</v>
      </c>
      <c r="Y5" s="67">
        <f t="shared" si="12"/>
        <v>0.338268024365852</v>
      </c>
      <c r="Z5" s="71">
        <f t="shared" si="13"/>
        <v>8588.82891891892</v>
      </c>
      <c r="AA5" s="67">
        <f t="shared" si="14"/>
        <v>0.173527470556291</v>
      </c>
      <c r="AB5" s="68"/>
      <c r="AC5" s="74"/>
      <c r="AD5" s="71"/>
      <c r="AE5" s="71"/>
      <c r="AF5" s="71"/>
      <c r="AG5" s="71"/>
      <c r="AH5" s="71"/>
      <c r="AI5" s="71"/>
      <c r="AJ5" s="72"/>
      <c r="AK5" s="73"/>
      <c r="AL5" s="72"/>
      <c r="AM5" s="71"/>
      <c r="AN5" s="74"/>
      <c r="AO5" s="67"/>
      <c r="AP5" s="71"/>
      <c r="AQ5" s="67"/>
      <c r="AR5" s="68"/>
      <c r="AS5" s="68"/>
      <c r="AT5" s="68"/>
      <c r="AU5" s="68"/>
      <c r="AV5" s="71"/>
      <c r="AW5" s="71"/>
      <c r="AX5" s="71"/>
      <c r="AY5" s="71"/>
      <c r="AZ5" s="72"/>
      <c r="BA5" s="73"/>
      <c r="BB5" s="72"/>
      <c r="BC5" s="71"/>
      <c r="BD5" s="74"/>
      <c r="BE5" s="67"/>
      <c r="BF5" s="71"/>
      <c r="BG5" s="67"/>
      <c r="BH5" s="68"/>
      <c r="BI5" s="74"/>
      <c r="BJ5" s="71"/>
      <c r="BK5" s="71"/>
      <c r="BL5" s="71"/>
      <c r="BM5" s="71"/>
      <c r="BN5" s="71"/>
      <c r="BO5" s="71"/>
      <c r="BP5" s="72"/>
      <c r="BQ5" s="73"/>
      <c r="BR5" s="72"/>
      <c r="BS5" s="71"/>
      <c r="BT5" s="74"/>
      <c r="BU5" s="67"/>
      <c r="BV5" s="71"/>
      <c r="BW5" s="67"/>
    </row>
    <row r="6" ht="14.9" customHeight="1" spans="1:75">
      <c r="A6" s="63" t="s">
        <v>492</v>
      </c>
      <c r="B6" s="63" t="s">
        <v>487</v>
      </c>
      <c r="C6" s="64" t="s">
        <v>488</v>
      </c>
      <c r="D6" s="65" t="s">
        <v>489</v>
      </c>
      <c r="E6" s="66">
        <v>0.15</v>
      </c>
      <c r="F6" s="66">
        <v>0.07</v>
      </c>
      <c r="G6" s="67">
        <v>0.15</v>
      </c>
      <c r="H6" s="68">
        <f t="shared" si="0"/>
        <v>16.5621621621622</v>
      </c>
      <c r="I6" s="68">
        <v>5.69</v>
      </c>
      <c r="J6" s="68">
        <f t="shared" si="1"/>
        <v>1.55765135135135</v>
      </c>
      <c r="K6" s="68">
        <v>0.16</v>
      </c>
      <c r="L6" s="63" t="s">
        <v>487</v>
      </c>
      <c r="M6" s="69">
        <v>109.99</v>
      </c>
      <c r="N6" s="70">
        <v>450</v>
      </c>
      <c r="O6" s="71">
        <f t="shared" si="2"/>
        <v>49495.5</v>
      </c>
      <c r="P6" s="71">
        <f t="shared" si="3"/>
        <v>7452.97297297297</v>
      </c>
      <c r="Q6" s="71">
        <f t="shared" si="4"/>
        <v>7424.325</v>
      </c>
      <c r="R6" s="71">
        <f t="shared" si="5"/>
        <v>2560.5</v>
      </c>
      <c r="S6" s="71">
        <f t="shared" si="6"/>
        <v>700.943108108108</v>
      </c>
      <c r="T6" s="72">
        <f t="shared" si="7"/>
        <v>8909.19</v>
      </c>
      <c r="U6" s="73">
        <f t="shared" si="8"/>
        <v>5939.46</v>
      </c>
      <c r="V6" s="72">
        <f t="shared" si="9"/>
        <v>7919.28</v>
      </c>
      <c r="W6" s="71">
        <f t="shared" si="10"/>
        <v>40906.6710810811</v>
      </c>
      <c r="X6" s="74">
        <f t="shared" si="11"/>
        <v>16742.745</v>
      </c>
      <c r="Y6" s="67">
        <f t="shared" si="12"/>
        <v>0.338268024365852</v>
      </c>
      <c r="Z6" s="71">
        <f t="shared" si="13"/>
        <v>8588.82891891892</v>
      </c>
      <c r="AA6" s="67">
        <f t="shared" si="14"/>
        <v>0.173527470556291</v>
      </c>
      <c r="AB6" s="68"/>
      <c r="AC6" s="74"/>
      <c r="AD6" s="71"/>
      <c r="AE6" s="71"/>
      <c r="AF6" s="71"/>
      <c r="AG6" s="71"/>
      <c r="AH6" s="71"/>
      <c r="AI6" s="71"/>
      <c r="AJ6" s="72"/>
      <c r="AK6" s="73"/>
      <c r="AL6" s="72"/>
      <c r="AM6" s="71"/>
      <c r="AN6" s="74"/>
      <c r="AO6" s="67"/>
      <c r="AP6" s="71"/>
      <c r="AQ6" s="67"/>
      <c r="AR6" s="68"/>
      <c r="AS6" s="68"/>
      <c r="AT6" s="68"/>
      <c r="AU6" s="68"/>
      <c r="AV6" s="71"/>
      <c r="AW6" s="71"/>
      <c r="AX6" s="71"/>
      <c r="AY6" s="71"/>
      <c r="AZ6" s="72"/>
      <c r="BA6" s="73"/>
      <c r="BB6" s="72"/>
      <c r="BC6" s="71"/>
      <c r="BD6" s="74"/>
      <c r="BE6" s="67"/>
      <c r="BF6" s="71"/>
      <c r="BG6" s="67"/>
      <c r="BH6" s="68"/>
      <c r="BI6" s="74"/>
      <c r="BJ6" s="71"/>
      <c r="BK6" s="71"/>
      <c r="BL6" s="71"/>
      <c r="BM6" s="71"/>
      <c r="BN6" s="71"/>
      <c r="BO6" s="71"/>
      <c r="BP6" s="72"/>
      <c r="BQ6" s="73"/>
      <c r="BR6" s="72"/>
      <c r="BS6" s="71"/>
      <c r="BT6" s="74"/>
      <c r="BU6" s="67"/>
      <c r="BV6" s="71"/>
      <c r="BW6" s="67"/>
    </row>
    <row r="7" ht="14.9" customHeight="1" spans="1:75">
      <c r="A7" s="63"/>
      <c r="B7" s="63"/>
      <c r="C7" s="64"/>
      <c r="D7" s="65"/>
      <c r="E7" s="66"/>
      <c r="F7" s="66"/>
      <c r="G7" s="67"/>
      <c r="H7" s="68"/>
      <c r="I7" s="68"/>
      <c r="J7" s="68"/>
      <c r="K7" s="68"/>
      <c r="L7" s="68"/>
      <c r="M7" s="74"/>
      <c r="N7" s="71"/>
      <c r="O7" s="71"/>
      <c r="P7" s="71"/>
      <c r="Q7" s="71"/>
      <c r="R7" s="71"/>
      <c r="S7" s="71"/>
      <c r="T7" s="72"/>
      <c r="U7" s="73"/>
      <c r="V7" s="72"/>
      <c r="W7" s="71"/>
      <c r="X7" s="74"/>
      <c r="Y7" s="67"/>
      <c r="Z7" s="71"/>
      <c r="AA7" s="67"/>
      <c r="AB7" s="68"/>
      <c r="AC7" s="74"/>
      <c r="AD7" s="71"/>
      <c r="AE7" s="71"/>
      <c r="AF7" s="71"/>
      <c r="AG7" s="71"/>
      <c r="AH7" s="71"/>
      <c r="AI7" s="71"/>
      <c r="AJ7" s="72"/>
      <c r="AK7" s="73"/>
      <c r="AL7" s="72"/>
      <c r="AM7" s="71"/>
      <c r="AN7" s="74"/>
      <c r="AO7" s="67"/>
      <c r="AP7" s="71"/>
      <c r="AQ7" s="67"/>
      <c r="AR7" s="68"/>
      <c r="AS7" s="74"/>
      <c r="AT7" s="71"/>
      <c r="AU7" s="71"/>
      <c r="AV7" s="71"/>
      <c r="AW7" s="71"/>
      <c r="AX7" s="71"/>
      <c r="AY7" s="71"/>
      <c r="AZ7" s="72"/>
      <c r="BA7" s="73"/>
      <c r="BB7" s="72"/>
      <c r="BC7" s="71"/>
      <c r="BD7" s="74"/>
      <c r="BE7" s="67"/>
      <c r="BF7" s="71"/>
      <c r="BG7" s="67"/>
      <c r="BH7" s="68"/>
      <c r="BI7" s="74"/>
      <c r="BJ7" s="71"/>
      <c r="BK7" s="71"/>
      <c r="BL7" s="71"/>
      <c r="BM7" s="71"/>
      <c r="BN7" s="71"/>
      <c r="BO7" s="71"/>
      <c r="BP7" s="72"/>
      <c r="BQ7" s="73"/>
      <c r="BR7" s="72"/>
      <c r="BS7" s="71"/>
      <c r="BT7" s="74"/>
      <c r="BU7" s="67"/>
      <c r="BV7" s="71"/>
      <c r="BW7" s="67"/>
    </row>
    <row r="8" ht="14.9" customHeight="1" spans="1:75">
      <c r="A8" s="22"/>
      <c r="B8" s="22"/>
      <c r="C8" s="22"/>
      <c r="D8" s="24"/>
      <c r="E8" s="76"/>
      <c r="F8" s="76"/>
      <c r="G8" s="77"/>
      <c r="H8" s="78"/>
      <c r="I8" s="78"/>
      <c r="J8" s="78"/>
      <c r="K8" s="78"/>
      <c r="L8" s="78"/>
      <c r="M8" s="79"/>
      <c r="N8" s="80">
        <f t="shared" ref="N8:X8" si="54">SUM(N3:N6)</f>
        <v>1800</v>
      </c>
      <c r="O8" s="80">
        <f t="shared" si="54"/>
        <v>197982</v>
      </c>
      <c r="P8" s="80">
        <f t="shared" si="54"/>
        <v>29811.8918918919</v>
      </c>
      <c r="Q8" s="80">
        <f t="shared" si="54"/>
        <v>29697.3</v>
      </c>
      <c r="R8" s="80">
        <f t="shared" si="54"/>
        <v>10242</v>
      </c>
      <c r="S8" s="80">
        <f t="shared" si="54"/>
        <v>2803.77243243243</v>
      </c>
      <c r="T8" s="80">
        <f t="shared" si="54"/>
        <v>35636.76</v>
      </c>
      <c r="U8" s="81">
        <f t="shared" si="54"/>
        <v>23757.84</v>
      </c>
      <c r="V8" s="81">
        <f t="shared" si="54"/>
        <v>31677.12</v>
      </c>
      <c r="W8" s="81">
        <f t="shared" si="54"/>
        <v>163626.684324324</v>
      </c>
      <c r="X8" s="81">
        <f t="shared" si="54"/>
        <v>66970.98</v>
      </c>
      <c r="Y8" s="80">
        <f>X8/O8</f>
        <v>0.338268024365852</v>
      </c>
      <c r="Z8" s="80">
        <f>SUM(Z3:Z6)</f>
        <v>34355.3156756757</v>
      </c>
      <c r="AA8" s="80">
        <f>Z8/O8</f>
        <v>0.173527470556291</v>
      </c>
      <c r="AB8" s="78"/>
      <c r="AC8" s="80"/>
      <c r="AD8" s="80">
        <f t="shared" ref="AD8:AN8" si="55">SUM(AD3:AD6)</f>
        <v>1000</v>
      </c>
      <c r="AE8" s="80">
        <f t="shared" si="55"/>
        <v>114990</v>
      </c>
      <c r="AF8" s="80">
        <f t="shared" si="55"/>
        <v>16562.1621621622</v>
      </c>
      <c r="AG8" s="80">
        <f t="shared" si="55"/>
        <v>17248.5</v>
      </c>
      <c r="AH8" s="80">
        <f t="shared" si="55"/>
        <v>5690</v>
      </c>
      <c r="AI8" s="80">
        <f t="shared" si="55"/>
        <v>1557.65135135135</v>
      </c>
      <c r="AJ8" s="80">
        <f t="shared" si="55"/>
        <v>11499</v>
      </c>
      <c r="AK8" s="81">
        <f t="shared" si="55"/>
        <v>6899.4</v>
      </c>
      <c r="AL8" s="81">
        <f t="shared" si="55"/>
        <v>18398.4</v>
      </c>
      <c r="AM8" s="81">
        <f t="shared" si="55"/>
        <v>77855.1135135135</v>
      </c>
      <c r="AN8" s="81">
        <f t="shared" si="55"/>
        <v>62154.1</v>
      </c>
      <c r="AO8" s="80">
        <f>AN8/AE8</f>
        <v>0.540517436298809</v>
      </c>
      <c r="AP8" s="81">
        <f>SUM(AP3:AP6)</f>
        <v>37134.8864864865</v>
      </c>
      <c r="AQ8" s="80">
        <f>AP8/AE8</f>
        <v>0.322940138155374</v>
      </c>
      <c r="AR8" s="78"/>
      <c r="AS8" s="79"/>
      <c r="AT8" s="80">
        <f t="shared" ref="AT8:BD8" si="56">SUM(AT3:AT6)</f>
        <v>1400</v>
      </c>
      <c r="AU8" s="80">
        <f t="shared" si="56"/>
        <v>163786</v>
      </c>
      <c r="AV8" s="80">
        <f t="shared" si="56"/>
        <v>23187.027027027</v>
      </c>
      <c r="AW8" s="80">
        <f t="shared" si="56"/>
        <v>24567.9</v>
      </c>
      <c r="AX8" s="80">
        <f t="shared" si="56"/>
        <v>7966</v>
      </c>
      <c r="AY8" s="80">
        <f t="shared" si="56"/>
        <v>2180.71189189189</v>
      </c>
      <c r="AZ8" s="80">
        <f t="shared" si="56"/>
        <v>11465.02</v>
      </c>
      <c r="BA8" s="81">
        <f t="shared" si="56"/>
        <v>24567.9</v>
      </c>
      <c r="BB8" s="81">
        <f t="shared" si="56"/>
        <v>26205.76</v>
      </c>
      <c r="BC8" s="81">
        <f t="shared" si="56"/>
        <v>120140.318918919</v>
      </c>
      <c r="BD8" s="81">
        <f t="shared" si="56"/>
        <v>93581.32</v>
      </c>
      <c r="BE8" s="80">
        <f>BD8/AU8</f>
        <v>0.571363364390119</v>
      </c>
      <c r="BF8" s="81">
        <f>SUM(BF3:BF6)</f>
        <v>43645.6810810811</v>
      </c>
      <c r="BG8" s="80">
        <f>BF8/AU8</f>
        <v>0.26647992551916</v>
      </c>
      <c r="BH8" s="78"/>
      <c r="BI8" s="79"/>
      <c r="BJ8" s="80">
        <f t="shared" ref="BJ8:BT8" si="57">SUM(BJ3:BJ6)</f>
        <v>3000</v>
      </c>
      <c r="BK8" s="80">
        <f t="shared" si="57"/>
        <v>359970</v>
      </c>
      <c r="BL8" s="80">
        <f t="shared" si="57"/>
        <v>49686.4864864865</v>
      </c>
      <c r="BM8" s="80">
        <f t="shared" si="57"/>
        <v>53995.5</v>
      </c>
      <c r="BN8" s="80">
        <f t="shared" si="57"/>
        <v>17070</v>
      </c>
      <c r="BO8" s="80">
        <f t="shared" si="57"/>
        <v>4672.95405405405</v>
      </c>
      <c r="BP8" s="80">
        <f t="shared" si="57"/>
        <v>19798.35</v>
      </c>
      <c r="BQ8" s="81">
        <f t="shared" si="57"/>
        <v>28797.6</v>
      </c>
      <c r="BR8" s="81">
        <f t="shared" si="57"/>
        <v>57595.2</v>
      </c>
      <c r="BS8" s="81">
        <f t="shared" si="57"/>
        <v>231616.090540541</v>
      </c>
      <c r="BT8" s="81">
        <f t="shared" si="57"/>
        <v>211510.95</v>
      </c>
      <c r="BU8" s="80">
        <f>BT8/BK8</f>
        <v>0.587579381615135</v>
      </c>
      <c r="BV8" s="81">
        <f>SUM(BV3:BV6)</f>
        <v>128353.909459459</v>
      </c>
      <c r="BW8" s="80">
        <f>BV8/BK8</f>
        <v>0.356568351416672</v>
      </c>
    </row>
    <row r="9" ht="14.9" customHeight="1" spans="1:75">
      <c r="A9" s="22"/>
      <c r="B9" s="22"/>
      <c r="C9" s="22"/>
      <c r="D9" s="24"/>
      <c r="E9" s="76"/>
      <c r="F9" s="76"/>
      <c r="G9" s="77"/>
      <c r="H9" s="78"/>
      <c r="I9" s="78"/>
      <c r="J9" s="78"/>
      <c r="K9" s="78"/>
      <c r="L9" s="78"/>
      <c r="M9" s="79"/>
      <c r="N9" s="80"/>
      <c r="O9" s="80"/>
      <c r="P9" s="80"/>
      <c r="Q9" s="80"/>
      <c r="R9" s="80"/>
      <c r="S9" s="80"/>
      <c r="T9" s="80"/>
      <c r="U9" s="81"/>
      <c r="V9" s="81"/>
      <c r="W9" s="81"/>
      <c r="X9" s="81"/>
      <c r="Y9" s="80"/>
      <c r="Z9" s="80"/>
      <c r="AA9" s="80"/>
      <c r="AB9" s="78"/>
      <c r="AC9" s="80"/>
      <c r="AD9" s="80"/>
      <c r="AE9" s="80"/>
      <c r="AF9" s="80"/>
      <c r="AG9" s="80"/>
      <c r="AH9" s="80"/>
      <c r="AI9" s="80"/>
      <c r="AJ9" s="80"/>
      <c r="AK9" s="81"/>
      <c r="AL9" s="81"/>
      <c r="AM9" s="81"/>
      <c r="AN9" s="81"/>
      <c r="AO9" s="80"/>
      <c r="AP9" s="81"/>
      <c r="AQ9" s="80"/>
      <c r="AR9" s="78"/>
      <c r="AS9" s="79"/>
      <c r="AT9" s="80"/>
      <c r="AU9" s="80"/>
      <c r="AV9" s="80"/>
      <c r="AW9" s="80"/>
      <c r="AX9" s="80"/>
      <c r="AY9" s="80"/>
      <c r="AZ9" s="80"/>
      <c r="BA9" s="81"/>
      <c r="BB9" s="81"/>
      <c r="BC9" s="81"/>
      <c r="BD9" s="81"/>
      <c r="BE9" s="80"/>
      <c r="BF9" s="81"/>
      <c r="BG9" s="80"/>
      <c r="BH9" s="78"/>
      <c r="BI9" s="79"/>
      <c r="BJ9" s="80"/>
      <c r="BK9" s="80"/>
      <c r="BL9" s="80"/>
      <c r="BM9" s="80"/>
      <c r="BN9" s="80"/>
      <c r="BO9" s="80"/>
      <c r="BP9" s="80"/>
      <c r="BQ9" s="81"/>
      <c r="BR9" s="81"/>
      <c r="BS9" s="81"/>
      <c r="BT9" s="81"/>
      <c r="BU9" s="80"/>
      <c r="BV9" s="81"/>
      <c r="BW9" s="80"/>
    </row>
    <row r="10" ht="14.9" customHeight="1" spans="1:75">
      <c r="A10" s="82"/>
      <c r="B10" s="82"/>
      <c r="C10" s="82"/>
      <c r="D10" s="83"/>
      <c r="E10" s="84"/>
      <c r="F10" s="84"/>
      <c r="G10" s="85"/>
      <c r="H10" s="86"/>
      <c r="I10" s="86"/>
      <c r="J10" s="86"/>
      <c r="K10" s="86"/>
      <c r="L10" s="86"/>
      <c r="M10" s="87"/>
      <c r="N10" s="88"/>
      <c r="O10" s="88"/>
      <c r="P10" s="88"/>
      <c r="Q10" s="88"/>
      <c r="R10" s="88"/>
      <c r="S10" s="88"/>
      <c r="T10" s="88"/>
      <c r="U10" s="89"/>
      <c r="V10" s="89"/>
      <c r="W10" s="89"/>
      <c r="X10" s="89"/>
      <c r="Y10" s="88"/>
      <c r="Z10" s="88"/>
      <c r="AA10" s="88"/>
      <c r="AB10" s="86"/>
      <c r="AC10" s="88"/>
      <c r="AD10" s="88"/>
      <c r="AE10" s="88"/>
      <c r="AF10" s="88"/>
      <c r="AG10" s="88"/>
      <c r="AH10" s="88"/>
      <c r="AI10" s="88"/>
      <c r="AJ10" s="88"/>
      <c r="AK10" s="89"/>
      <c r="AL10" s="89"/>
      <c r="AM10" s="89"/>
      <c r="AN10" s="89"/>
      <c r="AO10" s="88"/>
      <c r="AP10" s="89"/>
      <c r="AQ10" s="88"/>
      <c r="AR10" s="86"/>
      <c r="AS10" s="87"/>
      <c r="AT10" s="88"/>
      <c r="AU10" s="88"/>
      <c r="AV10" s="88"/>
      <c r="AW10" s="88"/>
      <c r="AX10" s="88"/>
      <c r="AY10" s="88"/>
      <c r="AZ10" s="88"/>
      <c r="BA10" s="89"/>
      <c r="BB10" s="89"/>
      <c r="BC10" s="89"/>
      <c r="BD10" s="89"/>
      <c r="BE10" s="88"/>
      <c r="BF10" s="89"/>
      <c r="BG10" s="88"/>
      <c r="BH10" s="86"/>
      <c r="BI10" s="87"/>
      <c r="BJ10" s="88"/>
      <c r="BK10" s="88"/>
      <c r="BL10" s="88"/>
      <c r="BM10" s="88"/>
      <c r="BN10" s="88"/>
      <c r="BO10" s="88"/>
      <c r="BP10" s="88"/>
      <c r="BQ10" s="89"/>
      <c r="BR10" s="89"/>
      <c r="BS10" s="89"/>
      <c r="BT10" s="89"/>
      <c r="BU10" s="88"/>
      <c r="BV10" s="89"/>
      <c r="BW10" s="88"/>
    </row>
    <row r="11" ht="16.05" customHeight="1" spans="1:75">
      <c r="A11" s="82" t="s">
        <v>493</v>
      </c>
      <c r="B11" s="82"/>
      <c r="C11" s="82"/>
      <c r="D11" s="83"/>
      <c r="E11" s="84"/>
      <c r="F11" s="84"/>
      <c r="G11" s="85"/>
      <c r="H11" s="86"/>
      <c r="I11" s="86"/>
      <c r="J11" s="86"/>
      <c r="K11" s="86"/>
      <c r="L11" s="86"/>
      <c r="M11" s="87"/>
      <c r="N11" s="88"/>
      <c r="O11" s="88"/>
      <c r="P11" s="88"/>
      <c r="Q11" s="88"/>
      <c r="R11" s="88"/>
      <c r="S11" s="88"/>
      <c r="T11" s="90"/>
      <c r="U11" s="89"/>
      <c r="V11" s="90"/>
      <c r="W11" s="88"/>
      <c r="X11" s="87"/>
      <c r="Y11" s="85"/>
      <c r="Z11" s="88"/>
      <c r="AA11" s="85"/>
      <c r="AB11" s="86"/>
      <c r="AC11" s="87"/>
      <c r="AD11" s="88"/>
      <c r="AE11" s="88"/>
      <c r="AF11" s="88"/>
      <c r="AG11" s="88"/>
      <c r="AH11" s="88"/>
      <c r="AI11" s="88"/>
      <c r="AJ11" s="90"/>
      <c r="AK11" s="89"/>
      <c r="AL11" s="90"/>
      <c r="AM11" s="88"/>
      <c r="AN11" s="87"/>
      <c r="AO11" s="85"/>
      <c r="AP11" s="91"/>
      <c r="AQ11" s="85"/>
      <c r="AR11" s="86"/>
      <c r="AS11" s="87"/>
      <c r="AT11" s="88"/>
      <c r="AU11" s="88"/>
      <c r="AV11" s="88"/>
      <c r="AW11" s="88"/>
      <c r="AX11" s="88"/>
      <c r="AY11" s="88"/>
      <c r="AZ11" s="90"/>
      <c r="BA11" s="89"/>
      <c r="BB11" s="90"/>
      <c r="BC11" s="88"/>
      <c r="BD11" s="87"/>
      <c r="BE11" s="85"/>
      <c r="BF11" s="91"/>
      <c r="BG11" s="85"/>
      <c r="BH11" s="34"/>
      <c r="BI11" s="34"/>
      <c r="BJ11" s="34"/>
      <c r="BK11" s="34"/>
      <c r="BL11" s="34"/>
      <c r="BM11" s="34"/>
      <c r="BN11" s="34"/>
      <c r="BO11" s="34"/>
      <c r="BP11" s="34"/>
      <c r="BQ11" s="34"/>
      <c r="BR11" s="34"/>
      <c r="BS11" s="34"/>
      <c r="BT11" s="34"/>
      <c r="BU11" s="34"/>
      <c r="BV11" s="34"/>
      <c r="BW11" s="34"/>
    </row>
    <row r="12" ht="15.5" customHeight="1" spans="1:75">
      <c r="A12" s="82"/>
      <c r="B12" s="82"/>
      <c r="C12" s="82"/>
      <c r="D12" s="83"/>
      <c r="E12" s="84"/>
      <c r="F12" s="84"/>
      <c r="G12" s="85"/>
      <c r="H12" s="86"/>
      <c r="I12" s="86"/>
      <c r="J12" s="86"/>
      <c r="K12" s="86"/>
      <c r="L12" s="86"/>
      <c r="M12" s="87"/>
      <c r="N12" s="88"/>
      <c r="O12" s="88"/>
      <c r="P12" s="88"/>
      <c r="Q12" s="88"/>
      <c r="R12" s="88"/>
      <c r="S12" s="88"/>
      <c r="T12" s="90"/>
      <c r="U12" s="89"/>
      <c r="V12" s="90"/>
      <c r="W12" s="88"/>
      <c r="X12" s="87"/>
      <c r="Y12" s="85"/>
      <c r="Z12" s="88"/>
      <c r="AA12" s="85"/>
      <c r="AB12" s="86"/>
      <c r="AC12" s="87"/>
      <c r="AD12" s="88"/>
      <c r="AE12" s="88"/>
      <c r="AF12" s="88"/>
      <c r="AG12" s="88"/>
      <c r="AH12" s="88"/>
      <c r="AI12" s="88"/>
      <c r="AJ12" s="90"/>
      <c r="AK12" s="89"/>
      <c r="AL12" s="90"/>
      <c r="AM12" s="88"/>
      <c r="AN12" s="87"/>
      <c r="AO12" s="85"/>
      <c r="AP12" s="91"/>
      <c r="AQ12" s="85"/>
      <c r="AR12" s="86"/>
      <c r="AS12" s="87"/>
      <c r="AT12" s="88"/>
      <c r="AU12" s="88"/>
      <c r="AV12" s="88"/>
      <c r="AW12" s="88"/>
      <c r="AX12" s="88"/>
      <c r="AY12" s="88"/>
      <c r="AZ12" s="90"/>
      <c r="BA12" s="89"/>
      <c r="BB12" s="90"/>
      <c r="BC12" s="88"/>
      <c r="BD12" s="87"/>
      <c r="BE12" s="85"/>
      <c r="BF12" s="91"/>
      <c r="BG12" s="85"/>
      <c r="BH12" s="34"/>
      <c r="BI12" s="34"/>
      <c r="BJ12" s="34"/>
      <c r="BK12" s="34"/>
      <c r="BL12" s="34"/>
      <c r="BM12" s="34"/>
      <c r="BN12" s="34"/>
      <c r="BO12" s="34"/>
      <c r="BP12" s="34"/>
      <c r="BQ12" s="34"/>
      <c r="BR12" s="34"/>
      <c r="BS12" s="34"/>
      <c r="BT12" s="34"/>
      <c r="BU12" s="34"/>
      <c r="BV12" s="34"/>
      <c r="BW12" s="34"/>
    </row>
    <row r="13" ht="14.3" customHeight="1" spans="1:75">
      <c r="A13" s="92" t="s">
        <v>458</v>
      </c>
      <c r="B13" s="92" t="s">
        <v>494</v>
      </c>
      <c r="C13" s="92" t="s">
        <v>495</v>
      </c>
      <c r="D13" s="92" t="s">
        <v>496</v>
      </c>
      <c r="E13" s="92" t="s">
        <v>497</v>
      </c>
      <c r="F13" s="93" t="s">
        <v>498</v>
      </c>
      <c r="G13" s="92" t="s">
        <v>471</v>
      </c>
      <c r="H13" s="94" t="s">
        <v>472</v>
      </c>
      <c r="I13" s="92" t="s">
        <v>473</v>
      </c>
      <c r="J13" s="94" t="s">
        <v>499</v>
      </c>
      <c r="K13" s="94" t="s">
        <v>500</v>
      </c>
      <c r="L13" s="92" t="s">
        <v>501</v>
      </c>
      <c r="M13" s="92" t="s">
        <v>62</v>
      </c>
      <c r="N13" s="95" t="s">
        <v>502</v>
      </c>
      <c r="O13" s="94" t="s">
        <v>503</v>
      </c>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row>
    <row r="14" ht="14.3" customHeight="1" spans="1:75">
      <c r="A14" s="96" t="s">
        <v>487</v>
      </c>
      <c r="B14" s="97" t="s">
        <v>488</v>
      </c>
      <c r="C14" s="98">
        <f t="shared" ref="C14:C18" si="58">$M$3</f>
        <v>109.99</v>
      </c>
      <c r="D14" s="98">
        <f t="shared" ref="D14:D21" si="59">G14+H14+I14+J14+K14*C14+C14*N14</f>
        <v>64.7552</v>
      </c>
      <c r="E14" s="99">
        <f t="shared" ref="E14:E21" si="60">C14-D14</f>
        <v>45.2348</v>
      </c>
      <c r="F14" s="100">
        <f t="shared" ref="F14:F21" si="61">E14/C14</f>
        <v>0.411262842076552</v>
      </c>
      <c r="G14" s="98">
        <v>6.27</v>
      </c>
      <c r="H14" s="98">
        <f t="shared" ref="H14:H21" si="62">C14*L14</f>
        <v>16.4985</v>
      </c>
      <c r="I14" s="98">
        <f t="shared" ref="I14:I21" si="63">$I$3</f>
        <v>5.69</v>
      </c>
      <c r="J14" s="98">
        <f t="shared" ref="J14:J21" si="64">C14*M14</f>
        <v>7.6993</v>
      </c>
      <c r="K14" s="98">
        <v>0.16</v>
      </c>
      <c r="L14" s="101">
        <f t="shared" ref="L14:L21" si="65">$E$3</f>
        <v>0.15</v>
      </c>
      <c r="M14" s="102">
        <f t="shared" ref="M14:M21" si="66">$F$3</f>
        <v>0.07</v>
      </c>
      <c r="N14" s="101">
        <v>0.1</v>
      </c>
      <c r="O14" s="99">
        <f t="shared" ref="O14:O21" si="67">(G14+I14)/(1-L14-M14-K14)</f>
        <v>19.2903225806452</v>
      </c>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row>
    <row r="15" ht="14.3" customHeight="1" spans="1:75">
      <c r="A15" s="96" t="s">
        <v>487</v>
      </c>
      <c r="B15" s="97" t="s">
        <v>488</v>
      </c>
      <c r="C15" s="98">
        <f t="shared" si="58"/>
        <v>109.99</v>
      </c>
      <c r="D15" s="98">
        <f t="shared" si="59"/>
        <v>59.2557</v>
      </c>
      <c r="E15" s="99">
        <f t="shared" si="60"/>
        <v>50.7343</v>
      </c>
      <c r="F15" s="100">
        <f t="shared" si="61"/>
        <v>0.461262842076552</v>
      </c>
      <c r="G15" s="98">
        <v>6.27</v>
      </c>
      <c r="H15" s="98">
        <f t="shared" si="62"/>
        <v>16.4985</v>
      </c>
      <c r="I15" s="98">
        <f t="shared" si="63"/>
        <v>5.69</v>
      </c>
      <c r="J15" s="98">
        <f t="shared" si="64"/>
        <v>7.6993</v>
      </c>
      <c r="K15" s="98">
        <v>0.16</v>
      </c>
      <c r="L15" s="101">
        <f t="shared" si="65"/>
        <v>0.15</v>
      </c>
      <c r="M15" s="102">
        <f t="shared" si="66"/>
        <v>0.07</v>
      </c>
      <c r="N15" s="101">
        <v>0.05</v>
      </c>
      <c r="O15" s="99">
        <f t="shared" si="67"/>
        <v>19.2903225806452</v>
      </c>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row>
    <row r="16" ht="14.3" customHeight="1" spans="1:75">
      <c r="A16" s="96" t="s">
        <v>487</v>
      </c>
      <c r="B16" s="97" t="s">
        <v>488</v>
      </c>
      <c r="C16" s="98">
        <f t="shared" si="58"/>
        <v>109.99</v>
      </c>
      <c r="D16" s="98">
        <f t="shared" si="59"/>
        <v>59.2557</v>
      </c>
      <c r="E16" s="99">
        <f t="shared" si="60"/>
        <v>50.7343</v>
      </c>
      <c r="F16" s="100">
        <f t="shared" si="61"/>
        <v>0.461262842076552</v>
      </c>
      <c r="G16" s="98">
        <v>6.27</v>
      </c>
      <c r="H16" s="98">
        <f t="shared" si="62"/>
        <v>16.4985</v>
      </c>
      <c r="I16" s="98">
        <f t="shared" si="63"/>
        <v>5.69</v>
      </c>
      <c r="J16" s="98">
        <f t="shared" si="64"/>
        <v>7.6993</v>
      </c>
      <c r="K16" s="98">
        <v>0.16</v>
      </c>
      <c r="L16" s="101">
        <f t="shared" si="65"/>
        <v>0.15</v>
      </c>
      <c r="M16" s="102">
        <f t="shared" si="66"/>
        <v>0.07</v>
      </c>
      <c r="N16" s="101">
        <v>0.05</v>
      </c>
      <c r="O16" s="99">
        <f t="shared" si="67"/>
        <v>19.2903225806452</v>
      </c>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row>
    <row r="17" ht="14.3" customHeight="1" spans="1:75">
      <c r="A17" s="96" t="s">
        <v>487</v>
      </c>
      <c r="B17" s="97" t="s">
        <v>488</v>
      </c>
      <c r="C17" s="98">
        <f t="shared" si="58"/>
        <v>109.99</v>
      </c>
      <c r="D17" s="98">
        <f t="shared" si="59"/>
        <v>59.2557</v>
      </c>
      <c r="E17" s="99">
        <f t="shared" si="60"/>
        <v>50.7343</v>
      </c>
      <c r="F17" s="100">
        <f t="shared" si="61"/>
        <v>0.461262842076552</v>
      </c>
      <c r="G17" s="98">
        <v>6.27</v>
      </c>
      <c r="H17" s="98">
        <f t="shared" si="62"/>
        <v>16.4985</v>
      </c>
      <c r="I17" s="98">
        <f t="shared" si="63"/>
        <v>5.69</v>
      </c>
      <c r="J17" s="98">
        <f t="shared" si="64"/>
        <v>7.6993</v>
      </c>
      <c r="K17" s="98">
        <v>0.16</v>
      </c>
      <c r="L17" s="101">
        <f t="shared" si="65"/>
        <v>0.15</v>
      </c>
      <c r="M17" s="102">
        <f t="shared" si="66"/>
        <v>0.07</v>
      </c>
      <c r="N17" s="101">
        <v>0.05</v>
      </c>
      <c r="O17" s="99">
        <f t="shared" si="67"/>
        <v>19.2903225806452</v>
      </c>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row>
    <row r="18" ht="14.3" customHeight="1" spans="1:75">
      <c r="A18" s="96" t="s">
        <v>487</v>
      </c>
      <c r="B18" s="97" t="s">
        <v>488</v>
      </c>
      <c r="C18" s="98">
        <f t="shared" si="58"/>
        <v>109.99</v>
      </c>
      <c r="D18" s="98">
        <f t="shared" si="59"/>
        <v>59.2557</v>
      </c>
      <c r="E18" s="99">
        <f t="shared" si="60"/>
        <v>50.7343</v>
      </c>
      <c r="F18" s="100">
        <f t="shared" si="61"/>
        <v>0.461262842076552</v>
      </c>
      <c r="G18" s="98">
        <v>6.27</v>
      </c>
      <c r="H18" s="98">
        <f t="shared" si="62"/>
        <v>16.4985</v>
      </c>
      <c r="I18" s="98">
        <f t="shared" si="63"/>
        <v>5.69</v>
      </c>
      <c r="J18" s="98">
        <f t="shared" si="64"/>
        <v>7.6993</v>
      </c>
      <c r="K18" s="98">
        <v>0.16</v>
      </c>
      <c r="L18" s="101">
        <f t="shared" si="65"/>
        <v>0.15</v>
      </c>
      <c r="M18" s="102">
        <f t="shared" si="66"/>
        <v>0.07</v>
      </c>
      <c r="N18" s="101">
        <v>0.05</v>
      </c>
      <c r="O18" s="99">
        <f t="shared" si="67"/>
        <v>19.2903225806452</v>
      </c>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row>
    <row r="19" ht="14.3" customHeight="1" spans="1:75">
      <c r="A19" s="96" t="s">
        <v>487</v>
      </c>
      <c r="B19" s="97" t="s">
        <v>488</v>
      </c>
      <c r="C19" s="98">
        <v>119.99</v>
      </c>
      <c r="D19" s="98">
        <f t="shared" si="59"/>
        <v>57.5562</v>
      </c>
      <c r="E19" s="99">
        <f t="shared" si="60"/>
        <v>62.4338</v>
      </c>
      <c r="F19" s="100">
        <f t="shared" si="61"/>
        <v>0.52032502708559</v>
      </c>
      <c r="G19" s="98">
        <v>6.27</v>
      </c>
      <c r="H19" s="98">
        <f t="shared" si="62"/>
        <v>17.9985</v>
      </c>
      <c r="I19" s="98">
        <f t="shared" si="63"/>
        <v>5.69</v>
      </c>
      <c r="J19" s="98">
        <f t="shared" si="64"/>
        <v>8.3993</v>
      </c>
      <c r="K19" s="98">
        <v>0.16</v>
      </c>
      <c r="L19" s="101">
        <f t="shared" si="65"/>
        <v>0.15</v>
      </c>
      <c r="M19" s="102">
        <f t="shared" si="66"/>
        <v>0.07</v>
      </c>
      <c r="N19" s="101">
        <v>0</v>
      </c>
      <c r="O19" s="99">
        <f t="shared" si="67"/>
        <v>19.2903225806452</v>
      </c>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row>
    <row r="20" ht="14.3" customHeight="1" spans="1:75">
      <c r="A20" s="96" t="s">
        <v>487</v>
      </c>
      <c r="B20" s="97" t="s">
        <v>488</v>
      </c>
      <c r="C20" s="98">
        <v>116.99</v>
      </c>
      <c r="D20" s="98">
        <f t="shared" si="59"/>
        <v>56.4162</v>
      </c>
      <c r="E20" s="99">
        <f t="shared" si="60"/>
        <v>60.5738</v>
      </c>
      <c r="F20" s="100">
        <f t="shared" si="61"/>
        <v>0.517769040088896</v>
      </c>
      <c r="G20" s="98">
        <v>6.27</v>
      </c>
      <c r="H20" s="98">
        <f t="shared" si="62"/>
        <v>17.5485</v>
      </c>
      <c r="I20" s="98">
        <f t="shared" si="63"/>
        <v>5.69</v>
      </c>
      <c r="J20" s="98">
        <f t="shared" si="64"/>
        <v>8.1893</v>
      </c>
      <c r="K20" s="98">
        <v>0.16</v>
      </c>
      <c r="L20" s="101">
        <f t="shared" si="65"/>
        <v>0.15</v>
      </c>
      <c r="M20" s="102">
        <f t="shared" si="66"/>
        <v>0.07</v>
      </c>
      <c r="N20" s="101">
        <v>0</v>
      </c>
      <c r="O20" s="99">
        <f t="shared" si="67"/>
        <v>19.2903225806452</v>
      </c>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row>
    <row r="21" ht="14.3" customHeight="1" spans="1:75">
      <c r="A21" s="96" t="s">
        <v>487</v>
      </c>
      <c r="B21" s="97" t="s">
        <v>488</v>
      </c>
      <c r="C21" s="98">
        <v>112.99</v>
      </c>
      <c r="D21" s="98">
        <f t="shared" si="59"/>
        <v>54.8962</v>
      </c>
      <c r="E21" s="99">
        <f t="shared" si="60"/>
        <v>58.0938</v>
      </c>
      <c r="F21" s="100">
        <f t="shared" si="61"/>
        <v>0.514149924772104</v>
      </c>
      <c r="G21" s="98">
        <v>6.27</v>
      </c>
      <c r="H21" s="98">
        <f t="shared" si="62"/>
        <v>16.9485</v>
      </c>
      <c r="I21" s="98">
        <f t="shared" si="63"/>
        <v>5.69</v>
      </c>
      <c r="J21" s="98">
        <f t="shared" si="64"/>
        <v>7.9093</v>
      </c>
      <c r="K21" s="98">
        <v>0.16</v>
      </c>
      <c r="L21" s="101">
        <f t="shared" si="65"/>
        <v>0.15</v>
      </c>
      <c r="M21" s="102">
        <f t="shared" si="66"/>
        <v>0.07</v>
      </c>
      <c r="N21" s="101">
        <v>0</v>
      </c>
      <c r="O21" s="99">
        <f t="shared" si="67"/>
        <v>19.2903225806452</v>
      </c>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row>
    <row r="22" ht="14.3" customHeight="1" spans="1:75">
      <c r="A22" s="103"/>
      <c r="B22" s="104"/>
      <c r="C22" s="105"/>
      <c r="D22" s="105"/>
      <c r="E22" s="106"/>
      <c r="F22" s="107"/>
      <c r="G22" s="105"/>
      <c r="H22" s="105"/>
      <c r="I22" s="105"/>
      <c r="J22" s="105"/>
      <c r="K22" s="105"/>
      <c r="L22" s="108"/>
      <c r="M22" s="109"/>
      <c r="N22" s="108"/>
      <c r="O22" s="106"/>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row>
    <row r="23" ht="19.35" customHeight="1" spans="1:75">
      <c r="A23" s="34"/>
      <c r="B23" s="110"/>
      <c r="C23" s="110"/>
      <c r="D23" s="110"/>
      <c r="E23" s="110"/>
      <c r="F23" s="110"/>
      <c r="G23" s="110"/>
      <c r="H23" s="110"/>
      <c r="I23" s="110"/>
      <c r="J23" s="110"/>
      <c r="K23" s="110"/>
      <c r="L23" s="110"/>
      <c r="M23" s="110"/>
      <c r="N23" s="110"/>
      <c r="O23" s="110"/>
      <c r="P23" s="110"/>
      <c r="Q23" s="110"/>
      <c r="R23" s="110"/>
      <c r="S23" s="110"/>
      <c r="T23" s="110"/>
      <c r="U23" s="110"/>
      <c r="V23" s="110"/>
      <c r="W23" s="110"/>
      <c r="X23" s="110"/>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0"/>
      <c r="AU23" s="110"/>
      <c r="AV23" s="110"/>
      <c r="AW23" s="110"/>
      <c r="AX23" s="110"/>
      <c r="AY23" s="110"/>
      <c r="AZ23" s="110"/>
      <c r="BA23" s="110"/>
      <c r="BB23" s="110"/>
      <c r="BC23" s="110"/>
      <c r="BD23" s="110"/>
      <c r="BE23" s="110"/>
      <c r="BF23" s="110"/>
      <c r="BG23" s="110"/>
      <c r="BH23" s="110"/>
      <c r="BI23" s="110"/>
      <c r="BJ23" s="110"/>
      <c r="BK23" s="110"/>
      <c r="BL23" s="110"/>
      <c r="BM23" s="110"/>
      <c r="BN23" s="110"/>
      <c r="BO23" s="110"/>
      <c r="BP23" s="110"/>
      <c r="BQ23" s="110"/>
      <c r="BR23" s="110"/>
      <c r="BS23" s="110"/>
      <c r="BT23" s="110"/>
      <c r="BU23" s="110"/>
      <c r="BV23" s="110"/>
      <c r="BW23" s="110"/>
    </row>
    <row r="24" ht="19.95" customHeight="1" spans="1:75">
      <c r="A24" s="34" t="s">
        <v>504</v>
      </c>
      <c r="B24" s="110"/>
      <c r="C24" s="110"/>
      <c r="D24" s="110"/>
      <c r="E24" s="110"/>
      <c r="F24" s="110"/>
      <c r="G24" s="110"/>
      <c r="H24" s="110"/>
      <c r="I24" s="110"/>
      <c r="J24" s="110"/>
      <c r="K24" s="110"/>
      <c r="L24" s="110"/>
      <c r="M24" s="110"/>
      <c r="N24" s="110"/>
      <c r="O24" s="110"/>
      <c r="P24" s="110"/>
      <c r="Q24" s="110"/>
      <c r="R24" s="110"/>
      <c r="S24" s="110"/>
      <c r="T24" s="110"/>
      <c r="U24" s="110"/>
      <c r="V24" s="110"/>
      <c r="W24" s="110"/>
      <c r="X24" s="110"/>
      <c r="Y24" s="110"/>
      <c r="Z24" s="110"/>
      <c r="AA24" s="110"/>
      <c r="AB24" s="110"/>
      <c r="AC24" s="110"/>
      <c r="AD24" s="110"/>
      <c r="AE24" s="110"/>
      <c r="AF24" s="110"/>
      <c r="AG24" s="110"/>
      <c r="AH24" s="110"/>
      <c r="AI24" s="110"/>
      <c r="AJ24" s="110"/>
      <c r="AK24" s="110"/>
      <c r="AL24" s="110"/>
      <c r="AM24" s="110"/>
      <c r="AN24" s="110"/>
      <c r="AO24" s="110"/>
      <c r="AP24" s="110"/>
      <c r="AQ24" s="110"/>
      <c r="AR24" s="110"/>
      <c r="AS24" s="110"/>
      <c r="AT24" s="110"/>
      <c r="AU24" s="110"/>
      <c r="AV24" s="110"/>
      <c r="AW24" s="110"/>
      <c r="AX24" s="110"/>
      <c r="AY24" s="110"/>
      <c r="AZ24" s="110"/>
      <c r="BA24" s="110"/>
      <c r="BB24" s="110"/>
      <c r="BC24" s="110"/>
      <c r="BD24" s="110"/>
      <c r="BE24" s="110"/>
      <c r="BF24" s="110"/>
      <c r="BG24" s="110"/>
      <c r="BH24" s="110"/>
      <c r="BI24" s="110"/>
      <c r="BJ24" s="110"/>
      <c r="BK24" s="110"/>
      <c r="BL24" s="110"/>
      <c r="BM24" s="110"/>
      <c r="BN24" s="110"/>
      <c r="BO24" s="110"/>
      <c r="BP24" s="110"/>
      <c r="BQ24" s="110"/>
      <c r="BR24" s="110"/>
      <c r="BS24" s="110"/>
      <c r="BT24" s="110"/>
      <c r="BU24" s="110"/>
      <c r="BV24" s="110"/>
      <c r="BW24" s="110"/>
    </row>
    <row r="25" ht="29.15" customHeight="1" spans="1:75">
      <c r="A25" s="111" t="s">
        <v>505</v>
      </c>
      <c r="B25" s="57" t="s">
        <v>347</v>
      </c>
      <c r="C25" s="57" t="s">
        <v>469</v>
      </c>
      <c r="D25" s="59" t="s">
        <v>214</v>
      </c>
      <c r="E25" s="59" t="s">
        <v>471</v>
      </c>
      <c r="F25" s="59" t="s">
        <v>472</v>
      </c>
      <c r="G25" s="59" t="s">
        <v>473</v>
      </c>
      <c r="H25" s="57" t="s">
        <v>474</v>
      </c>
      <c r="I25" s="57" t="s">
        <v>420</v>
      </c>
      <c r="J25" s="57" t="s">
        <v>475</v>
      </c>
      <c r="K25" s="57" t="s">
        <v>467</v>
      </c>
      <c r="L25" s="59" t="s">
        <v>476</v>
      </c>
      <c r="M25" s="57" t="s">
        <v>482</v>
      </c>
      <c r="N25" s="57" t="s">
        <v>478</v>
      </c>
      <c r="O25" s="57" t="s">
        <v>479</v>
      </c>
      <c r="P25" s="44" t="s">
        <v>480</v>
      </c>
      <c r="Q25" s="57" t="s">
        <v>506</v>
      </c>
      <c r="R25" s="112"/>
      <c r="S25" s="112"/>
      <c r="T25" s="113"/>
      <c r="U25" s="113"/>
      <c r="V25" s="113"/>
      <c r="W25" s="113"/>
      <c r="X25" s="113"/>
      <c r="Y25" s="113"/>
      <c r="Z25" s="113"/>
      <c r="AA25" s="113"/>
      <c r="AB25" s="113"/>
      <c r="AC25" s="113"/>
      <c r="AD25" s="113"/>
      <c r="AE25" s="113"/>
      <c r="AF25" s="113"/>
      <c r="AG25" s="113"/>
      <c r="AH25" s="113"/>
      <c r="AI25" s="113"/>
      <c r="AJ25" s="113"/>
      <c r="AK25" s="113"/>
      <c r="AL25" s="113"/>
      <c r="AM25" s="113"/>
      <c r="AN25" s="113"/>
      <c r="AO25" s="113"/>
      <c r="AP25" s="113"/>
      <c r="AQ25" s="113"/>
      <c r="AR25" s="113"/>
      <c r="AS25" s="113"/>
      <c r="AT25" s="113"/>
      <c r="AU25" s="113"/>
      <c r="AV25" s="113"/>
      <c r="AW25" s="113"/>
      <c r="AX25" s="113"/>
      <c r="AY25" s="113"/>
      <c r="AZ25" s="113"/>
      <c r="BA25" s="113"/>
      <c r="BB25" s="113"/>
      <c r="BC25" s="113"/>
      <c r="BD25" s="113"/>
      <c r="BE25" s="113"/>
      <c r="BF25" s="113"/>
      <c r="BG25" s="113"/>
      <c r="BH25" s="113"/>
      <c r="BI25" s="113"/>
      <c r="BJ25" s="113"/>
      <c r="BK25" s="113"/>
      <c r="BL25" s="113"/>
      <c r="BM25" s="113"/>
      <c r="BN25" s="113"/>
      <c r="BO25" s="113"/>
      <c r="BP25" s="113"/>
      <c r="BQ25" s="113"/>
      <c r="BR25" s="113"/>
      <c r="BS25" s="113"/>
      <c r="BT25" s="113"/>
      <c r="BU25" s="113"/>
      <c r="BV25" s="113"/>
      <c r="BW25" s="113"/>
    </row>
    <row r="26" ht="14.3" customHeight="1" spans="1:75">
      <c r="A26" s="114" t="s">
        <v>507</v>
      </c>
      <c r="B26" s="115">
        <f>119.99</f>
        <v>119.99</v>
      </c>
      <c r="C26" s="116">
        <f t="shared" ref="C26:P26" si="68">N3</f>
        <v>450</v>
      </c>
      <c r="D26" s="116">
        <f t="shared" si="68"/>
        <v>49495.5</v>
      </c>
      <c r="E26" s="116">
        <f t="shared" si="68"/>
        <v>7452.97297297297</v>
      </c>
      <c r="F26" s="116">
        <f t="shared" si="68"/>
        <v>7424.325</v>
      </c>
      <c r="G26" s="116">
        <f t="shared" si="68"/>
        <v>2560.5</v>
      </c>
      <c r="H26" s="116">
        <f t="shared" si="68"/>
        <v>700.943108108108</v>
      </c>
      <c r="I26" s="117">
        <f t="shared" si="68"/>
        <v>8909.19</v>
      </c>
      <c r="J26" s="115">
        <f t="shared" si="68"/>
        <v>5939.46</v>
      </c>
      <c r="K26" s="117">
        <f t="shared" si="68"/>
        <v>7919.28</v>
      </c>
      <c r="L26" s="116">
        <f t="shared" si="68"/>
        <v>40906.6710810811</v>
      </c>
      <c r="M26" s="118">
        <f t="shared" si="68"/>
        <v>16742.745</v>
      </c>
      <c r="N26" s="119">
        <f t="shared" si="68"/>
        <v>0.338268024365852</v>
      </c>
      <c r="O26" s="116">
        <f t="shared" si="68"/>
        <v>8588.82891891892</v>
      </c>
      <c r="P26" s="120">
        <f t="shared" si="68"/>
        <v>0.173527470556291</v>
      </c>
      <c r="Q26" s="121">
        <f>O26</f>
        <v>8588.82891891892</v>
      </c>
      <c r="R26" s="122"/>
      <c r="S26" s="123"/>
      <c r="T26" s="110"/>
      <c r="U26" s="110"/>
      <c r="V26" s="110"/>
      <c r="W26" s="110"/>
      <c r="X26" s="110"/>
      <c r="Y26" s="110"/>
      <c r="Z26" s="110"/>
      <c r="AA26" s="110"/>
      <c r="AB26" s="110"/>
      <c r="AC26" s="110"/>
      <c r="AD26" s="110"/>
      <c r="AE26" s="110"/>
      <c r="AF26" s="110"/>
      <c r="AG26" s="110"/>
      <c r="AH26" s="110"/>
      <c r="AI26" s="110"/>
      <c r="AJ26" s="110"/>
      <c r="AK26" s="110"/>
      <c r="AL26" s="110"/>
      <c r="AM26" s="110"/>
      <c r="AN26" s="110"/>
      <c r="AO26" s="110"/>
      <c r="AP26" s="110"/>
      <c r="AQ26" s="110"/>
      <c r="AR26" s="110"/>
      <c r="AS26" s="110"/>
      <c r="AT26" s="110"/>
      <c r="AU26" s="110"/>
      <c r="AV26" s="110"/>
      <c r="AW26" s="110"/>
      <c r="AX26" s="110"/>
      <c r="AY26" s="110"/>
      <c r="AZ26" s="110"/>
      <c r="BA26" s="110"/>
      <c r="BB26" s="110"/>
      <c r="BC26" s="110"/>
      <c r="BD26" s="110"/>
      <c r="BE26" s="110"/>
      <c r="BF26" s="110"/>
      <c r="BG26" s="110"/>
      <c r="BH26" s="110"/>
      <c r="BI26" s="110"/>
      <c r="BJ26" s="110"/>
      <c r="BK26" s="110"/>
      <c r="BL26" s="110"/>
      <c r="BM26" s="110"/>
      <c r="BN26" s="110"/>
      <c r="BO26" s="110"/>
      <c r="BP26" s="110"/>
      <c r="BQ26" s="110"/>
      <c r="BR26" s="110"/>
      <c r="BS26" s="110"/>
      <c r="BT26" s="110"/>
      <c r="BU26" s="110"/>
      <c r="BV26" s="110"/>
      <c r="BW26" s="110"/>
    </row>
    <row r="27" ht="14.3" customHeight="1" spans="1:75">
      <c r="A27" s="114" t="s">
        <v>453</v>
      </c>
      <c r="B27" s="115">
        <v>119.99</v>
      </c>
      <c r="C27" s="116">
        <v>1500</v>
      </c>
      <c r="D27" s="116">
        <f t="shared" ref="D27:P27" si="69">AE4</f>
        <v>57495</v>
      </c>
      <c r="E27" s="116">
        <f t="shared" si="69"/>
        <v>8281.08108108108</v>
      </c>
      <c r="F27" s="116">
        <f t="shared" si="69"/>
        <v>8624.25</v>
      </c>
      <c r="G27" s="116">
        <f t="shared" si="69"/>
        <v>2845</v>
      </c>
      <c r="H27" s="116">
        <f t="shared" si="69"/>
        <v>778.825675675676</v>
      </c>
      <c r="I27" s="116">
        <f t="shared" si="69"/>
        <v>5749.5</v>
      </c>
      <c r="J27" s="115">
        <f t="shared" si="69"/>
        <v>3449.7</v>
      </c>
      <c r="K27" s="116">
        <f t="shared" si="69"/>
        <v>9199.2</v>
      </c>
      <c r="L27" s="116">
        <f t="shared" si="69"/>
        <v>38927.5567567568</v>
      </c>
      <c r="M27" s="116">
        <f t="shared" si="69"/>
        <v>31077.05</v>
      </c>
      <c r="N27" s="119">
        <f t="shared" si="69"/>
        <v>0.540517436298809</v>
      </c>
      <c r="O27" s="115">
        <f t="shared" si="69"/>
        <v>18567.4432432432</v>
      </c>
      <c r="P27" s="120">
        <f t="shared" si="69"/>
        <v>0.322940138155374</v>
      </c>
      <c r="Q27" s="121">
        <f>SUM(O26:O27)</f>
        <v>27156.2721621622</v>
      </c>
      <c r="R27" s="122"/>
      <c r="S27" s="123"/>
      <c r="T27" s="110"/>
      <c r="U27" s="110"/>
      <c r="V27" s="110"/>
      <c r="W27" s="110"/>
      <c r="X27" s="110"/>
      <c r="Y27" s="110"/>
      <c r="Z27" s="110"/>
      <c r="AA27" s="110"/>
      <c r="AB27" s="110"/>
      <c r="AC27" s="110"/>
      <c r="AD27" s="110"/>
      <c r="AE27" s="110"/>
      <c r="AF27" s="110"/>
      <c r="AG27" s="110"/>
      <c r="AH27" s="110"/>
      <c r="AI27" s="110"/>
      <c r="AJ27" s="110"/>
      <c r="AK27" s="110"/>
      <c r="AL27" s="110"/>
      <c r="AM27" s="110"/>
      <c r="AN27" s="110"/>
      <c r="AO27" s="110"/>
      <c r="AP27" s="110"/>
      <c r="AQ27" s="110"/>
      <c r="AR27" s="110"/>
      <c r="AS27" s="110"/>
      <c r="AT27" s="110"/>
      <c r="AU27" s="110"/>
      <c r="AV27" s="110"/>
      <c r="AW27" s="110"/>
      <c r="AX27" s="110"/>
      <c r="AY27" s="110"/>
      <c r="AZ27" s="110"/>
      <c r="BA27" s="110"/>
      <c r="BB27" s="110"/>
      <c r="BC27" s="110"/>
      <c r="BD27" s="110"/>
      <c r="BE27" s="110"/>
      <c r="BF27" s="110"/>
      <c r="BG27" s="110"/>
      <c r="BH27" s="110"/>
      <c r="BI27" s="110"/>
      <c r="BJ27" s="110"/>
      <c r="BK27" s="110"/>
      <c r="BL27" s="110"/>
      <c r="BM27" s="110"/>
      <c r="BN27" s="110"/>
      <c r="BO27" s="110"/>
      <c r="BP27" s="110"/>
      <c r="BQ27" s="110"/>
      <c r="BR27" s="110"/>
      <c r="BS27" s="110"/>
      <c r="BT27" s="110"/>
      <c r="BU27" s="110"/>
      <c r="BV27" s="110"/>
      <c r="BW27" s="110"/>
    </row>
    <row r="28" ht="14.3" customHeight="1" spans="1:75">
      <c r="A28" s="114" t="s">
        <v>454</v>
      </c>
      <c r="B28" s="115">
        <v>116.99</v>
      </c>
      <c r="C28" s="115">
        <v>1700</v>
      </c>
      <c r="D28" s="116">
        <f t="shared" ref="D28:P28" si="70">AU4</f>
        <v>81893</v>
      </c>
      <c r="E28" s="116">
        <f t="shared" si="70"/>
        <v>11593.5135135135</v>
      </c>
      <c r="F28" s="116">
        <f t="shared" si="70"/>
        <v>12283.95</v>
      </c>
      <c r="G28" s="116">
        <f t="shared" si="70"/>
        <v>3983</v>
      </c>
      <c r="H28" s="116">
        <f t="shared" si="70"/>
        <v>1090.35594594595</v>
      </c>
      <c r="I28" s="116">
        <f t="shared" si="70"/>
        <v>5732.51</v>
      </c>
      <c r="J28" s="116">
        <f t="shared" si="70"/>
        <v>12283.95</v>
      </c>
      <c r="K28" s="116">
        <f t="shared" si="70"/>
        <v>13102.88</v>
      </c>
      <c r="L28" s="116">
        <f t="shared" si="70"/>
        <v>60070.1594594594</v>
      </c>
      <c r="M28" s="116">
        <f t="shared" si="70"/>
        <v>46790.66</v>
      </c>
      <c r="N28" s="119">
        <f t="shared" si="70"/>
        <v>0.571363364390119</v>
      </c>
      <c r="O28" s="116">
        <f t="shared" si="70"/>
        <v>21822.8405405406</v>
      </c>
      <c r="P28" s="120">
        <f t="shared" si="70"/>
        <v>0.26647992551916</v>
      </c>
      <c r="Q28" s="121">
        <f>SUM(O26:O28)</f>
        <v>48979.1127027027</v>
      </c>
      <c r="R28" s="122"/>
      <c r="S28" s="123"/>
      <c r="T28" s="110"/>
      <c r="U28" s="110"/>
      <c r="V28" s="110"/>
      <c r="W28" s="110"/>
      <c r="X28" s="110"/>
      <c r="Y28" s="110"/>
      <c r="Z28" s="110"/>
      <c r="AA28" s="110"/>
      <c r="AB28" s="110"/>
      <c r="AC28" s="110"/>
      <c r="AD28" s="110"/>
      <c r="AE28" s="110"/>
      <c r="AF28" s="110"/>
      <c r="AG28" s="110"/>
      <c r="AH28" s="110"/>
      <c r="AI28" s="110"/>
      <c r="AJ28" s="110"/>
      <c r="AK28" s="110"/>
      <c r="AL28" s="110"/>
      <c r="AM28" s="110"/>
      <c r="AN28" s="110"/>
      <c r="AO28" s="110"/>
      <c r="AP28" s="110"/>
      <c r="AQ28" s="110"/>
      <c r="AR28" s="110"/>
      <c r="AS28" s="110"/>
      <c r="AT28" s="110"/>
      <c r="AU28" s="110"/>
      <c r="AV28" s="110"/>
      <c r="AW28" s="110"/>
      <c r="AX28" s="110"/>
      <c r="AY28" s="110"/>
      <c r="AZ28" s="110"/>
      <c r="BA28" s="110"/>
      <c r="BB28" s="110"/>
      <c r="BC28" s="110"/>
      <c r="BD28" s="110"/>
      <c r="BE28" s="110"/>
      <c r="BF28" s="110"/>
      <c r="BG28" s="110"/>
      <c r="BH28" s="110"/>
      <c r="BI28" s="110"/>
      <c r="BJ28" s="110"/>
      <c r="BK28" s="110"/>
      <c r="BL28" s="110"/>
      <c r="BM28" s="110"/>
      <c r="BN28" s="110"/>
      <c r="BO28" s="110"/>
      <c r="BP28" s="110"/>
      <c r="BQ28" s="110"/>
      <c r="BR28" s="110"/>
      <c r="BS28" s="110"/>
      <c r="BT28" s="110"/>
      <c r="BU28" s="110"/>
      <c r="BV28" s="110"/>
      <c r="BW28" s="110"/>
    </row>
    <row r="29" ht="14.3" customHeight="1" spans="1:75">
      <c r="A29" s="114" t="s">
        <v>455</v>
      </c>
      <c r="B29" s="115">
        <v>116.99</v>
      </c>
      <c r="C29" s="116">
        <v>1500</v>
      </c>
      <c r="D29" s="115">
        <v>25485</v>
      </c>
      <c r="E29" s="115">
        <v>8430</v>
      </c>
      <c r="F29" s="115">
        <v>3822.75</v>
      </c>
      <c r="G29" s="115">
        <v>2805</v>
      </c>
      <c r="H29" s="115">
        <v>561.75</v>
      </c>
      <c r="I29" s="115">
        <v>1401.675</v>
      </c>
      <c r="J29" s="115">
        <v>2038.8</v>
      </c>
      <c r="K29" s="115">
        <v>4247.5</v>
      </c>
      <c r="L29" s="115">
        <v>23307.475</v>
      </c>
      <c r="M29" s="115">
        <v>13208.075</v>
      </c>
      <c r="N29" s="119">
        <v>0.518268589366294</v>
      </c>
      <c r="O29" s="115">
        <v>2177.525</v>
      </c>
      <c r="P29" s="120">
        <v>0.0854433980773003</v>
      </c>
      <c r="Q29" s="121">
        <f t="shared" ref="Q29:Q37" si="71">SUM(O26:O29)</f>
        <v>51156.6377027027</v>
      </c>
      <c r="R29" s="124"/>
      <c r="S29" s="123"/>
      <c r="T29" s="110"/>
      <c r="U29" s="110"/>
      <c r="V29" s="110"/>
      <c r="W29" s="110"/>
      <c r="X29" s="110"/>
      <c r="Y29" s="110"/>
      <c r="Z29" s="110"/>
      <c r="AA29" s="110"/>
      <c r="AB29" s="110"/>
      <c r="AC29" s="110"/>
      <c r="AD29" s="110"/>
      <c r="AE29" s="110"/>
      <c r="AF29" s="110"/>
      <c r="AG29" s="110"/>
      <c r="AH29" s="110"/>
      <c r="AI29" s="110"/>
      <c r="AJ29" s="110"/>
      <c r="AK29" s="110"/>
      <c r="AL29" s="110"/>
      <c r="AM29" s="110"/>
      <c r="AN29" s="110"/>
      <c r="AO29" s="110"/>
      <c r="AP29" s="110"/>
      <c r="AQ29" s="110"/>
      <c r="AR29" s="110"/>
      <c r="AS29" s="110"/>
      <c r="AT29" s="110"/>
      <c r="AU29" s="110"/>
      <c r="AV29" s="110"/>
      <c r="AW29" s="110"/>
      <c r="AX29" s="110"/>
      <c r="AY29" s="110"/>
      <c r="AZ29" s="110"/>
      <c r="BA29" s="110"/>
      <c r="BB29" s="110"/>
      <c r="BC29" s="110"/>
      <c r="BD29" s="110"/>
      <c r="BE29" s="110"/>
      <c r="BF29" s="110"/>
      <c r="BG29" s="110"/>
      <c r="BH29" s="110"/>
      <c r="BI29" s="110"/>
      <c r="BJ29" s="110"/>
      <c r="BK29" s="110"/>
      <c r="BL29" s="110"/>
      <c r="BM29" s="110"/>
      <c r="BN29" s="110"/>
      <c r="BO29" s="110"/>
      <c r="BP29" s="110"/>
      <c r="BQ29" s="110"/>
      <c r="BR29" s="110"/>
      <c r="BS29" s="110"/>
      <c r="BT29" s="110"/>
      <c r="BU29" s="110"/>
      <c r="BV29" s="110"/>
      <c r="BW29" s="110"/>
    </row>
    <row r="30" ht="14.3" customHeight="1" spans="1:75">
      <c r="A30" s="114" t="s">
        <v>508</v>
      </c>
      <c r="B30" s="115">
        <v>119.99</v>
      </c>
      <c r="C30" s="116">
        <v>1500</v>
      </c>
      <c r="D30" s="115">
        <v>25485</v>
      </c>
      <c r="E30" s="115">
        <v>8430</v>
      </c>
      <c r="F30" s="115">
        <v>3822.75</v>
      </c>
      <c r="G30" s="115">
        <v>2805</v>
      </c>
      <c r="H30" s="115">
        <v>561.75</v>
      </c>
      <c r="I30" s="115">
        <v>1401.675</v>
      </c>
      <c r="J30" s="115">
        <v>2038.8</v>
      </c>
      <c r="K30" s="115">
        <v>4247.5</v>
      </c>
      <c r="L30" s="115">
        <v>23307.475</v>
      </c>
      <c r="M30" s="115">
        <v>13208.075</v>
      </c>
      <c r="N30" s="119">
        <v>0.518268589366294</v>
      </c>
      <c r="O30" s="115">
        <v>2177.525</v>
      </c>
      <c r="P30" s="120">
        <v>0.0854433980773003</v>
      </c>
      <c r="Q30" s="121">
        <f t="shared" si="71"/>
        <v>44745.3337837838</v>
      </c>
      <c r="R30" s="124"/>
      <c r="S30" s="123"/>
      <c r="T30" s="110"/>
      <c r="U30" s="110"/>
      <c r="V30" s="110"/>
      <c r="W30" s="110"/>
      <c r="X30" s="110"/>
      <c r="Y30" s="110"/>
      <c r="Z30" s="110"/>
      <c r="AA30" s="110"/>
      <c r="AB30" s="110"/>
      <c r="AC30" s="110"/>
      <c r="AD30" s="110"/>
      <c r="AE30" s="110"/>
      <c r="AF30" s="110"/>
      <c r="AG30" s="110"/>
      <c r="AH30" s="110"/>
      <c r="AI30" s="110"/>
      <c r="AJ30" s="110"/>
      <c r="AK30" s="110"/>
      <c r="AL30" s="110"/>
      <c r="AM30" s="110"/>
      <c r="AN30" s="110"/>
      <c r="AO30" s="110"/>
      <c r="AP30" s="110"/>
      <c r="AQ30" s="110"/>
      <c r="AR30" s="110"/>
      <c r="AS30" s="110"/>
      <c r="AT30" s="110"/>
      <c r="AU30" s="110"/>
      <c r="AV30" s="110"/>
      <c r="AW30" s="110"/>
      <c r="AX30" s="110"/>
      <c r="AY30" s="110"/>
      <c r="AZ30" s="110"/>
      <c r="BA30" s="110"/>
      <c r="BB30" s="110"/>
      <c r="BC30" s="110"/>
      <c r="BD30" s="110"/>
      <c r="BE30" s="110"/>
      <c r="BF30" s="110"/>
      <c r="BG30" s="110"/>
      <c r="BH30" s="110"/>
      <c r="BI30" s="110"/>
      <c r="BJ30" s="110"/>
      <c r="BK30" s="110"/>
      <c r="BL30" s="110"/>
      <c r="BM30" s="110"/>
      <c r="BN30" s="110"/>
      <c r="BO30" s="110"/>
      <c r="BP30" s="110"/>
      <c r="BQ30" s="110"/>
      <c r="BR30" s="110"/>
      <c r="BS30" s="110"/>
      <c r="BT30" s="110"/>
      <c r="BU30" s="110"/>
      <c r="BV30" s="110"/>
      <c r="BW30" s="110"/>
    </row>
    <row r="31" ht="14.3" customHeight="1" spans="1:75">
      <c r="A31" s="125" t="s">
        <v>509</v>
      </c>
      <c r="B31" s="115">
        <v>119.99</v>
      </c>
      <c r="C31" s="116">
        <v>1500</v>
      </c>
      <c r="D31" s="115">
        <v>25485</v>
      </c>
      <c r="E31" s="115">
        <v>8430</v>
      </c>
      <c r="F31" s="115">
        <v>3822.75</v>
      </c>
      <c r="G31" s="115">
        <v>2805</v>
      </c>
      <c r="H31" s="115">
        <v>561.75</v>
      </c>
      <c r="I31" s="115">
        <v>1401.675</v>
      </c>
      <c r="J31" s="115">
        <v>2038.8</v>
      </c>
      <c r="K31" s="115">
        <v>4247.5</v>
      </c>
      <c r="L31" s="115">
        <v>23307.475</v>
      </c>
      <c r="M31" s="115">
        <v>13208.075</v>
      </c>
      <c r="N31" s="119">
        <v>0.518268589366294</v>
      </c>
      <c r="O31" s="115">
        <v>2177.525</v>
      </c>
      <c r="P31" s="120">
        <v>0.0854433980773003</v>
      </c>
      <c r="Q31" s="121">
        <f t="shared" si="71"/>
        <v>28355.4155405406</v>
      </c>
      <c r="R31" s="124"/>
      <c r="S31" s="123"/>
      <c r="T31" s="110"/>
      <c r="U31" s="110"/>
      <c r="V31" s="110"/>
      <c r="W31" s="110"/>
      <c r="X31" s="110"/>
      <c r="Y31" s="110"/>
      <c r="Z31" s="110"/>
      <c r="AA31" s="110"/>
      <c r="AB31" s="110"/>
      <c r="AC31" s="110"/>
      <c r="AD31" s="110"/>
      <c r="AE31" s="110"/>
      <c r="AF31" s="110"/>
      <c r="AG31" s="110"/>
      <c r="AH31" s="110"/>
      <c r="AI31" s="110"/>
      <c r="AJ31" s="110"/>
      <c r="AK31" s="110"/>
      <c r="AL31" s="110"/>
      <c r="AM31" s="110"/>
      <c r="AN31" s="110"/>
      <c r="AO31" s="110"/>
      <c r="AP31" s="110"/>
      <c r="AQ31" s="110"/>
      <c r="AR31" s="110"/>
      <c r="AS31" s="110"/>
      <c r="AT31" s="110"/>
      <c r="AU31" s="110"/>
      <c r="AV31" s="110"/>
      <c r="AW31" s="110"/>
      <c r="AX31" s="110"/>
      <c r="AY31" s="110"/>
      <c r="AZ31" s="110"/>
      <c r="BA31" s="110"/>
      <c r="BB31" s="110"/>
      <c r="BC31" s="110"/>
      <c r="BD31" s="110"/>
      <c r="BE31" s="110"/>
      <c r="BF31" s="110"/>
      <c r="BG31" s="110"/>
      <c r="BH31" s="110"/>
      <c r="BI31" s="110"/>
      <c r="BJ31" s="110"/>
      <c r="BK31" s="110"/>
      <c r="BL31" s="110"/>
      <c r="BM31" s="110"/>
      <c r="BN31" s="110"/>
      <c r="BO31" s="110"/>
      <c r="BP31" s="110"/>
      <c r="BQ31" s="110"/>
      <c r="BR31" s="110"/>
      <c r="BS31" s="110"/>
      <c r="BT31" s="110"/>
      <c r="BU31" s="110"/>
      <c r="BV31" s="110"/>
      <c r="BW31" s="110"/>
    </row>
    <row r="32" ht="14.3" customHeight="1" spans="1:75">
      <c r="A32" s="114" t="s">
        <v>510</v>
      </c>
      <c r="B32" s="115">
        <v>119.99</v>
      </c>
      <c r="C32" s="116">
        <v>1500</v>
      </c>
      <c r="D32" s="115">
        <v>25485</v>
      </c>
      <c r="E32" s="115">
        <v>8430</v>
      </c>
      <c r="F32" s="115">
        <v>3822.75</v>
      </c>
      <c r="G32" s="115">
        <v>2805</v>
      </c>
      <c r="H32" s="115">
        <v>561.75</v>
      </c>
      <c r="I32" s="115">
        <v>1401.675</v>
      </c>
      <c r="J32" s="115">
        <v>2038.8</v>
      </c>
      <c r="K32" s="115">
        <v>4247.5</v>
      </c>
      <c r="L32" s="115">
        <v>23307.475</v>
      </c>
      <c r="M32" s="115">
        <v>13208.075</v>
      </c>
      <c r="N32" s="119">
        <v>0.518268589366294</v>
      </c>
      <c r="O32" s="115">
        <v>2177.525</v>
      </c>
      <c r="P32" s="120">
        <v>0.0854433980773003</v>
      </c>
      <c r="Q32" s="121">
        <f t="shared" si="71"/>
        <v>8710.1</v>
      </c>
      <c r="R32" s="124"/>
      <c r="S32" s="123"/>
      <c r="T32" s="110"/>
      <c r="U32" s="110"/>
      <c r="V32" s="110"/>
      <c r="W32" s="110"/>
      <c r="X32" s="110"/>
      <c r="Y32" s="110"/>
      <c r="Z32" s="110"/>
      <c r="AA32" s="110"/>
      <c r="AB32" s="110"/>
      <c r="AC32" s="110"/>
      <c r="AD32" s="110"/>
      <c r="AE32" s="110"/>
      <c r="AF32" s="110"/>
      <c r="AG32" s="110"/>
      <c r="AH32" s="110"/>
      <c r="AI32" s="110"/>
      <c r="AJ32" s="110"/>
      <c r="AK32" s="110"/>
      <c r="AL32" s="110"/>
      <c r="AM32" s="110"/>
      <c r="AN32" s="110"/>
      <c r="AO32" s="110"/>
      <c r="AP32" s="110"/>
      <c r="AQ32" s="110"/>
      <c r="AR32" s="110"/>
      <c r="AS32" s="110"/>
      <c r="AT32" s="110"/>
      <c r="AU32" s="110"/>
      <c r="AV32" s="110"/>
      <c r="AW32" s="110"/>
      <c r="AX32" s="110"/>
      <c r="AY32" s="110"/>
      <c r="AZ32" s="110"/>
      <c r="BA32" s="110"/>
      <c r="BB32" s="110"/>
      <c r="BC32" s="110"/>
      <c r="BD32" s="110"/>
      <c r="BE32" s="110"/>
      <c r="BF32" s="110"/>
      <c r="BG32" s="110"/>
      <c r="BH32" s="110"/>
      <c r="BI32" s="110"/>
      <c r="BJ32" s="110"/>
      <c r="BK32" s="110"/>
      <c r="BL32" s="110"/>
      <c r="BM32" s="110"/>
      <c r="BN32" s="110"/>
      <c r="BO32" s="110"/>
      <c r="BP32" s="110"/>
      <c r="BQ32" s="110"/>
      <c r="BR32" s="110"/>
      <c r="BS32" s="110"/>
      <c r="BT32" s="110"/>
      <c r="BU32" s="110"/>
      <c r="BV32" s="110"/>
      <c r="BW32" s="110"/>
    </row>
    <row r="33" ht="14.3" customHeight="1" spans="1:75">
      <c r="A33" s="114" t="s">
        <v>511</v>
      </c>
      <c r="B33" s="115">
        <v>119.99</v>
      </c>
      <c r="C33" s="116">
        <v>1500</v>
      </c>
      <c r="D33" s="115">
        <v>25485</v>
      </c>
      <c r="E33" s="115">
        <v>8430</v>
      </c>
      <c r="F33" s="115">
        <v>3822.75</v>
      </c>
      <c r="G33" s="115">
        <v>2805</v>
      </c>
      <c r="H33" s="115">
        <v>561.75</v>
      </c>
      <c r="I33" s="115">
        <v>1401.675</v>
      </c>
      <c r="J33" s="115">
        <v>2038.8</v>
      </c>
      <c r="K33" s="115">
        <v>4247.5</v>
      </c>
      <c r="L33" s="115">
        <v>23307.475</v>
      </c>
      <c r="M33" s="115">
        <v>13208.075</v>
      </c>
      <c r="N33" s="119">
        <v>0.518268589366294</v>
      </c>
      <c r="O33" s="115">
        <v>2177.525</v>
      </c>
      <c r="P33" s="120">
        <v>0.0854433980773003</v>
      </c>
      <c r="Q33" s="121">
        <f t="shared" si="71"/>
        <v>8710.1</v>
      </c>
      <c r="R33" s="124"/>
      <c r="S33" s="123"/>
      <c r="T33" s="110"/>
      <c r="U33" s="110"/>
      <c r="V33" s="110"/>
      <c r="W33" s="110"/>
      <c r="X33" s="110"/>
      <c r="Y33" s="110"/>
      <c r="Z33" s="110"/>
      <c r="AA33" s="110"/>
      <c r="AB33" s="110"/>
      <c r="AC33" s="110"/>
      <c r="AD33" s="110"/>
      <c r="AE33" s="110"/>
      <c r="AF33" s="110"/>
      <c r="AG33" s="110"/>
      <c r="AH33" s="110"/>
      <c r="AI33" s="110"/>
      <c r="AJ33" s="110"/>
      <c r="AK33" s="110"/>
      <c r="AL33" s="110"/>
      <c r="AM33" s="110"/>
      <c r="AN33" s="110"/>
      <c r="AO33" s="110"/>
      <c r="AP33" s="110"/>
      <c r="AQ33" s="110"/>
      <c r="AR33" s="110"/>
      <c r="AS33" s="110"/>
      <c r="AT33" s="110"/>
      <c r="AU33" s="110"/>
      <c r="AV33" s="110"/>
      <c r="AW33" s="110"/>
      <c r="AX33" s="110"/>
      <c r="AY33" s="110"/>
      <c r="AZ33" s="110"/>
      <c r="BA33" s="110"/>
      <c r="BB33" s="110"/>
      <c r="BC33" s="110"/>
      <c r="BD33" s="110"/>
      <c r="BE33" s="110"/>
      <c r="BF33" s="110"/>
      <c r="BG33" s="110"/>
      <c r="BH33" s="110"/>
      <c r="BI33" s="110"/>
      <c r="BJ33" s="110"/>
      <c r="BK33" s="110"/>
      <c r="BL33" s="110"/>
      <c r="BM33" s="110"/>
      <c r="BN33" s="110"/>
      <c r="BO33" s="110"/>
      <c r="BP33" s="110"/>
      <c r="BQ33" s="110"/>
      <c r="BR33" s="110"/>
      <c r="BS33" s="110"/>
      <c r="BT33" s="110"/>
      <c r="BU33" s="110"/>
      <c r="BV33" s="110"/>
      <c r="BW33" s="110"/>
    </row>
    <row r="34" ht="14.3" customHeight="1" spans="1:75">
      <c r="A34" s="114" t="s">
        <v>512</v>
      </c>
      <c r="B34" s="115">
        <v>119.99</v>
      </c>
      <c r="C34" s="116">
        <v>1500</v>
      </c>
      <c r="D34" s="115">
        <v>25485</v>
      </c>
      <c r="E34" s="115">
        <v>8430</v>
      </c>
      <c r="F34" s="115">
        <v>3822.75</v>
      </c>
      <c r="G34" s="115">
        <v>2805</v>
      </c>
      <c r="H34" s="115">
        <v>561.75</v>
      </c>
      <c r="I34" s="115">
        <v>1401.675</v>
      </c>
      <c r="J34" s="115">
        <v>2038.8</v>
      </c>
      <c r="K34" s="115">
        <v>4247.5</v>
      </c>
      <c r="L34" s="115">
        <v>23307.475</v>
      </c>
      <c r="M34" s="115">
        <v>13208.075</v>
      </c>
      <c r="N34" s="119">
        <v>0.518268589366294</v>
      </c>
      <c r="O34" s="115">
        <v>2177.525</v>
      </c>
      <c r="P34" s="120">
        <v>0.0854433980773003</v>
      </c>
      <c r="Q34" s="121">
        <f t="shared" si="71"/>
        <v>8710.1</v>
      </c>
      <c r="R34" s="124"/>
      <c r="S34" s="123"/>
      <c r="T34" s="110"/>
      <c r="U34" s="110"/>
      <c r="V34" s="110"/>
      <c r="W34" s="110"/>
      <c r="X34" s="110"/>
      <c r="Y34" s="110"/>
      <c r="Z34" s="110"/>
      <c r="AA34" s="110"/>
      <c r="AB34" s="110"/>
      <c r="AC34" s="110"/>
      <c r="AD34" s="110"/>
      <c r="AE34" s="110"/>
      <c r="AF34" s="110"/>
      <c r="AG34" s="110"/>
      <c r="AH34" s="110"/>
      <c r="AI34" s="110"/>
      <c r="AJ34" s="110"/>
      <c r="AK34" s="110"/>
      <c r="AL34" s="110"/>
      <c r="AM34" s="110"/>
      <c r="AN34" s="110"/>
      <c r="AO34" s="110"/>
      <c r="AP34" s="110"/>
      <c r="AQ34" s="110"/>
      <c r="AR34" s="110"/>
      <c r="AS34" s="110"/>
      <c r="AT34" s="110"/>
      <c r="AU34" s="110"/>
      <c r="AV34" s="110"/>
      <c r="AW34" s="110"/>
      <c r="AX34" s="110"/>
      <c r="AY34" s="110"/>
      <c r="AZ34" s="110"/>
      <c r="BA34" s="110"/>
      <c r="BB34" s="110"/>
      <c r="BC34" s="110"/>
      <c r="BD34" s="110"/>
      <c r="BE34" s="110"/>
      <c r="BF34" s="110"/>
      <c r="BG34" s="110"/>
      <c r="BH34" s="110"/>
      <c r="BI34" s="110"/>
      <c r="BJ34" s="110"/>
      <c r="BK34" s="110"/>
      <c r="BL34" s="110"/>
      <c r="BM34" s="110"/>
      <c r="BN34" s="110"/>
      <c r="BO34" s="110"/>
      <c r="BP34" s="110"/>
      <c r="BQ34" s="110"/>
      <c r="BR34" s="110"/>
      <c r="BS34" s="110"/>
      <c r="BT34" s="110"/>
      <c r="BU34" s="110"/>
      <c r="BV34" s="110"/>
      <c r="BW34" s="110"/>
    </row>
    <row r="35" ht="14.3" customHeight="1" spans="1:75">
      <c r="A35" s="114" t="s">
        <v>513</v>
      </c>
      <c r="B35" s="115">
        <v>119.99</v>
      </c>
      <c r="C35" s="116">
        <v>1500</v>
      </c>
      <c r="D35" s="115">
        <v>25485</v>
      </c>
      <c r="E35" s="115">
        <v>8430</v>
      </c>
      <c r="F35" s="115">
        <v>3822.75</v>
      </c>
      <c r="G35" s="115">
        <v>2805</v>
      </c>
      <c r="H35" s="115">
        <v>561.75</v>
      </c>
      <c r="I35" s="115">
        <v>1401.675</v>
      </c>
      <c r="J35" s="115">
        <v>2038.8</v>
      </c>
      <c r="K35" s="115">
        <v>4247.5</v>
      </c>
      <c r="L35" s="115">
        <v>23307.475</v>
      </c>
      <c r="M35" s="115">
        <v>13208.075</v>
      </c>
      <c r="N35" s="119">
        <v>0.518268589366294</v>
      </c>
      <c r="O35" s="115">
        <v>2177.525</v>
      </c>
      <c r="P35" s="120">
        <v>0.0854433980773003</v>
      </c>
      <c r="Q35" s="121">
        <f t="shared" si="71"/>
        <v>8710.1</v>
      </c>
      <c r="R35" s="124"/>
      <c r="S35" s="123"/>
      <c r="T35" s="110"/>
      <c r="U35" s="110"/>
      <c r="V35" s="110"/>
      <c r="W35" s="110"/>
      <c r="X35" s="110"/>
      <c r="Y35" s="110"/>
      <c r="Z35" s="110"/>
      <c r="AA35" s="110"/>
      <c r="AB35" s="110"/>
      <c r="AC35" s="110"/>
      <c r="AD35" s="110"/>
      <c r="AE35" s="110"/>
      <c r="AF35" s="110"/>
      <c r="AG35" s="110"/>
      <c r="AH35" s="110"/>
      <c r="AI35" s="110"/>
      <c r="AJ35" s="110"/>
      <c r="AK35" s="110"/>
      <c r="AL35" s="110"/>
      <c r="AM35" s="110"/>
      <c r="AN35" s="110"/>
      <c r="AO35" s="110"/>
      <c r="AP35" s="110"/>
      <c r="AQ35" s="110"/>
      <c r="AR35" s="110"/>
      <c r="AS35" s="110"/>
      <c r="AT35" s="110"/>
      <c r="AU35" s="110"/>
      <c r="AV35" s="110"/>
      <c r="AW35" s="110"/>
      <c r="AX35" s="110"/>
      <c r="AY35" s="110"/>
      <c r="AZ35" s="110"/>
      <c r="BA35" s="110"/>
      <c r="BB35" s="110"/>
      <c r="BC35" s="110"/>
      <c r="BD35" s="110"/>
      <c r="BE35" s="110"/>
      <c r="BF35" s="110"/>
      <c r="BG35" s="110"/>
      <c r="BH35" s="110"/>
      <c r="BI35" s="110"/>
      <c r="BJ35" s="110"/>
      <c r="BK35" s="110"/>
      <c r="BL35" s="110"/>
      <c r="BM35" s="110"/>
      <c r="BN35" s="110"/>
      <c r="BO35" s="110"/>
      <c r="BP35" s="110"/>
      <c r="BQ35" s="110"/>
      <c r="BR35" s="110"/>
      <c r="BS35" s="110"/>
      <c r="BT35" s="110"/>
      <c r="BU35" s="110"/>
      <c r="BV35" s="110"/>
      <c r="BW35" s="110"/>
    </row>
    <row r="36" spans="1:75">
      <c r="A36" s="114" t="s">
        <v>514</v>
      </c>
      <c r="B36" s="115">
        <v>119.99</v>
      </c>
      <c r="C36" s="116">
        <v>1500</v>
      </c>
      <c r="D36" s="115">
        <v>25485</v>
      </c>
      <c r="E36" s="115">
        <v>8430</v>
      </c>
      <c r="F36" s="115">
        <v>3822.75</v>
      </c>
      <c r="G36" s="115">
        <v>2805</v>
      </c>
      <c r="H36" s="115">
        <v>561.75</v>
      </c>
      <c r="I36" s="115">
        <v>1401.675</v>
      </c>
      <c r="J36" s="115">
        <v>2038.8</v>
      </c>
      <c r="K36" s="115">
        <v>4247.5</v>
      </c>
      <c r="L36" s="115">
        <v>23307.475</v>
      </c>
      <c r="M36" s="115">
        <v>13208.075</v>
      </c>
      <c r="N36" s="119">
        <v>0.518268589366294</v>
      </c>
      <c r="O36" s="115">
        <v>2177.525</v>
      </c>
      <c r="P36" s="120">
        <v>0.0854433980773003</v>
      </c>
      <c r="Q36" s="121">
        <f t="shared" si="71"/>
        <v>8710.1</v>
      </c>
      <c r="R36" s="124"/>
      <c r="S36" s="123"/>
      <c r="T36" s="110"/>
      <c r="U36" s="110"/>
      <c r="V36" s="110"/>
      <c r="W36" s="110"/>
      <c r="X36" s="110"/>
      <c r="Y36" s="110"/>
      <c r="Z36" s="110"/>
      <c r="AA36" s="110"/>
      <c r="AB36" s="110"/>
      <c r="AC36" s="110"/>
      <c r="AD36" s="110"/>
      <c r="AE36" s="110"/>
      <c r="AF36" s="110"/>
      <c r="AG36" s="110"/>
      <c r="AH36" s="110"/>
      <c r="AI36" s="110"/>
      <c r="AJ36" s="110"/>
      <c r="AK36" s="110"/>
      <c r="AL36" s="110"/>
      <c r="AM36" s="110"/>
      <c r="AN36" s="110"/>
      <c r="AO36" s="110"/>
      <c r="AP36" s="110"/>
      <c r="AQ36" s="110"/>
      <c r="AR36" s="110"/>
      <c r="AS36" s="110"/>
      <c r="AT36" s="110"/>
      <c r="AU36" s="110"/>
      <c r="AV36" s="110"/>
      <c r="AW36" s="110"/>
      <c r="AX36" s="110"/>
      <c r="AY36" s="110"/>
      <c r="AZ36" s="110"/>
      <c r="BA36" s="110"/>
      <c r="BB36" s="110"/>
      <c r="BC36" s="110"/>
      <c r="BD36" s="110"/>
      <c r="BE36" s="110"/>
      <c r="BF36" s="110"/>
      <c r="BG36" s="110"/>
      <c r="BH36" s="110"/>
      <c r="BI36" s="110"/>
      <c r="BJ36" s="110"/>
      <c r="BK36" s="110"/>
      <c r="BL36" s="110"/>
      <c r="BM36" s="110"/>
      <c r="BN36" s="110"/>
      <c r="BO36" s="110"/>
      <c r="BP36" s="110"/>
      <c r="BQ36" s="110"/>
      <c r="BR36" s="110"/>
      <c r="BS36" s="110"/>
      <c r="BT36" s="110"/>
      <c r="BU36" s="110"/>
      <c r="BV36" s="110"/>
      <c r="BW36" s="110"/>
    </row>
    <row r="37" spans="1:75">
      <c r="A37" s="114">
        <v>2</v>
      </c>
      <c r="B37" s="115">
        <v>119.99</v>
      </c>
      <c r="C37" s="116">
        <v>1500</v>
      </c>
      <c r="D37" s="115">
        <v>25485</v>
      </c>
      <c r="E37" s="115">
        <v>8430</v>
      </c>
      <c r="F37" s="115">
        <v>3822.75</v>
      </c>
      <c r="G37" s="115">
        <v>2805</v>
      </c>
      <c r="H37" s="115">
        <v>561.75</v>
      </c>
      <c r="I37" s="115">
        <v>1401.675</v>
      </c>
      <c r="J37" s="115">
        <v>2038.8</v>
      </c>
      <c r="K37" s="115">
        <v>4247.5</v>
      </c>
      <c r="L37" s="115">
        <v>23307.475</v>
      </c>
      <c r="M37" s="115">
        <v>13208.075</v>
      </c>
      <c r="N37" s="119">
        <v>0.518268589366294</v>
      </c>
      <c r="O37" s="115">
        <v>2177.525</v>
      </c>
      <c r="P37" s="120">
        <v>0.0854433980773003</v>
      </c>
      <c r="Q37" s="121">
        <f t="shared" si="71"/>
        <v>8710.1</v>
      </c>
      <c r="R37" s="124"/>
      <c r="S37" s="123"/>
      <c r="T37" s="110"/>
      <c r="U37" s="110"/>
      <c r="V37" s="110"/>
      <c r="W37" s="110"/>
      <c r="X37" s="110"/>
      <c r="Y37" s="110"/>
      <c r="Z37" s="110"/>
      <c r="AA37" s="110"/>
      <c r="AB37" s="110"/>
      <c r="AC37" s="110"/>
      <c r="AD37" s="110"/>
      <c r="AE37" s="110"/>
      <c r="AF37" s="110"/>
      <c r="AG37" s="110"/>
      <c r="AH37" s="110"/>
      <c r="AI37" s="110"/>
      <c r="AJ37" s="110"/>
      <c r="AK37" s="110"/>
      <c r="AL37" s="110"/>
      <c r="AM37" s="110"/>
      <c r="AN37" s="110"/>
      <c r="AO37" s="110"/>
      <c r="AP37" s="110"/>
      <c r="AQ37" s="110"/>
      <c r="AR37" s="110"/>
      <c r="AS37" s="110"/>
      <c r="AT37" s="110"/>
      <c r="AU37" s="110"/>
      <c r="AV37" s="110"/>
      <c r="AW37" s="110"/>
      <c r="AX37" s="110"/>
      <c r="AY37" s="110"/>
      <c r="AZ37" s="110"/>
      <c r="BA37" s="110"/>
      <c r="BB37" s="110"/>
      <c r="BC37" s="110"/>
      <c r="BD37" s="110"/>
      <c r="BE37" s="110"/>
      <c r="BF37" s="110"/>
      <c r="BG37" s="110"/>
      <c r="BH37" s="110"/>
      <c r="BI37" s="110"/>
      <c r="BJ37" s="110"/>
      <c r="BK37" s="110"/>
      <c r="BL37" s="110"/>
      <c r="BM37" s="110"/>
      <c r="BN37" s="110"/>
      <c r="BO37" s="110"/>
      <c r="BP37" s="110"/>
      <c r="BQ37" s="110"/>
      <c r="BR37" s="110"/>
      <c r="BS37" s="110"/>
      <c r="BT37" s="110"/>
      <c r="BU37" s="110"/>
      <c r="BV37" s="110"/>
      <c r="BW37" s="110"/>
    </row>
    <row r="38" spans="1:75">
      <c r="A38" s="114">
        <v>3</v>
      </c>
      <c r="B38" s="115"/>
      <c r="C38" s="116"/>
      <c r="D38" s="115"/>
      <c r="E38" s="115"/>
      <c r="F38" s="115"/>
      <c r="G38" s="115"/>
      <c r="H38" s="115"/>
      <c r="I38" s="115"/>
      <c r="J38" s="115"/>
      <c r="K38" s="115"/>
      <c r="L38" s="115"/>
      <c r="M38" s="115"/>
      <c r="N38" s="119"/>
      <c r="O38" s="115"/>
      <c r="P38" s="120"/>
      <c r="Q38" s="121"/>
      <c r="R38" s="124"/>
      <c r="S38" s="123"/>
      <c r="T38" s="110"/>
      <c r="U38" s="110"/>
      <c r="V38" s="110"/>
      <c r="W38" s="110"/>
      <c r="X38" s="110"/>
      <c r="Y38" s="110"/>
      <c r="Z38" s="110"/>
      <c r="AA38" s="110"/>
      <c r="AB38" s="110"/>
      <c r="AC38" s="110"/>
      <c r="AD38" s="110"/>
      <c r="AE38" s="110"/>
      <c r="AF38" s="110"/>
      <c r="AG38" s="110"/>
      <c r="AH38" s="110"/>
      <c r="AI38" s="110"/>
      <c r="AJ38" s="110"/>
      <c r="AK38" s="110"/>
      <c r="AL38" s="110"/>
      <c r="AM38" s="110"/>
      <c r="AN38" s="110"/>
      <c r="AO38" s="110"/>
      <c r="AP38" s="110"/>
      <c r="AQ38" s="110"/>
      <c r="AR38" s="110"/>
      <c r="AS38" s="110"/>
      <c r="AT38" s="110"/>
      <c r="AU38" s="110"/>
      <c r="AV38" s="110"/>
      <c r="AW38" s="110"/>
      <c r="AX38" s="110"/>
      <c r="AY38" s="110"/>
      <c r="AZ38" s="110"/>
      <c r="BA38" s="110"/>
      <c r="BB38" s="110"/>
      <c r="BC38" s="110"/>
      <c r="BD38" s="110"/>
      <c r="BE38" s="110"/>
      <c r="BF38" s="110"/>
      <c r="BG38" s="110"/>
      <c r="BH38" s="110"/>
      <c r="BI38" s="110"/>
      <c r="BJ38" s="110"/>
      <c r="BK38" s="110"/>
      <c r="BL38" s="110"/>
      <c r="BM38" s="110"/>
      <c r="BN38" s="110"/>
      <c r="BO38" s="110"/>
      <c r="BP38" s="110"/>
      <c r="BQ38" s="110"/>
      <c r="BR38" s="110"/>
      <c r="BS38" s="110"/>
      <c r="BT38" s="110"/>
      <c r="BU38" s="110"/>
      <c r="BV38" s="110"/>
      <c r="BW38" s="110"/>
    </row>
    <row r="39" spans="1:75">
      <c r="A39" s="34"/>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c r="Z39" s="110"/>
      <c r="AA39" s="110"/>
      <c r="AB39" s="110"/>
      <c r="AC39" s="110"/>
      <c r="AD39" s="110"/>
      <c r="AE39" s="110"/>
      <c r="AF39" s="110"/>
      <c r="AG39" s="110"/>
      <c r="AH39" s="110"/>
      <c r="AI39" s="110"/>
      <c r="AJ39" s="110"/>
      <c r="AK39" s="110"/>
      <c r="AL39" s="110"/>
      <c r="AM39" s="110"/>
      <c r="AN39" s="110"/>
      <c r="AO39" s="110"/>
      <c r="AP39" s="110"/>
      <c r="AQ39" s="110"/>
      <c r="AR39" s="110"/>
      <c r="AS39" s="110"/>
      <c r="AT39" s="110"/>
      <c r="AU39" s="110"/>
      <c r="AV39" s="110"/>
      <c r="AW39" s="110"/>
      <c r="AX39" s="110"/>
      <c r="AY39" s="110"/>
      <c r="AZ39" s="110"/>
      <c r="BA39" s="110"/>
      <c r="BB39" s="110"/>
      <c r="BC39" s="110"/>
      <c r="BD39" s="110"/>
      <c r="BE39" s="110"/>
      <c r="BF39" s="110"/>
      <c r="BG39" s="110"/>
      <c r="BH39" s="110"/>
      <c r="BI39" s="110"/>
      <c r="BJ39" s="110"/>
      <c r="BK39" s="110"/>
      <c r="BL39" s="110"/>
      <c r="BM39" s="110"/>
      <c r="BN39" s="110"/>
      <c r="BO39" s="110"/>
      <c r="BP39" s="110"/>
      <c r="BQ39" s="110"/>
      <c r="BR39" s="110"/>
      <c r="BS39" s="110"/>
      <c r="BT39" s="110"/>
      <c r="BU39" s="110"/>
      <c r="BV39" s="110"/>
      <c r="BW39" s="110"/>
    </row>
    <row r="40" spans="1:75">
      <c r="A40" s="34" t="s">
        <v>515</v>
      </c>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c r="AA40" s="110"/>
      <c r="AB40" s="110"/>
      <c r="AC40" s="110"/>
      <c r="AD40" s="110"/>
      <c r="AE40" s="110"/>
      <c r="AF40" s="110"/>
      <c r="AG40" s="110"/>
      <c r="AH40" s="110"/>
      <c r="AI40" s="110"/>
      <c r="AJ40" s="110"/>
      <c r="AK40" s="110"/>
      <c r="AL40" s="110"/>
      <c r="AM40" s="110"/>
      <c r="AN40" s="110"/>
      <c r="AO40" s="110"/>
      <c r="AP40" s="110"/>
      <c r="AQ40" s="110"/>
      <c r="AR40" s="110"/>
      <c r="AS40" s="110"/>
      <c r="AT40" s="110"/>
      <c r="AU40" s="110"/>
      <c r="AV40" s="110"/>
      <c r="AW40" s="110"/>
      <c r="AX40" s="110"/>
      <c r="AY40" s="110"/>
      <c r="AZ40" s="110"/>
      <c r="BA40" s="110"/>
      <c r="BB40" s="110"/>
      <c r="BC40" s="110"/>
      <c r="BD40" s="110"/>
      <c r="BE40" s="110"/>
      <c r="BF40" s="110"/>
      <c r="BG40" s="110"/>
      <c r="BH40" s="110"/>
      <c r="BI40" s="110"/>
      <c r="BJ40" s="110"/>
      <c r="BK40" s="110"/>
      <c r="BL40" s="110"/>
      <c r="BM40" s="110"/>
      <c r="BN40" s="110"/>
      <c r="BO40" s="110"/>
      <c r="BP40" s="110"/>
      <c r="BQ40" s="110"/>
      <c r="BR40" s="110"/>
      <c r="BS40" s="110"/>
      <c r="BT40" s="110"/>
      <c r="BU40" s="110"/>
      <c r="BV40" s="110"/>
      <c r="BW40" s="110"/>
    </row>
    <row r="41" ht="24" spans="1:75">
      <c r="A41" s="111" t="s">
        <v>505</v>
      </c>
      <c r="B41" s="57" t="s">
        <v>347</v>
      </c>
      <c r="C41" s="57" t="s">
        <v>469</v>
      </c>
      <c r="D41" s="59" t="s">
        <v>214</v>
      </c>
      <c r="E41" s="59" t="s">
        <v>471</v>
      </c>
      <c r="F41" s="59" t="s">
        <v>472</v>
      </c>
      <c r="G41" s="59" t="s">
        <v>473</v>
      </c>
      <c r="H41" s="57" t="s">
        <v>474</v>
      </c>
      <c r="I41" s="57" t="s">
        <v>420</v>
      </c>
      <c r="J41" s="57" t="s">
        <v>475</v>
      </c>
      <c r="K41" s="57" t="s">
        <v>467</v>
      </c>
      <c r="L41" s="59" t="s">
        <v>476</v>
      </c>
      <c r="M41" s="57" t="s">
        <v>482</v>
      </c>
      <c r="N41" s="57" t="s">
        <v>478</v>
      </c>
      <c r="O41" s="57" t="s">
        <v>479</v>
      </c>
      <c r="P41" s="44" t="s">
        <v>480</v>
      </c>
      <c r="Q41" s="57" t="s">
        <v>506</v>
      </c>
      <c r="R41" s="112"/>
      <c r="S41" s="112"/>
      <c r="T41" s="113"/>
      <c r="U41" s="113"/>
      <c r="V41" s="113"/>
      <c r="W41" s="113"/>
      <c r="X41" s="113"/>
      <c r="Y41" s="113"/>
      <c r="Z41" s="113"/>
      <c r="AA41" s="113"/>
      <c r="AB41" s="113"/>
      <c r="AC41" s="113"/>
      <c r="AD41" s="113"/>
      <c r="AE41" s="113"/>
      <c r="AF41" s="113"/>
      <c r="AG41" s="113"/>
      <c r="AH41" s="113"/>
      <c r="AI41" s="113"/>
      <c r="AJ41" s="113"/>
      <c r="AK41" s="113"/>
      <c r="AL41" s="113"/>
      <c r="AM41" s="113"/>
      <c r="AN41" s="113"/>
      <c r="AO41" s="113"/>
      <c r="AP41" s="113"/>
      <c r="AQ41" s="113"/>
      <c r="AR41" s="113"/>
      <c r="AS41" s="113"/>
      <c r="AT41" s="113"/>
      <c r="AU41" s="113"/>
      <c r="AV41" s="113"/>
      <c r="AW41" s="113"/>
      <c r="AX41" s="113"/>
      <c r="AY41" s="113"/>
      <c r="AZ41" s="113"/>
      <c r="BA41" s="113"/>
      <c r="BB41" s="113"/>
      <c r="BC41" s="113"/>
      <c r="BD41" s="113"/>
      <c r="BE41" s="113"/>
      <c r="BF41" s="113"/>
      <c r="BG41" s="113"/>
      <c r="BH41" s="113"/>
      <c r="BI41" s="113"/>
      <c r="BJ41" s="113"/>
      <c r="BK41" s="113"/>
      <c r="BL41" s="113"/>
      <c r="BM41" s="113"/>
      <c r="BN41" s="113"/>
      <c r="BO41" s="113"/>
      <c r="BP41" s="113"/>
      <c r="BQ41" s="113"/>
      <c r="BR41" s="113"/>
      <c r="BS41" s="113"/>
      <c r="BT41" s="113"/>
      <c r="BU41" s="113"/>
      <c r="BV41" s="113"/>
      <c r="BW41" s="113"/>
    </row>
    <row r="42" spans="1:75">
      <c r="A42" s="114" t="s">
        <v>507</v>
      </c>
      <c r="B42" s="115">
        <f>119.99</f>
        <v>119.99</v>
      </c>
      <c r="C42" s="116">
        <f t="shared" ref="C42:P42" si="72">N19</f>
        <v>0</v>
      </c>
      <c r="D42" s="116">
        <f t="shared" si="72"/>
        <v>19.2903225806452</v>
      </c>
      <c r="E42" s="116">
        <f t="shared" si="72"/>
        <v>0</v>
      </c>
      <c r="F42" s="116">
        <f t="shared" si="72"/>
        <v>0</v>
      </c>
      <c r="G42" s="116">
        <f t="shared" si="72"/>
        <v>0</v>
      </c>
      <c r="H42" s="116">
        <f t="shared" si="72"/>
        <v>0</v>
      </c>
      <c r="I42" s="117">
        <f t="shared" si="72"/>
        <v>0</v>
      </c>
      <c r="J42" s="115">
        <f t="shared" si="72"/>
        <v>0</v>
      </c>
      <c r="K42" s="117">
        <f t="shared" si="72"/>
        <v>0</v>
      </c>
      <c r="L42" s="116">
        <f t="shared" si="72"/>
        <v>0</v>
      </c>
      <c r="M42" s="118">
        <f t="shared" si="72"/>
        <v>0</v>
      </c>
      <c r="N42" s="119">
        <f t="shared" si="72"/>
        <v>0</v>
      </c>
      <c r="O42" s="116">
        <f t="shared" si="72"/>
        <v>0</v>
      </c>
      <c r="P42" s="120">
        <f t="shared" si="72"/>
        <v>0</v>
      </c>
      <c r="Q42" s="121">
        <f>O42</f>
        <v>0</v>
      </c>
      <c r="R42" s="122"/>
      <c r="S42" s="123"/>
      <c r="T42" s="110"/>
      <c r="U42" s="110"/>
      <c r="V42" s="110"/>
      <c r="W42" s="110"/>
      <c r="X42" s="110"/>
      <c r="Y42" s="110"/>
      <c r="Z42" s="110"/>
      <c r="AA42" s="110"/>
      <c r="AB42" s="110"/>
      <c r="AC42" s="110"/>
      <c r="AD42" s="110"/>
      <c r="AE42" s="110"/>
      <c r="AF42" s="110"/>
      <c r="AG42" s="110"/>
      <c r="AH42" s="110"/>
      <c r="AI42" s="110"/>
      <c r="AJ42" s="110"/>
      <c r="AK42" s="110"/>
      <c r="AL42" s="110"/>
      <c r="AM42" s="110"/>
      <c r="AN42" s="110"/>
      <c r="AO42" s="110"/>
      <c r="AP42" s="110"/>
      <c r="AQ42" s="110"/>
      <c r="AR42" s="110"/>
      <c r="AS42" s="110"/>
      <c r="AT42" s="110"/>
      <c r="AU42" s="110"/>
      <c r="AV42" s="110"/>
      <c r="AW42" s="110"/>
      <c r="AX42" s="110"/>
      <c r="AY42" s="110"/>
      <c r="AZ42" s="110"/>
      <c r="BA42" s="110"/>
      <c r="BB42" s="110"/>
      <c r="BC42" s="110"/>
      <c r="BD42" s="110"/>
      <c r="BE42" s="110"/>
      <c r="BF42" s="110"/>
      <c r="BG42" s="110"/>
      <c r="BH42" s="110"/>
      <c r="BI42" s="110"/>
      <c r="BJ42" s="110"/>
      <c r="BK42" s="110"/>
      <c r="BL42" s="110"/>
      <c r="BM42" s="110"/>
      <c r="BN42" s="110"/>
      <c r="BO42" s="110"/>
      <c r="BP42" s="110"/>
      <c r="BQ42" s="110"/>
      <c r="BR42" s="110"/>
      <c r="BS42" s="110"/>
      <c r="BT42" s="110"/>
      <c r="BU42" s="110"/>
      <c r="BV42" s="110"/>
      <c r="BW42" s="110"/>
    </row>
    <row r="43" spans="1:75">
      <c r="A43" s="114" t="s">
        <v>453</v>
      </c>
      <c r="B43" s="115">
        <v>119.99</v>
      </c>
      <c r="C43" s="116">
        <v>1500</v>
      </c>
      <c r="D43" s="116">
        <f t="shared" ref="D43:P43" si="73">AE20</f>
        <v>0</v>
      </c>
      <c r="E43" s="116">
        <f t="shared" si="73"/>
        <v>0</v>
      </c>
      <c r="F43" s="116">
        <f t="shared" si="73"/>
        <v>0</v>
      </c>
      <c r="G43" s="116">
        <f t="shared" si="73"/>
        <v>0</v>
      </c>
      <c r="H43" s="116">
        <f t="shared" si="73"/>
        <v>0</v>
      </c>
      <c r="I43" s="116">
        <f t="shared" si="73"/>
        <v>0</v>
      </c>
      <c r="J43" s="115">
        <f t="shared" si="73"/>
        <v>0</v>
      </c>
      <c r="K43" s="116">
        <f t="shared" si="73"/>
        <v>0</v>
      </c>
      <c r="L43" s="116">
        <f t="shared" si="73"/>
        <v>0</v>
      </c>
      <c r="M43" s="116">
        <f t="shared" si="73"/>
        <v>0</v>
      </c>
      <c r="N43" s="119">
        <f t="shared" si="73"/>
        <v>0</v>
      </c>
      <c r="O43" s="115">
        <f t="shared" si="73"/>
        <v>0</v>
      </c>
      <c r="P43" s="120">
        <f t="shared" si="73"/>
        <v>0</v>
      </c>
      <c r="Q43" s="121">
        <f>SUM(O42:O43)</f>
        <v>0</v>
      </c>
      <c r="R43" s="122"/>
      <c r="S43" s="123"/>
      <c r="T43" s="110"/>
      <c r="U43" s="110"/>
      <c r="V43" s="110"/>
      <c r="W43" s="110"/>
      <c r="X43" s="110"/>
      <c r="Y43" s="110"/>
      <c r="Z43" s="110"/>
      <c r="AA43" s="110"/>
      <c r="AB43" s="110"/>
      <c r="AC43" s="110"/>
      <c r="AD43" s="110"/>
      <c r="AE43" s="110"/>
      <c r="AF43" s="110"/>
      <c r="AG43" s="110"/>
      <c r="AH43" s="110"/>
      <c r="AI43" s="110"/>
      <c r="AJ43" s="110"/>
      <c r="AK43" s="110"/>
      <c r="AL43" s="110"/>
      <c r="AM43" s="110"/>
      <c r="AN43" s="110"/>
      <c r="AO43" s="110"/>
      <c r="AP43" s="110"/>
      <c r="AQ43" s="110"/>
      <c r="AR43" s="110"/>
      <c r="AS43" s="110"/>
      <c r="AT43" s="110"/>
      <c r="AU43" s="110"/>
      <c r="AV43" s="110"/>
      <c r="AW43" s="110"/>
      <c r="AX43" s="110"/>
      <c r="AY43" s="110"/>
      <c r="AZ43" s="110"/>
      <c r="BA43" s="110"/>
      <c r="BB43" s="110"/>
      <c r="BC43" s="110"/>
      <c r="BD43" s="110"/>
      <c r="BE43" s="110"/>
      <c r="BF43" s="110"/>
      <c r="BG43" s="110"/>
      <c r="BH43" s="110"/>
      <c r="BI43" s="110"/>
      <c r="BJ43" s="110"/>
      <c r="BK43" s="110"/>
      <c r="BL43" s="110"/>
      <c r="BM43" s="110"/>
      <c r="BN43" s="110"/>
      <c r="BO43" s="110"/>
      <c r="BP43" s="110"/>
      <c r="BQ43" s="110"/>
      <c r="BR43" s="110"/>
      <c r="BS43" s="110"/>
      <c r="BT43" s="110"/>
      <c r="BU43" s="110"/>
      <c r="BV43" s="110"/>
      <c r="BW43" s="110"/>
    </row>
    <row r="44" spans="1:75">
      <c r="A44" s="114" t="s">
        <v>454</v>
      </c>
      <c r="B44" s="115">
        <v>116.99</v>
      </c>
      <c r="C44" s="115">
        <v>1700</v>
      </c>
      <c r="D44" s="116">
        <f t="shared" ref="D44:P44" si="74">AU20</f>
        <v>0</v>
      </c>
      <c r="E44" s="116">
        <f t="shared" si="74"/>
        <v>0</v>
      </c>
      <c r="F44" s="116">
        <f t="shared" si="74"/>
        <v>0</v>
      </c>
      <c r="G44" s="116">
        <f t="shared" si="74"/>
        <v>0</v>
      </c>
      <c r="H44" s="116">
        <f t="shared" si="74"/>
        <v>0</v>
      </c>
      <c r="I44" s="116">
        <f t="shared" si="74"/>
        <v>0</v>
      </c>
      <c r="J44" s="116">
        <f t="shared" si="74"/>
        <v>0</v>
      </c>
      <c r="K44" s="116">
        <f t="shared" si="74"/>
        <v>0</v>
      </c>
      <c r="L44" s="116">
        <f t="shared" si="74"/>
        <v>0</v>
      </c>
      <c r="M44" s="116">
        <f t="shared" si="74"/>
        <v>0</v>
      </c>
      <c r="N44" s="119">
        <f t="shared" si="74"/>
        <v>0</v>
      </c>
      <c r="O44" s="116">
        <f t="shared" si="74"/>
        <v>0</v>
      </c>
      <c r="P44" s="120">
        <f t="shared" si="74"/>
        <v>0</v>
      </c>
      <c r="Q44" s="121">
        <f>SUM(O42:O44)</f>
        <v>0</v>
      </c>
      <c r="R44" s="122"/>
      <c r="S44" s="123"/>
      <c r="T44" s="110"/>
      <c r="U44" s="110"/>
      <c r="V44" s="110"/>
      <c r="W44" s="110"/>
      <c r="X44" s="110"/>
      <c r="Y44" s="110"/>
      <c r="Z44" s="110"/>
      <c r="AA44" s="110"/>
      <c r="AB44" s="110"/>
      <c r="AC44" s="110"/>
      <c r="AD44" s="110"/>
      <c r="AE44" s="110"/>
      <c r="AF44" s="110"/>
      <c r="AG44" s="110"/>
      <c r="AH44" s="110"/>
      <c r="AI44" s="110"/>
      <c r="AJ44" s="110"/>
      <c r="AK44" s="110"/>
      <c r="AL44" s="110"/>
      <c r="AM44" s="110"/>
      <c r="AN44" s="110"/>
      <c r="AO44" s="110"/>
      <c r="AP44" s="110"/>
      <c r="AQ44" s="110"/>
      <c r="AR44" s="110"/>
      <c r="AS44" s="110"/>
      <c r="AT44" s="110"/>
      <c r="AU44" s="110"/>
      <c r="AV44" s="110"/>
      <c r="AW44" s="110"/>
      <c r="AX44" s="110"/>
      <c r="AY44" s="110"/>
      <c r="AZ44" s="110"/>
      <c r="BA44" s="110"/>
      <c r="BB44" s="110"/>
      <c r="BC44" s="110"/>
      <c r="BD44" s="110"/>
      <c r="BE44" s="110"/>
      <c r="BF44" s="110"/>
      <c r="BG44" s="110"/>
      <c r="BH44" s="110"/>
      <c r="BI44" s="110"/>
      <c r="BJ44" s="110"/>
      <c r="BK44" s="110"/>
      <c r="BL44" s="110"/>
      <c r="BM44" s="110"/>
      <c r="BN44" s="110"/>
      <c r="BO44" s="110"/>
      <c r="BP44" s="110"/>
      <c r="BQ44" s="110"/>
      <c r="BR44" s="110"/>
      <c r="BS44" s="110"/>
      <c r="BT44" s="110"/>
      <c r="BU44" s="110"/>
      <c r="BV44" s="110"/>
      <c r="BW44" s="110"/>
    </row>
    <row r="45" spans="1:75">
      <c r="A45" s="114" t="s">
        <v>455</v>
      </c>
      <c r="B45" s="115">
        <v>116.99</v>
      </c>
      <c r="C45" s="116">
        <v>1500</v>
      </c>
      <c r="D45" s="115">
        <v>25485</v>
      </c>
      <c r="E45" s="115">
        <v>8430</v>
      </c>
      <c r="F45" s="115">
        <v>3822.75</v>
      </c>
      <c r="G45" s="115">
        <v>2805</v>
      </c>
      <c r="H45" s="115">
        <v>561.75</v>
      </c>
      <c r="I45" s="115">
        <v>1401.675</v>
      </c>
      <c r="J45" s="115">
        <v>2038.8</v>
      </c>
      <c r="K45" s="115">
        <v>4247.5</v>
      </c>
      <c r="L45" s="115">
        <v>23307.475</v>
      </c>
      <c r="M45" s="115">
        <v>13208.075</v>
      </c>
      <c r="N45" s="119">
        <v>0.518268589366294</v>
      </c>
      <c r="O45" s="115">
        <v>2177.525</v>
      </c>
      <c r="P45" s="120">
        <v>0.0854433980773003</v>
      </c>
      <c r="Q45" s="121">
        <f t="shared" ref="Q45:Q53" si="75">SUM(O42:O45)</f>
        <v>2177.525</v>
      </c>
      <c r="R45" s="124"/>
      <c r="S45" s="123"/>
      <c r="T45" s="110"/>
      <c r="U45" s="110"/>
      <c r="V45" s="110"/>
      <c r="W45" s="110"/>
      <c r="X45" s="110"/>
      <c r="Y45" s="110"/>
      <c r="Z45" s="110"/>
      <c r="AA45" s="110"/>
      <c r="AB45" s="110"/>
      <c r="AC45" s="110"/>
      <c r="AD45" s="110"/>
      <c r="AE45" s="110"/>
      <c r="AF45" s="110"/>
      <c r="AG45" s="110"/>
      <c r="AH45" s="110"/>
      <c r="AI45" s="110"/>
      <c r="AJ45" s="110"/>
      <c r="AK45" s="110"/>
      <c r="AL45" s="110"/>
      <c r="AM45" s="110"/>
      <c r="AN45" s="110"/>
      <c r="AO45" s="110"/>
      <c r="AP45" s="110"/>
      <c r="AQ45" s="110"/>
      <c r="AR45" s="110"/>
      <c r="AS45" s="110"/>
      <c r="AT45" s="110"/>
      <c r="AU45" s="110"/>
      <c r="AV45" s="110"/>
      <c r="AW45" s="110"/>
      <c r="AX45" s="110"/>
      <c r="AY45" s="110"/>
      <c r="AZ45" s="110"/>
      <c r="BA45" s="110"/>
      <c r="BB45" s="110"/>
      <c r="BC45" s="110"/>
      <c r="BD45" s="110"/>
      <c r="BE45" s="110"/>
      <c r="BF45" s="110"/>
      <c r="BG45" s="110"/>
      <c r="BH45" s="110"/>
      <c r="BI45" s="110"/>
      <c r="BJ45" s="110"/>
      <c r="BK45" s="110"/>
      <c r="BL45" s="110"/>
      <c r="BM45" s="110"/>
      <c r="BN45" s="110"/>
      <c r="BO45" s="110"/>
      <c r="BP45" s="110"/>
      <c r="BQ45" s="110"/>
      <c r="BR45" s="110"/>
      <c r="BS45" s="110"/>
      <c r="BT45" s="110"/>
      <c r="BU45" s="110"/>
      <c r="BV45" s="110"/>
      <c r="BW45" s="110"/>
    </row>
    <row r="46" spans="1:75">
      <c r="A46" s="114" t="s">
        <v>508</v>
      </c>
      <c r="B46" s="115">
        <v>119.99</v>
      </c>
      <c r="C46" s="116">
        <v>1500</v>
      </c>
      <c r="D46" s="115">
        <v>25485</v>
      </c>
      <c r="E46" s="115">
        <v>8430</v>
      </c>
      <c r="F46" s="115">
        <v>3822.75</v>
      </c>
      <c r="G46" s="115">
        <v>2805</v>
      </c>
      <c r="H46" s="115">
        <v>561.75</v>
      </c>
      <c r="I46" s="115">
        <v>1401.675</v>
      </c>
      <c r="J46" s="115">
        <v>2038.8</v>
      </c>
      <c r="K46" s="115">
        <v>4247.5</v>
      </c>
      <c r="L46" s="115">
        <v>23307.475</v>
      </c>
      <c r="M46" s="115">
        <v>13208.075</v>
      </c>
      <c r="N46" s="119">
        <v>0.518268589366294</v>
      </c>
      <c r="O46" s="115">
        <v>2177.525</v>
      </c>
      <c r="P46" s="120">
        <v>0.0854433980773003</v>
      </c>
      <c r="Q46" s="121">
        <f t="shared" si="75"/>
        <v>4355.05</v>
      </c>
      <c r="R46" s="124"/>
      <c r="S46" s="123"/>
      <c r="T46" s="110"/>
      <c r="U46" s="110"/>
      <c r="V46" s="110"/>
      <c r="W46" s="110"/>
      <c r="X46" s="110"/>
      <c r="Y46" s="110"/>
      <c r="Z46" s="110"/>
      <c r="AA46" s="110"/>
      <c r="AB46" s="110"/>
      <c r="AC46" s="110"/>
      <c r="AD46" s="110"/>
      <c r="AE46" s="110"/>
      <c r="AF46" s="110"/>
      <c r="AG46" s="110"/>
      <c r="AH46" s="110"/>
      <c r="AI46" s="110"/>
      <c r="AJ46" s="110"/>
      <c r="AK46" s="110"/>
      <c r="AL46" s="110"/>
      <c r="AM46" s="110"/>
      <c r="AN46" s="110"/>
      <c r="AO46" s="110"/>
      <c r="AP46" s="110"/>
      <c r="AQ46" s="110"/>
      <c r="AR46" s="110"/>
      <c r="AS46" s="110"/>
      <c r="AT46" s="110"/>
      <c r="AU46" s="110"/>
      <c r="AV46" s="110"/>
      <c r="AW46" s="110"/>
      <c r="AX46" s="110"/>
      <c r="AY46" s="110"/>
      <c r="AZ46" s="110"/>
      <c r="BA46" s="110"/>
      <c r="BB46" s="110"/>
      <c r="BC46" s="110"/>
      <c r="BD46" s="110"/>
      <c r="BE46" s="110"/>
      <c r="BF46" s="110"/>
      <c r="BG46" s="110"/>
      <c r="BH46" s="110"/>
      <c r="BI46" s="110"/>
      <c r="BJ46" s="110"/>
      <c r="BK46" s="110"/>
      <c r="BL46" s="110"/>
      <c r="BM46" s="110"/>
      <c r="BN46" s="110"/>
      <c r="BO46" s="110"/>
      <c r="BP46" s="110"/>
      <c r="BQ46" s="110"/>
      <c r="BR46" s="110"/>
      <c r="BS46" s="110"/>
      <c r="BT46" s="110"/>
      <c r="BU46" s="110"/>
      <c r="BV46" s="110"/>
      <c r="BW46" s="110"/>
    </row>
    <row r="47" spans="1:75">
      <c r="A47" s="125" t="s">
        <v>509</v>
      </c>
      <c r="B47" s="115">
        <v>119.99</v>
      </c>
      <c r="C47" s="116">
        <v>1500</v>
      </c>
      <c r="D47" s="115">
        <v>25485</v>
      </c>
      <c r="E47" s="115">
        <v>8430</v>
      </c>
      <c r="F47" s="115">
        <v>3822.75</v>
      </c>
      <c r="G47" s="115">
        <v>2805</v>
      </c>
      <c r="H47" s="115">
        <v>561.75</v>
      </c>
      <c r="I47" s="115">
        <v>1401.675</v>
      </c>
      <c r="J47" s="115">
        <v>2038.8</v>
      </c>
      <c r="K47" s="115">
        <v>4247.5</v>
      </c>
      <c r="L47" s="115">
        <v>23307.475</v>
      </c>
      <c r="M47" s="115">
        <v>13208.075</v>
      </c>
      <c r="N47" s="119">
        <v>0.518268589366294</v>
      </c>
      <c r="O47" s="115">
        <v>2177.525</v>
      </c>
      <c r="P47" s="120">
        <v>0.0854433980773003</v>
      </c>
      <c r="Q47" s="121">
        <f t="shared" si="75"/>
        <v>6532.575</v>
      </c>
      <c r="R47" s="124"/>
      <c r="S47" s="123"/>
      <c r="T47" s="110"/>
      <c r="U47" s="110"/>
      <c r="V47" s="110"/>
      <c r="W47" s="110"/>
      <c r="X47" s="110"/>
      <c r="Y47" s="110"/>
      <c r="Z47" s="110"/>
      <c r="AA47" s="110"/>
      <c r="AB47" s="110"/>
      <c r="AC47" s="110"/>
      <c r="AD47" s="110"/>
      <c r="AE47" s="110"/>
      <c r="AF47" s="110"/>
      <c r="AG47" s="110"/>
      <c r="AH47" s="110"/>
      <c r="AI47" s="110"/>
      <c r="AJ47" s="110"/>
      <c r="AK47" s="110"/>
      <c r="AL47" s="110"/>
      <c r="AM47" s="110"/>
      <c r="AN47" s="110"/>
      <c r="AO47" s="110"/>
      <c r="AP47" s="110"/>
      <c r="AQ47" s="110"/>
      <c r="AR47" s="110"/>
      <c r="AS47" s="110"/>
      <c r="AT47" s="110"/>
      <c r="AU47" s="110"/>
      <c r="AV47" s="110"/>
      <c r="AW47" s="110"/>
      <c r="AX47" s="110"/>
      <c r="AY47" s="110"/>
      <c r="AZ47" s="110"/>
      <c r="BA47" s="110"/>
      <c r="BB47" s="110"/>
      <c r="BC47" s="110"/>
      <c r="BD47" s="110"/>
      <c r="BE47" s="110"/>
      <c r="BF47" s="110"/>
      <c r="BG47" s="110"/>
      <c r="BH47" s="110"/>
      <c r="BI47" s="110"/>
      <c r="BJ47" s="110"/>
      <c r="BK47" s="110"/>
      <c r="BL47" s="110"/>
      <c r="BM47" s="110"/>
      <c r="BN47" s="110"/>
      <c r="BO47" s="110"/>
      <c r="BP47" s="110"/>
      <c r="BQ47" s="110"/>
      <c r="BR47" s="110"/>
      <c r="BS47" s="110"/>
      <c r="BT47" s="110"/>
      <c r="BU47" s="110"/>
      <c r="BV47" s="110"/>
      <c r="BW47" s="110"/>
    </row>
    <row r="48" spans="1:75">
      <c r="A48" s="114" t="s">
        <v>510</v>
      </c>
      <c r="B48" s="115">
        <v>119.99</v>
      </c>
      <c r="C48" s="116">
        <v>1500</v>
      </c>
      <c r="D48" s="115">
        <v>25485</v>
      </c>
      <c r="E48" s="115">
        <v>8430</v>
      </c>
      <c r="F48" s="115">
        <v>3822.75</v>
      </c>
      <c r="G48" s="115">
        <v>2805</v>
      </c>
      <c r="H48" s="115">
        <v>561.75</v>
      </c>
      <c r="I48" s="115">
        <v>1401.675</v>
      </c>
      <c r="J48" s="115">
        <v>2038.8</v>
      </c>
      <c r="K48" s="115">
        <v>4247.5</v>
      </c>
      <c r="L48" s="115">
        <v>23307.475</v>
      </c>
      <c r="M48" s="115">
        <v>13208.075</v>
      </c>
      <c r="N48" s="119">
        <v>0.518268589366294</v>
      </c>
      <c r="O48" s="115">
        <v>2177.525</v>
      </c>
      <c r="P48" s="120">
        <v>0.0854433980773003</v>
      </c>
      <c r="Q48" s="121">
        <f t="shared" si="75"/>
        <v>8710.1</v>
      </c>
      <c r="R48" s="124"/>
      <c r="S48" s="123"/>
      <c r="T48" s="110"/>
      <c r="U48" s="110"/>
      <c r="V48" s="110"/>
      <c r="W48" s="110"/>
      <c r="X48" s="110"/>
      <c r="Y48" s="110"/>
      <c r="Z48" s="110"/>
      <c r="AA48" s="110"/>
      <c r="AB48" s="110"/>
      <c r="AC48" s="110"/>
      <c r="AD48" s="110"/>
      <c r="AE48" s="110"/>
      <c r="AF48" s="110"/>
      <c r="AG48" s="110"/>
      <c r="AH48" s="110"/>
      <c r="AI48" s="110"/>
      <c r="AJ48" s="110"/>
      <c r="AK48" s="110"/>
      <c r="AL48" s="110"/>
      <c r="AM48" s="110"/>
      <c r="AN48" s="110"/>
      <c r="AO48" s="110"/>
      <c r="AP48" s="110"/>
      <c r="AQ48" s="110"/>
      <c r="AR48" s="110"/>
      <c r="AS48" s="110"/>
      <c r="AT48" s="110"/>
      <c r="AU48" s="110"/>
      <c r="AV48" s="110"/>
      <c r="AW48" s="110"/>
      <c r="AX48" s="110"/>
      <c r="AY48" s="110"/>
      <c r="AZ48" s="110"/>
      <c r="BA48" s="110"/>
      <c r="BB48" s="110"/>
      <c r="BC48" s="110"/>
      <c r="BD48" s="110"/>
      <c r="BE48" s="110"/>
      <c r="BF48" s="110"/>
      <c r="BG48" s="110"/>
      <c r="BH48" s="110"/>
      <c r="BI48" s="110"/>
      <c r="BJ48" s="110"/>
      <c r="BK48" s="110"/>
      <c r="BL48" s="110"/>
      <c r="BM48" s="110"/>
      <c r="BN48" s="110"/>
      <c r="BO48" s="110"/>
      <c r="BP48" s="110"/>
      <c r="BQ48" s="110"/>
      <c r="BR48" s="110"/>
      <c r="BS48" s="110"/>
      <c r="BT48" s="110"/>
      <c r="BU48" s="110"/>
      <c r="BV48" s="110"/>
      <c r="BW48" s="110"/>
    </row>
    <row r="49" spans="1:75">
      <c r="A49" s="114" t="s">
        <v>511</v>
      </c>
      <c r="B49" s="115">
        <v>119.99</v>
      </c>
      <c r="C49" s="116">
        <v>1500</v>
      </c>
      <c r="D49" s="115">
        <v>25485</v>
      </c>
      <c r="E49" s="115">
        <v>8430</v>
      </c>
      <c r="F49" s="115">
        <v>3822.75</v>
      </c>
      <c r="G49" s="115">
        <v>2805</v>
      </c>
      <c r="H49" s="115">
        <v>561.75</v>
      </c>
      <c r="I49" s="115">
        <v>1401.675</v>
      </c>
      <c r="J49" s="115">
        <v>2038.8</v>
      </c>
      <c r="K49" s="115">
        <v>4247.5</v>
      </c>
      <c r="L49" s="115">
        <v>23307.475</v>
      </c>
      <c r="M49" s="115">
        <v>13208.075</v>
      </c>
      <c r="N49" s="119">
        <v>0.518268589366294</v>
      </c>
      <c r="O49" s="115">
        <v>2177.525</v>
      </c>
      <c r="P49" s="120">
        <v>0.0854433980773003</v>
      </c>
      <c r="Q49" s="121">
        <f t="shared" si="75"/>
        <v>8710.1</v>
      </c>
      <c r="R49" s="124"/>
      <c r="S49" s="123"/>
      <c r="T49" s="110"/>
      <c r="U49" s="110"/>
      <c r="V49" s="110"/>
      <c r="W49" s="110"/>
      <c r="X49" s="110"/>
      <c r="Y49" s="110"/>
      <c r="Z49" s="110"/>
      <c r="AA49" s="110"/>
      <c r="AB49" s="110"/>
      <c r="AC49" s="110"/>
      <c r="AD49" s="110"/>
      <c r="AE49" s="110"/>
      <c r="AF49" s="110"/>
      <c r="AG49" s="110"/>
      <c r="AH49" s="110"/>
      <c r="AI49" s="110"/>
      <c r="AJ49" s="110"/>
      <c r="AK49" s="110"/>
      <c r="AL49" s="110"/>
      <c r="AM49" s="110"/>
      <c r="AN49" s="110"/>
      <c r="AO49" s="110"/>
      <c r="AP49" s="110"/>
      <c r="AQ49" s="110"/>
      <c r="AR49" s="110"/>
      <c r="AS49" s="110"/>
      <c r="AT49" s="110"/>
      <c r="AU49" s="110"/>
      <c r="AV49" s="110"/>
      <c r="AW49" s="110"/>
      <c r="AX49" s="110"/>
      <c r="AY49" s="110"/>
      <c r="AZ49" s="110"/>
      <c r="BA49" s="110"/>
      <c r="BB49" s="110"/>
      <c r="BC49" s="110"/>
      <c r="BD49" s="110"/>
      <c r="BE49" s="110"/>
      <c r="BF49" s="110"/>
      <c r="BG49" s="110"/>
      <c r="BH49" s="110"/>
      <c r="BI49" s="110"/>
      <c r="BJ49" s="110"/>
      <c r="BK49" s="110"/>
      <c r="BL49" s="110"/>
      <c r="BM49" s="110"/>
      <c r="BN49" s="110"/>
      <c r="BO49" s="110"/>
      <c r="BP49" s="110"/>
      <c r="BQ49" s="110"/>
      <c r="BR49" s="110"/>
      <c r="BS49" s="110"/>
      <c r="BT49" s="110"/>
      <c r="BU49" s="110"/>
      <c r="BV49" s="110"/>
      <c r="BW49" s="110"/>
    </row>
    <row r="50" spans="1:75">
      <c r="A50" s="114" t="s">
        <v>512</v>
      </c>
      <c r="B50" s="115">
        <v>119.99</v>
      </c>
      <c r="C50" s="116">
        <v>1500</v>
      </c>
      <c r="D50" s="115">
        <v>25485</v>
      </c>
      <c r="E50" s="115">
        <v>8430</v>
      </c>
      <c r="F50" s="115">
        <v>3822.75</v>
      </c>
      <c r="G50" s="115">
        <v>2805</v>
      </c>
      <c r="H50" s="115">
        <v>561.75</v>
      </c>
      <c r="I50" s="115">
        <v>1401.675</v>
      </c>
      <c r="J50" s="115">
        <v>2038.8</v>
      </c>
      <c r="K50" s="115">
        <v>4247.5</v>
      </c>
      <c r="L50" s="115">
        <v>23307.475</v>
      </c>
      <c r="M50" s="115">
        <v>13208.075</v>
      </c>
      <c r="N50" s="119">
        <v>0.518268589366294</v>
      </c>
      <c r="O50" s="115">
        <v>2177.525</v>
      </c>
      <c r="P50" s="120">
        <v>0.0854433980773003</v>
      </c>
      <c r="Q50" s="121">
        <f t="shared" si="75"/>
        <v>8710.1</v>
      </c>
      <c r="R50" s="124"/>
      <c r="S50" s="123"/>
      <c r="T50" s="110"/>
      <c r="U50" s="110"/>
      <c r="V50" s="110"/>
      <c r="W50" s="110"/>
      <c r="X50" s="110"/>
      <c r="Y50" s="110"/>
      <c r="Z50" s="110"/>
      <c r="AA50" s="110"/>
      <c r="AB50" s="110"/>
      <c r="AC50" s="110"/>
      <c r="AD50" s="110"/>
      <c r="AE50" s="110"/>
      <c r="AF50" s="110"/>
      <c r="AG50" s="110"/>
      <c r="AH50" s="110"/>
      <c r="AI50" s="110"/>
      <c r="AJ50" s="110"/>
      <c r="AK50" s="110"/>
      <c r="AL50" s="110"/>
      <c r="AM50" s="110"/>
      <c r="AN50" s="110"/>
      <c r="AO50" s="110"/>
      <c r="AP50" s="110"/>
      <c r="AQ50" s="110"/>
      <c r="AR50" s="110"/>
      <c r="AS50" s="110"/>
      <c r="AT50" s="110"/>
      <c r="AU50" s="110"/>
      <c r="AV50" s="110"/>
      <c r="AW50" s="110"/>
      <c r="AX50" s="110"/>
      <c r="AY50" s="110"/>
      <c r="AZ50" s="110"/>
      <c r="BA50" s="110"/>
      <c r="BB50" s="110"/>
      <c r="BC50" s="110"/>
      <c r="BD50" s="110"/>
      <c r="BE50" s="110"/>
      <c r="BF50" s="110"/>
      <c r="BG50" s="110"/>
      <c r="BH50" s="110"/>
      <c r="BI50" s="110"/>
      <c r="BJ50" s="110"/>
      <c r="BK50" s="110"/>
      <c r="BL50" s="110"/>
      <c r="BM50" s="110"/>
      <c r="BN50" s="110"/>
      <c r="BO50" s="110"/>
      <c r="BP50" s="110"/>
      <c r="BQ50" s="110"/>
      <c r="BR50" s="110"/>
      <c r="BS50" s="110"/>
      <c r="BT50" s="110"/>
      <c r="BU50" s="110"/>
      <c r="BV50" s="110"/>
      <c r="BW50" s="110"/>
    </row>
    <row r="51" spans="1:75">
      <c r="A51" s="114" t="s">
        <v>513</v>
      </c>
      <c r="B51" s="115">
        <v>119.99</v>
      </c>
      <c r="C51" s="116">
        <v>1500</v>
      </c>
      <c r="D51" s="115">
        <v>25485</v>
      </c>
      <c r="E51" s="115">
        <v>8430</v>
      </c>
      <c r="F51" s="115">
        <v>3822.75</v>
      </c>
      <c r="G51" s="115">
        <v>2805</v>
      </c>
      <c r="H51" s="115">
        <v>561.75</v>
      </c>
      <c r="I51" s="115">
        <v>1401.675</v>
      </c>
      <c r="J51" s="115">
        <v>2038.8</v>
      </c>
      <c r="K51" s="115">
        <v>4247.5</v>
      </c>
      <c r="L51" s="115">
        <v>23307.475</v>
      </c>
      <c r="M51" s="115">
        <v>13208.075</v>
      </c>
      <c r="N51" s="119">
        <v>0.518268589366294</v>
      </c>
      <c r="O51" s="115">
        <v>2177.525</v>
      </c>
      <c r="P51" s="120">
        <v>0.0854433980773003</v>
      </c>
      <c r="Q51" s="121">
        <f t="shared" si="75"/>
        <v>8710.1</v>
      </c>
      <c r="R51" s="124"/>
      <c r="S51" s="123"/>
      <c r="T51" s="110"/>
      <c r="U51" s="110"/>
      <c r="V51" s="110"/>
      <c r="W51" s="110"/>
      <c r="X51" s="110"/>
      <c r="Y51" s="110"/>
      <c r="Z51" s="110"/>
      <c r="AA51" s="110"/>
      <c r="AB51" s="110"/>
      <c r="AC51" s="110"/>
      <c r="AD51" s="110"/>
      <c r="AE51" s="110"/>
      <c r="AF51" s="110"/>
      <c r="AG51" s="110"/>
      <c r="AH51" s="110"/>
      <c r="AI51" s="110"/>
      <c r="AJ51" s="110"/>
      <c r="AK51" s="110"/>
      <c r="AL51" s="110"/>
      <c r="AM51" s="110"/>
      <c r="AN51" s="110"/>
      <c r="AO51" s="110"/>
      <c r="AP51" s="110"/>
      <c r="AQ51" s="110"/>
      <c r="AR51" s="110"/>
      <c r="AS51" s="110"/>
      <c r="AT51" s="110"/>
      <c r="AU51" s="110"/>
      <c r="AV51" s="110"/>
      <c r="AW51" s="110"/>
      <c r="AX51" s="110"/>
      <c r="AY51" s="110"/>
      <c r="AZ51" s="110"/>
      <c r="BA51" s="110"/>
      <c r="BB51" s="110"/>
      <c r="BC51" s="110"/>
      <c r="BD51" s="110"/>
      <c r="BE51" s="110"/>
      <c r="BF51" s="110"/>
      <c r="BG51" s="110"/>
      <c r="BH51" s="110"/>
      <c r="BI51" s="110"/>
      <c r="BJ51" s="110"/>
      <c r="BK51" s="110"/>
      <c r="BL51" s="110"/>
      <c r="BM51" s="110"/>
      <c r="BN51" s="110"/>
      <c r="BO51" s="110"/>
      <c r="BP51" s="110"/>
      <c r="BQ51" s="110"/>
      <c r="BR51" s="110"/>
      <c r="BS51" s="110"/>
      <c r="BT51" s="110"/>
      <c r="BU51" s="110"/>
      <c r="BV51" s="110"/>
      <c r="BW51" s="110"/>
    </row>
    <row r="52" spans="1:75">
      <c r="A52" s="114">
        <v>1</v>
      </c>
      <c r="B52" s="115">
        <v>119.99</v>
      </c>
      <c r="C52" s="116">
        <v>1500</v>
      </c>
      <c r="D52" s="115">
        <v>25485</v>
      </c>
      <c r="E52" s="115">
        <v>8430</v>
      </c>
      <c r="F52" s="115">
        <v>3822.75</v>
      </c>
      <c r="G52" s="115">
        <v>2805</v>
      </c>
      <c r="H52" s="115">
        <v>561.75</v>
      </c>
      <c r="I52" s="115">
        <v>1401.675</v>
      </c>
      <c r="J52" s="115">
        <v>2038.8</v>
      </c>
      <c r="K52" s="115">
        <v>4247.5</v>
      </c>
      <c r="L52" s="115">
        <v>23307.475</v>
      </c>
      <c r="M52" s="115">
        <v>13208.075</v>
      </c>
      <c r="N52" s="119">
        <v>0.518268589366294</v>
      </c>
      <c r="O52" s="115">
        <v>2177.525</v>
      </c>
      <c r="P52" s="120">
        <v>0.0854433980773003</v>
      </c>
      <c r="Q52" s="121">
        <f t="shared" si="75"/>
        <v>8710.1</v>
      </c>
      <c r="R52" s="124"/>
      <c r="S52" s="123"/>
      <c r="T52" s="110"/>
      <c r="U52" s="110"/>
      <c r="V52" s="110"/>
      <c r="W52" s="110"/>
      <c r="X52" s="110"/>
      <c r="Y52" s="110"/>
      <c r="Z52" s="110"/>
      <c r="AA52" s="110"/>
      <c r="AB52" s="110"/>
      <c r="AC52" s="110"/>
      <c r="AD52" s="110"/>
      <c r="AE52" s="110"/>
      <c r="AF52" s="110"/>
      <c r="AG52" s="110"/>
      <c r="AH52" s="110"/>
      <c r="AI52" s="110"/>
      <c r="AJ52" s="110"/>
      <c r="AK52" s="110"/>
      <c r="AL52" s="110"/>
      <c r="AM52" s="110"/>
      <c r="AN52" s="110"/>
      <c r="AO52" s="110"/>
      <c r="AP52" s="110"/>
      <c r="AQ52" s="110"/>
      <c r="AR52" s="110"/>
      <c r="AS52" s="110"/>
      <c r="AT52" s="110"/>
      <c r="AU52" s="110"/>
      <c r="AV52" s="110"/>
      <c r="AW52" s="110"/>
      <c r="AX52" s="110"/>
      <c r="AY52" s="110"/>
      <c r="AZ52" s="110"/>
      <c r="BA52" s="110"/>
      <c r="BB52" s="110"/>
      <c r="BC52" s="110"/>
      <c r="BD52" s="110"/>
      <c r="BE52" s="110"/>
      <c r="BF52" s="110"/>
      <c r="BG52" s="110"/>
      <c r="BH52" s="110"/>
      <c r="BI52" s="110"/>
      <c r="BJ52" s="110"/>
      <c r="BK52" s="110"/>
      <c r="BL52" s="110"/>
      <c r="BM52" s="110"/>
      <c r="BN52" s="110"/>
      <c r="BO52" s="110"/>
      <c r="BP52" s="110"/>
      <c r="BQ52" s="110"/>
      <c r="BR52" s="110"/>
      <c r="BS52" s="110"/>
      <c r="BT52" s="110"/>
      <c r="BU52" s="110"/>
      <c r="BV52" s="110"/>
      <c r="BW52" s="110"/>
    </row>
    <row r="53" spans="1:75">
      <c r="A53" s="114">
        <v>2</v>
      </c>
      <c r="B53" s="115">
        <v>119.99</v>
      </c>
      <c r="C53" s="116">
        <v>1500</v>
      </c>
      <c r="D53" s="115">
        <v>25485</v>
      </c>
      <c r="E53" s="115">
        <v>8430</v>
      </c>
      <c r="F53" s="115">
        <v>3822.75</v>
      </c>
      <c r="G53" s="115">
        <v>2805</v>
      </c>
      <c r="H53" s="115">
        <v>561.75</v>
      </c>
      <c r="I53" s="115">
        <v>1401.675</v>
      </c>
      <c r="J53" s="115">
        <v>2038.8</v>
      </c>
      <c r="K53" s="115">
        <v>4247.5</v>
      </c>
      <c r="L53" s="115">
        <v>23307.475</v>
      </c>
      <c r="M53" s="115">
        <v>13208.075</v>
      </c>
      <c r="N53" s="119">
        <v>0.518268589366294</v>
      </c>
      <c r="O53" s="115">
        <v>2177.525</v>
      </c>
      <c r="P53" s="120">
        <v>0.0854433980773003</v>
      </c>
      <c r="Q53" s="121">
        <f t="shared" si="75"/>
        <v>8710.1</v>
      </c>
      <c r="R53" s="124"/>
      <c r="S53" s="123"/>
      <c r="T53" s="110"/>
      <c r="U53" s="110"/>
      <c r="V53" s="110"/>
      <c r="W53" s="110"/>
      <c r="X53" s="110"/>
      <c r="Y53" s="110"/>
      <c r="Z53" s="110"/>
      <c r="AA53" s="110"/>
      <c r="AB53" s="110"/>
      <c r="AC53" s="110"/>
      <c r="AD53" s="110"/>
      <c r="AE53" s="110"/>
      <c r="AF53" s="110"/>
      <c r="AG53" s="110"/>
      <c r="AH53" s="110"/>
      <c r="AI53" s="110"/>
      <c r="AJ53" s="110"/>
      <c r="AK53" s="110"/>
      <c r="AL53" s="110"/>
      <c r="AM53" s="110"/>
      <c r="AN53" s="110"/>
      <c r="AO53" s="110"/>
      <c r="AP53" s="110"/>
      <c r="AQ53" s="110"/>
      <c r="AR53" s="110"/>
      <c r="AS53" s="110"/>
      <c r="AT53" s="110"/>
      <c r="AU53" s="110"/>
      <c r="AV53" s="110"/>
      <c r="AW53" s="110"/>
      <c r="AX53" s="110"/>
      <c r="AY53" s="110"/>
      <c r="AZ53" s="110"/>
      <c r="BA53" s="110"/>
      <c r="BB53" s="110"/>
      <c r="BC53" s="110"/>
      <c r="BD53" s="110"/>
      <c r="BE53" s="110"/>
      <c r="BF53" s="110"/>
      <c r="BG53" s="110"/>
      <c r="BH53" s="110"/>
      <c r="BI53" s="110"/>
      <c r="BJ53" s="110"/>
      <c r="BK53" s="110"/>
      <c r="BL53" s="110"/>
      <c r="BM53" s="110"/>
      <c r="BN53" s="110"/>
      <c r="BO53" s="110"/>
      <c r="BP53" s="110"/>
      <c r="BQ53" s="110"/>
      <c r="BR53" s="110"/>
      <c r="BS53" s="110"/>
      <c r="BT53" s="110"/>
      <c r="BU53" s="110"/>
      <c r="BV53" s="110"/>
      <c r="BW53" s="110"/>
    </row>
    <row r="54" spans="1:75">
      <c r="A54" s="114">
        <v>3</v>
      </c>
      <c r="B54" s="115"/>
      <c r="C54" s="116"/>
      <c r="D54" s="115"/>
      <c r="E54" s="115"/>
      <c r="F54" s="115"/>
      <c r="G54" s="115"/>
      <c r="H54" s="115"/>
      <c r="I54" s="115"/>
      <c r="J54" s="115"/>
      <c r="K54" s="115"/>
      <c r="L54" s="115"/>
      <c r="M54" s="115"/>
      <c r="N54" s="119"/>
      <c r="O54" s="115"/>
      <c r="P54" s="120"/>
      <c r="Q54" s="121"/>
      <c r="R54" s="124"/>
      <c r="S54" s="123"/>
      <c r="T54" s="110"/>
      <c r="U54" s="110"/>
      <c r="V54" s="110"/>
      <c r="W54" s="110"/>
      <c r="X54" s="110"/>
      <c r="Y54" s="110"/>
      <c r="Z54" s="110"/>
      <c r="AA54" s="110"/>
      <c r="AB54" s="110"/>
      <c r="AC54" s="110"/>
      <c r="AD54" s="110"/>
      <c r="AE54" s="110"/>
      <c r="AF54" s="110"/>
      <c r="AG54" s="110"/>
      <c r="AH54" s="110"/>
      <c r="AI54" s="110"/>
      <c r="AJ54" s="110"/>
      <c r="AK54" s="110"/>
      <c r="AL54" s="110"/>
      <c r="AM54" s="110"/>
      <c r="AN54" s="110"/>
      <c r="AO54" s="110"/>
      <c r="AP54" s="110"/>
      <c r="AQ54" s="110"/>
      <c r="AR54" s="110"/>
      <c r="AS54" s="110"/>
      <c r="AT54" s="110"/>
      <c r="AU54" s="110"/>
      <c r="AV54" s="110"/>
      <c r="AW54" s="110"/>
      <c r="AX54" s="110"/>
      <c r="AY54" s="110"/>
      <c r="AZ54" s="110"/>
      <c r="BA54" s="110"/>
      <c r="BB54" s="110"/>
      <c r="BC54" s="110"/>
      <c r="BD54" s="110"/>
      <c r="BE54" s="110"/>
      <c r="BF54" s="110"/>
      <c r="BG54" s="110"/>
      <c r="BH54" s="110"/>
      <c r="BI54" s="110"/>
      <c r="BJ54" s="110"/>
      <c r="BK54" s="110"/>
      <c r="BL54" s="110"/>
      <c r="BM54" s="110"/>
      <c r="BN54" s="110"/>
      <c r="BO54" s="110"/>
      <c r="BP54" s="110"/>
      <c r="BQ54" s="110"/>
      <c r="BR54" s="110"/>
      <c r="BS54" s="110"/>
      <c r="BT54" s="110"/>
      <c r="BU54" s="110"/>
      <c r="BV54" s="110"/>
      <c r="BW54" s="110"/>
    </row>
    <row r="55" spans="1:75">
      <c r="A55" s="34"/>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c r="AA55" s="110"/>
      <c r="AB55" s="110"/>
      <c r="AC55" s="110"/>
      <c r="AD55" s="110"/>
      <c r="AE55" s="110"/>
      <c r="AF55" s="110"/>
      <c r="AG55" s="110"/>
      <c r="AH55" s="110"/>
      <c r="AI55" s="110"/>
      <c r="AJ55" s="110"/>
      <c r="AK55" s="110"/>
      <c r="AL55" s="110"/>
      <c r="AM55" s="110"/>
      <c r="AN55" s="110"/>
      <c r="AO55" s="110"/>
      <c r="AP55" s="110"/>
      <c r="AQ55" s="110"/>
      <c r="AR55" s="110"/>
      <c r="AS55" s="110"/>
      <c r="AT55" s="110"/>
      <c r="AU55" s="110"/>
      <c r="AV55" s="110"/>
      <c r="AW55" s="110"/>
      <c r="AX55" s="110"/>
      <c r="AY55" s="110"/>
      <c r="AZ55" s="110"/>
      <c r="BA55" s="110"/>
      <c r="BB55" s="110"/>
      <c r="BC55" s="110"/>
      <c r="BD55" s="110"/>
      <c r="BE55" s="110"/>
      <c r="BF55" s="110"/>
      <c r="BG55" s="110"/>
      <c r="BH55" s="110"/>
      <c r="BI55" s="110"/>
      <c r="BJ55" s="110"/>
      <c r="BK55" s="110"/>
      <c r="BL55" s="110"/>
      <c r="BM55" s="110"/>
      <c r="BN55" s="110"/>
      <c r="BO55" s="110"/>
      <c r="BP55" s="110"/>
      <c r="BQ55" s="110"/>
      <c r="BR55" s="110"/>
      <c r="BS55" s="110"/>
      <c r="BT55" s="110"/>
      <c r="BU55" s="110"/>
      <c r="BV55" s="110"/>
      <c r="BW55" s="110"/>
    </row>
    <row r="56" spans="1:75">
      <c r="A56" s="34" t="s">
        <v>516</v>
      </c>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c r="AA56" s="110"/>
      <c r="AB56" s="110"/>
      <c r="AC56" s="110"/>
      <c r="AD56" s="110"/>
      <c r="AE56" s="110"/>
      <c r="AF56" s="110"/>
      <c r="AG56" s="110"/>
      <c r="AH56" s="110"/>
      <c r="AI56" s="110"/>
      <c r="AJ56" s="110"/>
      <c r="AK56" s="110"/>
      <c r="AL56" s="110"/>
      <c r="AM56" s="110"/>
      <c r="AN56" s="110"/>
      <c r="AO56" s="110"/>
      <c r="AP56" s="110"/>
      <c r="AQ56" s="110"/>
      <c r="AR56" s="110"/>
      <c r="AS56" s="110"/>
      <c r="AT56" s="110"/>
      <c r="AU56" s="110"/>
      <c r="AV56" s="110"/>
      <c r="AW56" s="110"/>
      <c r="AX56" s="110"/>
      <c r="AY56" s="110"/>
      <c r="AZ56" s="110"/>
      <c r="BA56" s="110"/>
      <c r="BB56" s="110"/>
      <c r="BC56" s="110"/>
      <c r="BD56" s="110"/>
      <c r="BE56" s="110"/>
      <c r="BF56" s="110"/>
      <c r="BG56" s="110"/>
      <c r="BH56" s="110"/>
      <c r="BI56" s="110"/>
      <c r="BJ56" s="110"/>
      <c r="BK56" s="110"/>
      <c r="BL56" s="110"/>
      <c r="BM56" s="110"/>
      <c r="BN56" s="110"/>
      <c r="BO56" s="110"/>
      <c r="BP56" s="110"/>
      <c r="BQ56" s="110"/>
      <c r="BR56" s="110"/>
      <c r="BS56" s="110"/>
      <c r="BT56" s="110"/>
      <c r="BU56" s="110"/>
      <c r="BV56" s="110"/>
      <c r="BW56" s="110"/>
    </row>
    <row r="57" spans="1:75">
      <c r="A57" s="114" t="s">
        <v>507</v>
      </c>
      <c r="B57" s="115"/>
      <c r="C57" s="116"/>
      <c r="D57" s="115"/>
      <c r="E57" s="115"/>
      <c r="F57" s="115"/>
      <c r="G57" s="115"/>
      <c r="H57" s="115"/>
      <c r="I57" s="115"/>
      <c r="J57" s="115"/>
      <c r="K57" s="115"/>
      <c r="L57" s="115"/>
      <c r="M57" s="115"/>
      <c r="N57" s="119"/>
      <c r="O57" s="115"/>
      <c r="P57" s="120"/>
      <c r="Q57" s="121"/>
      <c r="R57" s="124"/>
      <c r="S57" s="123"/>
      <c r="T57" s="110"/>
      <c r="U57" s="110"/>
      <c r="V57" s="110"/>
      <c r="W57" s="110"/>
      <c r="X57" s="110"/>
      <c r="Y57" s="110"/>
      <c r="Z57" s="110"/>
      <c r="AA57" s="110"/>
      <c r="AB57" s="110"/>
      <c r="AC57" s="110"/>
      <c r="AD57" s="110"/>
      <c r="AE57" s="110"/>
      <c r="AF57" s="110"/>
      <c r="AG57" s="110"/>
      <c r="AH57" s="110"/>
      <c r="AI57" s="110"/>
      <c r="AJ57" s="110"/>
      <c r="AK57" s="110"/>
      <c r="AL57" s="110"/>
      <c r="AM57" s="110"/>
      <c r="AN57" s="110"/>
      <c r="AO57" s="110"/>
      <c r="AP57" s="110"/>
      <c r="AQ57" s="110"/>
      <c r="AR57" s="110"/>
      <c r="AS57" s="110"/>
      <c r="AT57" s="110"/>
      <c r="AU57" s="110"/>
      <c r="AV57" s="110"/>
      <c r="AW57" s="110"/>
      <c r="AX57" s="110"/>
      <c r="AY57" s="110"/>
      <c r="AZ57" s="110"/>
      <c r="BA57" s="110"/>
      <c r="BB57" s="110"/>
      <c r="BC57" s="110"/>
      <c r="BD57" s="110"/>
      <c r="BE57" s="110"/>
      <c r="BF57" s="110"/>
      <c r="BG57" s="110"/>
      <c r="BH57" s="110"/>
      <c r="BI57" s="110"/>
      <c r="BJ57" s="110"/>
      <c r="BK57" s="110"/>
      <c r="BL57" s="110"/>
      <c r="BM57" s="110"/>
      <c r="BN57" s="110"/>
      <c r="BO57" s="110"/>
      <c r="BP57" s="110"/>
      <c r="BQ57" s="110"/>
      <c r="BR57" s="110"/>
      <c r="BS57" s="110"/>
      <c r="BT57" s="110"/>
      <c r="BU57" s="110"/>
      <c r="BV57" s="110"/>
      <c r="BW57" s="110"/>
    </row>
    <row r="58" spans="1:75">
      <c r="A58" s="114" t="s">
        <v>453</v>
      </c>
      <c r="B58" s="115"/>
      <c r="C58" s="116"/>
      <c r="D58" s="115"/>
      <c r="E58" s="115"/>
      <c r="F58" s="115"/>
      <c r="G58" s="115"/>
      <c r="H58" s="115"/>
      <c r="I58" s="115"/>
      <c r="J58" s="115"/>
      <c r="K58" s="115"/>
      <c r="L58" s="115"/>
      <c r="M58" s="115"/>
      <c r="N58" s="119"/>
      <c r="O58" s="115"/>
      <c r="P58" s="120"/>
      <c r="Q58" s="121"/>
      <c r="R58" s="124"/>
      <c r="S58" s="123"/>
      <c r="T58" s="110"/>
      <c r="U58" s="110"/>
      <c r="V58" s="110"/>
      <c r="W58" s="110"/>
      <c r="X58" s="110"/>
      <c r="Y58" s="110"/>
      <c r="Z58" s="110"/>
      <c r="AA58" s="110"/>
      <c r="AB58" s="110"/>
      <c r="AC58" s="110"/>
      <c r="AD58" s="110"/>
      <c r="AE58" s="110"/>
      <c r="AF58" s="110"/>
      <c r="AG58" s="110"/>
      <c r="AH58" s="110"/>
      <c r="AI58" s="110"/>
      <c r="AJ58" s="110"/>
      <c r="AK58" s="110"/>
      <c r="AL58" s="110"/>
      <c r="AM58" s="110"/>
      <c r="AN58" s="110"/>
      <c r="AO58" s="110"/>
      <c r="AP58" s="110"/>
      <c r="AQ58" s="110"/>
      <c r="AR58" s="110"/>
      <c r="AS58" s="110"/>
      <c r="AT58" s="110"/>
      <c r="AU58" s="110"/>
      <c r="AV58" s="110"/>
      <c r="AW58" s="110"/>
      <c r="AX58" s="110"/>
      <c r="AY58" s="110"/>
      <c r="AZ58" s="110"/>
      <c r="BA58" s="110"/>
      <c r="BB58" s="110"/>
      <c r="BC58" s="110"/>
      <c r="BD58" s="110"/>
      <c r="BE58" s="110"/>
      <c r="BF58" s="110"/>
      <c r="BG58" s="110"/>
      <c r="BH58" s="110"/>
      <c r="BI58" s="110"/>
      <c r="BJ58" s="110"/>
      <c r="BK58" s="110"/>
      <c r="BL58" s="110"/>
      <c r="BM58" s="110"/>
      <c r="BN58" s="110"/>
      <c r="BO58" s="110"/>
      <c r="BP58" s="110"/>
      <c r="BQ58" s="110"/>
      <c r="BR58" s="110"/>
      <c r="BS58" s="110"/>
      <c r="BT58" s="110"/>
      <c r="BU58" s="110"/>
      <c r="BV58" s="110"/>
      <c r="BW58" s="110"/>
    </row>
    <row r="59" spans="1:75">
      <c r="A59" s="114" t="s">
        <v>454</v>
      </c>
      <c r="B59" s="115"/>
      <c r="C59" s="116"/>
      <c r="D59" s="115"/>
      <c r="E59" s="115"/>
      <c r="F59" s="115"/>
      <c r="G59" s="115"/>
      <c r="H59" s="115"/>
      <c r="I59" s="115"/>
      <c r="J59" s="115"/>
      <c r="K59" s="115"/>
      <c r="L59" s="115"/>
      <c r="M59" s="115"/>
      <c r="N59" s="119"/>
      <c r="O59" s="115"/>
      <c r="P59" s="120"/>
      <c r="Q59" s="121"/>
      <c r="R59" s="124"/>
      <c r="S59" s="123"/>
      <c r="T59" s="110"/>
      <c r="U59" s="110"/>
      <c r="V59" s="110"/>
      <c r="W59" s="110"/>
      <c r="X59" s="110"/>
      <c r="Y59" s="110"/>
      <c r="Z59" s="110"/>
      <c r="AA59" s="110"/>
      <c r="AB59" s="110"/>
      <c r="AC59" s="110"/>
      <c r="AD59" s="110"/>
      <c r="AE59" s="110"/>
      <c r="AF59" s="110"/>
      <c r="AG59" s="110"/>
      <c r="AH59" s="110"/>
      <c r="AI59" s="110"/>
      <c r="AJ59" s="110"/>
      <c r="AK59" s="110"/>
      <c r="AL59" s="110"/>
      <c r="AM59" s="110"/>
      <c r="AN59" s="110"/>
      <c r="AO59" s="110"/>
      <c r="AP59" s="110"/>
      <c r="AQ59" s="110"/>
      <c r="AR59" s="110"/>
      <c r="AS59" s="110"/>
      <c r="AT59" s="110"/>
      <c r="AU59" s="110"/>
      <c r="AV59" s="110"/>
      <c r="AW59" s="110"/>
      <c r="AX59" s="110"/>
      <c r="AY59" s="110"/>
      <c r="AZ59" s="110"/>
      <c r="BA59" s="110"/>
      <c r="BB59" s="110"/>
      <c r="BC59" s="110"/>
      <c r="BD59" s="110"/>
      <c r="BE59" s="110"/>
      <c r="BF59" s="110"/>
      <c r="BG59" s="110"/>
      <c r="BH59" s="110"/>
      <c r="BI59" s="110"/>
      <c r="BJ59" s="110"/>
      <c r="BK59" s="110"/>
      <c r="BL59" s="110"/>
      <c r="BM59" s="110"/>
      <c r="BN59" s="110"/>
      <c r="BO59" s="110"/>
      <c r="BP59" s="110"/>
      <c r="BQ59" s="110"/>
      <c r="BR59" s="110"/>
      <c r="BS59" s="110"/>
      <c r="BT59" s="110"/>
      <c r="BU59" s="110"/>
      <c r="BV59" s="110"/>
      <c r="BW59" s="110"/>
    </row>
    <row r="60" spans="1:75">
      <c r="A60" s="114" t="s">
        <v>455</v>
      </c>
      <c r="B60" s="115"/>
      <c r="C60" s="116"/>
      <c r="D60" s="115"/>
      <c r="E60" s="115"/>
      <c r="F60" s="115"/>
      <c r="G60" s="115"/>
      <c r="H60" s="115"/>
      <c r="I60" s="115"/>
      <c r="J60" s="115"/>
      <c r="K60" s="115"/>
      <c r="L60" s="115"/>
      <c r="M60" s="115"/>
      <c r="N60" s="119"/>
      <c r="O60" s="115"/>
      <c r="P60" s="120"/>
      <c r="Q60" s="121"/>
      <c r="R60" s="124"/>
      <c r="S60" s="123"/>
      <c r="T60" s="110"/>
      <c r="U60" s="110"/>
      <c r="V60" s="110"/>
      <c r="W60" s="110"/>
      <c r="X60" s="110"/>
      <c r="Y60" s="110"/>
      <c r="Z60" s="110"/>
      <c r="AA60" s="110"/>
      <c r="AB60" s="110"/>
      <c r="AC60" s="110"/>
      <c r="AD60" s="110"/>
      <c r="AE60" s="110"/>
      <c r="AF60" s="110"/>
      <c r="AG60" s="110"/>
      <c r="AH60" s="110"/>
      <c r="AI60" s="110"/>
      <c r="AJ60" s="110"/>
      <c r="AK60" s="110"/>
      <c r="AL60" s="110"/>
      <c r="AM60" s="110"/>
      <c r="AN60" s="110"/>
      <c r="AO60" s="110"/>
      <c r="AP60" s="110"/>
      <c r="AQ60" s="110"/>
      <c r="AR60" s="110"/>
      <c r="AS60" s="110"/>
      <c r="AT60" s="110"/>
      <c r="AU60" s="110"/>
      <c r="AV60" s="110"/>
      <c r="AW60" s="110"/>
      <c r="AX60" s="110"/>
      <c r="AY60" s="110"/>
      <c r="AZ60" s="110"/>
      <c r="BA60" s="110"/>
      <c r="BB60" s="110"/>
      <c r="BC60" s="110"/>
      <c r="BD60" s="110"/>
      <c r="BE60" s="110"/>
      <c r="BF60" s="110"/>
      <c r="BG60" s="110"/>
      <c r="BH60" s="110"/>
      <c r="BI60" s="110"/>
      <c r="BJ60" s="110"/>
      <c r="BK60" s="110"/>
      <c r="BL60" s="110"/>
      <c r="BM60" s="110"/>
      <c r="BN60" s="110"/>
      <c r="BO60" s="110"/>
      <c r="BP60" s="110"/>
      <c r="BQ60" s="110"/>
      <c r="BR60" s="110"/>
      <c r="BS60" s="110"/>
      <c r="BT60" s="110"/>
      <c r="BU60" s="110"/>
      <c r="BV60" s="110"/>
      <c r="BW60" s="110"/>
    </row>
    <row r="61" spans="1:75">
      <c r="A61" s="114" t="s">
        <v>508</v>
      </c>
      <c r="B61" s="115"/>
      <c r="C61" s="116"/>
      <c r="D61" s="115"/>
      <c r="E61" s="115"/>
      <c r="F61" s="115"/>
      <c r="G61" s="115"/>
      <c r="H61" s="115"/>
      <c r="I61" s="115"/>
      <c r="J61" s="115"/>
      <c r="K61" s="115"/>
      <c r="L61" s="115"/>
      <c r="M61" s="115"/>
      <c r="N61" s="119"/>
      <c r="O61" s="115"/>
      <c r="P61" s="120"/>
      <c r="Q61" s="121"/>
      <c r="R61" s="124"/>
      <c r="S61" s="123"/>
      <c r="T61" s="110"/>
      <c r="U61" s="110"/>
      <c r="V61" s="110"/>
      <c r="W61" s="110"/>
      <c r="X61" s="110"/>
      <c r="Y61" s="110"/>
      <c r="Z61" s="110"/>
      <c r="AA61" s="110"/>
      <c r="AB61" s="110"/>
      <c r="AC61" s="110"/>
      <c r="AD61" s="110"/>
      <c r="AE61" s="110"/>
      <c r="AF61" s="110"/>
      <c r="AG61" s="110"/>
      <c r="AH61" s="110"/>
      <c r="AI61" s="110"/>
      <c r="AJ61" s="110"/>
      <c r="AK61" s="110"/>
      <c r="AL61" s="110"/>
      <c r="AM61" s="110"/>
      <c r="AN61" s="110"/>
      <c r="AO61" s="110"/>
      <c r="AP61" s="110"/>
      <c r="AQ61" s="110"/>
      <c r="AR61" s="110"/>
      <c r="AS61" s="110"/>
      <c r="AT61" s="110"/>
      <c r="AU61" s="110"/>
      <c r="AV61" s="110"/>
      <c r="AW61" s="110"/>
      <c r="AX61" s="110"/>
      <c r="AY61" s="110"/>
      <c r="AZ61" s="110"/>
      <c r="BA61" s="110"/>
      <c r="BB61" s="110"/>
      <c r="BC61" s="110"/>
      <c r="BD61" s="110"/>
      <c r="BE61" s="110"/>
      <c r="BF61" s="110"/>
      <c r="BG61" s="110"/>
      <c r="BH61" s="110"/>
      <c r="BI61" s="110"/>
      <c r="BJ61" s="110"/>
      <c r="BK61" s="110"/>
      <c r="BL61" s="110"/>
      <c r="BM61" s="110"/>
      <c r="BN61" s="110"/>
      <c r="BO61" s="110"/>
      <c r="BP61" s="110"/>
      <c r="BQ61" s="110"/>
      <c r="BR61" s="110"/>
      <c r="BS61" s="110"/>
      <c r="BT61" s="110"/>
      <c r="BU61" s="110"/>
      <c r="BV61" s="110"/>
      <c r="BW61" s="110"/>
    </row>
    <row r="62" spans="1:75">
      <c r="A62" s="125" t="s">
        <v>509</v>
      </c>
      <c r="B62" s="115"/>
      <c r="C62" s="116"/>
      <c r="D62" s="115"/>
      <c r="E62" s="115"/>
      <c r="F62" s="115"/>
      <c r="G62" s="115"/>
      <c r="H62" s="115"/>
      <c r="I62" s="115"/>
      <c r="J62" s="115"/>
      <c r="K62" s="115"/>
      <c r="L62" s="115"/>
      <c r="M62" s="115"/>
      <c r="N62" s="119"/>
      <c r="O62" s="115"/>
      <c r="P62" s="120"/>
      <c r="Q62" s="121"/>
      <c r="R62" s="124"/>
      <c r="S62" s="123"/>
      <c r="T62" s="110"/>
      <c r="U62" s="110"/>
      <c r="V62" s="110"/>
      <c r="W62" s="110"/>
      <c r="X62" s="110"/>
      <c r="Y62" s="110"/>
      <c r="Z62" s="110"/>
      <c r="AA62" s="110"/>
      <c r="AB62" s="110"/>
      <c r="AC62" s="110"/>
      <c r="AD62" s="110"/>
      <c r="AE62" s="110"/>
      <c r="AF62" s="110"/>
      <c r="AG62" s="110"/>
      <c r="AH62" s="110"/>
      <c r="AI62" s="110"/>
      <c r="AJ62" s="110"/>
      <c r="AK62" s="110"/>
      <c r="AL62" s="110"/>
      <c r="AM62" s="110"/>
      <c r="AN62" s="110"/>
      <c r="AO62" s="110"/>
      <c r="AP62" s="110"/>
      <c r="AQ62" s="110"/>
      <c r="AR62" s="110"/>
      <c r="AS62" s="110"/>
      <c r="AT62" s="110"/>
      <c r="AU62" s="110"/>
      <c r="AV62" s="110"/>
      <c r="AW62" s="110"/>
      <c r="AX62" s="110"/>
      <c r="AY62" s="110"/>
      <c r="AZ62" s="110"/>
      <c r="BA62" s="110"/>
      <c r="BB62" s="110"/>
      <c r="BC62" s="110"/>
      <c r="BD62" s="110"/>
      <c r="BE62" s="110"/>
      <c r="BF62" s="110"/>
      <c r="BG62" s="110"/>
      <c r="BH62" s="110"/>
      <c r="BI62" s="110"/>
      <c r="BJ62" s="110"/>
      <c r="BK62" s="110"/>
      <c r="BL62" s="110"/>
      <c r="BM62" s="110"/>
      <c r="BN62" s="110"/>
      <c r="BO62" s="110"/>
      <c r="BP62" s="110"/>
      <c r="BQ62" s="110"/>
      <c r="BR62" s="110"/>
      <c r="BS62" s="110"/>
      <c r="BT62" s="110"/>
      <c r="BU62" s="110"/>
      <c r="BV62" s="110"/>
      <c r="BW62" s="110"/>
    </row>
    <row r="63" spans="1:75">
      <c r="A63" s="114" t="s">
        <v>510</v>
      </c>
      <c r="B63" s="115"/>
      <c r="C63" s="116"/>
      <c r="D63" s="115"/>
      <c r="E63" s="115"/>
      <c r="F63" s="115"/>
      <c r="G63" s="115"/>
      <c r="H63" s="115"/>
      <c r="I63" s="115"/>
      <c r="J63" s="115"/>
      <c r="K63" s="115"/>
      <c r="L63" s="115"/>
      <c r="M63" s="115"/>
      <c r="N63" s="119"/>
      <c r="O63" s="115"/>
      <c r="P63" s="120"/>
      <c r="Q63" s="121"/>
      <c r="R63" s="124"/>
      <c r="S63" s="123"/>
      <c r="T63" s="110"/>
      <c r="U63" s="110"/>
      <c r="V63" s="110"/>
      <c r="W63" s="110"/>
      <c r="X63" s="110"/>
      <c r="Y63" s="110"/>
      <c r="Z63" s="110"/>
      <c r="AA63" s="110"/>
      <c r="AB63" s="110"/>
      <c r="AC63" s="110"/>
      <c r="AD63" s="110"/>
      <c r="AE63" s="110"/>
      <c r="AF63" s="110"/>
      <c r="AG63" s="110"/>
      <c r="AH63" s="110"/>
      <c r="AI63" s="110"/>
      <c r="AJ63" s="110"/>
      <c r="AK63" s="110"/>
      <c r="AL63" s="110"/>
      <c r="AM63" s="110"/>
      <c r="AN63" s="110"/>
      <c r="AO63" s="110"/>
      <c r="AP63" s="110"/>
      <c r="AQ63" s="110"/>
      <c r="AR63" s="110"/>
      <c r="AS63" s="110"/>
      <c r="AT63" s="110"/>
      <c r="AU63" s="110"/>
      <c r="AV63" s="110"/>
      <c r="AW63" s="110"/>
      <c r="AX63" s="110"/>
      <c r="AY63" s="110"/>
      <c r="AZ63" s="110"/>
      <c r="BA63" s="110"/>
      <c r="BB63" s="110"/>
      <c r="BC63" s="110"/>
      <c r="BD63" s="110"/>
      <c r="BE63" s="110"/>
      <c r="BF63" s="110"/>
      <c r="BG63" s="110"/>
      <c r="BH63" s="110"/>
      <c r="BI63" s="110"/>
      <c r="BJ63" s="110"/>
      <c r="BK63" s="110"/>
      <c r="BL63" s="110"/>
      <c r="BM63" s="110"/>
      <c r="BN63" s="110"/>
      <c r="BO63" s="110"/>
      <c r="BP63" s="110"/>
      <c r="BQ63" s="110"/>
      <c r="BR63" s="110"/>
      <c r="BS63" s="110"/>
      <c r="BT63" s="110"/>
      <c r="BU63" s="110"/>
      <c r="BV63" s="110"/>
      <c r="BW63" s="110"/>
    </row>
    <row r="64" spans="1:75">
      <c r="A64" s="114" t="s">
        <v>511</v>
      </c>
      <c r="B64" s="115"/>
      <c r="C64" s="116"/>
      <c r="D64" s="115"/>
      <c r="E64" s="115"/>
      <c r="F64" s="115"/>
      <c r="G64" s="115"/>
      <c r="H64" s="115"/>
      <c r="I64" s="115"/>
      <c r="J64" s="115"/>
      <c r="K64" s="115"/>
      <c r="L64" s="115"/>
      <c r="M64" s="115"/>
      <c r="N64" s="119"/>
      <c r="O64" s="115"/>
      <c r="P64" s="120"/>
      <c r="Q64" s="121"/>
      <c r="R64" s="124"/>
      <c r="S64" s="123"/>
      <c r="T64" s="110"/>
      <c r="U64" s="110"/>
      <c r="V64" s="110"/>
      <c r="W64" s="110"/>
      <c r="X64" s="110"/>
      <c r="Y64" s="110"/>
      <c r="Z64" s="110"/>
      <c r="AA64" s="110"/>
      <c r="AB64" s="110"/>
      <c r="AC64" s="110"/>
      <c r="AD64" s="110"/>
      <c r="AE64" s="110"/>
      <c r="AF64" s="110"/>
      <c r="AG64" s="110"/>
      <c r="AH64" s="110"/>
      <c r="AI64" s="110"/>
      <c r="AJ64" s="110"/>
      <c r="AK64" s="110"/>
      <c r="AL64" s="110"/>
      <c r="AM64" s="110"/>
      <c r="AN64" s="110"/>
      <c r="AO64" s="110"/>
      <c r="AP64" s="110"/>
      <c r="AQ64" s="110"/>
      <c r="AR64" s="110"/>
      <c r="AS64" s="110"/>
      <c r="AT64" s="110"/>
      <c r="AU64" s="110"/>
      <c r="AV64" s="110"/>
      <c r="AW64" s="110"/>
      <c r="AX64" s="110"/>
      <c r="AY64" s="110"/>
      <c r="AZ64" s="110"/>
      <c r="BA64" s="110"/>
      <c r="BB64" s="110"/>
      <c r="BC64" s="110"/>
      <c r="BD64" s="110"/>
      <c r="BE64" s="110"/>
      <c r="BF64" s="110"/>
      <c r="BG64" s="110"/>
      <c r="BH64" s="110"/>
      <c r="BI64" s="110"/>
      <c r="BJ64" s="110"/>
      <c r="BK64" s="110"/>
      <c r="BL64" s="110"/>
      <c r="BM64" s="110"/>
      <c r="BN64" s="110"/>
      <c r="BO64" s="110"/>
      <c r="BP64" s="110"/>
      <c r="BQ64" s="110"/>
      <c r="BR64" s="110"/>
      <c r="BS64" s="110"/>
      <c r="BT64" s="110"/>
      <c r="BU64" s="110"/>
      <c r="BV64" s="110"/>
      <c r="BW64" s="110"/>
    </row>
    <row r="65" spans="1:75">
      <c r="A65" s="114" t="s">
        <v>512</v>
      </c>
      <c r="B65" s="115"/>
      <c r="C65" s="116"/>
      <c r="D65" s="115"/>
      <c r="E65" s="115"/>
      <c r="F65" s="115"/>
      <c r="G65" s="115"/>
      <c r="H65" s="115"/>
      <c r="I65" s="115"/>
      <c r="J65" s="115"/>
      <c r="K65" s="115"/>
      <c r="L65" s="115"/>
      <c r="M65" s="115"/>
      <c r="N65" s="119"/>
      <c r="O65" s="115"/>
      <c r="P65" s="120"/>
      <c r="Q65" s="121"/>
      <c r="R65" s="124"/>
      <c r="S65" s="123"/>
      <c r="T65" s="110"/>
      <c r="U65" s="110"/>
      <c r="V65" s="110"/>
      <c r="W65" s="110"/>
      <c r="X65" s="110"/>
      <c r="Y65" s="110"/>
      <c r="Z65" s="110"/>
      <c r="AA65" s="110"/>
      <c r="AB65" s="110"/>
      <c r="AC65" s="110"/>
      <c r="AD65" s="110"/>
      <c r="AE65" s="110"/>
      <c r="AF65" s="110"/>
      <c r="AG65" s="110"/>
      <c r="AH65" s="110"/>
      <c r="AI65" s="110"/>
      <c r="AJ65" s="110"/>
      <c r="AK65" s="110"/>
      <c r="AL65" s="110"/>
      <c r="AM65" s="110"/>
      <c r="AN65" s="110"/>
      <c r="AO65" s="110"/>
      <c r="AP65" s="110"/>
      <c r="AQ65" s="110"/>
      <c r="AR65" s="110"/>
      <c r="AS65" s="110"/>
      <c r="AT65" s="110"/>
      <c r="AU65" s="110"/>
      <c r="AV65" s="110"/>
      <c r="AW65" s="110"/>
      <c r="AX65" s="110"/>
      <c r="AY65" s="110"/>
      <c r="AZ65" s="110"/>
      <c r="BA65" s="110"/>
      <c r="BB65" s="110"/>
      <c r="BC65" s="110"/>
      <c r="BD65" s="110"/>
      <c r="BE65" s="110"/>
      <c r="BF65" s="110"/>
      <c r="BG65" s="110"/>
      <c r="BH65" s="110"/>
      <c r="BI65" s="110"/>
      <c r="BJ65" s="110"/>
      <c r="BK65" s="110"/>
      <c r="BL65" s="110"/>
      <c r="BM65" s="110"/>
      <c r="BN65" s="110"/>
      <c r="BO65" s="110"/>
      <c r="BP65" s="110"/>
      <c r="BQ65" s="110"/>
      <c r="BR65" s="110"/>
      <c r="BS65" s="110"/>
      <c r="BT65" s="110"/>
      <c r="BU65" s="110"/>
      <c r="BV65" s="110"/>
      <c r="BW65" s="110"/>
    </row>
    <row r="66" spans="1:75">
      <c r="A66" s="114" t="s">
        <v>513</v>
      </c>
      <c r="B66" s="115"/>
      <c r="C66" s="116"/>
      <c r="D66" s="115"/>
      <c r="E66" s="115"/>
      <c r="F66" s="115"/>
      <c r="G66" s="115"/>
      <c r="H66" s="115"/>
      <c r="I66" s="115"/>
      <c r="J66" s="115"/>
      <c r="K66" s="115"/>
      <c r="L66" s="115"/>
      <c r="M66" s="115"/>
      <c r="N66" s="119"/>
      <c r="O66" s="115"/>
      <c r="P66" s="120"/>
      <c r="Q66" s="121"/>
      <c r="R66" s="124"/>
      <c r="S66" s="123"/>
      <c r="T66" s="110"/>
      <c r="U66" s="110"/>
      <c r="V66" s="110"/>
      <c r="W66" s="110"/>
      <c r="X66" s="110"/>
      <c r="Y66" s="110"/>
      <c r="Z66" s="110"/>
      <c r="AA66" s="110"/>
      <c r="AB66" s="110"/>
      <c r="AC66" s="110"/>
      <c r="AD66" s="110"/>
      <c r="AE66" s="110"/>
      <c r="AF66" s="110"/>
      <c r="AG66" s="110"/>
      <c r="AH66" s="110"/>
      <c r="AI66" s="110"/>
      <c r="AJ66" s="110"/>
      <c r="AK66" s="110"/>
      <c r="AL66" s="110"/>
      <c r="AM66" s="110"/>
      <c r="AN66" s="110"/>
      <c r="AO66" s="110"/>
      <c r="AP66" s="110"/>
      <c r="AQ66" s="110"/>
      <c r="AR66" s="110"/>
      <c r="AS66" s="110"/>
      <c r="AT66" s="110"/>
      <c r="AU66" s="110"/>
      <c r="AV66" s="110"/>
      <c r="AW66" s="110"/>
      <c r="AX66" s="110"/>
      <c r="AY66" s="110"/>
      <c r="AZ66" s="110"/>
      <c r="BA66" s="110"/>
      <c r="BB66" s="110"/>
      <c r="BC66" s="110"/>
      <c r="BD66" s="110"/>
      <c r="BE66" s="110"/>
      <c r="BF66" s="110"/>
      <c r="BG66" s="110"/>
      <c r="BH66" s="110"/>
      <c r="BI66" s="110"/>
      <c r="BJ66" s="110"/>
      <c r="BK66" s="110"/>
      <c r="BL66" s="110"/>
      <c r="BM66" s="110"/>
      <c r="BN66" s="110"/>
      <c r="BO66" s="110"/>
      <c r="BP66" s="110"/>
      <c r="BQ66" s="110"/>
      <c r="BR66" s="110"/>
      <c r="BS66" s="110"/>
      <c r="BT66" s="110"/>
      <c r="BU66" s="110"/>
      <c r="BV66" s="110"/>
      <c r="BW66" s="110"/>
    </row>
    <row r="67" spans="1:75">
      <c r="A67" s="114">
        <v>1</v>
      </c>
      <c r="B67" s="115"/>
      <c r="C67" s="116"/>
      <c r="D67" s="115"/>
      <c r="E67" s="115"/>
      <c r="F67" s="115"/>
      <c r="G67" s="115"/>
      <c r="H67" s="115"/>
      <c r="I67" s="115"/>
      <c r="J67" s="115"/>
      <c r="K67" s="115"/>
      <c r="L67" s="115"/>
      <c r="M67" s="115"/>
      <c r="N67" s="119"/>
      <c r="O67" s="115"/>
      <c r="P67" s="120"/>
      <c r="Q67" s="121"/>
      <c r="R67" s="124"/>
      <c r="S67" s="123"/>
      <c r="T67" s="110"/>
      <c r="U67" s="110"/>
      <c r="V67" s="110"/>
      <c r="W67" s="110"/>
      <c r="X67" s="110"/>
      <c r="Y67" s="110"/>
      <c r="Z67" s="110"/>
      <c r="AA67" s="110"/>
      <c r="AB67" s="110"/>
      <c r="AC67" s="110"/>
      <c r="AD67" s="110"/>
      <c r="AE67" s="110"/>
      <c r="AF67" s="110"/>
      <c r="AG67" s="110"/>
      <c r="AH67" s="110"/>
      <c r="AI67" s="110"/>
      <c r="AJ67" s="110"/>
      <c r="AK67" s="110"/>
      <c r="AL67" s="110"/>
      <c r="AM67" s="110"/>
      <c r="AN67" s="110"/>
      <c r="AO67" s="110"/>
      <c r="AP67" s="110"/>
      <c r="AQ67" s="110"/>
      <c r="AR67" s="110"/>
      <c r="AS67" s="110"/>
      <c r="AT67" s="110"/>
      <c r="AU67" s="110"/>
      <c r="AV67" s="110"/>
      <c r="AW67" s="110"/>
      <c r="AX67" s="110"/>
      <c r="AY67" s="110"/>
      <c r="AZ67" s="110"/>
      <c r="BA67" s="110"/>
      <c r="BB67" s="110"/>
      <c r="BC67" s="110"/>
      <c r="BD67" s="110"/>
      <c r="BE67" s="110"/>
      <c r="BF67" s="110"/>
      <c r="BG67" s="110"/>
      <c r="BH67" s="110"/>
      <c r="BI67" s="110"/>
      <c r="BJ67" s="110"/>
      <c r="BK67" s="110"/>
      <c r="BL67" s="110"/>
      <c r="BM67" s="110"/>
      <c r="BN67" s="110"/>
      <c r="BO67" s="110"/>
      <c r="BP67" s="110"/>
      <c r="BQ67" s="110"/>
      <c r="BR67" s="110"/>
      <c r="BS67" s="110"/>
      <c r="BT67" s="110"/>
      <c r="BU67" s="110"/>
      <c r="BV67" s="110"/>
      <c r="BW67" s="110"/>
    </row>
    <row r="68" spans="1:75">
      <c r="A68" s="114">
        <v>2</v>
      </c>
      <c r="B68" s="115"/>
      <c r="C68" s="116"/>
      <c r="D68" s="115"/>
      <c r="E68" s="115"/>
      <c r="F68" s="115"/>
      <c r="G68" s="115"/>
      <c r="H68" s="115"/>
      <c r="I68" s="115"/>
      <c r="J68" s="115"/>
      <c r="K68" s="115"/>
      <c r="L68" s="115"/>
      <c r="M68" s="115"/>
      <c r="N68" s="119"/>
      <c r="O68" s="115"/>
      <c r="P68" s="120"/>
      <c r="Q68" s="121"/>
      <c r="R68" s="124"/>
      <c r="S68" s="123"/>
      <c r="T68" s="110"/>
      <c r="U68" s="110"/>
      <c r="V68" s="110"/>
      <c r="W68" s="110"/>
      <c r="X68" s="110"/>
      <c r="Y68" s="110"/>
      <c r="Z68" s="110"/>
      <c r="AA68" s="110"/>
      <c r="AB68" s="110"/>
      <c r="AC68" s="110"/>
      <c r="AD68" s="110"/>
      <c r="AE68" s="110"/>
      <c r="AF68" s="110"/>
      <c r="AG68" s="110"/>
      <c r="AH68" s="110"/>
      <c r="AI68" s="110"/>
      <c r="AJ68" s="110"/>
      <c r="AK68" s="110"/>
      <c r="AL68" s="110"/>
      <c r="AM68" s="110"/>
      <c r="AN68" s="110"/>
      <c r="AO68" s="110"/>
      <c r="AP68" s="110"/>
      <c r="AQ68" s="110"/>
      <c r="AR68" s="110"/>
      <c r="AS68" s="110"/>
      <c r="AT68" s="110"/>
      <c r="AU68" s="110"/>
      <c r="AV68" s="110"/>
      <c r="AW68" s="110"/>
      <c r="AX68" s="110"/>
      <c r="AY68" s="110"/>
      <c r="AZ68" s="110"/>
      <c r="BA68" s="110"/>
      <c r="BB68" s="110"/>
      <c r="BC68" s="110"/>
      <c r="BD68" s="110"/>
      <c r="BE68" s="110"/>
      <c r="BF68" s="110"/>
      <c r="BG68" s="110"/>
      <c r="BH68" s="110"/>
      <c r="BI68" s="110"/>
      <c r="BJ68" s="110"/>
      <c r="BK68" s="110"/>
      <c r="BL68" s="110"/>
      <c r="BM68" s="110"/>
      <c r="BN68" s="110"/>
      <c r="BO68" s="110"/>
      <c r="BP68" s="110"/>
      <c r="BQ68" s="110"/>
      <c r="BR68" s="110"/>
      <c r="BS68" s="110"/>
      <c r="BT68" s="110"/>
      <c r="BU68" s="110"/>
      <c r="BV68" s="110"/>
      <c r="BW68" s="110"/>
    </row>
    <row r="69" spans="1:75">
      <c r="A69" s="114">
        <v>3</v>
      </c>
      <c r="B69" s="115"/>
      <c r="C69" s="116"/>
      <c r="D69" s="115"/>
      <c r="E69" s="115"/>
      <c r="F69" s="115"/>
      <c r="G69" s="115"/>
      <c r="H69" s="115"/>
      <c r="I69" s="115"/>
      <c r="J69" s="115"/>
      <c r="K69" s="115"/>
      <c r="L69" s="115"/>
      <c r="M69" s="115"/>
      <c r="N69" s="119"/>
      <c r="O69" s="115"/>
      <c r="P69" s="120"/>
      <c r="Q69" s="121"/>
      <c r="R69" s="124"/>
      <c r="S69" s="123"/>
      <c r="T69" s="110"/>
      <c r="U69" s="110"/>
      <c r="V69" s="110"/>
      <c r="W69" s="110"/>
      <c r="X69" s="110"/>
      <c r="Y69" s="110"/>
      <c r="Z69" s="110"/>
      <c r="AA69" s="110"/>
      <c r="AB69" s="110"/>
      <c r="AC69" s="110"/>
      <c r="AD69" s="110"/>
      <c r="AE69" s="110"/>
      <c r="AF69" s="110"/>
      <c r="AG69" s="110"/>
      <c r="AH69" s="110"/>
      <c r="AI69" s="110"/>
      <c r="AJ69" s="110"/>
      <c r="AK69" s="110"/>
      <c r="AL69" s="110"/>
      <c r="AM69" s="110"/>
      <c r="AN69" s="110"/>
      <c r="AO69" s="110"/>
      <c r="AP69" s="110"/>
      <c r="AQ69" s="110"/>
      <c r="AR69" s="110"/>
      <c r="AS69" s="110"/>
      <c r="AT69" s="110"/>
      <c r="AU69" s="110"/>
      <c r="AV69" s="110"/>
      <c r="AW69" s="110"/>
      <c r="AX69" s="110"/>
      <c r="AY69" s="110"/>
      <c r="AZ69" s="110"/>
      <c r="BA69" s="110"/>
      <c r="BB69" s="110"/>
      <c r="BC69" s="110"/>
      <c r="BD69" s="110"/>
      <c r="BE69" s="110"/>
      <c r="BF69" s="110"/>
      <c r="BG69" s="110"/>
      <c r="BH69" s="110"/>
      <c r="BI69" s="110"/>
      <c r="BJ69" s="110"/>
      <c r="BK69" s="110"/>
      <c r="BL69" s="110"/>
      <c r="BM69" s="110"/>
      <c r="BN69" s="110"/>
      <c r="BO69" s="110"/>
      <c r="BP69" s="110"/>
      <c r="BQ69" s="110"/>
      <c r="BR69" s="110"/>
      <c r="BS69" s="110"/>
      <c r="BT69" s="110"/>
      <c r="BU69" s="110"/>
      <c r="BV69" s="110"/>
      <c r="BW69" s="110"/>
    </row>
    <row r="70" spans="1:75">
      <c r="A70" s="114"/>
      <c r="B70" s="115"/>
      <c r="C70" s="116"/>
      <c r="D70" s="115"/>
      <c r="E70" s="115"/>
      <c r="F70" s="115"/>
      <c r="G70" s="115"/>
      <c r="H70" s="115"/>
      <c r="I70" s="115"/>
      <c r="J70" s="115"/>
      <c r="K70" s="115"/>
      <c r="L70" s="115"/>
      <c r="M70" s="115"/>
      <c r="N70" s="119"/>
      <c r="O70" s="115"/>
      <c r="P70" s="120"/>
      <c r="Q70" s="121"/>
      <c r="R70" s="124"/>
      <c r="S70" s="123"/>
      <c r="T70" s="110"/>
      <c r="U70" s="110"/>
      <c r="V70" s="110"/>
      <c r="W70" s="110"/>
      <c r="X70" s="110"/>
      <c r="Y70" s="110"/>
      <c r="Z70" s="110"/>
      <c r="AA70" s="110"/>
      <c r="AB70" s="110"/>
      <c r="AC70" s="110"/>
      <c r="AD70" s="110"/>
      <c r="AE70" s="110"/>
      <c r="AF70" s="110"/>
      <c r="AG70" s="110"/>
      <c r="AH70" s="110"/>
      <c r="AI70" s="110"/>
      <c r="AJ70" s="110"/>
      <c r="AK70" s="110"/>
      <c r="AL70" s="110"/>
      <c r="AM70" s="110"/>
      <c r="AN70" s="110"/>
      <c r="AO70" s="110"/>
      <c r="AP70" s="110"/>
      <c r="AQ70" s="110"/>
      <c r="AR70" s="110"/>
      <c r="AS70" s="110"/>
      <c r="AT70" s="110"/>
      <c r="AU70" s="110"/>
      <c r="AV70" s="110"/>
      <c r="AW70" s="110"/>
      <c r="AX70" s="110"/>
      <c r="AY70" s="110"/>
      <c r="AZ70" s="110"/>
      <c r="BA70" s="110"/>
      <c r="BB70" s="110"/>
      <c r="BC70" s="110"/>
      <c r="BD70" s="110"/>
      <c r="BE70" s="110"/>
      <c r="BF70" s="110"/>
      <c r="BG70" s="110"/>
      <c r="BH70" s="110"/>
      <c r="BI70" s="110"/>
      <c r="BJ70" s="110"/>
      <c r="BK70" s="110"/>
      <c r="BL70" s="110"/>
      <c r="BM70" s="110"/>
      <c r="BN70" s="110"/>
      <c r="BO70" s="110"/>
      <c r="BP70" s="110"/>
      <c r="BQ70" s="110"/>
      <c r="BR70" s="110"/>
      <c r="BS70" s="110"/>
      <c r="BT70" s="110"/>
      <c r="BU70" s="110"/>
      <c r="BV70" s="110"/>
      <c r="BW70" s="110"/>
    </row>
    <row r="71" spans="1:75">
      <c r="A71" s="114"/>
      <c r="B71" s="115"/>
      <c r="C71" s="116"/>
      <c r="D71" s="115"/>
      <c r="E71" s="115"/>
      <c r="F71" s="115"/>
      <c r="G71" s="115"/>
      <c r="H71" s="115"/>
      <c r="I71" s="115"/>
      <c r="J71" s="115"/>
      <c r="K71" s="115"/>
      <c r="L71" s="115"/>
      <c r="M71" s="115"/>
      <c r="N71" s="119"/>
      <c r="O71" s="115"/>
      <c r="P71" s="120"/>
      <c r="Q71" s="121"/>
      <c r="R71" s="124"/>
      <c r="S71" s="123"/>
      <c r="T71" s="110"/>
      <c r="U71" s="110"/>
      <c r="V71" s="110"/>
      <c r="W71" s="110"/>
      <c r="X71" s="110"/>
      <c r="Y71" s="110"/>
      <c r="Z71" s="110"/>
      <c r="AA71" s="110"/>
      <c r="AB71" s="110"/>
      <c r="AC71" s="110"/>
      <c r="AD71" s="110"/>
      <c r="AE71" s="110"/>
      <c r="AF71" s="110"/>
      <c r="AG71" s="110"/>
      <c r="AH71" s="110"/>
      <c r="AI71" s="110"/>
      <c r="AJ71" s="110"/>
      <c r="AK71" s="110"/>
      <c r="AL71" s="110"/>
      <c r="AM71" s="110"/>
      <c r="AN71" s="110"/>
      <c r="AO71" s="110"/>
      <c r="AP71" s="110"/>
      <c r="AQ71" s="110"/>
      <c r="AR71" s="110"/>
      <c r="AS71" s="110"/>
      <c r="AT71" s="110"/>
      <c r="AU71" s="110"/>
      <c r="AV71" s="110"/>
      <c r="AW71" s="110"/>
      <c r="AX71" s="110"/>
      <c r="AY71" s="110"/>
      <c r="AZ71" s="110"/>
      <c r="BA71" s="110"/>
      <c r="BB71" s="110"/>
      <c r="BC71" s="110"/>
      <c r="BD71" s="110"/>
      <c r="BE71" s="110"/>
      <c r="BF71" s="110"/>
      <c r="BG71" s="110"/>
      <c r="BH71" s="110"/>
      <c r="BI71" s="110"/>
      <c r="BJ71" s="110"/>
      <c r="BK71" s="110"/>
      <c r="BL71" s="110"/>
      <c r="BM71" s="110"/>
      <c r="BN71" s="110"/>
      <c r="BO71" s="110"/>
      <c r="BP71" s="110"/>
      <c r="BQ71" s="110"/>
      <c r="BR71" s="110"/>
      <c r="BS71" s="110"/>
      <c r="BT71" s="110"/>
      <c r="BU71" s="110"/>
      <c r="BV71" s="110"/>
      <c r="BW71" s="110"/>
    </row>
    <row r="72" spans="1:75">
      <c r="A72" s="114"/>
      <c r="B72" s="115"/>
      <c r="C72" s="116"/>
      <c r="D72" s="115"/>
      <c r="E72" s="115"/>
      <c r="F72" s="115"/>
      <c r="G72" s="115"/>
      <c r="H72" s="115"/>
      <c r="I72" s="115"/>
      <c r="J72" s="115"/>
      <c r="K72" s="115"/>
      <c r="L72" s="115"/>
      <c r="M72" s="115"/>
      <c r="N72" s="119"/>
      <c r="O72" s="115"/>
      <c r="P72" s="120"/>
      <c r="Q72" s="121"/>
      <c r="R72" s="124"/>
      <c r="S72" s="123"/>
      <c r="T72" s="110"/>
      <c r="U72" s="110"/>
      <c r="V72" s="110"/>
      <c r="W72" s="110"/>
      <c r="X72" s="110"/>
      <c r="Y72" s="110"/>
      <c r="Z72" s="110"/>
      <c r="AA72" s="110"/>
      <c r="AB72" s="110"/>
      <c r="AC72" s="110"/>
      <c r="AD72" s="110"/>
      <c r="AE72" s="110"/>
      <c r="AF72" s="110"/>
      <c r="AG72" s="110"/>
      <c r="AH72" s="110"/>
      <c r="AI72" s="110"/>
      <c r="AJ72" s="110"/>
      <c r="AK72" s="110"/>
      <c r="AL72" s="110"/>
      <c r="AM72" s="110"/>
      <c r="AN72" s="110"/>
      <c r="AO72" s="110"/>
      <c r="AP72" s="110"/>
      <c r="AQ72" s="110"/>
      <c r="AR72" s="110"/>
      <c r="AS72" s="110"/>
      <c r="AT72" s="110"/>
      <c r="AU72" s="110"/>
      <c r="AV72" s="110"/>
      <c r="AW72" s="110"/>
      <c r="AX72" s="110"/>
      <c r="AY72" s="110"/>
      <c r="AZ72" s="110"/>
      <c r="BA72" s="110"/>
      <c r="BB72" s="110"/>
      <c r="BC72" s="110"/>
      <c r="BD72" s="110"/>
      <c r="BE72" s="110"/>
      <c r="BF72" s="110"/>
      <c r="BG72" s="110"/>
      <c r="BH72" s="110"/>
      <c r="BI72" s="110"/>
      <c r="BJ72" s="110"/>
      <c r="BK72" s="110"/>
      <c r="BL72" s="110"/>
      <c r="BM72" s="110"/>
      <c r="BN72" s="110"/>
      <c r="BO72" s="110"/>
      <c r="BP72" s="110"/>
      <c r="BQ72" s="110"/>
      <c r="BR72" s="110"/>
      <c r="BS72" s="110"/>
      <c r="BT72" s="110"/>
      <c r="BU72" s="110"/>
      <c r="BV72" s="110"/>
      <c r="BW72" s="110"/>
    </row>
    <row r="73" spans="1:75">
      <c r="A73" s="114"/>
      <c r="B73" s="115"/>
      <c r="C73" s="116"/>
      <c r="D73" s="115"/>
      <c r="E73" s="115"/>
      <c r="F73" s="115"/>
      <c r="G73" s="115"/>
      <c r="H73" s="115"/>
      <c r="I73" s="115"/>
      <c r="J73" s="115"/>
      <c r="K73" s="115"/>
      <c r="L73" s="115"/>
      <c r="M73" s="115"/>
      <c r="N73" s="119"/>
      <c r="O73" s="115"/>
      <c r="P73" s="120"/>
      <c r="Q73" s="121"/>
      <c r="R73" s="124"/>
      <c r="S73" s="123"/>
      <c r="T73" s="110"/>
      <c r="U73" s="110"/>
      <c r="V73" s="110"/>
      <c r="W73" s="110"/>
      <c r="X73" s="110"/>
      <c r="Y73" s="110"/>
      <c r="Z73" s="110"/>
      <c r="AA73" s="110"/>
      <c r="AB73" s="110"/>
      <c r="AC73" s="110"/>
      <c r="AD73" s="110"/>
      <c r="AE73" s="110"/>
      <c r="AF73" s="110"/>
      <c r="AG73" s="110"/>
      <c r="AH73" s="110"/>
      <c r="AI73" s="110"/>
      <c r="AJ73" s="110"/>
      <c r="AK73" s="110"/>
      <c r="AL73" s="110"/>
      <c r="AM73" s="110"/>
      <c r="AN73" s="110"/>
      <c r="AO73" s="110"/>
      <c r="AP73" s="110"/>
      <c r="AQ73" s="110"/>
      <c r="AR73" s="110"/>
      <c r="AS73" s="110"/>
      <c r="AT73" s="110"/>
      <c r="AU73" s="110"/>
      <c r="AV73" s="110"/>
      <c r="AW73" s="110"/>
      <c r="AX73" s="110"/>
      <c r="AY73" s="110"/>
      <c r="AZ73" s="110"/>
      <c r="BA73" s="110"/>
      <c r="BB73" s="110"/>
      <c r="BC73" s="110"/>
      <c r="BD73" s="110"/>
      <c r="BE73" s="110"/>
      <c r="BF73" s="110"/>
      <c r="BG73" s="110"/>
      <c r="BH73" s="110"/>
      <c r="BI73" s="110"/>
      <c r="BJ73" s="110"/>
      <c r="BK73" s="110"/>
      <c r="BL73" s="110"/>
      <c r="BM73" s="110"/>
      <c r="BN73" s="110"/>
      <c r="BO73" s="110"/>
      <c r="BP73" s="110"/>
      <c r="BQ73" s="110"/>
      <c r="BR73" s="110"/>
      <c r="BS73" s="110"/>
      <c r="BT73" s="110"/>
      <c r="BU73" s="110"/>
      <c r="BV73" s="110"/>
      <c r="BW73" s="110"/>
    </row>
    <row r="74" spans="1:75">
      <c r="A74" s="114"/>
      <c r="B74" s="115"/>
      <c r="C74" s="116"/>
      <c r="D74" s="115"/>
      <c r="E74" s="115"/>
      <c r="F74" s="115"/>
      <c r="G74" s="115"/>
      <c r="H74" s="115"/>
      <c r="I74" s="115"/>
      <c r="J74" s="115"/>
      <c r="K74" s="115"/>
      <c r="L74" s="115"/>
      <c r="M74" s="115"/>
      <c r="N74" s="119"/>
      <c r="O74" s="115"/>
      <c r="P74" s="120"/>
      <c r="Q74" s="121"/>
      <c r="R74" s="124"/>
      <c r="S74" s="123"/>
      <c r="T74" s="110"/>
      <c r="U74" s="110"/>
      <c r="V74" s="110"/>
      <c r="W74" s="110"/>
      <c r="X74" s="110"/>
      <c r="Y74" s="110"/>
      <c r="Z74" s="110"/>
      <c r="AA74" s="110"/>
      <c r="AB74" s="110"/>
      <c r="AC74" s="110"/>
      <c r="AD74" s="110"/>
      <c r="AE74" s="110"/>
      <c r="AF74" s="110"/>
      <c r="AG74" s="110"/>
      <c r="AH74" s="110"/>
      <c r="AI74" s="110"/>
      <c r="AJ74" s="110"/>
      <c r="AK74" s="110"/>
      <c r="AL74" s="110"/>
      <c r="AM74" s="110"/>
      <c r="AN74" s="110"/>
      <c r="AO74" s="110"/>
      <c r="AP74" s="110"/>
      <c r="AQ74" s="110"/>
      <c r="AR74" s="110"/>
      <c r="AS74" s="110"/>
      <c r="AT74" s="110"/>
      <c r="AU74" s="110"/>
      <c r="AV74" s="110"/>
      <c r="AW74" s="110"/>
      <c r="AX74" s="110"/>
      <c r="AY74" s="110"/>
      <c r="AZ74" s="110"/>
      <c r="BA74" s="110"/>
      <c r="BB74" s="110"/>
      <c r="BC74" s="110"/>
      <c r="BD74" s="110"/>
      <c r="BE74" s="110"/>
      <c r="BF74" s="110"/>
      <c r="BG74" s="110"/>
      <c r="BH74" s="110"/>
      <c r="BI74" s="110"/>
      <c r="BJ74" s="110"/>
      <c r="BK74" s="110"/>
      <c r="BL74" s="110"/>
      <c r="BM74" s="110"/>
      <c r="BN74" s="110"/>
      <c r="BO74" s="110"/>
      <c r="BP74" s="110"/>
      <c r="BQ74" s="110"/>
      <c r="BR74" s="110"/>
      <c r="BS74" s="110"/>
      <c r="BT74" s="110"/>
      <c r="BU74" s="110"/>
      <c r="BV74" s="110"/>
      <c r="BW74" s="110"/>
    </row>
    <row r="75" spans="1:75">
      <c r="A75" s="114"/>
      <c r="B75" s="115"/>
      <c r="C75" s="116"/>
      <c r="D75" s="115"/>
      <c r="E75" s="115"/>
      <c r="F75" s="115"/>
      <c r="G75" s="115"/>
      <c r="H75" s="115"/>
      <c r="I75" s="115"/>
      <c r="J75" s="115"/>
      <c r="K75" s="115"/>
      <c r="L75" s="115"/>
      <c r="M75" s="115"/>
      <c r="N75" s="119"/>
      <c r="O75" s="115"/>
      <c r="P75" s="120"/>
      <c r="Q75" s="121"/>
      <c r="R75" s="124"/>
      <c r="S75" s="123"/>
      <c r="T75" s="110"/>
      <c r="U75" s="110"/>
      <c r="V75" s="110"/>
      <c r="W75" s="110"/>
      <c r="X75" s="110"/>
      <c r="Y75" s="110"/>
      <c r="Z75" s="110"/>
      <c r="AA75" s="110"/>
      <c r="AB75" s="110"/>
      <c r="AC75" s="110"/>
      <c r="AD75" s="110"/>
      <c r="AE75" s="110"/>
      <c r="AF75" s="110"/>
      <c r="AG75" s="110"/>
      <c r="AH75" s="110"/>
      <c r="AI75" s="110"/>
      <c r="AJ75" s="110"/>
      <c r="AK75" s="110"/>
      <c r="AL75" s="110"/>
      <c r="AM75" s="110"/>
      <c r="AN75" s="110"/>
      <c r="AO75" s="110"/>
      <c r="AP75" s="110"/>
      <c r="AQ75" s="110"/>
      <c r="AR75" s="110"/>
      <c r="AS75" s="110"/>
      <c r="AT75" s="110"/>
      <c r="AU75" s="110"/>
      <c r="AV75" s="110"/>
      <c r="AW75" s="110"/>
      <c r="AX75" s="110"/>
      <c r="AY75" s="110"/>
      <c r="AZ75" s="110"/>
      <c r="BA75" s="110"/>
      <c r="BB75" s="110"/>
      <c r="BC75" s="110"/>
      <c r="BD75" s="110"/>
      <c r="BE75" s="110"/>
      <c r="BF75" s="110"/>
      <c r="BG75" s="110"/>
      <c r="BH75" s="110"/>
      <c r="BI75" s="110"/>
      <c r="BJ75" s="110"/>
      <c r="BK75" s="110"/>
      <c r="BL75" s="110"/>
      <c r="BM75" s="110"/>
      <c r="BN75" s="110"/>
      <c r="BO75" s="110"/>
      <c r="BP75" s="110"/>
      <c r="BQ75" s="110"/>
      <c r="BR75" s="110"/>
      <c r="BS75" s="110"/>
      <c r="BT75" s="110"/>
      <c r="BU75" s="110"/>
      <c r="BV75" s="110"/>
      <c r="BW75" s="110"/>
    </row>
    <row r="76" spans="1:75">
      <c r="A76" s="114"/>
      <c r="B76" s="115"/>
      <c r="C76" s="116"/>
      <c r="D76" s="115"/>
      <c r="E76" s="115"/>
      <c r="F76" s="115"/>
      <c r="G76" s="115"/>
      <c r="H76" s="115"/>
      <c r="I76" s="115"/>
      <c r="J76" s="115"/>
      <c r="K76" s="115"/>
      <c r="L76" s="115"/>
      <c r="M76" s="115"/>
      <c r="N76" s="119"/>
      <c r="O76" s="115"/>
      <c r="P76" s="120"/>
      <c r="Q76" s="121"/>
      <c r="R76" s="124"/>
      <c r="S76" s="123"/>
      <c r="T76" s="110"/>
      <c r="U76" s="110"/>
      <c r="V76" s="110"/>
      <c r="W76" s="110"/>
      <c r="X76" s="110"/>
      <c r="Y76" s="110"/>
      <c r="Z76" s="110"/>
      <c r="AA76" s="110"/>
      <c r="AB76" s="110"/>
      <c r="AC76" s="110"/>
      <c r="AD76" s="110"/>
      <c r="AE76" s="110"/>
      <c r="AF76" s="110"/>
      <c r="AG76" s="110"/>
      <c r="AH76" s="110"/>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110"/>
      <c r="BE76" s="110"/>
      <c r="BF76" s="110"/>
      <c r="BG76" s="110"/>
      <c r="BH76" s="110"/>
      <c r="BI76" s="110"/>
      <c r="BJ76" s="110"/>
      <c r="BK76" s="110"/>
      <c r="BL76" s="110"/>
      <c r="BM76" s="110"/>
      <c r="BN76" s="110"/>
      <c r="BO76" s="110"/>
      <c r="BP76" s="110"/>
      <c r="BQ76" s="110"/>
      <c r="BR76" s="110"/>
      <c r="BS76" s="110"/>
      <c r="BT76" s="110"/>
      <c r="BU76" s="110"/>
      <c r="BV76" s="110"/>
      <c r="BW76" s="110"/>
    </row>
    <row r="77" spans="1:75">
      <c r="A77" s="114"/>
      <c r="B77" s="115"/>
      <c r="C77" s="116"/>
      <c r="D77" s="115"/>
      <c r="E77" s="115"/>
      <c r="F77" s="115"/>
      <c r="G77" s="115"/>
      <c r="H77" s="115"/>
      <c r="I77" s="115"/>
      <c r="J77" s="115"/>
      <c r="K77" s="115"/>
      <c r="L77" s="115"/>
      <c r="M77" s="115"/>
      <c r="N77" s="119"/>
      <c r="O77" s="115"/>
      <c r="P77" s="120"/>
      <c r="Q77" s="121"/>
      <c r="R77" s="124"/>
      <c r="S77" s="123"/>
      <c r="T77" s="110"/>
      <c r="U77" s="110"/>
      <c r="V77" s="110"/>
      <c r="W77" s="110"/>
      <c r="X77" s="110"/>
      <c r="Y77" s="110"/>
      <c r="Z77" s="110"/>
      <c r="AA77" s="110"/>
      <c r="AB77" s="110"/>
      <c r="AC77" s="110"/>
      <c r="AD77" s="110"/>
      <c r="AE77" s="110"/>
      <c r="AF77" s="110"/>
      <c r="AG77" s="110"/>
      <c r="AH77" s="110"/>
      <c r="AI77" s="110"/>
      <c r="AJ77" s="110"/>
      <c r="AK77" s="110"/>
      <c r="AL77" s="110"/>
      <c r="AM77" s="110"/>
      <c r="AN77" s="110"/>
      <c r="AO77" s="110"/>
      <c r="AP77" s="110"/>
      <c r="AQ77" s="110"/>
      <c r="AR77" s="110"/>
      <c r="AS77" s="110"/>
      <c r="AT77" s="110"/>
      <c r="AU77" s="110"/>
      <c r="AV77" s="110"/>
      <c r="AW77" s="110"/>
      <c r="AX77" s="110"/>
      <c r="AY77" s="110"/>
      <c r="AZ77" s="110"/>
      <c r="BA77" s="110"/>
      <c r="BB77" s="110"/>
      <c r="BC77" s="110"/>
      <c r="BD77" s="110"/>
      <c r="BE77" s="110"/>
      <c r="BF77" s="110"/>
      <c r="BG77" s="110"/>
      <c r="BH77" s="110"/>
      <c r="BI77" s="110"/>
      <c r="BJ77" s="110"/>
      <c r="BK77" s="110"/>
      <c r="BL77" s="110"/>
      <c r="BM77" s="110"/>
      <c r="BN77" s="110"/>
      <c r="BO77" s="110"/>
      <c r="BP77" s="110"/>
      <c r="BQ77" s="110"/>
      <c r="BR77" s="110"/>
      <c r="BS77" s="110"/>
      <c r="BT77" s="110"/>
      <c r="BU77" s="110"/>
      <c r="BV77" s="110"/>
      <c r="BW77" s="110"/>
    </row>
    <row r="78" spans="1:75">
      <c r="A78" s="114"/>
      <c r="B78" s="115"/>
      <c r="C78" s="116"/>
      <c r="D78" s="115"/>
      <c r="E78" s="115"/>
      <c r="F78" s="115"/>
      <c r="G78" s="115"/>
      <c r="H78" s="115"/>
      <c r="I78" s="115"/>
      <c r="J78" s="115"/>
      <c r="K78" s="115"/>
      <c r="L78" s="115"/>
      <c r="M78" s="115"/>
      <c r="N78" s="119"/>
      <c r="O78" s="115"/>
      <c r="P78" s="120"/>
      <c r="Q78" s="121"/>
      <c r="R78" s="124"/>
      <c r="S78" s="123"/>
      <c r="T78" s="110"/>
      <c r="U78" s="110"/>
      <c r="V78" s="110"/>
      <c r="W78" s="110"/>
      <c r="X78" s="110"/>
      <c r="Y78" s="110"/>
      <c r="Z78" s="110"/>
      <c r="AA78" s="110"/>
      <c r="AB78" s="110"/>
      <c r="AC78" s="110"/>
      <c r="AD78" s="110"/>
      <c r="AE78" s="110"/>
      <c r="AF78" s="110"/>
      <c r="AG78" s="110"/>
      <c r="AH78" s="110"/>
      <c r="AI78" s="110"/>
      <c r="AJ78" s="110"/>
      <c r="AK78" s="110"/>
      <c r="AL78" s="110"/>
      <c r="AM78" s="110"/>
      <c r="AN78" s="110"/>
      <c r="AO78" s="110"/>
      <c r="AP78" s="110"/>
      <c r="AQ78" s="110"/>
      <c r="AR78" s="110"/>
      <c r="AS78" s="110"/>
      <c r="AT78" s="110"/>
      <c r="AU78" s="110"/>
      <c r="AV78" s="110"/>
      <c r="AW78" s="110"/>
      <c r="AX78" s="110"/>
      <c r="AY78" s="110"/>
      <c r="AZ78" s="110"/>
      <c r="BA78" s="110"/>
      <c r="BB78" s="110"/>
      <c r="BC78" s="110"/>
      <c r="BD78" s="110"/>
      <c r="BE78" s="110"/>
      <c r="BF78" s="110"/>
      <c r="BG78" s="110"/>
      <c r="BH78" s="110"/>
      <c r="BI78" s="110"/>
      <c r="BJ78" s="110"/>
      <c r="BK78" s="110"/>
      <c r="BL78" s="110"/>
      <c r="BM78" s="110"/>
      <c r="BN78" s="110"/>
      <c r="BO78" s="110"/>
      <c r="BP78" s="110"/>
      <c r="BQ78" s="110"/>
      <c r="BR78" s="110"/>
      <c r="BS78" s="110"/>
      <c r="BT78" s="110"/>
      <c r="BU78" s="110"/>
      <c r="BV78" s="110"/>
      <c r="BW78" s="110"/>
    </row>
    <row r="79" spans="1:75">
      <c r="A79" s="114"/>
      <c r="B79" s="115"/>
      <c r="C79" s="116"/>
      <c r="D79" s="115"/>
      <c r="E79" s="115"/>
      <c r="F79" s="115"/>
      <c r="G79" s="115"/>
      <c r="H79" s="115"/>
      <c r="I79" s="115"/>
      <c r="J79" s="115"/>
      <c r="K79" s="115"/>
      <c r="L79" s="115"/>
      <c r="M79" s="115"/>
      <c r="N79" s="119"/>
      <c r="O79" s="115"/>
      <c r="P79" s="120"/>
      <c r="Q79" s="121"/>
      <c r="R79" s="124"/>
      <c r="S79" s="123"/>
      <c r="T79" s="110"/>
      <c r="U79" s="110"/>
      <c r="V79" s="110"/>
      <c r="W79" s="110"/>
      <c r="X79" s="110"/>
      <c r="Y79" s="110"/>
      <c r="Z79" s="110"/>
      <c r="AA79" s="110"/>
      <c r="AB79" s="110"/>
      <c r="AC79" s="110"/>
      <c r="AD79" s="110"/>
      <c r="AE79" s="110"/>
      <c r="AF79" s="110"/>
      <c r="AG79" s="110"/>
      <c r="AH79" s="110"/>
      <c r="AI79" s="110"/>
      <c r="AJ79" s="110"/>
      <c r="AK79" s="110"/>
      <c r="AL79" s="110"/>
      <c r="AM79" s="110"/>
      <c r="AN79" s="110"/>
      <c r="AO79" s="110"/>
      <c r="AP79" s="110"/>
      <c r="AQ79" s="110"/>
      <c r="AR79" s="110"/>
      <c r="AS79" s="110"/>
      <c r="AT79" s="110"/>
      <c r="AU79" s="110"/>
      <c r="AV79" s="110"/>
      <c r="AW79" s="110"/>
      <c r="AX79" s="110"/>
      <c r="AY79" s="110"/>
      <c r="AZ79" s="110"/>
      <c r="BA79" s="110"/>
      <c r="BB79" s="110"/>
      <c r="BC79" s="110"/>
      <c r="BD79" s="110"/>
      <c r="BE79" s="110"/>
      <c r="BF79" s="110"/>
      <c r="BG79" s="110"/>
      <c r="BH79" s="110"/>
      <c r="BI79" s="110"/>
      <c r="BJ79" s="110"/>
      <c r="BK79" s="110"/>
      <c r="BL79" s="110"/>
      <c r="BM79" s="110"/>
      <c r="BN79" s="110"/>
      <c r="BO79" s="110"/>
      <c r="BP79" s="110"/>
      <c r="BQ79" s="110"/>
      <c r="BR79" s="110"/>
      <c r="BS79" s="110"/>
      <c r="BT79" s="110"/>
      <c r="BU79" s="110"/>
      <c r="BV79" s="110"/>
      <c r="BW79" s="110"/>
    </row>
    <row r="80" spans="1:75">
      <c r="A80" s="114"/>
      <c r="B80" s="115"/>
      <c r="C80" s="116"/>
      <c r="D80" s="115"/>
      <c r="E80" s="115"/>
      <c r="F80" s="115"/>
      <c r="G80" s="115"/>
      <c r="H80" s="115"/>
      <c r="I80" s="115"/>
      <c r="J80" s="115"/>
      <c r="K80" s="115"/>
      <c r="L80" s="115"/>
      <c r="M80" s="115"/>
      <c r="N80" s="119"/>
      <c r="O80" s="115"/>
      <c r="P80" s="120"/>
      <c r="Q80" s="121"/>
      <c r="R80" s="124"/>
      <c r="S80" s="123"/>
      <c r="T80" s="110"/>
      <c r="U80" s="110"/>
      <c r="V80" s="110"/>
      <c r="W80" s="110"/>
      <c r="X80" s="110"/>
      <c r="Y80" s="110"/>
      <c r="Z80" s="110"/>
      <c r="AA80" s="110"/>
      <c r="AB80" s="110"/>
      <c r="AC80" s="110"/>
      <c r="AD80" s="110"/>
      <c r="AE80" s="110"/>
      <c r="AF80" s="110"/>
      <c r="AG80" s="110"/>
      <c r="AH80" s="110"/>
      <c r="AI80" s="110"/>
      <c r="AJ80" s="110"/>
      <c r="AK80" s="110"/>
      <c r="AL80" s="110"/>
      <c r="AM80" s="110"/>
      <c r="AN80" s="110"/>
      <c r="AO80" s="110"/>
      <c r="AP80" s="110"/>
      <c r="AQ80" s="110"/>
      <c r="AR80" s="110"/>
      <c r="AS80" s="110"/>
      <c r="AT80" s="110"/>
      <c r="AU80" s="110"/>
      <c r="AV80" s="110"/>
      <c r="AW80" s="110"/>
      <c r="AX80" s="110"/>
      <c r="AY80" s="110"/>
      <c r="AZ80" s="110"/>
      <c r="BA80" s="110"/>
      <c r="BB80" s="110"/>
      <c r="BC80" s="110"/>
      <c r="BD80" s="110"/>
      <c r="BE80" s="110"/>
      <c r="BF80" s="110"/>
      <c r="BG80" s="110"/>
      <c r="BH80" s="110"/>
      <c r="BI80" s="110"/>
      <c r="BJ80" s="110"/>
      <c r="BK80" s="110"/>
      <c r="BL80" s="110"/>
      <c r="BM80" s="110"/>
      <c r="BN80" s="110"/>
      <c r="BO80" s="110"/>
      <c r="BP80" s="110"/>
      <c r="BQ80" s="110"/>
      <c r="BR80" s="110"/>
      <c r="BS80" s="110"/>
      <c r="BT80" s="110"/>
      <c r="BU80" s="110"/>
      <c r="BV80" s="110"/>
      <c r="BW80" s="110"/>
    </row>
    <row r="81" spans="1:75">
      <c r="A81" s="114"/>
      <c r="B81" s="115"/>
      <c r="C81" s="116"/>
      <c r="D81" s="115"/>
      <c r="E81" s="115"/>
      <c r="F81" s="115"/>
      <c r="G81" s="115"/>
      <c r="H81" s="115"/>
      <c r="I81" s="115"/>
      <c r="J81" s="115"/>
      <c r="K81" s="115"/>
      <c r="L81" s="115"/>
      <c r="M81" s="115"/>
      <c r="N81" s="119"/>
      <c r="O81" s="115"/>
      <c r="P81" s="120"/>
      <c r="Q81" s="121"/>
      <c r="R81" s="124"/>
      <c r="S81" s="123"/>
      <c r="T81" s="110"/>
      <c r="U81" s="110"/>
      <c r="V81" s="110"/>
      <c r="W81" s="110"/>
      <c r="X81" s="110"/>
      <c r="Y81" s="110"/>
      <c r="Z81" s="110"/>
      <c r="AA81" s="110"/>
      <c r="AB81" s="110"/>
      <c r="AC81" s="110"/>
      <c r="AD81" s="110"/>
      <c r="AE81" s="110"/>
      <c r="AF81" s="110"/>
      <c r="AG81" s="110"/>
      <c r="AH81" s="110"/>
      <c r="AI81" s="110"/>
      <c r="AJ81" s="110"/>
      <c r="AK81" s="110"/>
      <c r="AL81" s="110"/>
      <c r="AM81" s="110"/>
      <c r="AN81" s="110"/>
      <c r="AO81" s="110"/>
      <c r="AP81" s="110"/>
      <c r="AQ81" s="110"/>
      <c r="AR81" s="110"/>
      <c r="AS81" s="110"/>
      <c r="AT81" s="110"/>
      <c r="AU81" s="110"/>
      <c r="AV81" s="110"/>
      <c r="AW81" s="110"/>
      <c r="AX81" s="110"/>
      <c r="AY81" s="110"/>
      <c r="AZ81" s="110"/>
      <c r="BA81" s="110"/>
      <c r="BB81" s="110"/>
      <c r="BC81" s="110"/>
      <c r="BD81" s="110"/>
      <c r="BE81" s="110"/>
      <c r="BF81" s="110"/>
      <c r="BG81" s="110"/>
      <c r="BH81" s="110"/>
      <c r="BI81" s="110"/>
      <c r="BJ81" s="110"/>
      <c r="BK81" s="110"/>
      <c r="BL81" s="110"/>
      <c r="BM81" s="110"/>
      <c r="BN81" s="110"/>
      <c r="BO81" s="110"/>
      <c r="BP81" s="110"/>
      <c r="BQ81" s="110"/>
      <c r="BR81" s="110"/>
      <c r="BS81" s="110"/>
      <c r="BT81" s="110"/>
      <c r="BU81" s="110"/>
      <c r="BV81" s="110"/>
      <c r="BW81" s="110"/>
    </row>
    <row r="82" spans="1:75">
      <c r="A82" s="114"/>
      <c r="B82" s="115"/>
      <c r="C82" s="116"/>
      <c r="D82" s="115"/>
      <c r="E82" s="115"/>
      <c r="F82" s="115"/>
      <c r="G82" s="115"/>
      <c r="H82" s="115"/>
      <c r="I82" s="115"/>
      <c r="J82" s="115"/>
      <c r="K82" s="115"/>
      <c r="L82" s="115"/>
      <c r="M82" s="115"/>
      <c r="N82" s="119"/>
      <c r="O82" s="115"/>
      <c r="P82" s="120"/>
      <c r="Q82" s="121"/>
      <c r="R82" s="124"/>
      <c r="S82" s="123"/>
      <c r="T82" s="110"/>
      <c r="U82" s="110"/>
      <c r="V82" s="110"/>
      <c r="W82" s="110"/>
      <c r="X82" s="110"/>
      <c r="Y82" s="110"/>
      <c r="Z82" s="110"/>
      <c r="AA82" s="110"/>
      <c r="AB82" s="110"/>
      <c r="AC82" s="110"/>
      <c r="AD82" s="110"/>
      <c r="AE82" s="110"/>
      <c r="AF82" s="110"/>
      <c r="AG82" s="110"/>
      <c r="AH82" s="110"/>
      <c r="AI82" s="110"/>
      <c r="AJ82" s="110"/>
      <c r="AK82" s="110"/>
      <c r="AL82" s="110"/>
      <c r="AM82" s="110"/>
      <c r="AN82" s="110"/>
      <c r="AO82" s="110"/>
      <c r="AP82" s="110"/>
      <c r="AQ82" s="110"/>
      <c r="AR82" s="110"/>
      <c r="AS82" s="110"/>
      <c r="AT82" s="110"/>
      <c r="AU82" s="110"/>
      <c r="AV82" s="110"/>
      <c r="AW82" s="110"/>
      <c r="AX82" s="110"/>
      <c r="AY82" s="110"/>
      <c r="AZ82" s="110"/>
      <c r="BA82" s="110"/>
      <c r="BB82" s="110"/>
      <c r="BC82" s="110"/>
      <c r="BD82" s="110"/>
      <c r="BE82" s="110"/>
      <c r="BF82" s="110"/>
      <c r="BG82" s="110"/>
      <c r="BH82" s="110"/>
      <c r="BI82" s="110"/>
      <c r="BJ82" s="110"/>
      <c r="BK82" s="110"/>
      <c r="BL82" s="110"/>
      <c r="BM82" s="110"/>
      <c r="BN82" s="110"/>
      <c r="BO82" s="110"/>
      <c r="BP82" s="110"/>
      <c r="BQ82" s="110"/>
      <c r="BR82" s="110"/>
      <c r="BS82" s="110"/>
      <c r="BT82" s="110"/>
      <c r="BU82" s="110"/>
      <c r="BV82" s="110"/>
      <c r="BW82" s="110"/>
    </row>
    <row r="83" spans="1:75">
      <c r="A83" s="114"/>
      <c r="B83" s="115"/>
      <c r="C83" s="116"/>
      <c r="D83" s="115"/>
      <c r="E83" s="115"/>
      <c r="F83" s="115"/>
      <c r="G83" s="115"/>
      <c r="H83" s="115"/>
      <c r="I83" s="115"/>
      <c r="J83" s="115"/>
      <c r="K83" s="115"/>
      <c r="L83" s="115"/>
      <c r="M83" s="115"/>
      <c r="N83" s="119"/>
      <c r="O83" s="115"/>
      <c r="P83" s="120"/>
      <c r="Q83" s="121"/>
      <c r="R83" s="124"/>
      <c r="S83" s="123"/>
      <c r="T83" s="110"/>
      <c r="U83" s="110"/>
      <c r="V83" s="110"/>
      <c r="W83" s="110"/>
      <c r="X83" s="110"/>
      <c r="Y83" s="110"/>
      <c r="Z83" s="110"/>
      <c r="AA83" s="110"/>
      <c r="AB83" s="110"/>
      <c r="AC83" s="110"/>
      <c r="AD83" s="110"/>
      <c r="AE83" s="110"/>
      <c r="AF83" s="110"/>
      <c r="AG83" s="110"/>
      <c r="AH83" s="110"/>
      <c r="AI83" s="110"/>
      <c r="AJ83" s="110"/>
      <c r="AK83" s="110"/>
      <c r="AL83" s="110"/>
      <c r="AM83" s="110"/>
      <c r="AN83" s="110"/>
      <c r="AO83" s="110"/>
      <c r="AP83" s="110"/>
      <c r="AQ83" s="110"/>
      <c r="AR83" s="110"/>
      <c r="AS83" s="110"/>
      <c r="AT83" s="110"/>
      <c r="AU83" s="110"/>
      <c r="AV83" s="110"/>
      <c r="AW83" s="110"/>
      <c r="AX83" s="110"/>
      <c r="AY83" s="110"/>
      <c r="AZ83" s="110"/>
      <c r="BA83" s="110"/>
      <c r="BB83" s="110"/>
      <c r="BC83" s="110"/>
      <c r="BD83" s="110"/>
      <c r="BE83" s="110"/>
      <c r="BF83" s="110"/>
      <c r="BG83" s="110"/>
      <c r="BH83" s="110"/>
      <c r="BI83" s="110"/>
      <c r="BJ83" s="110"/>
      <c r="BK83" s="110"/>
      <c r="BL83" s="110"/>
      <c r="BM83" s="110"/>
      <c r="BN83" s="110"/>
      <c r="BO83" s="110"/>
      <c r="BP83" s="110"/>
      <c r="BQ83" s="110"/>
      <c r="BR83" s="110"/>
      <c r="BS83" s="110"/>
      <c r="BT83" s="110"/>
      <c r="BU83" s="110"/>
      <c r="BV83" s="110"/>
      <c r="BW83" s="110"/>
    </row>
    <row r="84" spans="1:75">
      <c r="A84" s="114"/>
      <c r="B84" s="115"/>
      <c r="C84" s="116"/>
      <c r="D84" s="115"/>
      <c r="E84" s="115"/>
      <c r="F84" s="115"/>
      <c r="G84" s="115"/>
      <c r="H84" s="115"/>
      <c r="I84" s="115"/>
      <c r="J84" s="115"/>
      <c r="K84" s="115"/>
      <c r="L84" s="115"/>
      <c r="M84" s="115"/>
      <c r="N84" s="119"/>
      <c r="O84" s="115"/>
      <c r="P84" s="120"/>
      <c r="Q84" s="121"/>
      <c r="R84" s="124"/>
      <c r="S84" s="123"/>
      <c r="T84" s="110"/>
      <c r="U84" s="110"/>
      <c r="V84" s="110"/>
      <c r="W84" s="110"/>
      <c r="X84" s="110"/>
      <c r="Y84" s="110"/>
      <c r="Z84" s="110"/>
      <c r="AA84" s="110"/>
      <c r="AB84" s="110"/>
      <c r="AC84" s="110"/>
      <c r="AD84" s="110"/>
      <c r="AE84" s="110"/>
      <c r="AF84" s="110"/>
      <c r="AG84" s="110"/>
      <c r="AH84" s="110"/>
      <c r="AI84" s="110"/>
      <c r="AJ84" s="110"/>
      <c r="AK84" s="110"/>
      <c r="AL84" s="110"/>
      <c r="AM84" s="110"/>
      <c r="AN84" s="110"/>
      <c r="AO84" s="110"/>
      <c r="AP84" s="110"/>
      <c r="AQ84" s="110"/>
      <c r="AR84" s="110"/>
      <c r="AS84" s="110"/>
      <c r="AT84" s="110"/>
      <c r="AU84" s="110"/>
      <c r="AV84" s="110"/>
      <c r="AW84" s="110"/>
      <c r="AX84" s="110"/>
      <c r="AY84" s="110"/>
      <c r="AZ84" s="110"/>
      <c r="BA84" s="110"/>
      <c r="BB84" s="110"/>
      <c r="BC84" s="110"/>
      <c r="BD84" s="110"/>
      <c r="BE84" s="110"/>
      <c r="BF84" s="110"/>
      <c r="BG84" s="110"/>
      <c r="BH84" s="110"/>
      <c r="BI84" s="110"/>
      <c r="BJ84" s="110"/>
      <c r="BK84" s="110"/>
      <c r="BL84" s="110"/>
      <c r="BM84" s="110"/>
      <c r="BN84" s="110"/>
      <c r="BO84" s="110"/>
      <c r="BP84" s="110"/>
      <c r="BQ84" s="110"/>
      <c r="BR84" s="110"/>
      <c r="BS84" s="110"/>
      <c r="BT84" s="110"/>
      <c r="BU84" s="110"/>
      <c r="BV84" s="110"/>
      <c r="BW84" s="110"/>
    </row>
    <row r="85" spans="1:75">
      <c r="A85" s="114"/>
      <c r="B85" s="115"/>
      <c r="C85" s="116"/>
      <c r="D85" s="115"/>
      <c r="E85" s="115"/>
      <c r="F85" s="115"/>
      <c r="G85" s="115"/>
      <c r="H85" s="115"/>
      <c r="I85" s="115"/>
      <c r="J85" s="115"/>
      <c r="K85" s="115"/>
      <c r="L85" s="115"/>
      <c r="M85" s="115"/>
      <c r="N85" s="119"/>
      <c r="O85" s="115"/>
      <c r="P85" s="120"/>
      <c r="Q85" s="121"/>
      <c r="R85" s="124"/>
      <c r="S85" s="123"/>
      <c r="T85" s="110"/>
      <c r="U85" s="110"/>
      <c r="V85" s="110"/>
      <c r="W85" s="110"/>
      <c r="X85" s="110"/>
      <c r="Y85" s="110"/>
      <c r="Z85" s="110"/>
      <c r="AA85" s="110"/>
      <c r="AB85" s="110"/>
      <c r="AC85" s="110"/>
      <c r="AD85" s="110"/>
      <c r="AE85" s="110"/>
      <c r="AF85" s="110"/>
      <c r="AG85" s="110"/>
      <c r="AH85" s="110"/>
      <c r="AI85" s="110"/>
      <c r="AJ85" s="110"/>
      <c r="AK85" s="110"/>
      <c r="AL85" s="110"/>
      <c r="AM85" s="110"/>
      <c r="AN85" s="110"/>
      <c r="AO85" s="110"/>
      <c r="AP85" s="110"/>
      <c r="AQ85" s="110"/>
      <c r="AR85" s="110"/>
      <c r="AS85" s="110"/>
      <c r="AT85" s="110"/>
      <c r="AU85" s="110"/>
      <c r="AV85" s="110"/>
      <c r="AW85" s="110"/>
      <c r="AX85" s="110"/>
      <c r="AY85" s="110"/>
      <c r="AZ85" s="110"/>
      <c r="BA85" s="110"/>
      <c r="BB85" s="110"/>
      <c r="BC85" s="110"/>
      <c r="BD85" s="110"/>
      <c r="BE85" s="110"/>
      <c r="BF85" s="110"/>
      <c r="BG85" s="110"/>
      <c r="BH85" s="110"/>
      <c r="BI85" s="110"/>
      <c r="BJ85" s="110"/>
      <c r="BK85" s="110"/>
      <c r="BL85" s="110"/>
      <c r="BM85" s="110"/>
      <c r="BN85" s="110"/>
      <c r="BO85" s="110"/>
      <c r="BP85" s="110"/>
      <c r="BQ85" s="110"/>
      <c r="BR85" s="110"/>
      <c r="BS85" s="110"/>
      <c r="BT85" s="110"/>
      <c r="BU85" s="110"/>
      <c r="BV85" s="110"/>
      <c r="BW85" s="110"/>
    </row>
    <row r="86" spans="1:75">
      <c r="A86" s="114"/>
      <c r="B86" s="115"/>
      <c r="C86" s="116"/>
      <c r="D86" s="115"/>
      <c r="E86" s="115"/>
      <c r="F86" s="115"/>
      <c r="G86" s="115"/>
      <c r="H86" s="115"/>
      <c r="I86" s="115"/>
      <c r="J86" s="115"/>
      <c r="K86" s="115"/>
      <c r="L86" s="115"/>
      <c r="M86" s="115"/>
      <c r="N86" s="119"/>
      <c r="O86" s="115"/>
      <c r="P86" s="120"/>
      <c r="Q86" s="121"/>
      <c r="R86" s="124"/>
      <c r="S86" s="123"/>
      <c r="T86" s="110"/>
      <c r="U86" s="110"/>
      <c r="V86" s="110"/>
      <c r="W86" s="110"/>
      <c r="X86" s="110"/>
      <c r="Y86" s="110"/>
      <c r="Z86" s="110"/>
      <c r="AA86" s="110"/>
      <c r="AB86" s="110"/>
      <c r="AC86" s="110"/>
      <c r="AD86" s="110"/>
      <c r="AE86" s="110"/>
      <c r="AF86" s="110"/>
      <c r="AG86" s="110"/>
      <c r="AH86" s="110"/>
      <c r="AI86" s="110"/>
      <c r="AJ86" s="110"/>
      <c r="AK86" s="110"/>
      <c r="AL86" s="110"/>
      <c r="AM86" s="110"/>
      <c r="AN86" s="110"/>
      <c r="AO86" s="110"/>
      <c r="AP86" s="110"/>
      <c r="AQ86" s="110"/>
      <c r="AR86" s="110"/>
      <c r="AS86" s="110"/>
      <c r="AT86" s="110"/>
      <c r="AU86" s="110"/>
      <c r="AV86" s="110"/>
      <c r="AW86" s="110"/>
      <c r="AX86" s="110"/>
      <c r="AY86" s="110"/>
      <c r="AZ86" s="110"/>
      <c r="BA86" s="110"/>
      <c r="BB86" s="110"/>
      <c r="BC86" s="110"/>
      <c r="BD86" s="110"/>
      <c r="BE86" s="110"/>
      <c r="BF86" s="110"/>
      <c r="BG86" s="110"/>
      <c r="BH86" s="110"/>
      <c r="BI86" s="110"/>
      <c r="BJ86" s="110"/>
      <c r="BK86" s="110"/>
      <c r="BL86" s="110"/>
      <c r="BM86" s="110"/>
      <c r="BN86" s="110"/>
      <c r="BO86" s="110"/>
      <c r="BP86" s="110"/>
      <c r="BQ86" s="110"/>
      <c r="BR86" s="110"/>
      <c r="BS86" s="110"/>
      <c r="BT86" s="110"/>
      <c r="BU86" s="110"/>
      <c r="BV86" s="110"/>
      <c r="BW86" s="110"/>
    </row>
    <row r="87" spans="1:75">
      <c r="A87" s="114"/>
      <c r="B87" s="115"/>
      <c r="C87" s="116"/>
      <c r="D87" s="115"/>
      <c r="E87" s="115"/>
      <c r="F87" s="115"/>
      <c r="G87" s="115"/>
      <c r="H87" s="115"/>
      <c r="I87" s="115"/>
      <c r="J87" s="115"/>
      <c r="K87" s="115"/>
      <c r="L87" s="115"/>
      <c r="M87" s="115"/>
      <c r="N87" s="119"/>
      <c r="O87" s="115"/>
      <c r="P87" s="120"/>
      <c r="Q87" s="121"/>
      <c r="R87" s="124"/>
      <c r="S87" s="123"/>
      <c r="T87" s="110"/>
      <c r="U87" s="110"/>
      <c r="V87" s="110"/>
      <c r="W87" s="110"/>
      <c r="X87" s="110"/>
      <c r="Y87" s="110"/>
      <c r="Z87" s="110"/>
      <c r="AA87" s="110"/>
      <c r="AB87" s="110"/>
      <c r="AC87" s="110"/>
      <c r="AD87" s="110"/>
      <c r="AE87" s="110"/>
      <c r="AF87" s="110"/>
      <c r="AG87" s="110"/>
      <c r="AH87" s="110"/>
      <c r="AI87" s="110"/>
      <c r="AJ87" s="110"/>
      <c r="AK87" s="110"/>
      <c r="AL87" s="110"/>
      <c r="AM87" s="110"/>
      <c r="AN87" s="110"/>
      <c r="AO87" s="110"/>
      <c r="AP87" s="110"/>
      <c r="AQ87" s="110"/>
      <c r="AR87" s="110"/>
      <c r="AS87" s="110"/>
      <c r="AT87" s="110"/>
      <c r="AU87" s="110"/>
      <c r="AV87" s="110"/>
      <c r="AW87" s="110"/>
      <c r="AX87" s="110"/>
      <c r="AY87" s="110"/>
      <c r="AZ87" s="110"/>
      <c r="BA87" s="110"/>
      <c r="BB87" s="110"/>
      <c r="BC87" s="110"/>
      <c r="BD87" s="110"/>
      <c r="BE87" s="110"/>
      <c r="BF87" s="110"/>
      <c r="BG87" s="110"/>
      <c r="BH87" s="110"/>
      <c r="BI87" s="110"/>
      <c r="BJ87" s="110"/>
      <c r="BK87" s="110"/>
      <c r="BL87" s="110"/>
      <c r="BM87" s="110"/>
      <c r="BN87" s="110"/>
      <c r="BO87" s="110"/>
      <c r="BP87" s="110"/>
      <c r="BQ87" s="110"/>
      <c r="BR87" s="110"/>
      <c r="BS87" s="110"/>
      <c r="BT87" s="110"/>
      <c r="BU87" s="110"/>
      <c r="BV87" s="110"/>
      <c r="BW87" s="110"/>
    </row>
    <row r="88" spans="1:75">
      <c r="A88" s="114"/>
      <c r="B88" s="115"/>
      <c r="C88" s="116"/>
      <c r="D88" s="115"/>
      <c r="E88" s="115"/>
      <c r="F88" s="115"/>
      <c r="G88" s="115"/>
      <c r="H88" s="115"/>
      <c r="I88" s="115"/>
      <c r="J88" s="115"/>
      <c r="K88" s="115"/>
      <c r="L88" s="115"/>
      <c r="M88" s="115"/>
      <c r="N88" s="119"/>
      <c r="O88" s="115"/>
      <c r="P88" s="120"/>
      <c r="Q88" s="121"/>
      <c r="R88" s="124"/>
      <c r="S88" s="123"/>
      <c r="T88" s="110"/>
      <c r="U88" s="110"/>
      <c r="V88" s="110"/>
      <c r="W88" s="110"/>
      <c r="X88" s="110"/>
      <c r="Y88" s="110"/>
      <c r="Z88" s="110"/>
      <c r="AA88" s="110"/>
      <c r="AB88" s="110"/>
      <c r="AC88" s="110"/>
      <c r="AD88" s="110"/>
      <c r="AE88" s="110"/>
      <c r="AF88" s="110"/>
      <c r="AG88" s="110"/>
      <c r="AH88" s="110"/>
      <c r="AI88" s="110"/>
      <c r="AJ88" s="110"/>
      <c r="AK88" s="110"/>
      <c r="AL88" s="110"/>
      <c r="AM88" s="110"/>
      <c r="AN88" s="110"/>
      <c r="AO88" s="110"/>
      <c r="AP88" s="110"/>
      <c r="AQ88" s="110"/>
      <c r="AR88" s="110"/>
      <c r="AS88" s="110"/>
      <c r="AT88" s="110"/>
      <c r="AU88" s="110"/>
      <c r="AV88" s="110"/>
      <c r="AW88" s="110"/>
      <c r="AX88" s="110"/>
      <c r="AY88" s="110"/>
      <c r="AZ88" s="110"/>
      <c r="BA88" s="110"/>
      <c r="BB88" s="110"/>
      <c r="BC88" s="110"/>
      <c r="BD88" s="110"/>
      <c r="BE88" s="110"/>
      <c r="BF88" s="110"/>
      <c r="BG88" s="110"/>
      <c r="BH88" s="110"/>
      <c r="BI88" s="110"/>
      <c r="BJ88" s="110"/>
      <c r="BK88" s="110"/>
      <c r="BL88" s="110"/>
      <c r="BM88" s="110"/>
      <c r="BN88" s="110"/>
      <c r="BO88" s="110"/>
      <c r="BP88" s="110"/>
      <c r="BQ88" s="110"/>
      <c r="BR88" s="110"/>
      <c r="BS88" s="110"/>
      <c r="BT88" s="110"/>
      <c r="BU88" s="110"/>
      <c r="BV88" s="110"/>
      <c r="BW88" s="110"/>
    </row>
    <row r="89" spans="1:75">
      <c r="A89" s="114"/>
      <c r="B89" s="115"/>
      <c r="C89" s="116"/>
      <c r="D89" s="115"/>
      <c r="E89" s="115"/>
      <c r="F89" s="115"/>
      <c r="G89" s="115"/>
      <c r="H89" s="115"/>
      <c r="I89" s="115"/>
      <c r="J89" s="115"/>
      <c r="K89" s="115"/>
      <c r="L89" s="115"/>
      <c r="M89" s="115"/>
      <c r="N89" s="119"/>
      <c r="O89" s="115"/>
      <c r="P89" s="120"/>
      <c r="Q89" s="121"/>
      <c r="R89" s="124"/>
      <c r="S89" s="123"/>
      <c r="T89" s="110"/>
      <c r="U89" s="110"/>
      <c r="V89" s="110"/>
      <c r="W89" s="110"/>
      <c r="X89" s="110"/>
      <c r="Y89" s="110"/>
      <c r="Z89" s="110"/>
      <c r="AA89" s="110"/>
      <c r="AB89" s="110"/>
      <c r="AC89" s="110"/>
      <c r="AD89" s="110"/>
      <c r="AE89" s="110"/>
      <c r="AF89" s="110"/>
      <c r="AG89" s="110"/>
      <c r="AH89" s="110"/>
      <c r="AI89" s="110"/>
      <c r="AJ89" s="110"/>
      <c r="AK89" s="110"/>
      <c r="AL89" s="110"/>
      <c r="AM89" s="110"/>
      <c r="AN89" s="110"/>
      <c r="AO89" s="110"/>
      <c r="AP89" s="110"/>
      <c r="AQ89" s="110"/>
      <c r="AR89" s="110"/>
      <c r="AS89" s="110"/>
      <c r="AT89" s="110"/>
      <c r="AU89" s="110"/>
      <c r="AV89" s="110"/>
      <c r="AW89" s="110"/>
      <c r="AX89" s="110"/>
      <c r="AY89" s="110"/>
      <c r="AZ89" s="110"/>
      <c r="BA89" s="110"/>
      <c r="BB89" s="110"/>
      <c r="BC89" s="110"/>
      <c r="BD89" s="110"/>
      <c r="BE89" s="110"/>
      <c r="BF89" s="110"/>
      <c r="BG89" s="110"/>
      <c r="BH89" s="110"/>
      <c r="BI89" s="110"/>
      <c r="BJ89" s="110"/>
      <c r="BK89" s="110"/>
      <c r="BL89" s="110"/>
      <c r="BM89" s="110"/>
      <c r="BN89" s="110"/>
      <c r="BO89" s="110"/>
      <c r="BP89" s="110"/>
      <c r="BQ89" s="110"/>
      <c r="BR89" s="110"/>
      <c r="BS89" s="110"/>
      <c r="BT89" s="110"/>
      <c r="BU89" s="110"/>
      <c r="BV89" s="110"/>
      <c r="BW89" s="110"/>
    </row>
    <row r="90" spans="1:75">
      <c r="A90" s="114"/>
      <c r="B90" s="115"/>
      <c r="C90" s="116"/>
      <c r="D90" s="115"/>
      <c r="E90" s="115"/>
      <c r="F90" s="115"/>
      <c r="G90" s="115"/>
      <c r="H90" s="115"/>
      <c r="I90" s="115"/>
      <c r="J90" s="115"/>
      <c r="K90" s="115"/>
      <c r="L90" s="115"/>
      <c r="M90" s="115"/>
      <c r="N90" s="119"/>
      <c r="O90" s="115"/>
      <c r="P90" s="120"/>
      <c r="Q90" s="121"/>
      <c r="R90" s="124"/>
      <c r="S90" s="123"/>
      <c r="T90" s="110"/>
      <c r="U90" s="110"/>
      <c r="V90" s="110"/>
      <c r="W90" s="110"/>
      <c r="X90" s="110"/>
      <c r="Y90" s="110"/>
      <c r="Z90" s="110"/>
      <c r="AA90" s="110"/>
      <c r="AB90" s="110"/>
      <c r="AC90" s="110"/>
      <c r="AD90" s="110"/>
      <c r="AE90" s="110"/>
      <c r="AF90" s="110"/>
      <c r="AG90" s="110"/>
      <c r="AH90" s="110"/>
      <c r="AI90" s="110"/>
      <c r="AJ90" s="110"/>
      <c r="AK90" s="110"/>
      <c r="AL90" s="110"/>
      <c r="AM90" s="110"/>
      <c r="AN90" s="110"/>
      <c r="AO90" s="110"/>
      <c r="AP90" s="110"/>
      <c r="AQ90" s="110"/>
      <c r="AR90" s="110"/>
      <c r="AS90" s="110"/>
      <c r="AT90" s="110"/>
      <c r="AU90" s="110"/>
      <c r="AV90" s="110"/>
      <c r="AW90" s="110"/>
      <c r="AX90" s="110"/>
      <c r="AY90" s="110"/>
      <c r="AZ90" s="110"/>
      <c r="BA90" s="110"/>
      <c r="BB90" s="110"/>
      <c r="BC90" s="110"/>
      <c r="BD90" s="110"/>
      <c r="BE90" s="110"/>
      <c r="BF90" s="110"/>
      <c r="BG90" s="110"/>
      <c r="BH90" s="110"/>
      <c r="BI90" s="110"/>
      <c r="BJ90" s="110"/>
      <c r="BK90" s="110"/>
      <c r="BL90" s="110"/>
      <c r="BM90" s="110"/>
      <c r="BN90" s="110"/>
      <c r="BO90" s="110"/>
      <c r="BP90" s="110"/>
      <c r="BQ90" s="110"/>
      <c r="BR90" s="110"/>
      <c r="BS90" s="110"/>
      <c r="BT90" s="110"/>
      <c r="BU90" s="110"/>
      <c r="BV90" s="110"/>
      <c r="BW90" s="110"/>
    </row>
    <row r="91" spans="1:75">
      <c r="A91" s="114"/>
      <c r="B91" s="115"/>
      <c r="C91" s="116"/>
      <c r="D91" s="115"/>
      <c r="E91" s="115"/>
      <c r="F91" s="115"/>
      <c r="G91" s="115"/>
      <c r="H91" s="115"/>
      <c r="I91" s="115"/>
      <c r="J91" s="115"/>
      <c r="K91" s="115"/>
      <c r="L91" s="115"/>
      <c r="M91" s="115"/>
      <c r="N91" s="119"/>
      <c r="O91" s="115"/>
      <c r="P91" s="120"/>
      <c r="Q91" s="121"/>
      <c r="R91" s="124"/>
      <c r="S91" s="123"/>
      <c r="T91" s="110"/>
      <c r="U91" s="110"/>
      <c r="V91" s="110"/>
      <c r="W91" s="110"/>
      <c r="X91" s="110"/>
      <c r="Y91" s="110"/>
      <c r="Z91" s="110"/>
      <c r="AA91" s="110"/>
      <c r="AB91" s="110"/>
      <c r="AC91" s="110"/>
      <c r="AD91" s="110"/>
      <c r="AE91" s="110"/>
      <c r="AF91" s="110"/>
      <c r="AG91" s="110"/>
      <c r="AH91" s="110"/>
      <c r="AI91" s="110"/>
      <c r="AJ91" s="110"/>
      <c r="AK91" s="110"/>
      <c r="AL91" s="110"/>
      <c r="AM91" s="110"/>
      <c r="AN91" s="110"/>
      <c r="AO91" s="110"/>
      <c r="AP91" s="110"/>
      <c r="AQ91" s="110"/>
      <c r="AR91" s="110"/>
      <c r="AS91" s="110"/>
      <c r="AT91" s="110"/>
      <c r="AU91" s="110"/>
      <c r="AV91" s="110"/>
      <c r="AW91" s="110"/>
      <c r="AX91" s="110"/>
      <c r="AY91" s="110"/>
      <c r="AZ91" s="110"/>
      <c r="BA91" s="110"/>
      <c r="BB91" s="110"/>
      <c r="BC91" s="110"/>
      <c r="BD91" s="110"/>
      <c r="BE91" s="110"/>
      <c r="BF91" s="110"/>
      <c r="BG91" s="110"/>
      <c r="BH91" s="110"/>
      <c r="BI91" s="110"/>
      <c r="BJ91" s="110"/>
      <c r="BK91" s="110"/>
      <c r="BL91" s="110"/>
      <c r="BM91" s="110"/>
      <c r="BN91" s="110"/>
      <c r="BO91" s="110"/>
      <c r="BP91" s="110"/>
      <c r="BQ91" s="110"/>
      <c r="BR91" s="110"/>
      <c r="BS91" s="110"/>
      <c r="BT91" s="110"/>
      <c r="BU91" s="110"/>
      <c r="BV91" s="110"/>
      <c r="BW91" s="110"/>
    </row>
    <row r="92" spans="1:75">
      <c r="A92" s="114"/>
      <c r="B92" s="115"/>
      <c r="C92" s="116"/>
      <c r="D92" s="115"/>
      <c r="E92" s="115"/>
      <c r="F92" s="115"/>
      <c r="G92" s="115"/>
      <c r="H92" s="115"/>
      <c r="I92" s="115"/>
      <c r="J92" s="115"/>
      <c r="K92" s="115"/>
      <c r="L92" s="115"/>
      <c r="M92" s="115"/>
      <c r="N92" s="119"/>
      <c r="O92" s="115"/>
      <c r="P92" s="120"/>
      <c r="Q92" s="121"/>
      <c r="R92" s="124"/>
      <c r="S92" s="123"/>
      <c r="T92" s="110"/>
      <c r="U92" s="110"/>
      <c r="V92" s="110"/>
      <c r="W92" s="110"/>
      <c r="X92" s="110"/>
      <c r="Y92" s="110"/>
      <c r="Z92" s="110"/>
      <c r="AA92" s="110"/>
      <c r="AB92" s="110"/>
      <c r="AC92" s="110"/>
      <c r="AD92" s="110"/>
      <c r="AE92" s="110"/>
      <c r="AF92" s="110"/>
      <c r="AG92" s="110"/>
      <c r="AH92" s="110"/>
      <c r="AI92" s="110"/>
      <c r="AJ92" s="110"/>
      <c r="AK92" s="110"/>
      <c r="AL92" s="110"/>
      <c r="AM92" s="110"/>
      <c r="AN92" s="110"/>
      <c r="AO92" s="110"/>
      <c r="AP92" s="110"/>
      <c r="AQ92" s="110"/>
      <c r="AR92" s="110"/>
      <c r="AS92" s="110"/>
      <c r="AT92" s="110"/>
      <c r="AU92" s="110"/>
      <c r="AV92" s="110"/>
      <c r="AW92" s="110"/>
      <c r="AX92" s="110"/>
      <c r="AY92" s="110"/>
      <c r="AZ92" s="110"/>
      <c r="BA92" s="110"/>
      <c r="BB92" s="110"/>
      <c r="BC92" s="110"/>
      <c r="BD92" s="110"/>
      <c r="BE92" s="110"/>
      <c r="BF92" s="110"/>
      <c r="BG92" s="110"/>
      <c r="BH92" s="110"/>
      <c r="BI92" s="110"/>
      <c r="BJ92" s="110"/>
      <c r="BK92" s="110"/>
      <c r="BL92" s="110"/>
      <c r="BM92" s="110"/>
      <c r="BN92" s="110"/>
      <c r="BO92" s="110"/>
      <c r="BP92" s="110"/>
      <c r="BQ92" s="110"/>
      <c r="BR92" s="110"/>
      <c r="BS92" s="110"/>
      <c r="BT92" s="110"/>
      <c r="BU92" s="110"/>
      <c r="BV92" s="110"/>
      <c r="BW92" s="110"/>
    </row>
    <row r="93" spans="1:75">
      <c r="A93" s="114"/>
      <c r="B93" s="115"/>
      <c r="C93" s="116"/>
      <c r="D93" s="115"/>
      <c r="E93" s="115"/>
      <c r="F93" s="115"/>
      <c r="G93" s="115"/>
      <c r="H93" s="115"/>
      <c r="I93" s="115"/>
      <c r="J93" s="115"/>
      <c r="K93" s="115"/>
      <c r="L93" s="115"/>
      <c r="M93" s="115"/>
      <c r="N93" s="119"/>
      <c r="O93" s="115"/>
      <c r="P93" s="120"/>
      <c r="Q93" s="121"/>
      <c r="R93" s="124"/>
      <c r="S93" s="123"/>
      <c r="T93" s="110"/>
      <c r="U93" s="110"/>
      <c r="V93" s="110"/>
      <c r="W93" s="110"/>
      <c r="X93" s="110"/>
      <c r="Y93" s="110"/>
      <c r="Z93" s="110"/>
      <c r="AA93" s="110"/>
      <c r="AB93" s="110"/>
      <c r="AC93" s="110"/>
      <c r="AD93" s="110"/>
      <c r="AE93" s="110"/>
      <c r="AF93" s="110"/>
      <c r="AG93" s="110"/>
      <c r="AH93" s="110"/>
      <c r="AI93" s="110"/>
      <c r="AJ93" s="110"/>
      <c r="AK93" s="110"/>
      <c r="AL93" s="110"/>
      <c r="AM93" s="110"/>
      <c r="AN93" s="110"/>
      <c r="AO93" s="110"/>
      <c r="AP93" s="110"/>
      <c r="AQ93" s="110"/>
      <c r="AR93" s="110"/>
      <c r="AS93" s="110"/>
      <c r="AT93" s="110"/>
      <c r="AU93" s="110"/>
      <c r="AV93" s="110"/>
      <c r="AW93" s="110"/>
      <c r="AX93" s="110"/>
      <c r="AY93" s="110"/>
      <c r="AZ93" s="110"/>
      <c r="BA93" s="110"/>
      <c r="BB93" s="110"/>
      <c r="BC93" s="110"/>
      <c r="BD93" s="110"/>
      <c r="BE93" s="110"/>
      <c r="BF93" s="110"/>
      <c r="BG93" s="110"/>
      <c r="BH93" s="110"/>
      <c r="BI93" s="110"/>
      <c r="BJ93" s="110"/>
      <c r="BK93" s="110"/>
      <c r="BL93" s="110"/>
      <c r="BM93" s="110"/>
      <c r="BN93" s="110"/>
      <c r="BO93" s="110"/>
      <c r="BP93" s="110"/>
      <c r="BQ93" s="110"/>
      <c r="BR93" s="110"/>
      <c r="BS93" s="110"/>
      <c r="BT93" s="110"/>
      <c r="BU93" s="110"/>
      <c r="BV93" s="110"/>
      <c r="BW93" s="110"/>
    </row>
    <row r="94" spans="1:75">
      <c r="A94" s="114"/>
      <c r="B94" s="115"/>
      <c r="C94" s="116"/>
      <c r="D94" s="115"/>
      <c r="E94" s="115"/>
      <c r="F94" s="115"/>
      <c r="G94" s="115"/>
      <c r="H94" s="115"/>
      <c r="I94" s="115"/>
      <c r="J94" s="115"/>
      <c r="K94" s="115"/>
      <c r="L94" s="115"/>
      <c r="M94" s="115"/>
      <c r="N94" s="119"/>
      <c r="O94" s="115"/>
      <c r="P94" s="120"/>
      <c r="Q94" s="121"/>
      <c r="R94" s="124"/>
      <c r="S94" s="123"/>
      <c r="T94" s="110"/>
      <c r="U94" s="110"/>
      <c r="V94" s="110"/>
      <c r="W94" s="110"/>
      <c r="X94" s="110"/>
      <c r="Y94" s="110"/>
      <c r="Z94" s="110"/>
      <c r="AA94" s="110"/>
      <c r="AB94" s="110"/>
      <c r="AC94" s="110"/>
      <c r="AD94" s="110"/>
      <c r="AE94" s="110"/>
      <c r="AF94" s="110"/>
      <c r="AG94" s="110"/>
      <c r="AH94" s="110"/>
      <c r="AI94" s="110"/>
      <c r="AJ94" s="110"/>
      <c r="AK94" s="110"/>
      <c r="AL94" s="110"/>
      <c r="AM94" s="110"/>
      <c r="AN94" s="110"/>
      <c r="AO94" s="110"/>
      <c r="AP94" s="110"/>
      <c r="AQ94" s="110"/>
      <c r="AR94" s="110"/>
      <c r="AS94" s="110"/>
      <c r="AT94" s="110"/>
      <c r="AU94" s="110"/>
      <c r="AV94" s="110"/>
      <c r="AW94" s="110"/>
      <c r="AX94" s="110"/>
      <c r="AY94" s="110"/>
      <c r="AZ94" s="110"/>
      <c r="BA94" s="110"/>
      <c r="BB94" s="110"/>
      <c r="BC94" s="110"/>
      <c r="BD94" s="110"/>
      <c r="BE94" s="110"/>
      <c r="BF94" s="110"/>
      <c r="BG94" s="110"/>
      <c r="BH94" s="110"/>
      <c r="BI94" s="110"/>
      <c r="BJ94" s="110"/>
      <c r="BK94" s="110"/>
      <c r="BL94" s="110"/>
      <c r="BM94" s="110"/>
      <c r="BN94" s="110"/>
      <c r="BO94" s="110"/>
      <c r="BP94" s="110"/>
      <c r="BQ94" s="110"/>
      <c r="BR94" s="110"/>
      <c r="BS94" s="110"/>
      <c r="BT94" s="110"/>
      <c r="BU94" s="110"/>
      <c r="BV94" s="110"/>
      <c r="BW94" s="110"/>
    </row>
    <row r="95" spans="1:75">
      <c r="A95" s="114"/>
      <c r="B95" s="115"/>
      <c r="C95" s="116"/>
      <c r="D95" s="115"/>
      <c r="E95" s="115"/>
      <c r="F95" s="115"/>
      <c r="G95" s="115"/>
      <c r="H95" s="115"/>
      <c r="I95" s="115"/>
      <c r="J95" s="115"/>
      <c r="K95" s="115"/>
      <c r="L95" s="115"/>
      <c r="M95" s="115"/>
      <c r="N95" s="119"/>
      <c r="O95" s="115"/>
      <c r="P95" s="120"/>
      <c r="Q95" s="121"/>
      <c r="R95" s="124"/>
      <c r="S95" s="123"/>
      <c r="T95" s="110"/>
      <c r="U95" s="110"/>
      <c r="V95" s="110"/>
      <c r="W95" s="110"/>
      <c r="X95" s="110"/>
      <c r="Y95" s="110"/>
      <c r="Z95" s="110"/>
      <c r="AA95" s="110"/>
      <c r="AB95" s="110"/>
      <c r="AC95" s="110"/>
      <c r="AD95" s="110"/>
      <c r="AE95" s="110"/>
      <c r="AF95" s="110"/>
      <c r="AG95" s="110"/>
      <c r="AH95" s="110"/>
      <c r="AI95" s="110"/>
      <c r="AJ95" s="110"/>
      <c r="AK95" s="110"/>
      <c r="AL95" s="110"/>
      <c r="AM95" s="110"/>
      <c r="AN95" s="110"/>
      <c r="AO95" s="110"/>
      <c r="AP95" s="110"/>
      <c r="AQ95" s="110"/>
      <c r="AR95" s="110"/>
      <c r="AS95" s="110"/>
      <c r="AT95" s="110"/>
      <c r="AU95" s="110"/>
      <c r="AV95" s="110"/>
      <c r="AW95" s="110"/>
      <c r="AX95" s="110"/>
      <c r="AY95" s="110"/>
      <c r="AZ95" s="110"/>
      <c r="BA95" s="110"/>
      <c r="BB95" s="110"/>
      <c r="BC95" s="110"/>
      <c r="BD95" s="110"/>
      <c r="BE95" s="110"/>
      <c r="BF95" s="110"/>
      <c r="BG95" s="110"/>
      <c r="BH95" s="110"/>
      <c r="BI95" s="110"/>
      <c r="BJ95" s="110"/>
      <c r="BK95" s="110"/>
      <c r="BL95" s="110"/>
      <c r="BM95" s="110"/>
      <c r="BN95" s="110"/>
      <c r="BO95" s="110"/>
      <c r="BP95" s="110"/>
      <c r="BQ95" s="110"/>
      <c r="BR95" s="110"/>
      <c r="BS95" s="110"/>
      <c r="BT95" s="110"/>
      <c r="BU95" s="110"/>
      <c r="BV95" s="110"/>
      <c r="BW95" s="110"/>
    </row>
    <row r="96" spans="1:75">
      <c r="A96" s="114"/>
      <c r="B96" s="115"/>
      <c r="C96" s="116"/>
      <c r="D96" s="115"/>
      <c r="E96" s="115"/>
      <c r="F96" s="115"/>
      <c r="G96" s="115"/>
      <c r="H96" s="115"/>
      <c r="I96" s="115"/>
      <c r="J96" s="115"/>
      <c r="K96" s="115"/>
      <c r="L96" s="115"/>
      <c r="M96" s="115"/>
      <c r="N96" s="119"/>
      <c r="O96" s="115"/>
      <c r="P96" s="120"/>
      <c r="Q96" s="121"/>
      <c r="R96" s="124"/>
      <c r="S96" s="123"/>
      <c r="T96" s="110"/>
      <c r="U96" s="110"/>
      <c r="V96" s="110"/>
      <c r="W96" s="110"/>
      <c r="X96" s="110"/>
      <c r="Y96" s="110"/>
      <c r="Z96" s="110"/>
      <c r="AA96" s="110"/>
      <c r="AB96" s="110"/>
      <c r="AC96" s="110"/>
      <c r="AD96" s="110"/>
      <c r="AE96" s="110"/>
      <c r="AF96" s="110"/>
      <c r="AG96" s="110"/>
      <c r="AH96" s="110"/>
      <c r="AI96" s="110"/>
      <c r="AJ96" s="110"/>
      <c r="AK96" s="110"/>
      <c r="AL96" s="110"/>
      <c r="AM96" s="110"/>
      <c r="AN96" s="110"/>
      <c r="AO96" s="110"/>
      <c r="AP96" s="110"/>
      <c r="AQ96" s="110"/>
      <c r="AR96" s="110"/>
      <c r="AS96" s="110"/>
      <c r="AT96" s="110"/>
      <c r="AU96" s="110"/>
      <c r="AV96" s="110"/>
      <c r="AW96" s="110"/>
      <c r="AX96" s="110"/>
      <c r="AY96" s="110"/>
      <c r="AZ96" s="110"/>
      <c r="BA96" s="110"/>
      <c r="BB96" s="110"/>
      <c r="BC96" s="110"/>
      <c r="BD96" s="110"/>
      <c r="BE96" s="110"/>
      <c r="BF96" s="110"/>
      <c r="BG96" s="110"/>
      <c r="BH96" s="110"/>
      <c r="BI96" s="110"/>
      <c r="BJ96" s="110"/>
      <c r="BK96" s="110"/>
      <c r="BL96" s="110"/>
      <c r="BM96" s="110"/>
      <c r="BN96" s="110"/>
      <c r="BO96" s="110"/>
      <c r="BP96" s="110"/>
      <c r="BQ96" s="110"/>
      <c r="BR96" s="110"/>
      <c r="BS96" s="110"/>
      <c r="BT96" s="110"/>
      <c r="BU96" s="110"/>
      <c r="BV96" s="110"/>
      <c r="BW96" s="110"/>
    </row>
    <row r="97" spans="1:75">
      <c r="A97" s="114"/>
      <c r="B97" s="115"/>
      <c r="C97" s="116"/>
      <c r="D97" s="115"/>
      <c r="E97" s="115"/>
      <c r="F97" s="115"/>
      <c r="G97" s="115"/>
      <c r="H97" s="115"/>
      <c r="I97" s="115"/>
      <c r="J97" s="115"/>
      <c r="K97" s="115"/>
      <c r="L97" s="115"/>
      <c r="M97" s="115"/>
      <c r="N97" s="119"/>
      <c r="O97" s="115"/>
      <c r="P97" s="120"/>
      <c r="Q97" s="121"/>
      <c r="R97" s="124"/>
      <c r="S97" s="123"/>
      <c r="T97" s="110"/>
      <c r="U97" s="110"/>
      <c r="V97" s="110"/>
      <c r="W97" s="110"/>
      <c r="X97" s="110"/>
      <c r="Y97" s="110"/>
      <c r="Z97" s="110"/>
      <c r="AA97" s="110"/>
      <c r="AB97" s="110"/>
      <c r="AC97" s="110"/>
      <c r="AD97" s="110"/>
      <c r="AE97" s="110"/>
      <c r="AF97" s="110"/>
      <c r="AG97" s="110"/>
      <c r="AH97" s="110"/>
      <c r="AI97" s="110"/>
      <c r="AJ97" s="110"/>
      <c r="AK97" s="110"/>
      <c r="AL97" s="110"/>
      <c r="AM97" s="110"/>
      <c r="AN97" s="110"/>
      <c r="AO97" s="110"/>
      <c r="AP97" s="110"/>
      <c r="AQ97" s="110"/>
      <c r="AR97" s="110"/>
      <c r="AS97" s="110"/>
      <c r="AT97" s="110"/>
      <c r="AU97" s="110"/>
      <c r="AV97" s="110"/>
      <c r="AW97" s="110"/>
      <c r="AX97" s="110"/>
      <c r="AY97" s="110"/>
      <c r="AZ97" s="110"/>
      <c r="BA97" s="110"/>
      <c r="BB97" s="110"/>
      <c r="BC97" s="110"/>
      <c r="BD97" s="110"/>
      <c r="BE97" s="110"/>
      <c r="BF97" s="110"/>
      <c r="BG97" s="110"/>
      <c r="BH97" s="110"/>
      <c r="BI97" s="110"/>
      <c r="BJ97" s="110"/>
      <c r="BK97" s="110"/>
      <c r="BL97" s="110"/>
      <c r="BM97" s="110"/>
      <c r="BN97" s="110"/>
      <c r="BO97" s="110"/>
      <c r="BP97" s="110"/>
      <c r="BQ97" s="110"/>
      <c r="BR97" s="110"/>
      <c r="BS97" s="110"/>
      <c r="BT97" s="110"/>
      <c r="BU97" s="110"/>
      <c r="BV97" s="110"/>
      <c r="BW97" s="110"/>
    </row>
    <row r="98" spans="1:75">
      <c r="A98" s="114"/>
      <c r="B98" s="115"/>
      <c r="C98" s="116"/>
      <c r="D98" s="115"/>
      <c r="E98" s="115"/>
      <c r="F98" s="115"/>
      <c r="G98" s="115"/>
      <c r="H98" s="115"/>
      <c r="I98" s="115"/>
      <c r="J98" s="115"/>
      <c r="K98" s="115"/>
      <c r="L98" s="115"/>
      <c r="M98" s="115"/>
      <c r="N98" s="119"/>
      <c r="O98" s="115"/>
      <c r="P98" s="120"/>
      <c r="Q98" s="121"/>
      <c r="R98" s="124"/>
      <c r="S98" s="123"/>
      <c r="T98" s="110"/>
      <c r="U98" s="110"/>
      <c r="V98" s="110"/>
      <c r="W98" s="110"/>
      <c r="X98" s="110"/>
      <c r="Y98" s="110"/>
      <c r="Z98" s="110"/>
      <c r="AA98" s="110"/>
      <c r="AB98" s="110"/>
      <c r="AC98" s="110"/>
      <c r="AD98" s="110"/>
      <c r="AE98" s="110"/>
      <c r="AF98" s="110"/>
      <c r="AG98" s="110"/>
      <c r="AH98" s="110"/>
      <c r="AI98" s="110"/>
      <c r="AJ98" s="110"/>
      <c r="AK98" s="110"/>
      <c r="AL98" s="110"/>
      <c r="AM98" s="110"/>
      <c r="AN98" s="110"/>
      <c r="AO98" s="110"/>
      <c r="AP98" s="110"/>
      <c r="AQ98" s="110"/>
      <c r="AR98" s="110"/>
      <c r="AS98" s="110"/>
      <c r="AT98" s="110"/>
      <c r="AU98" s="110"/>
      <c r="AV98" s="110"/>
      <c r="AW98" s="110"/>
      <c r="AX98" s="110"/>
      <c r="AY98" s="110"/>
      <c r="AZ98" s="110"/>
      <c r="BA98" s="110"/>
      <c r="BB98" s="110"/>
      <c r="BC98" s="110"/>
      <c r="BD98" s="110"/>
      <c r="BE98" s="110"/>
      <c r="BF98" s="110"/>
      <c r="BG98" s="110"/>
      <c r="BH98" s="110"/>
      <c r="BI98" s="110"/>
      <c r="BJ98" s="110"/>
      <c r="BK98" s="110"/>
      <c r="BL98" s="110"/>
      <c r="BM98" s="110"/>
      <c r="BN98" s="110"/>
      <c r="BO98" s="110"/>
      <c r="BP98" s="110"/>
      <c r="BQ98" s="110"/>
      <c r="BR98" s="110"/>
      <c r="BS98" s="110"/>
      <c r="BT98" s="110"/>
      <c r="BU98" s="110"/>
      <c r="BV98" s="110"/>
      <c r="BW98" s="110"/>
    </row>
    <row r="99" spans="1:75">
      <c r="A99" s="114"/>
      <c r="B99" s="115"/>
      <c r="C99" s="116"/>
      <c r="D99" s="115"/>
      <c r="E99" s="115"/>
      <c r="F99" s="115"/>
      <c r="G99" s="115"/>
      <c r="H99" s="115"/>
      <c r="I99" s="115"/>
      <c r="J99" s="115"/>
      <c r="K99" s="115"/>
      <c r="L99" s="115"/>
      <c r="M99" s="115"/>
      <c r="N99" s="119"/>
      <c r="O99" s="115"/>
      <c r="P99" s="120"/>
      <c r="Q99" s="121"/>
      <c r="R99" s="124"/>
      <c r="S99" s="123"/>
      <c r="T99" s="110"/>
      <c r="U99" s="110"/>
      <c r="V99" s="110"/>
      <c r="W99" s="110"/>
      <c r="X99" s="110"/>
      <c r="Y99" s="110"/>
      <c r="Z99" s="110"/>
      <c r="AA99" s="110"/>
      <c r="AB99" s="110"/>
      <c r="AC99" s="110"/>
      <c r="AD99" s="110"/>
      <c r="AE99" s="110"/>
      <c r="AF99" s="110"/>
      <c r="AG99" s="110"/>
      <c r="AH99" s="110"/>
      <c r="AI99" s="110"/>
      <c r="AJ99" s="110"/>
      <c r="AK99" s="110"/>
      <c r="AL99" s="110"/>
      <c r="AM99" s="110"/>
      <c r="AN99" s="110"/>
      <c r="AO99" s="110"/>
      <c r="AP99" s="110"/>
      <c r="AQ99" s="110"/>
      <c r="AR99" s="110"/>
      <c r="AS99" s="110"/>
      <c r="AT99" s="110"/>
      <c r="AU99" s="110"/>
      <c r="AV99" s="110"/>
      <c r="AW99" s="110"/>
      <c r="AX99" s="110"/>
      <c r="AY99" s="110"/>
      <c r="AZ99" s="110"/>
      <c r="BA99" s="110"/>
      <c r="BB99" s="110"/>
      <c r="BC99" s="110"/>
      <c r="BD99" s="110"/>
      <c r="BE99" s="110"/>
      <c r="BF99" s="110"/>
      <c r="BG99" s="110"/>
      <c r="BH99" s="110"/>
      <c r="BI99" s="110"/>
      <c r="BJ99" s="110"/>
      <c r="BK99" s="110"/>
      <c r="BL99" s="110"/>
      <c r="BM99" s="110"/>
      <c r="BN99" s="110"/>
      <c r="BO99" s="110"/>
      <c r="BP99" s="110"/>
      <c r="BQ99" s="110"/>
      <c r="BR99" s="110"/>
      <c r="BS99" s="110"/>
      <c r="BT99" s="110"/>
      <c r="BU99" s="110"/>
      <c r="BV99" s="110"/>
      <c r="BW99" s="110"/>
    </row>
    <row r="100" spans="1:75">
      <c r="A100" s="114"/>
      <c r="B100" s="115"/>
      <c r="C100" s="116"/>
      <c r="D100" s="115"/>
      <c r="E100" s="115"/>
      <c r="F100" s="115"/>
      <c r="G100" s="115"/>
      <c r="H100" s="115"/>
      <c r="I100" s="115"/>
      <c r="J100" s="115"/>
      <c r="K100" s="115"/>
      <c r="L100" s="115"/>
      <c r="M100" s="115"/>
      <c r="N100" s="119"/>
      <c r="O100" s="115"/>
      <c r="P100" s="120"/>
      <c r="Q100" s="121"/>
      <c r="R100" s="124"/>
      <c r="S100" s="123"/>
      <c r="T100" s="110"/>
      <c r="U100" s="110"/>
      <c r="V100" s="110"/>
      <c r="W100" s="110"/>
      <c r="X100" s="110"/>
      <c r="Y100" s="110"/>
      <c r="Z100" s="110"/>
      <c r="AA100" s="110"/>
      <c r="AB100" s="110"/>
      <c r="AC100" s="110"/>
      <c r="AD100" s="110"/>
      <c r="AE100" s="110"/>
      <c r="AF100" s="110"/>
      <c r="AG100" s="110"/>
      <c r="AH100" s="110"/>
      <c r="AI100" s="110"/>
      <c r="AJ100" s="110"/>
      <c r="AK100" s="110"/>
      <c r="AL100" s="110"/>
      <c r="AM100" s="110"/>
      <c r="AN100" s="110"/>
      <c r="AO100" s="110"/>
      <c r="AP100" s="110"/>
      <c r="AQ100" s="110"/>
      <c r="AR100" s="110"/>
      <c r="AS100" s="110"/>
      <c r="AT100" s="110"/>
      <c r="AU100" s="110"/>
      <c r="AV100" s="110"/>
      <c r="AW100" s="110"/>
      <c r="AX100" s="110"/>
      <c r="AY100" s="110"/>
      <c r="AZ100" s="110"/>
      <c r="BA100" s="110"/>
      <c r="BB100" s="110"/>
      <c r="BC100" s="110"/>
      <c r="BD100" s="110"/>
      <c r="BE100" s="110"/>
      <c r="BF100" s="110"/>
      <c r="BG100" s="110"/>
      <c r="BH100" s="110"/>
      <c r="BI100" s="110"/>
      <c r="BJ100" s="110"/>
      <c r="BK100" s="110"/>
      <c r="BL100" s="110"/>
      <c r="BM100" s="110"/>
      <c r="BN100" s="110"/>
      <c r="BO100" s="110"/>
      <c r="BP100" s="110"/>
      <c r="BQ100" s="110"/>
      <c r="BR100" s="110"/>
      <c r="BS100" s="110"/>
      <c r="BT100" s="110"/>
      <c r="BU100" s="110"/>
      <c r="BV100" s="110"/>
      <c r="BW100" s="110"/>
    </row>
    <row r="101" spans="1:75">
      <c r="A101" s="114"/>
      <c r="B101" s="115"/>
      <c r="C101" s="116"/>
      <c r="D101" s="115"/>
      <c r="E101" s="115"/>
      <c r="F101" s="115"/>
      <c r="G101" s="115"/>
      <c r="H101" s="115"/>
      <c r="I101" s="115"/>
      <c r="J101" s="115"/>
      <c r="K101" s="115"/>
      <c r="L101" s="115"/>
      <c r="M101" s="115"/>
      <c r="N101" s="119"/>
      <c r="O101" s="115"/>
      <c r="P101" s="120"/>
      <c r="Q101" s="121"/>
      <c r="R101" s="124"/>
      <c r="S101" s="123"/>
      <c r="T101" s="110"/>
      <c r="U101" s="110"/>
      <c r="V101" s="110"/>
      <c r="W101" s="110"/>
      <c r="X101" s="110"/>
      <c r="Y101" s="110"/>
      <c r="Z101" s="110"/>
      <c r="AA101" s="110"/>
      <c r="AB101" s="110"/>
      <c r="AC101" s="110"/>
      <c r="AD101" s="110"/>
      <c r="AE101" s="110"/>
      <c r="AF101" s="110"/>
      <c r="AG101" s="110"/>
      <c r="AH101" s="110"/>
      <c r="AI101" s="110"/>
      <c r="AJ101" s="110"/>
      <c r="AK101" s="110"/>
      <c r="AL101" s="110"/>
      <c r="AM101" s="110"/>
      <c r="AN101" s="110"/>
      <c r="AO101" s="110"/>
      <c r="AP101" s="110"/>
      <c r="AQ101" s="110"/>
      <c r="AR101" s="110"/>
      <c r="AS101" s="110"/>
      <c r="AT101" s="110"/>
      <c r="AU101" s="110"/>
      <c r="AV101" s="110"/>
      <c r="AW101" s="110"/>
      <c r="AX101" s="110"/>
      <c r="AY101" s="110"/>
      <c r="AZ101" s="110"/>
      <c r="BA101" s="110"/>
      <c r="BB101" s="110"/>
      <c r="BC101" s="110"/>
      <c r="BD101" s="110"/>
      <c r="BE101" s="110"/>
      <c r="BF101" s="110"/>
      <c r="BG101" s="110"/>
      <c r="BH101" s="110"/>
      <c r="BI101" s="110"/>
      <c r="BJ101" s="110"/>
      <c r="BK101" s="110"/>
      <c r="BL101" s="110"/>
      <c r="BM101" s="110"/>
      <c r="BN101" s="110"/>
      <c r="BO101" s="110"/>
      <c r="BP101" s="110"/>
      <c r="BQ101" s="110"/>
      <c r="BR101" s="110"/>
      <c r="BS101" s="110"/>
      <c r="BT101" s="110"/>
      <c r="BU101" s="110"/>
      <c r="BV101" s="110"/>
      <c r="BW101" s="110"/>
    </row>
    <row r="102" spans="1:75">
      <c r="A102" s="114"/>
      <c r="B102" s="115"/>
      <c r="C102" s="116"/>
      <c r="D102" s="115"/>
      <c r="E102" s="115"/>
      <c r="F102" s="115"/>
      <c r="G102" s="115"/>
      <c r="H102" s="115"/>
      <c r="I102" s="115"/>
      <c r="J102" s="115"/>
      <c r="K102" s="115"/>
      <c r="L102" s="115"/>
      <c r="M102" s="115"/>
      <c r="N102" s="119"/>
      <c r="O102" s="115"/>
      <c r="P102" s="120"/>
      <c r="Q102" s="121"/>
      <c r="R102" s="124"/>
      <c r="S102" s="123"/>
      <c r="T102" s="110"/>
      <c r="U102" s="110"/>
      <c r="V102" s="110"/>
      <c r="W102" s="110"/>
      <c r="X102" s="110"/>
      <c r="Y102" s="110"/>
      <c r="Z102" s="110"/>
      <c r="AA102" s="110"/>
      <c r="AB102" s="110"/>
      <c r="AC102" s="110"/>
      <c r="AD102" s="110"/>
      <c r="AE102" s="110"/>
      <c r="AF102" s="110"/>
      <c r="AG102" s="110"/>
      <c r="AH102" s="110"/>
      <c r="AI102" s="110"/>
      <c r="AJ102" s="110"/>
      <c r="AK102" s="110"/>
      <c r="AL102" s="110"/>
      <c r="AM102" s="110"/>
      <c r="AN102" s="110"/>
      <c r="AO102" s="110"/>
      <c r="AP102" s="110"/>
      <c r="AQ102" s="110"/>
      <c r="AR102" s="110"/>
      <c r="AS102" s="110"/>
      <c r="AT102" s="110"/>
      <c r="AU102" s="110"/>
      <c r="AV102" s="110"/>
      <c r="AW102" s="110"/>
      <c r="AX102" s="110"/>
      <c r="AY102" s="110"/>
      <c r="AZ102" s="110"/>
      <c r="BA102" s="110"/>
      <c r="BB102" s="110"/>
      <c r="BC102" s="110"/>
      <c r="BD102" s="110"/>
      <c r="BE102" s="110"/>
      <c r="BF102" s="110"/>
      <c r="BG102" s="110"/>
      <c r="BH102" s="110"/>
      <c r="BI102" s="110"/>
      <c r="BJ102" s="110"/>
      <c r="BK102" s="110"/>
      <c r="BL102" s="110"/>
      <c r="BM102" s="110"/>
      <c r="BN102" s="110"/>
      <c r="BO102" s="110"/>
      <c r="BP102" s="110"/>
      <c r="BQ102" s="110"/>
      <c r="BR102" s="110"/>
      <c r="BS102" s="110"/>
      <c r="BT102" s="110"/>
      <c r="BU102" s="110"/>
      <c r="BV102" s="110"/>
      <c r="BW102" s="110"/>
    </row>
    <row r="103" spans="1:75">
      <c r="A103" s="114"/>
      <c r="B103" s="115"/>
      <c r="C103" s="116"/>
      <c r="D103" s="115"/>
      <c r="E103" s="115"/>
      <c r="F103" s="115"/>
      <c r="G103" s="115"/>
      <c r="H103" s="115"/>
      <c r="I103" s="115"/>
      <c r="J103" s="115"/>
      <c r="K103" s="115"/>
      <c r="L103" s="115"/>
      <c r="M103" s="115"/>
      <c r="N103" s="119"/>
      <c r="O103" s="115"/>
      <c r="P103" s="120"/>
      <c r="Q103" s="121"/>
      <c r="R103" s="124"/>
      <c r="S103" s="123"/>
      <c r="T103" s="110"/>
      <c r="U103" s="110"/>
      <c r="V103" s="110"/>
      <c r="W103" s="110"/>
      <c r="X103" s="110"/>
      <c r="Y103" s="110"/>
      <c r="Z103" s="110"/>
      <c r="AA103" s="110"/>
      <c r="AB103" s="110"/>
      <c r="AC103" s="110"/>
      <c r="AD103" s="110"/>
      <c r="AE103" s="110"/>
      <c r="AF103" s="110"/>
      <c r="AG103" s="110"/>
      <c r="AH103" s="110"/>
      <c r="AI103" s="110"/>
      <c r="AJ103" s="110"/>
      <c r="AK103" s="110"/>
      <c r="AL103" s="110"/>
      <c r="AM103" s="110"/>
      <c r="AN103" s="110"/>
      <c r="AO103" s="110"/>
      <c r="AP103" s="110"/>
      <c r="AQ103" s="110"/>
      <c r="AR103" s="110"/>
      <c r="AS103" s="110"/>
      <c r="AT103" s="110"/>
      <c r="AU103" s="110"/>
      <c r="AV103" s="110"/>
      <c r="AW103" s="110"/>
      <c r="AX103" s="110"/>
      <c r="AY103" s="110"/>
      <c r="AZ103" s="110"/>
      <c r="BA103" s="110"/>
      <c r="BB103" s="110"/>
      <c r="BC103" s="110"/>
      <c r="BD103" s="110"/>
      <c r="BE103" s="110"/>
      <c r="BF103" s="110"/>
      <c r="BG103" s="110"/>
      <c r="BH103" s="110"/>
      <c r="BI103" s="110"/>
      <c r="BJ103" s="110"/>
      <c r="BK103" s="110"/>
      <c r="BL103" s="110"/>
      <c r="BM103" s="110"/>
      <c r="BN103" s="110"/>
      <c r="BO103" s="110"/>
      <c r="BP103" s="110"/>
      <c r="BQ103" s="110"/>
      <c r="BR103" s="110"/>
      <c r="BS103" s="110"/>
      <c r="BT103" s="110"/>
      <c r="BU103" s="110"/>
      <c r="BV103" s="110"/>
      <c r="BW103" s="110"/>
    </row>
    <row r="104" spans="1:75">
      <c r="A104" s="114"/>
      <c r="B104" s="115"/>
      <c r="C104" s="116"/>
      <c r="D104" s="115"/>
      <c r="E104" s="115"/>
      <c r="F104" s="115"/>
      <c r="G104" s="115"/>
      <c r="H104" s="115"/>
      <c r="I104" s="115"/>
      <c r="J104" s="115"/>
      <c r="K104" s="115"/>
      <c r="L104" s="115"/>
      <c r="M104" s="115"/>
      <c r="N104" s="119"/>
      <c r="O104" s="115"/>
      <c r="P104" s="120"/>
      <c r="Q104" s="121"/>
      <c r="R104" s="124"/>
      <c r="S104" s="123"/>
      <c r="T104" s="110"/>
      <c r="U104" s="110"/>
      <c r="V104" s="110"/>
      <c r="W104" s="110"/>
      <c r="X104" s="110"/>
      <c r="Y104" s="110"/>
      <c r="Z104" s="110"/>
      <c r="AA104" s="110"/>
      <c r="AB104" s="110"/>
      <c r="AC104" s="110"/>
      <c r="AD104" s="110"/>
      <c r="AE104" s="110"/>
      <c r="AF104" s="110"/>
      <c r="AG104" s="110"/>
      <c r="AH104" s="110"/>
      <c r="AI104" s="110"/>
      <c r="AJ104" s="110"/>
      <c r="AK104" s="110"/>
      <c r="AL104" s="110"/>
      <c r="AM104" s="110"/>
      <c r="AN104" s="110"/>
      <c r="AO104" s="110"/>
      <c r="AP104" s="110"/>
      <c r="AQ104" s="110"/>
      <c r="AR104" s="110"/>
      <c r="AS104" s="110"/>
      <c r="AT104" s="110"/>
      <c r="AU104" s="110"/>
      <c r="AV104" s="110"/>
      <c r="AW104" s="110"/>
      <c r="AX104" s="110"/>
      <c r="AY104" s="110"/>
      <c r="AZ104" s="110"/>
      <c r="BA104" s="110"/>
      <c r="BB104" s="110"/>
      <c r="BC104" s="110"/>
      <c r="BD104" s="110"/>
      <c r="BE104" s="110"/>
      <c r="BF104" s="110"/>
      <c r="BG104" s="110"/>
      <c r="BH104" s="110"/>
      <c r="BI104" s="110"/>
      <c r="BJ104" s="110"/>
      <c r="BK104" s="110"/>
      <c r="BL104" s="110"/>
      <c r="BM104" s="110"/>
      <c r="BN104" s="110"/>
      <c r="BO104" s="110"/>
      <c r="BP104" s="110"/>
      <c r="BQ104" s="110"/>
      <c r="BR104" s="110"/>
      <c r="BS104" s="110"/>
      <c r="BT104" s="110"/>
      <c r="BU104" s="110"/>
      <c r="BV104" s="110"/>
      <c r="BW104" s="110"/>
    </row>
    <row r="105" spans="1:75">
      <c r="A105" s="114"/>
      <c r="B105" s="115"/>
      <c r="C105" s="116"/>
      <c r="D105" s="115"/>
      <c r="E105" s="115"/>
      <c r="F105" s="115"/>
      <c r="G105" s="115"/>
      <c r="H105" s="115"/>
      <c r="I105" s="115"/>
      <c r="J105" s="115"/>
      <c r="K105" s="115"/>
      <c r="L105" s="115"/>
      <c r="M105" s="115"/>
      <c r="N105" s="119"/>
      <c r="O105" s="115"/>
      <c r="P105" s="120"/>
      <c r="Q105" s="121"/>
      <c r="R105" s="124"/>
      <c r="S105" s="123"/>
      <c r="T105" s="110"/>
      <c r="U105" s="110"/>
      <c r="V105" s="110"/>
      <c r="W105" s="110"/>
      <c r="X105" s="110"/>
      <c r="Y105" s="110"/>
      <c r="Z105" s="110"/>
      <c r="AA105" s="110"/>
      <c r="AB105" s="110"/>
      <c r="AC105" s="110"/>
      <c r="AD105" s="110"/>
      <c r="AE105" s="110"/>
      <c r="AF105" s="110"/>
      <c r="AG105" s="110"/>
      <c r="AH105" s="110"/>
      <c r="AI105" s="110"/>
      <c r="AJ105" s="110"/>
      <c r="AK105" s="110"/>
      <c r="AL105" s="110"/>
      <c r="AM105" s="110"/>
      <c r="AN105" s="110"/>
      <c r="AO105" s="110"/>
      <c r="AP105" s="110"/>
      <c r="AQ105" s="110"/>
      <c r="AR105" s="110"/>
      <c r="AS105" s="110"/>
      <c r="AT105" s="110"/>
      <c r="AU105" s="110"/>
      <c r="AV105" s="110"/>
      <c r="AW105" s="110"/>
      <c r="AX105" s="110"/>
      <c r="AY105" s="110"/>
      <c r="AZ105" s="110"/>
      <c r="BA105" s="110"/>
      <c r="BB105" s="110"/>
      <c r="BC105" s="110"/>
      <c r="BD105" s="110"/>
      <c r="BE105" s="110"/>
      <c r="BF105" s="110"/>
      <c r="BG105" s="110"/>
      <c r="BH105" s="110"/>
      <c r="BI105" s="110"/>
      <c r="BJ105" s="110"/>
      <c r="BK105" s="110"/>
      <c r="BL105" s="110"/>
      <c r="BM105" s="110"/>
      <c r="BN105" s="110"/>
      <c r="BO105" s="110"/>
      <c r="BP105" s="110"/>
      <c r="BQ105" s="110"/>
      <c r="BR105" s="110"/>
      <c r="BS105" s="110"/>
      <c r="BT105" s="110"/>
      <c r="BU105" s="110"/>
      <c r="BV105" s="110"/>
      <c r="BW105" s="110"/>
    </row>
    <row r="106" spans="1:75">
      <c r="A106" s="114"/>
      <c r="B106" s="115"/>
      <c r="C106" s="116"/>
      <c r="D106" s="115"/>
      <c r="E106" s="115"/>
      <c r="F106" s="115"/>
      <c r="G106" s="115"/>
      <c r="H106" s="115"/>
      <c r="I106" s="115"/>
      <c r="J106" s="115"/>
      <c r="K106" s="115"/>
      <c r="L106" s="115"/>
      <c r="M106" s="115"/>
      <c r="N106" s="119"/>
      <c r="O106" s="115"/>
      <c r="P106" s="120"/>
      <c r="Q106" s="121"/>
      <c r="R106" s="124"/>
      <c r="S106" s="123"/>
      <c r="T106" s="110"/>
      <c r="U106" s="110"/>
      <c r="V106" s="110"/>
      <c r="W106" s="110"/>
      <c r="X106" s="110"/>
      <c r="Y106" s="110"/>
      <c r="Z106" s="110"/>
      <c r="AA106" s="110"/>
      <c r="AB106" s="110"/>
      <c r="AC106" s="110"/>
      <c r="AD106" s="110"/>
      <c r="AE106" s="110"/>
      <c r="AF106" s="110"/>
      <c r="AG106" s="110"/>
      <c r="AH106" s="110"/>
      <c r="AI106" s="110"/>
      <c r="AJ106" s="110"/>
      <c r="AK106" s="110"/>
      <c r="AL106" s="110"/>
      <c r="AM106" s="110"/>
      <c r="AN106" s="110"/>
      <c r="AO106" s="110"/>
      <c r="AP106" s="110"/>
      <c r="AQ106" s="110"/>
      <c r="AR106" s="110"/>
      <c r="AS106" s="110"/>
      <c r="AT106" s="110"/>
      <c r="AU106" s="110"/>
      <c r="AV106" s="110"/>
      <c r="AW106" s="110"/>
      <c r="AX106" s="110"/>
      <c r="AY106" s="110"/>
      <c r="AZ106" s="110"/>
      <c r="BA106" s="110"/>
      <c r="BB106" s="110"/>
      <c r="BC106" s="110"/>
      <c r="BD106" s="110"/>
      <c r="BE106" s="110"/>
      <c r="BF106" s="110"/>
      <c r="BG106" s="110"/>
      <c r="BH106" s="110"/>
      <c r="BI106" s="110"/>
      <c r="BJ106" s="110"/>
      <c r="BK106" s="110"/>
      <c r="BL106" s="110"/>
      <c r="BM106" s="110"/>
      <c r="BN106" s="110"/>
      <c r="BO106" s="110"/>
      <c r="BP106" s="110"/>
      <c r="BQ106" s="110"/>
      <c r="BR106" s="110"/>
      <c r="BS106" s="110"/>
      <c r="BT106" s="110"/>
      <c r="BU106" s="110"/>
      <c r="BV106" s="110"/>
      <c r="BW106" s="110"/>
    </row>
    <row r="107" spans="1:75">
      <c r="A107" s="114"/>
      <c r="B107" s="115"/>
      <c r="C107" s="116"/>
      <c r="D107" s="115"/>
      <c r="E107" s="115"/>
      <c r="F107" s="115"/>
      <c r="G107" s="115"/>
      <c r="H107" s="115"/>
      <c r="I107" s="115"/>
      <c r="J107" s="115"/>
      <c r="K107" s="115"/>
      <c r="L107" s="115"/>
      <c r="M107" s="115"/>
      <c r="N107" s="119"/>
      <c r="O107" s="115"/>
      <c r="P107" s="120"/>
      <c r="Q107" s="121"/>
      <c r="R107" s="124"/>
      <c r="S107" s="123"/>
      <c r="T107" s="110"/>
      <c r="U107" s="110"/>
      <c r="V107" s="110"/>
      <c r="W107" s="110"/>
      <c r="X107" s="110"/>
      <c r="Y107" s="110"/>
      <c r="Z107" s="110"/>
      <c r="AA107" s="110"/>
      <c r="AB107" s="110"/>
      <c r="AC107" s="110"/>
      <c r="AD107" s="110"/>
      <c r="AE107" s="110"/>
      <c r="AF107" s="110"/>
      <c r="AG107" s="110"/>
      <c r="AH107" s="110"/>
      <c r="AI107" s="110"/>
      <c r="AJ107" s="110"/>
      <c r="AK107" s="110"/>
      <c r="AL107" s="110"/>
      <c r="AM107" s="110"/>
      <c r="AN107" s="110"/>
      <c r="AO107" s="110"/>
      <c r="AP107" s="110"/>
      <c r="AQ107" s="110"/>
      <c r="AR107" s="110"/>
      <c r="AS107" s="110"/>
      <c r="AT107" s="110"/>
      <c r="AU107" s="110"/>
      <c r="AV107" s="110"/>
      <c r="AW107" s="110"/>
      <c r="AX107" s="110"/>
      <c r="AY107" s="110"/>
      <c r="AZ107" s="110"/>
      <c r="BA107" s="110"/>
      <c r="BB107" s="110"/>
      <c r="BC107" s="110"/>
      <c r="BD107" s="110"/>
      <c r="BE107" s="110"/>
      <c r="BF107" s="110"/>
      <c r="BG107" s="110"/>
      <c r="BH107" s="110"/>
      <c r="BI107" s="110"/>
      <c r="BJ107" s="110"/>
      <c r="BK107" s="110"/>
      <c r="BL107" s="110"/>
      <c r="BM107" s="110"/>
      <c r="BN107" s="110"/>
      <c r="BO107" s="110"/>
      <c r="BP107" s="110"/>
      <c r="BQ107" s="110"/>
      <c r="BR107" s="110"/>
      <c r="BS107" s="110"/>
      <c r="BT107" s="110"/>
      <c r="BU107" s="110"/>
      <c r="BV107" s="110"/>
      <c r="BW107" s="110"/>
    </row>
    <row r="108" spans="1:75">
      <c r="A108" s="114"/>
      <c r="B108" s="115"/>
      <c r="C108" s="116"/>
      <c r="D108" s="115"/>
      <c r="E108" s="115"/>
      <c r="F108" s="115"/>
      <c r="G108" s="115"/>
      <c r="H108" s="115"/>
      <c r="I108" s="115"/>
      <c r="J108" s="115"/>
      <c r="K108" s="115"/>
      <c r="L108" s="115"/>
      <c r="M108" s="115"/>
      <c r="N108" s="119"/>
      <c r="O108" s="115"/>
      <c r="P108" s="120"/>
      <c r="Q108" s="121"/>
      <c r="R108" s="124"/>
      <c r="S108" s="123"/>
      <c r="T108" s="110"/>
      <c r="U108" s="110"/>
      <c r="V108" s="110"/>
      <c r="W108" s="110"/>
      <c r="X108" s="110"/>
      <c r="Y108" s="110"/>
      <c r="Z108" s="110"/>
      <c r="AA108" s="110"/>
      <c r="AB108" s="110"/>
      <c r="AC108" s="110"/>
      <c r="AD108" s="110"/>
      <c r="AE108" s="110"/>
      <c r="AF108" s="110"/>
      <c r="AG108" s="110"/>
      <c r="AH108" s="110"/>
      <c r="AI108" s="110"/>
      <c r="AJ108" s="110"/>
      <c r="AK108" s="110"/>
      <c r="AL108" s="110"/>
      <c r="AM108" s="110"/>
      <c r="AN108" s="110"/>
      <c r="AO108" s="110"/>
      <c r="AP108" s="110"/>
      <c r="AQ108" s="110"/>
      <c r="AR108" s="110"/>
      <c r="AS108" s="110"/>
      <c r="AT108" s="110"/>
      <c r="AU108" s="110"/>
      <c r="AV108" s="110"/>
      <c r="AW108" s="110"/>
      <c r="AX108" s="110"/>
      <c r="AY108" s="110"/>
      <c r="AZ108" s="110"/>
      <c r="BA108" s="110"/>
      <c r="BB108" s="110"/>
      <c r="BC108" s="110"/>
      <c r="BD108" s="110"/>
      <c r="BE108" s="110"/>
      <c r="BF108" s="110"/>
      <c r="BG108" s="110"/>
      <c r="BH108" s="110"/>
      <c r="BI108" s="110"/>
      <c r="BJ108" s="110"/>
      <c r="BK108" s="110"/>
      <c r="BL108" s="110"/>
      <c r="BM108" s="110"/>
      <c r="BN108" s="110"/>
      <c r="BO108" s="110"/>
      <c r="BP108" s="110"/>
      <c r="BQ108" s="110"/>
      <c r="BR108" s="110"/>
      <c r="BS108" s="110"/>
      <c r="BT108" s="110"/>
      <c r="BU108" s="110"/>
      <c r="BV108" s="110"/>
      <c r="BW108" s="110"/>
    </row>
    <row r="109" spans="1:75">
      <c r="A109" s="114"/>
      <c r="B109" s="115"/>
      <c r="C109" s="116"/>
      <c r="D109" s="115"/>
      <c r="E109" s="115"/>
      <c r="F109" s="115"/>
      <c r="G109" s="115"/>
      <c r="H109" s="115"/>
      <c r="I109" s="115"/>
      <c r="J109" s="115"/>
      <c r="K109" s="115"/>
      <c r="L109" s="115"/>
      <c r="M109" s="115"/>
      <c r="N109" s="119"/>
      <c r="O109" s="115"/>
      <c r="P109" s="120"/>
      <c r="Q109" s="121"/>
      <c r="R109" s="124"/>
      <c r="S109" s="123"/>
      <c r="T109" s="110"/>
      <c r="U109" s="110"/>
      <c r="V109" s="110"/>
      <c r="W109" s="110"/>
      <c r="X109" s="110"/>
      <c r="Y109" s="110"/>
      <c r="Z109" s="110"/>
      <c r="AA109" s="110"/>
      <c r="AB109" s="110"/>
      <c r="AC109" s="110"/>
      <c r="AD109" s="110"/>
      <c r="AE109" s="110"/>
      <c r="AF109" s="110"/>
      <c r="AG109" s="110"/>
      <c r="AH109" s="110"/>
      <c r="AI109" s="110"/>
      <c r="AJ109" s="110"/>
      <c r="AK109" s="110"/>
      <c r="AL109" s="110"/>
      <c r="AM109" s="110"/>
      <c r="AN109" s="110"/>
      <c r="AO109" s="110"/>
      <c r="AP109" s="110"/>
      <c r="AQ109" s="110"/>
      <c r="AR109" s="110"/>
      <c r="AS109" s="110"/>
      <c r="AT109" s="110"/>
      <c r="AU109" s="110"/>
      <c r="AV109" s="110"/>
      <c r="AW109" s="110"/>
      <c r="AX109" s="110"/>
      <c r="AY109" s="110"/>
      <c r="AZ109" s="110"/>
      <c r="BA109" s="110"/>
      <c r="BB109" s="110"/>
      <c r="BC109" s="110"/>
      <c r="BD109" s="110"/>
      <c r="BE109" s="110"/>
      <c r="BF109" s="110"/>
      <c r="BG109" s="110"/>
      <c r="BH109" s="110"/>
      <c r="BI109" s="110"/>
      <c r="BJ109" s="110"/>
      <c r="BK109" s="110"/>
      <c r="BL109" s="110"/>
      <c r="BM109" s="110"/>
      <c r="BN109" s="110"/>
      <c r="BO109" s="110"/>
      <c r="BP109" s="110"/>
      <c r="BQ109" s="110"/>
      <c r="BR109" s="110"/>
      <c r="BS109" s="110"/>
      <c r="BT109" s="110"/>
      <c r="BU109" s="110"/>
      <c r="BV109" s="110"/>
      <c r="BW109" s="110"/>
    </row>
    <row r="110" spans="1:75">
      <c r="A110" s="114"/>
      <c r="B110" s="115"/>
      <c r="C110" s="116"/>
      <c r="D110" s="115"/>
      <c r="E110" s="115"/>
      <c r="F110" s="115"/>
      <c r="G110" s="115"/>
      <c r="H110" s="115"/>
      <c r="I110" s="115"/>
      <c r="J110" s="115"/>
      <c r="K110" s="115"/>
      <c r="L110" s="115"/>
      <c r="M110" s="115"/>
      <c r="N110" s="119"/>
      <c r="O110" s="115"/>
      <c r="P110" s="120"/>
      <c r="Q110" s="121"/>
      <c r="R110" s="124"/>
      <c r="S110" s="123"/>
      <c r="T110" s="110"/>
      <c r="U110" s="110"/>
      <c r="V110" s="110"/>
      <c r="W110" s="110"/>
      <c r="X110" s="110"/>
      <c r="Y110" s="110"/>
      <c r="Z110" s="110"/>
      <c r="AA110" s="110"/>
      <c r="AB110" s="110"/>
      <c r="AC110" s="110"/>
      <c r="AD110" s="110"/>
      <c r="AE110" s="110"/>
      <c r="AF110" s="110"/>
      <c r="AG110" s="110"/>
      <c r="AH110" s="110"/>
      <c r="AI110" s="110"/>
      <c r="AJ110" s="110"/>
      <c r="AK110" s="110"/>
      <c r="AL110" s="110"/>
      <c r="AM110" s="110"/>
      <c r="AN110" s="110"/>
      <c r="AO110" s="110"/>
      <c r="AP110" s="110"/>
      <c r="AQ110" s="110"/>
      <c r="AR110" s="110"/>
      <c r="AS110" s="110"/>
      <c r="AT110" s="110"/>
      <c r="AU110" s="110"/>
      <c r="AV110" s="110"/>
      <c r="AW110" s="110"/>
      <c r="AX110" s="110"/>
      <c r="AY110" s="110"/>
      <c r="AZ110" s="110"/>
      <c r="BA110" s="110"/>
      <c r="BB110" s="110"/>
      <c r="BC110" s="110"/>
      <c r="BD110" s="110"/>
      <c r="BE110" s="110"/>
      <c r="BF110" s="110"/>
      <c r="BG110" s="110"/>
      <c r="BH110" s="110"/>
      <c r="BI110" s="110"/>
      <c r="BJ110" s="110"/>
      <c r="BK110" s="110"/>
      <c r="BL110" s="110"/>
      <c r="BM110" s="110"/>
      <c r="BN110" s="110"/>
      <c r="BO110" s="110"/>
      <c r="BP110" s="110"/>
      <c r="BQ110" s="110"/>
      <c r="BR110" s="110"/>
      <c r="BS110" s="110"/>
      <c r="BT110" s="110"/>
      <c r="BU110" s="110"/>
      <c r="BV110" s="110"/>
      <c r="BW110" s="110"/>
    </row>
    <row r="111" spans="1:75">
      <c r="A111" s="114"/>
      <c r="B111" s="115"/>
      <c r="C111" s="116"/>
      <c r="D111" s="115"/>
      <c r="E111" s="115"/>
      <c r="F111" s="115"/>
      <c r="G111" s="115"/>
      <c r="H111" s="115"/>
      <c r="I111" s="115"/>
      <c r="J111" s="115"/>
      <c r="K111" s="115"/>
      <c r="L111" s="115"/>
      <c r="M111" s="115"/>
      <c r="N111" s="119"/>
      <c r="O111" s="115"/>
      <c r="P111" s="120"/>
      <c r="Q111" s="121"/>
      <c r="R111" s="124"/>
      <c r="S111" s="123"/>
      <c r="T111" s="110"/>
      <c r="U111" s="110"/>
      <c r="V111" s="110"/>
      <c r="W111" s="110"/>
      <c r="X111" s="110"/>
      <c r="Y111" s="110"/>
      <c r="Z111" s="110"/>
      <c r="AA111" s="110"/>
      <c r="AB111" s="110"/>
      <c r="AC111" s="110"/>
      <c r="AD111" s="110"/>
      <c r="AE111" s="110"/>
      <c r="AF111" s="110"/>
      <c r="AG111" s="110"/>
      <c r="AH111" s="110"/>
      <c r="AI111" s="110"/>
      <c r="AJ111" s="110"/>
      <c r="AK111" s="110"/>
      <c r="AL111" s="110"/>
      <c r="AM111" s="110"/>
      <c r="AN111" s="110"/>
      <c r="AO111" s="110"/>
      <c r="AP111" s="110"/>
      <c r="AQ111" s="110"/>
      <c r="AR111" s="110"/>
      <c r="AS111" s="110"/>
      <c r="AT111" s="110"/>
      <c r="AU111" s="110"/>
      <c r="AV111" s="110"/>
      <c r="AW111" s="110"/>
      <c r="AX111" s="110"/>
      <c r="AY111" s="110"/>
      <c r="AZ111" s="110"/>
      <c r="BA111" s="110"/>
      <c r="BB111" s="110"/>
      <c r="BC111" s="110"/>
      <c r="BD111" s="110"/>
      <c r="BE111" s="110"/>
      <c r="BF111" s="110"/>
      <c r="BG111" s="110"/>
      <c r="BH111" s="110"/>
      <c r="BI111" s="110"/>
      <c r="BJ111" s="110"/>
      <c r="BK111" s="110"/>
      <c r="BL111" s="110"/>
      <c r="BM111" s="110"/>
      <c r="BN111" s="110"/>
      <c r="BO111" s="110"/>
      <c r="BP111" s="110"/>
      <c r="BQ111" s="110"/>
      <c r="BR111" s="110"/>
      <c r="BS111" s="110"/>
      <c r="BT111" s="110"/>
      <c r="BU111" s="110"/>
      <c r="BV111" s="110"/>
      <c r="BW111" s="110"/>
    </row>
    <row r="112" spans="1:75">
      <c r="A112" s="114"/>
      <c r="B112" s="115"/>
      <c r="C112" s="116"/>
      <c r="D112" s="115"/>
      <c r="E112" s="115"/>
      <c r="F112" s="115"/>
      <c r="G112" s="115"/>
      <c r="H112" s="115"/>
      <c r="I112" s="115"/>
      <c r="J112" s="115"/>
      <c r="K112" s="115"/>
      <c r="L112" s="115"/>
      <c r="M112" s="115"/>
      <c r="N112" s="119"/>
      <c r="O112" s="115"/>
      <c r="P112" s="120"/>
      <c r="Q112" s="121"/>
      <c r="R112" s="124"/>
      <c r="S112" s="123"/>
      <c r="T112" s="110"/>
      <c r="U112" s="110"/>
      <c r="V112" s="110"/>
      <c r="W112" s="110"/>
      <c r="X112" s="110"/>
      <c r="Y112" s="110"/>
      <c r="Z112" s="110"/>
      <c r="AA112" s="110"/>
      <c r="AB112" s="110"/>
      <c r="AC112" s="110"/>
      <c r="AD112" s="110"/>
      <c r="AE112" s="110"/>
      <c r="AF112" s="110"/>
      <c r="AG112" s="110"/>
      <c r="AH112" s="110"/>
      <c r="AI112" s="110"/>
      <c r="AJ112" s="110"/>
      <c r="AK112" s="110"/>
      <c r="AL112" s="110"/>
      <c r="AM112" s="110"/>
      <c r="AN112" s="110"/>
      <c r="AO112" s="110"/>
      <c r="AP112" s="110"/>
      <c r="AQ112" s="110"/>
      <c r="AR112" s="110"/>
      <c r="AS112" s="110"/>
      <c r="AT112" s="110"/>
      <c r="AU112" s="110"/>
      <c r="AV112" s="110"/>
      <c r="AW112" s="110"/>
      <c r="AX112" s="110"/>
      <c r="AY112" s="110"/>
      <c r="AZ112" s="110"/>
      <c r="BA112" s="110"/>
      <c r="BB112" s="110"/>
      <c r="BC112" s="110"/>
      <c r="BD112" s="110"/>
      <c r="BE112" s="110"/>
      <c r="BF112" s="110"/>
      <c r="BG112" s="110"/>
      <c r="BH112" s="110"/>
      <c r="BI112" s="110"/>
      <c r="BJ112" s="110"/>
      <c r="BK112" s="110"/>
      <c r="BL112" s="110"/>
      <c r="BM112" s="110"/>
      <c r="BN112" s="110"/>
      <c r="BO112" s="110"/>
      <c r="BP112" s="110"/>
      <c r="BQ112" s="110"/>
      <c r="BR112" s="110"/>
      <c r="BS112" s="110"/>
      <c r="BT112" s="110"/>
      <c r="BU112" s="110"/>
      <c r="BV112" s="110"/>
      <c r="BW112" s="110"/>
    </row>
    <row r="113" spans="1:75">
      <c r="A113" s="114"/>
      <c r="B113" s="115"/>
      <c r="C113" s="116"/>
      <c r="D113" s="115"/>
      <c r="E113" s="115"/>
      <c r="F113" s="115"/>
      <c r="G113" s="115"/>
      <c r="H113" s="115"/>
      <c r="I113" s="115"/>
      <c r="J113" s="115"/>
      <c r="K113" s="115"/>
      <c r="L113" s="115"/>
      <c r="M113" s="115"/>
      <c r="N113" s="119"/>
      <c r="O113" s="115"/>
      <c r="P113" s="120"/>
      <c r="Q113" s="121"/>
      <c r="R113" s="124"/>
      <c r="S113" s="123"/>
      <c r="T113" s="110"/>
      <c r="U113" s="110"/>
      <c r="V113" s="110"/>
      <c r="W113" s="110"/>
      <c r="X113" s="110"/>
      <c r="Y113" s="110"/>
      <c r="Z113" s="110"/>
      <c r="AA113" s="110"/>
      <c r="AB113" s="110"/>
      <c r="AC113" s="110"/>
      <c r="AD113" s="110"/>
      <c r="AE113" s="110"/>
      <c r="AF113" s="110"/>
      <c r="AG113" s="110"/>
      <c r="AH113" s="110"/>
      <c r="AI113" s="110"/>
      <c r="AJ113" s="110"/>
      <c r="AK113" s="110"/>
      <c r="AL113" s="110"/>
      <c r="AM113" s="110"/>
      <c r="AN113" s="110"/>
      <c r="AO113" s="110"/>
      <c r="AP113" s="110"/>
      <c r="AQ113" s="110"/>
      <c r="AR113" s="110"/>
      <c r="AS113" s="110"/>
      <c r="AT113" s="110"/>
      <c r="AU113" s="110"/>
      <c r="AV113" s="110"/>
      <c r="AW113" s="110"/>
      <c r="AX113" s="110"/>
      <c r="AY113" s="110"/>
      <c r="AZ113" s="110"/>
      <c r="BA113" s="110"/>
      <c r="BB113" s="110"/>
      <c r="BC113" s="110"/>
      <c r="BD113" s="110"/>
      <c r="BE113" s="110"/>
      <c r="BF113" s="110"/>
      <c r="BG113" s="110"/>
      <c r="BH113" s="110"/>
      <c r="BI113" s="110"/>
      <c r="BJ113" s="110"/>
      <c r="BK113" s="110"/>
      <c r="BL113" s="110"/>
      <c r="BM113" s="110"/>
      <c r="BN113" s="110"/>
      <c r="BO113" s="110"/>
      <c r="BP113" s="110"/>
      <c r="BQ113" s="110"/>
      <c r="BR113" s="110"/>
      <c r="BS113" s="110"/>
      <c r="BT113" s="110"/>
      <c r="BU113" s="110"/>
      <c r="BV113" s="110"/>
      <c r="BW113" s="110"/>
    </row>
    <row r="114" spans="1:75">
      <c r="A114" s="114"/>
      <c r="B114" s="115"/>
      <c r="C114" s="116"/>
      <c r="D114" s="115"/>
      <c r="E114" s="115"/>
      <c r="F114" s="115"/>
      <c r="G114" s="115"/>
      <c r="H114" s="115"/>
      <c r="I114" s="115"/>
      <c r="J114" s="115"/>
      <c r="K114" s="115"/>
      <c r="L114" s="115"/>
      <c r="M114" s="115"/>
      <c r="N114" s="119"/>
      <c r="O114" s="115"/>
      <c r="P114" s="120"/>
      <c r="Q114" s="121"/>
      <c r="R114" s="124"/>
      <c r="S114" s="123"/>
      <c r="T114" s="110"/>
      <c r="U114" s="110"/>
      <c r="V114" s="110"/>
      <c r="W114" s="110"/>
      <c r="X114" s="110"/>
      <c r="Y114" s="110"/>
      <c r="Z114" s="110"/>
      <c r="AA114" s="110"/>
      <c r="AB114" s="110"/>
      <c r="AC114" s="110"/>
      <c r="AD114" s="110"/>
      <c r="AE114" s="110"/>
      <c r="AF114" s="110"/>
      <c r="AG114" s="110"/>
      <c r="AH114" s="110"/>
      <c r="AI114" s="110"/>
      <c r="AJ114" s="110"/>
      <c r="AK114" s="110"/>
      <c r="AL114" s="110"/>
      <c r="AM114" s="110"/>
      <c r="AN114" s="110"/>
      <c r="AO114" s="110"/>
      <c r="AP114" s="110"/>
      <c r="AQ114" s="110"/>
      <c r="AR114" s="110"/>
      <c r="AS114" s="110"/>
      <c r="AT114" s="110"/>
      <c r="AU114" s="110"/>
      <c r="AV114" s="110"/>
      <c r="AW114" s="110"/>
      <c r="AX114" s="110"/>
      <c r="AY114" s="110"/>
      <c r="AZ114" s="110"/>
      <c r="BA114" s="110"/>
      <c r="BB114" s="110"/>
      <c r="BC114" s="110"/>
      <c r="BD114" s="110"/>
      <c r="BE114" s="110"/>
      <c r="BF114" s="110"/>
      <c r="BG114" s="110"/>
      <c r="BH114" s="110"/>
      <c r="BI114" s="110"/>
      <c r="BJ114" s="110"/>
      <c r="BK114" s="110"/>
      <c r="BL114" s="110"/>
      <c r="BM114" s="110"/>
      <c r="BN114" s="110"/>
      <c r="BO114" s="110"/>
      <c r="BP114" s="110"/>
      <c r="BQ114" s="110"/>
      <c r="BR114" s="110"/>
      <c r="BS114" s="110"/>
      <c r="BT114" s="110"/>
      <c r="BU114" s="110"/>
      <c r="BV114" s="110"/>
      <c r="BW114" s="110"/>
    </row>
    <row r="115" spans="1:75">
      <c r="A115" s="114"/>
      <c r="B115" s="115"/>
      <c r="C115" s="116"/>
      <c r="D115" s="115"/>
      <c r="E115" s="115"/>
      <c r="F115" s="115"/>
      <c r="G115" s="115"/>
      <c r="H115" s="115"/>
      <c r="I115" s="115"/>
      <c r="J115" s="115"/>
      <c r="K115" s="115"/>
      <c r="L115" s="115"/>
      <c r="M115" s="115"/>
      <c r="N115" s="119"/>
      <c r="O115" s="115"/>
      <c r="P115" s="120"/>
      <c r="Q115" s="121"/>
      <c r="R115" s="124"/>
      <c r="S115" s="123"/>
      <c r="T115" s="110"/>
      <c r="U115" s="110"/>
      <c r="V115" s="110"/>
      <c r="W115" s="110"/>
      <c r="X115" s="110"/>
      <c r="Y115" s="110"/>
      <c r="Z115" s="110"/>
      <c r="AA115" s="110"/>
      <c r="AB115" s="110"/>
      <c r="AC115" s="110"/>
      <c r="AD115" s="110"/>
      <c r="AE115" s="110"/>
      <c r="AF115" s="110"/>
      <c r="AG115" s="110"/>
      <c r="AH115" s="110"/>
      <c r="AI115" s="110"/>
      <c r="AJ115" s="110"/>
      <c r="AK115" s="110"/>
      <c r="AL115" s="110"/>
      <c r="AM115" s="110"/>
      <c r="AN115" s="110"/>
      <c r="AO115" s="110"/>
      <c r="AP115" s="110"/>
      <c r="AQ115" s="110"/>
      <c r="AR115" s="110"/>
      <c r="AS115" s="110"/>
      <c r="AT115" s="110"/>
      <c r="AU115" s="110"/>
      <c r="AV115" s="110"/>
      <c r="AW115" s="110"/>
      <c r="AX115" s="110"/>
      <c r="AY115" s="110"/>
      <c r="AZ115" s="110"/>
      <c r="BA115" s="110"/>
      <c r="BB115" s="110"/>
      <c r="BC115" s="110"/>
      <c r="BD115" s="110"/>
      <c r="BE115" s="110"/>
      <c r="BF115" s="110"/>
      <c r="BG115" s="110"/>
      <c r="BH115" s="110"/>
      <c r="BI115" s="110"/>
      <c r="BJ115" s="110"/>
      <c r="BK115" s="110"/>
      <c r="BL115" s="110"/>
      <c r="BM115" s="110"/>
      <c r="BN115" s="110"/>
      <c r="BO115" s="110"/>
      <c r="BP115" s="110"/>
      <c r="BQ115" s="110"/>
      <c r="BR115" s="110"/>
      <c r="BS115" s="110"/>
      <c r="BT115" s="110"/>
      <c r="BU115" s="110"/>
      <c r="BV115" s="110"/>
      <c r="BW115" s="110"/>
    </row>
    <row r="116" spans="1:75">
      <c r="A116" s="114"/>
      <c r="B116" s="115"/>
      <c r="C116" s="116"/>
      <c r="D116" s="115"/>
      <c r="E116" s="115"/>
      <c r="F116" s="115"/>
      <c r="G116" s="115"/>
      <c r="H116" s="115"/>
      <c r="I116" s="115"/>
      <c r="J116" s="115"/>
      <c r="K116" s="115"/>
      <c r="L116" s="115"/>
      <c r="M116" s="115"/>
      <c r="N116" s="119"/>
      <c r="O116" s="115"/>
      <c r="P116" s="120"/>
      <c r="Q116" s="121"/>
      <c r="R116" s="124"/>
      <c r="S116" s="123"/>
      <c r="T116" s="110"/>
      <c r="U116" s="110"/>
      <c r="V116" s="110"/>
      <c r="W116" s="110"/>
      <c r="X116" s="110"/>
      <c r="Y116" s="110"/>
      <c r="Z116" s="110"/>
      <c r="AA116" s="110"/>
      <c r="AB116" s="110"/>
      <c r="AC116" s="110"/>
      <c r="AD116" s="110"/>
      <c r="AE116" s="110"/>
      <c r="AF116" s="110"/>
      <c r="AG116" s="110"/>
      <c r="AH116" s="110"/>
      <c r="AI116" s="110"/>
      <c r="AJ116" s="110"/>
      <c r="AK116" s="110"/>
      <c r="AL116" s="110"/>
      <c r="AM116" s="110"/>
      <c r="AN116" s="110"/>
      <c r="AO116" s="110"/>
      <c r="AP116" s="110"/>
      <c r="AQ116" s="110"/>
      <c r="AR116" s="110"/>
      <c r="AS116" s="110"/>
      <c r="AT116" s="110"/>
      <c r="AU116" s="110"/>
      <c r="AV116" s="110"/>
      <c r="AW116" s="110"/>
      <c r="AX116" s="110"/>
      <c r="AY116" s="110"/>
      <c r="AZ116" s="110"/>
      <c r="BA116" s="110"/>
      <c r="BB116" s="110"/>
      <c r="BC116" s="110"/>
      <c r="BD116" s="110"/>
      <c r="BE116" s="110"/>
      <c r="BF116" s="110"/>
      <c r="BG116" s="110"/>
      <c r="BH116" s="110"/>
      <c r="BI116" s="110"/>
      <c r="BJ116" s="110"/>
      <c r="BK116" s="110"/>
      <c r="BL116" s="110"/>
      <c r="BM116" s="110"/>
      <c r="BN116" s="110"/>
      <c r="BO116" s="110"/>
      <c r="BP116" s="110"/>
      <c r="BQ116" s="110"/>
      <c r="BR116" s="110"/>
      <c r="BS116" s="110"/>
      <c r="BT116" s="110"/>
      <c r="BU116" s="110"/>
      <c r="BV116" s="110"/>
      <c r="BW116" s="110"/>
    </row>
    <row r="117" spans="1:75">
      <c r="A117" s="114"/>
      <c r="B117" s="115"/>
      <c r="C117" s="116"/>
      <c r="D117" s="115"/>
      <c r="E117" s="115"/>
      <c r="F117" s="115"/>
      <c r="G117" s="115"/>
      <c r="H117" s="115"/>
      <c r="I117" s="115"/>
      <c r="J117" s="115"/>
      <c r="K117" s="115"/>
      <c r="L117" s="115"/>
      <c r="M117" s="115"/>
      <c r="N117" s="119"/>
      <c r="O117" s="115"/>
      <c r="P117" s="120"/>
      <c r="Q117" s="121"/>
      <c r="R117" s="124"/>
      <c r="S117" s="123"/>
      <c r="T117" s="110"/>
      <c r="U117" s="110"/>
      <c r="V117" s="110"/>
      <c r="W117" s="110"/>
      <c r="X117" s="110"/>
      <c r="Y117" s="110"/>
      <c r="Z117" s="110"/>
      <c r="AA117" s="110"/>
      <c r="AB117" s="110"/>
      <c r="AC117" s="110"/>
      <c r="AD117" s="110"/>
      <c r="AE117" s="110"/>
      <c r="AF117" s="110"/>
      <c r="AG117" s="110"/>
      <c r="AH117" s="110"/>
      <c r="AI117" s="110"/>
      <c r="AJ117" s="110"/>
      <c r="AK117" s="110"/>
      <c r="AL117" s="110"/>
      <c r="AM117" s="110"/>
      <c r="AN117" s="110"/>
      <c r="AO117" s="110"/>
      <c r="AP117" s="110"/>
      <c r="AQ117" s="110"/>
      <c r="AR117" s="110"/>
      <c r="AS117" s="110"/>
      <c r="AT117" s="110"/>
      <c r="AU117" s="110"/>
      <c r="AV117" s="110"/>
      <c r="AW117" s="110"/>
      <c r="AX117" s="110"/>
      <c r="AY117" s="110"/>
      <c r="AZ117" s="110"/>
      <c r="BA117" s="110"/>
      <c r="BB117" s="110"/>
      <c r="BC117" s="110"/>
      <c r="BD117" s="110"/>
      <c r="BE117" s="110"/>
      <c r="BF117" s="110"/>
      <c r="BG117" s="110"/>
      <c r="BH117" s="110"/>
      <c r="BI117" s="110"/>
      <c r="BJ117" s="110"/>
      <c r="BK117" s="110"/>
      <c r="BL117" s="110"/>
      <c r="BM117" s="110"/>
      <c r="BN117" s="110"/>
      <c r="BO117" s="110"/>
      <c r="BP117" s="110"/>
      <c r="BQ117" s="110"/>
      <c r="BR117" s="110"/>
      <c r="BS117" s="110"/>
      <c r="BT117" s="110"/>
      <c r="BU117" s="110"/>
      <c r="BV117" s="110"/>
      <c r="BW117" s="110"/>
    </row>
    <row r="118" spans="1:75">
      <c r="A118" s="114"/>
      <c r="B118" s="115"/>
      <c r="C118" s="116"/>
      <c r="D118" s="115"/>
      <c r="E118" s="115"/>
      <c r="F118" s="115"/>
      <c r="G118" s="115"/>
      <c r="H118" s="115"/>
      <c r="I118" s="115"/>
      <c r="J118" s="115"/>
      <c r="K118" s="115"/>
      <c r="L118" s="115"/>
      <c r="M118" s="115"/>
      <c r="N118" s="119"/>
      <c r="O118" s="115"/>
      <c r="P118" s="120"/>
      <c r="Q118" s="121"/>
      <c r="R118" s="124"/>
      <c r="S118" s="123"/>
      <c r="T118" s="110"/>
      <c r="U118" s="110"/>
      <c r="V118" s="110"/>
      <c r="W118" s="110"/>
      <c r="X118" s="110"/>
      <c r="Y118" s="110"/>
      <c r="Z118" s="110"/>
      <c r="AA118" s="110"/>
      <c r="AB118" s="110"/>
      <c r="AC118" s="110"/>
      <c r="AD118" s="110"/>
      <c r="AE118" s="110"/>
      <c r="AF118" s="110"/>
      <c r="AG118" s="110"/>
      <c r="AH118" s="110"/>
      <c r="AI118" s="110"/>
      <c r="AJ118" s="110"/>
      <c r="AK118" s="110"/>
      <c r="AL118" s="110"/>
      <c r="AM118" s="110"/>
      <c r="AN118" s="110"/>
      <c r="AO118" s="110"/>
      <c r="AP118" s="110"/>
      <c r="AQ118" s="110"/>
      <c r="AR118" s="110"/>
      <c r="AS118" s="110"/>
      <c r="AT118" s="110"/>
      <c r="AU118" s="110"/>
      <c r="AV118" s="110"/>
      <c r="AW118" s="110"/>
      <c r="AX118" s="110"/>
      <c r="AY118" s="110"/>
      <c r="AZ118" s="110"/>
      <c r="BA118" s="110"/>
      <c r="BB118" s="110"/>
      <c r="BC118" s="110"/>
      <c r="BD118" s="110"/>
      <c r="BE118" s="110"/>
      <c r="BF118" s="110"/>
      <c r="BG118" s="110"/>
      <c r="BH118" s="110"/>
      <c r="BI118" s="110"/>
      <c r="BJ118" s="110"/>
      <c r="BK118" s="110"/>
      <c r="BL118" s="110"/>
      <c r="BM118" s="110"/>
      <c r="BN118" s="110"/>
      <c r="BO118" s="110"/>
      <c r="BP118" s="110"/>
      <c r="BQ118" s="110"/>
      <c r="BR118" s="110"/>
      <c r="BS118" s="110"/>
      <c r="BT118" s="110"/>
      <c r="BU118" s="110"/>
      <c r="BV118" s="110"/>
      <c r="BW118" s="110"/>
    </row>
    <row r="119" spans="1:75">
      <c r="A119" s="114"/>
      <c r="B119" s="115"/>
      <c r="C119" s="116"/>
      <c r="D119" s="115"/>
      <c r="E119" s="115"/>
      <c r="F119" s="115"/>
      <c r="G119" s="115"/>
      <c r="H119" s="115"/>
      <c r="I119" s="115"/>
      <c r="J119" s="115"/>
      <c r="K119" s="115"/>
      <c r="L119" s="115"/>
      <c r="M119" s="115"/>
      <c r="N119" s="119"/>
      <c r="O119" s="115"/>
      <c r="P119" s="120"/>
      <c r="Q119" s="121"/>
      <c r="R119" s="124"/>
      <c r="S119" s="123"/>
      <c r="T119" s="110"/>
      <c r="U119" s="110"/>
      <c r="V119" s="110"/>
      <c r="W119" s="110"/>
      <c r="X119" s="110"/>
      <c r="Y119" s="110"/>
      <c r="Z119" s="110"/>
      <c r="AA119" s="110"/>
      <c r="AB119" s="110"/>
      <c r="AC119" s="110"/>
      <c r="AD119" s="110"/>
      <c r="AE119" s="110"/>
      <c r="AF119" s="110"/>
      <c r="AG119" s="110"/>
      <c r="AH119" s="110"/>
      <c r="AI119" s="110"/>
      <c r="AJ119" s="110"/>
      <c r="AK119" s="110"/>
      <c r="AL119" s="110"/>
      <c r="AM119" s="110"/>
      <c r="AN119" s="110"/>
      <c r="AO119" s="110"/>
      <c r="AP119" s="110"/>
      <c r="AQ119" s="110"/>
      <c r="AR119" s="110"/>
      <c r="AS119" s="110"/>
      <c r="AT119" s="110"/>
      <c r="AU119" s="110"/>
      <c r="AV119" s="110"/>
      <c r="AW119" s="110"/>
      <c r="AX119" s="110"/>
      <c r="AY119" s="110"/>
      <c r="AZ119" s="110"/>
      <c r="BA119" s="110"/>
      <c r="BB119" s="110"/>
      <c r="BC119" s="110"/>
      <c r="BD119" s="110"/>
      <c r="BE119" s="110"/>
      <c r="BF119" s="110"/>
      <c r="BG119" s="110"/>
      <c r="BH119" s="110"/>
      <c r="BI119" s="110"/>
      <c r="BJ119" s="110"/>
      <c r="BK119" s="110"/>
      <c r="BL119" s="110"/>
      <c r="BM119" s="110"/>
      <c r="BN119" s="110"/>
      <c r="BO119" s="110"/>
      <c r="BP119" s="110"/>
      <c r="BQ119" s="110"/>
      <c r="BR119" s="110"/>
      <c r="BS119" s="110"/>
      <c r="BT119" s="110"/>
      <c r="BU119" s="110"/>
      <c r="BV119" s="110"/>
      <c r="BW119" s="110"/>
    </row>
    <row r="120" spans="1:75">
      <c r="A120" s="114"/>
      <c r="B120" s="115"/>
      <c r="C120" s="116"/>
      <c r="D120" s="115"/>
      <c r="E120" s="115"/>
      <c r="F120" s="115"/>
      <c r="G120" s="115"/>
      <c r="H120" s="115"/>
      <c r="I120" s="115"/>
      <c r="J120" s="115"/>
      <c r="K120" s="115"/>
      <c r="L120" s="115"/>
      <c r="M120" s="115"/>
      <c r="N120" s="119"/>
      <c r="O120" s="115"/>
      <c r="P120" s="120"/>
      <c r="Q120" s="121"/>
      <c r="R120" s="124"/>
      <c r="S120" s="123"/>
      <c r="T120" s="110"/>
      <c r="U120" s="110"/>
      <c r="V120" s="110"/>
      <c r="W120" s="110"/>
      <c r="X120" s="110"/>
      <c r="Y120" s="110"/>
      <c r="Z120" s="110"/>
      <c r="AA120" s="110"/>
      <c r="AB120" s="110"/>
      <c r="AC120" s="110"/>
      <c r="AD120" s="110"/>
      <c r="AE120" s="110"/>
      <c r="AF120" s="110"/>
      <c r="AG120" s="110"/>
      <c r="AH120" s="110"/>
      <c r="AI120" s="110"/>
      <c r="AJ120" s="110"/>
      <c r="AK120" s="110"/>
      <c r="AL120" s="110"/>
      <c r="AM120" s="110"/>
      <c r="AN120" s="110"/>
      <c r="AO120" s="110"/>
      <c r="AP120" s="110"/>
      <c r="AQ120" s="110"/>
      <c r="AR120" s="110"/>
      <c r="AS120" s="110"/>
      <c r="AT120" s="110"/>
      <c r="AU120" s="110"/>
      <c r="AV120" s="110"/>
      <c r="AW120" s="110"/>
      <c r="AX120" s="110"/>
      <c r="AY120" s="110"/>
      <c r="AZ120" s="110"/>
      <c r="BA120" s="110"/>
      <c r="BB120" s="110"/>
      <c r="BC120" s="110"/>
      <c r="BD120" s="110"/>
      <c r="BE120" s="110"/>
      <c r="BF120" s="110"/>
      <c r="BG120" s="110"/>
      <c r="BH120" s="110"/>
      <c r="BI120" s="110"/>
      <c r="BJ120" s="110"/>
      <c r="BK120" s="110"/>
      <c r="BL120" s="110"/>
      <c r="BM120" s="110"/>
      <c r="BN120" s="110"/>
      <c r="BO120" s="110"/>
      <c r="BP120" s="110"/>
      <c r="BQ120" s="110"/>
      <c r="BR120" s="110"/>
      <c r="BS120" s="110"/>
      <c r="BT120" s="110"/>
      <c r="BU120" s="110"/>
      <c r="BV120" s="110"/>
      <c r="BW120" s="110"/>
    </row>
    <row r="121" spans="1:75">
      <c r="A121" s="114"/>
      <c r="B121" s="115"/>
      <c r="C121" s="116"/>
      <c r="D121" s="115"/>
      <c r="E121" s="115"/>
      <c r="F121" s="115"/>
      <c r="G121" s="115"/>
      <c r="H121" s="115"/>
      <c r="I121" s="115"/>
      <c r="J121" s="115"/>
      <c r="K121" s="115"/>
      <c r="L121" s="115"/>
      <c r="M121" s="115"/>
      <c r="N121" s="119"/>
      <c r="O121" s="115"/>
      <c r="P121" s="120"/>
      <c r="Q121" s="121"/>
      <c r="R121" s="124"/>
      <c r="S121" s="123"/>
      <c r="T121" s="110"/>
      <c r="U121" s="110"/>
      <c r="V121" s="110"/>
      <c r="W121" s="110"/>
      <c r="X121" s="110"/>
      <c r="Y121" s="110"/>
      <c r="Z121" s="110"/>
      <c r="AA121" s="110"/>
      <c r="AB121" s="110"/>
      <c r="AC121" s="110"/>
      <c r="AD121" s="110"/>
      <c r="AE121" s="110"/>
      <c r="AF121" s="110"/>
      <c r="AG121" s="110"/>
      <c r="AH121" s="110"/>
      <c r="AI121" s="110"/>
      <c r="AJ121" s="110"/>
      <c r="AK121" s="110"/>
      <c r="AL121" s="110"/>
      <c r="AM121" s="110"/>
      <c r="AN121" s="110"/>
      <c r="AO121" s="110"/>
      <c r="AP121" s="110"/>
      <c r="AQ121" s="110"/>
      <c r="AR121" s="110"/>
      <c r="AS121" s="110"/>
      <c r="AT121" s="110"/>
      <c r="AU121" s="110"/>
      <c r="AV121" s="110"/>
      <c r="AW121" s="110"/>
      <c r="AX121" s="110"/>
      <c r="AY121" s="110"/>
      <c r="AZ121" s="110"/>
      <c r="BA121" s="110"/>
      <c r="BB121" s="110"/>
      <c r="BC121" s="110"/>
      <c r="BD121" s="110"/>
      <c r="BE121" s="110"/>
      <c r="BF121" s="110"/>
      <c r="BG121" s="110"/>
      <c r="BH121" s="110"/>
      <c r="BI121" s="110"/>
      <c r="BJ121" s="110"/>
      <c r="BK121" s="110"/>
      <c r="BL121" s="110"/>
      <c r="BM121" s="110"/>
      <c r="BN121" s="110"/>
      <c r="BO121" s="110"/>
      <c r="BP121" s="110"/>
      <c r="BQ121" s="110"/>
      <c r="BR121" s="110"/>
      <c r="BS121" s="110"/>
      <c r="BT121" s="110"/>
      <c r="BU121" s="110"/>
      <c r="BV121" s="110"/>
      <c r="BW121" s="110"/>
    </row>
    <row r="122" spans="1:75">
      <c r="A122" s="114"/>
      <c r="B122" s="115"/>
      <c r="C122" s="116"/>
      <c r="D122" s="115"/>
      <c r="E122" s="115"/>
      <c r="F122" s="115"/>
      <c r="G122" s="115"/>
      <c r="H122" s="115"/>
      <c r="I122" s="115"/>
      <c r="J122" s="115"/>
      <c r="K122" s="115"/>
      <c r="L122" s="115"/>
      <c r="M122" s="115"/>
      <c r="N122" s="119"/>
      <c r="O122" s="115"/>
      <c r="P122" s="120"/>
      <c r="Q122" s="121"/>
      <c r="R122" s="124"/>
      <c r="S122" s="123"/>
      <c r="T122" s="110"/>
      <c r="U122" s="110"/>
      <c r="V122" s="110"/>
      <c r="W122" s="110"/>
      <c r="X122" s="110"/>
      <c r="Y122" s="110"/>
      <c r="Z122" s="110"/>
      <c r="AA122" s="110"/>
      <c r="AB122" s="110"/>
      <c r="AC122" s="110"/>
      <c r="AD122" s="110"/>
      <c r="AE122" s="110"/>
      <c r="AF122" s="110"/>
      <c r="AG122" s="110"/>
      <c r="AH122" s="110"/>
      <c r="AI122" s="110"/>
      <c r="AJ122" s="110"/>
      <c r="AK122" s="110"/>
      <c r="AL122" s="110"/>
      <c r="AM122" s="110"/>
      <c r="AN122" s="110"/>
      <c r="AO122" s="110"/>
      <c r="AP122" s="110"/>
      <c r="AQ122" s="110"/>
      <c r="AR122" s="110"/>
      <c r="AS122" s="110"/>
      <c r="AT122" s="110"/>
      <c r="AU122" s="110"/>
      <c r="AV122" s="110"/>
      <c r="AW122" s="110"/>
      <c r="AX122" s="110"/>
      <c r="AY122" s="110"/>
      <c r="AZ122" s="110"/>
      <c r="BA122" s="110"/>
      <c r="BB122" s="110"/>
      <c r="BC122" s="110"/>
      <c r="BD122" s="110"/>
      <c r="BE122" s="110"/>
      <c r="BF122" s="110"/>
      <c r="BG122" s="110"/>
      <c r="BH122" s="110"/>
      <c r="BI122" s="110"/>
      <c r="BJ122" s="110"/>
      <c r="BK122" s="110"/>
      <c r="BL122" s="110"/>
      <c r="BM122" s="110"/>
      <c r="BN122" s="110"/>
      <c r="BO122" s="110"/>
      <c r="BP122" s="110"/>
      <c r="BQ122" s="110"/>
      <c r="BR122" s="110"/>
      <c r="BS122" s="110"/>
      <c r="BT122" s="110"/>
      <c r="BU122" s="110"/>
      <c r="BV122" s="110"/>
      <c r="BW122" s="110"/>
    </row>
    <row r="123" spans="1:75">
      <c r="A123" s="114"/>
      <c r="B123" s="115"/>
      <c r="C123" s="116"/>
      <c r="D123" s="115"/>
      <c r="E123" s="115"/>
      <c r="F123" s="115"/>
      <c r="G123" s="115"/>
      <c r="H123" s="115"/>
      <c r="I123" s="115"/>
      <c r="J123" s="115"/>
      <c r="K123" s="115"/>
      <c r="L123" s="115"/>
      <c r="M123" s="115"/>
      <c r="N123" s="119"/>
      <c r="O123" s="115"/>
      <c r="P123" s="120"/>
      <c r="Q123" s="121"/>
      <c r="R123" s="124"/>
      <c r="S123" s="123"/>
      <c r="T123" s="110"/>
      <c r="U123" s="110"/>
      <c r="V123" s="110"/>
      <c r="W123" s="110"/>
      <c r="X123" s="110"/>
      <c r="Y123" s="110"/>
      <c r="Z123" s="110"/>
      <c r="AA123" s="110"/>
      <c r="AB123" s="110"/>
      <c r="AC123" s="110"/>
      <c r="AD123" s="110"/>
      <c r="AE123" s="110"/>
      <c r="AF123" s="110"/>
      <c r="AG123" s="110"/>
      <c r="AH123" s="110"/>
      <c r="AI123" s="110"/>
      <c r="AJ123" s="110"/>
      <c r="AK123" s="110"/>
      <c r="AL123" s="110"/>
      <c r="AM123" s="110"/>
      <c r="AN123" s="110"/>
      <c r="AO123" s="110"/>
      <c r="AP123" s="110"/>
      <c r="AQ123" s="110"/>
      <c r="AR123" s="110"/>
      <c r="AS123" s="110"/>
      <c r="AT123" s="110"/>
      <c r="AU123" s="110"/>
      <c r="AV123" s="110"/>
      <c r="AW123" s="110"/>
      <c r="AX123" s="110"/>
      <c r="AY123" s="110"/>
      <c r="AZ123" s="110"/>
      <c r="BA123" s="110"/>
      <c r="BB123" s="110"/>
      <c r="BC123" s="110"/>
      <c r="BD123" s="110"/>
      <c r="BE123" s="110"/>
      <c r="BF123" s="110"/>
      <c r="BG123" s="110"/>
      <c r="BH123" s="110"/>
      <c r="BI123" s="110"/>
      <c r="BJ123" s="110"/>
      <c r="BK123" s="110"/>
      <c r="BL123" s="110"/>
      <c r="BM123" s="110"/>
      <c r="BN123" s="110"/>
      <c r="BO123" s="110"/>
      <c r="BP123" s="110"/>
      <c r="BQ123" s="110"/>
      <c r="BR123" s="110"/>
      <c r="BS123" s="110"/>
      <c r="BT123" s="110"/>
      <c r="BU123" s="110"/>
      <c r="BV123" s="110"/>
      <c r="BW123" s="110"/>
    </row>
    <row r="124" spans="1:75">
      <c r="A124" s="114"/>
      <c r="B124" s="115"/>
      <c r="C124" s="116"/>
      <c r="D124" s="115"/>
      <c r="E124" s="115"/>
      <c r="F124" s="115"/>
      <c r="G124" s="115"/>
      <c r="H124" s="115"/>
      <c r="I124" s="115"/>
      <c r="J124" s="115"/>
      <c r="K124" s="115"/>
      <c r="L124" s="115"/>
      <c r="M124" s="115"/>
      <c r="N124" s="119"/>
      <c r="O124" s="115"/>
      <c r="P124" s="120"/>
      <c r="Q124" s="121"/>
      <c r="R124" s="124"/>
      <c r="S124" s="123"/>
      <c r="T124" s="110"/>
      <c r="U124" s="110"/>
      <c r="V124" s="110"/>
      <c r="W124" s="110"/>
      <c r="X124" s="110"/>
      <c r="Y124" s="110"/>
      <c r="Z124" s="110"/>
      <c r="AA124" s="110"/>
      <c r="AB124" s="110"/>
      <c r="AC124" s="110"/>
      <c r="AD124" s="110"/>
      <c r="AE124" s="110"/>
      <c r="AF124" s="110"/>
      <c r="AG124" s="110"/>
      <c r="AH124" s="110"/>
      <c r="AI124" s="110"/>
      <c r="AJ124" s="110"/>
      <c r="AK124" s="110"/>
      <c r="AL124" s="110"/>
      <c r="AM124" s="110"/>
      <c r="AN124" s="110"/>
      <c r="AO124" s="110"/>
      <c r="AP124" s="110"/>
      <c r="AQ124" s="110"/>
      <c r="AR124" s="110"/>
      <c r="AS124" s="110"/>
      <c r="AT124" s="110"/>
      <c r="AU124" s="110"/>
      <c r="AV124" s="110"/>
      <c r="AW124" s="110"/>
      <c r="AX124" s="110"/>
      <c r="AY124" s="110"/>
      <c r="AZ124" s="110"/>
      <c r="BA124" s="110"/>
      <c r="BB124" s="110"/>
      <c r="BC124" s="110"/>
      <c r="BD124" s="110"/>
      <c r="BE124" s="110"/>
      <c r="BF124" s="110"/>
      <c r="BG124" s="110"/>
      <c r="BH124" s="110"/>
      <c r="BI124" s="110"/>
      <c r="BJ124" s="110"/>
      <c r="BK124" s="110"/>
      <c r="BL124" s="110"/>
      <c r="BM124" s="110"/>
      <c r="BN124" s="110"/>
      <c r="BO124" s="110"/>
      <c r="BP124" s="110"/>
      <c r="BQ124" s="110"/>
      <c r="BR124" s="110"/>
      <c r="BS124" s="110"/>
      <c r="BT124" s="110"/>
      <c r="BU124" s="110"/>
      <c r="BV124" s="110"/>
      <c r="BW124" s="110"/>
    </row>
    <row r="125" spans="1:75">
      <c r="A125" s="114"/>
      <c r="B125" s="115"/>
      <c r="C125" s="116"/>
      <c r="D125" s="115"/>
      <c r="E125" s="115"/>
      <c r="F125" s="115"/>
      <c r="G125" s="115"/>
      <c r="H125" s="115"/>
      <c r="I125" s="115"/>
      <c r="J125" s="115"/>
      <c r="K125" s="115"/>
      <c r="L125" s="115"/>
      <c r="M125" s="115"/>
      <c r="N125" s="119"/>
      <c r="O125" s="115"/>
      <c r="P125" s="120"/>
      <c r="Q125" s="121"/>
      <c r="R125" s="124"/>
      <c r="S125" s="123"/>
      <c r="T125" s="110"/>
      <c r="U125" s="110"/>
      <c r="V125" s="110"/>
      <c r="W125" s="110"/>
      <c r="X125" s="110"/>
      <c r="Y125" s="110"/>
      <c r="Z125" s="110"/>
      <c r="AA125" s="110"/>
      <c r="AB125" s="110"/>
      <c r="AC125" s="110"/>
      <c r="AD125" s="110"/>
      <c r="AE125" s="110"/>
      <c r="AF125" s="110"/>
      <c r="AG125" s="110"/>
      <c r="AH125" s="110"/>
      <c r="AI125" s="110"/>
      <c r="AJ125" s="110"/>
      <c r="AK125" s="110"/>
      <c r="AL125" s="110"/>
      <c r="AM125" s="110"/>
      <c r="AN125" s="110"/>
      <c r="AO125" s="110"/>
      <c r="AP125" s="110"/>
      <c r="AQ125" s="110"/>
      <c r="AR125" s="110"/>
      <c r="AS125" s="110"/>
      <c r="AT125" s="110"/>
      <c r="AU125" s="110"/>
      <c r="AV125" s="110"/>
      <c r="AW125" s="110"/>
      <c r="AX125" s="110"/>
      <c r="AY125" s="110"/>
      <c r="AZ125" s="110"/>
      <c r="BA125" s="110"/>
      <c r="BB125" s="110"/>
      <c r="BC125" s="110"/>
      <c r="BD125" s="110"/>
      <c r="BE125" s="110"/>
      <c r="BF125" s="110"/>
      <c r="BG125" s="110"/>
      <c r="BH125" s="110"/>
      <c r="BI125" s="110"/>
      <c r="BJ125" s="110"/>
      <c r="BK125" s="110"/>
      <c r="BL125" s="110"/>
      <c r="BM125" s="110"/>
      <c r="BN125" s="110"/>
      <c r="BO125" s="110"/>
      <c r="BP125" s="110"/>
      <c r="BQ125" s="110"/>
      <c r="BR125" s="110"/>
      <c r="BS125" s="110"/>
      <c r="BT125" s="110"/>
      <c r="BU125" s="110"/>
      <c r="BV125" s="110"/>
      <c r="BW125" s="110"/>
    </row>
    <row r="126" spans="1:75">
      <c r="A126" s="114"/>
      <c r="B126" s="115"/>
      <c r="C126" s="116"/>
      <c r="D126" s="115"/>
      <c r="E126" s="115"/>
      <c r="F126" s="115"/>
      <c r="G126" s="115"/>
      <c r="H126" s="115"/>
      <c r="I126" s="115"/>
      <c r="J126" s="115"/>
      <c r="K126" s="115"/>
      <c r="L126" s="115"/>
      <c r="M126" s="115"/>
      <c r="N126" s="119"/>
      <c r="O126" s="115"/>
      <c r="P126" s="120"/>
      <c r="Q126" s="121"/>
      <c r="R126" s="124"/>
      <c r="S126" s="123"/>
      <c r="T126" s="110"/>
      <c r="U126" s="110"/>
      <c r="V126" s="110"/>
      <c r="W126" s="110"/>
      <c r="X126" s="110"/>
      <c r="Y126" s="110"/>
      <c r="Z126" s="110"/>
      <c r="AA126" s="110"/>
      <c r="AB126" s="110"/>
      <c r="AC126" s="110"/>
      <c r="AD126" s="110"/>
      <c r="AE126" s="110"/>
      <c r="AF126" s="110"/>
      <c r="AG126" s="110"/>
      <c r="AH126" s="110"/>
      <c r="AI126" s="110"/>
      <c r="AJ126" s="110"/>
      <c r="AK126" s="110"/>
      <c r="AL126" s="110"/>
      <c r="AM126" s="110"/>
      <c r="AN126" s="110"/>
      <c r="AO126" s="110"/>
      <c r="AP126" s="110"/>
      <c r="AQ126" s="110"/>
      <c r="AR126" s="110"/>
      <c r="AS126" s="110"/>
      <c r="AT126" s="110"/>
      <c r="AU126" s="110"/>
      <c r="AV126" s="110"/>
      <c r="AW126" s="110"/>
      <c r="AX126" s="110"/>
      <c r="AY126" s="110"/>
      <c r="AZ126" s="110"/>
      <c r="BA126" s="110"/>
      <c r="BB126" s="110"/>
      <c r="BC126" s="110"/>
      <c r="BD126" s="110"/>
      <c r="BE126" s="110"/>
      <c r="BF126" s="110"/>
      <c r="BG126" s="110"/>
      <c r="BH126" s="110"/>
      <c r="BI126" s="110"/>
      <c r="BJ126" s="110"/>
      <c r="BK126" s="110"/>
      <c r="BL126" s="110"/>
      <c r="BM126" s="110"/>
      <c r="BN126" s="110"/>
      <c r="BO126" s="110"/>
      <c r="BP126" s="110"/>
      <c r="BQ126" s="110"/>
      <c r="BR126" s="110"/>
      <c r="BS126" s="110"/>
      <c r="BT126" s="110"/>
      <c r="BU126" s="110"/>
      <c r="BV126" s="110"/>
      <c r="BW126" s="110"/>
    </row>
    <row r="127" spans="1:75">
      <c r="A127" s="114"/>
      <c r="B127" s="115"/>
      <c r="C127" s="116"/>
      <c r="D127" s="115"/>
      <c r="E127" s="115"/>
      <c r="F127" s="115"/>
      <c r="G127" s="115"/>
      <c r="H127" s="115"/>
      <c r="I127" s="115"/>
      <c r="J127" s="115"/>
      <c r="K127" s="115"/>
      <c r="L127" s="115"/>
      <c r="M127" s="115"/>
      <c r="N127" s="119"/>
      <c r="O127" s="115"/>
      <c r="P127" s="120"/>
      <c r="Q127" s="121"/>
      <c r="R127" s="124"/>
      <c r="S127" s="123"/>
      <c r="T127" s="110"/>
      <c r="U127" s="110"/>
      <c r="V127" s="110"/>
      <c r="W127" s="110"/>
      <c r="X127" s="110"/>
      <c r="Y127" s="110"/>
      <c r="Z127" s="110"/>
      <c r="AA127" s="110"/>
      <c r="AB127" s="110"/>
      <c r="AC127" s="110"/>
      <c r="AD127" s="110"/>
      <c r="AE127" s="110"/>
      <c r="AF127" s="110"/>
      <c r="AG127" s="110"/>
      <c r="AH127" s="110"/>
      <c r="AI127" s="110"/>
      <c r="AJ127" s="110"/>
      <c r="AK127" s="110"/>
      <c r="AL127" s="110"/>
      <c r="AM127" s="110"/>
      <c r="AN127" s="110"/>
      <c r="AO127" s="110"/>
      <c r="AP127" s="110"/>
      <c r="AQ127" s="110"/>
      <c r="AR127" s="110"/>
      <c r="AS127" s="110"/>
      <c r="AT127" s="110"/>
      <c r="AU127" s="110"/>
      <c r="AV127" s="110"/>
      <c r="AW127" s="110"/>
      <c r="AX127" s="110"/>
      <c r="AY127" s="110"/>
      <c r="AZ127" s="110"/>
      <c r="BA127" s="110"/>
      <c r="BB127" s="110"/>
      <c r="BC127" s="110"/>
      <c r="BD127" s="110"/>
      <c r="BE127" s="110"/>
      <c r="BF127" s="110"/>
      <c r="BG127" s="110"/>
      <c r="BH127" s="110"/>
      <c r="BI127" s="110"/>
      <c r="BJ127" s="110"/>
      <c r="BK127" s="110"/>
      <c r="BL127" s="110"/>
      <c r="BM127" s="110"/>
      <c r="BN127" s="110"/>
      <c r="BO127" s="110"/>
      <c r="BP127" s="110"/>
      <c r="BQ127" s="110"/>
      <c r="BR127" s="110"/>
      <c r="BS127" s="110"/>
      <c r="BT127" s="110"/>
      <c r="BU127" s="110"/>
      <c r="BV127" s="110"/>
      <c r="BW127" s="110"/>
    </row>
    <row r="128" spans="1:75">
      <c r="A128" s="114"/>
      <c r="B128" s="115"/>
      <c r="C128" s="116"/>
      <c r="D128" s="115"/>
      <c r="E128" s="115"/>
      <c r="F128" s="115"/>
      <c r="G128" s="115"/>
      <c r="H128" s="115"/>
      <c r="I128" s="115"/>
      <c r="J128" s="115"/>
      <c r="K128" s="115"/>
      <c r="L128" s="115"/>
      <c r="M128" s="115"/>
      <c r="N128" s="119"/>
      <c r="O128" s="115"/>
      <c r="P128" s="120"/>
      <c r="Q128" s="121"/>
      <c r="R128" s="124"/>
      <c r="S128" s="123"/>
      <c r="T128" s="110"/>
      <c r="U128" s="110"/>
      <c r="V128" s="110"/>
      <c r="W128" s="110"/>
      <c r="X128" s="110"/>
      <c r="Y128" s="110"/>
      <c r="Z128" s="110"/>
      <c r="AA128" s="110"/>
      <c r="AB128" s="110"/>
      <c r="AC128" s="110"/>
      <c r="AD128" s="110"/>
      <c r="AE128" s="110"/>
      <c r="AF128" s="110"/>
      <c r="AG128" s="110"/>
      <c r="AH128" s="110"/>
      <c r="AI128" s="110"/>
      <c r="AJ128" s="110"/>
      <c r="AK128" s="110"/>
      <c r="AL128" s="110"/>
      <c r="AM128" s="110"/>
      <c r="AN128" s="110"/>
      <c r="AO128" s="110"/>
      <c r="AP128" s="110"/>
      <c r="AQ128" s="110"/>
      <c r="AR128" s="110"/>
      <c r="AS128" s="110"/>
      <c r="AT128" s="110"/>
      <c r="AU128" s="110"/>
      <c r="AV128" s="110"/>
      <c r="AW128" s="110"/>
      <c r="AX128" s="110"/>
      <c r="AY128" s="110"/>
      <c r="AZ128" s="110"/>
      <c r="BA128" s="110"/>
      <c r="BB128" s="110"/>
      <c r="BC128" s="110"/>
      <c r="BD128" s="110"/>
      <c r="BE128" s="110"/>
      <c r="BF128" s="110"/>
      <c r="BG128" s="110"/>
      <c r="BH128" s="110"/>
      <c r="BI128" s="110"/>
      <c r="BJ128" s="110"/>
      <c r="BK128" s="110"/>
      <c r="BL128" s="110"/>
      <c r="BM128" s="110"/>
      <c r="BN128" s="110"/>
      <c r="BO128" s="110"/>
      <c r="BP128" s="110"/>
      <c r="BQ128" s="110"/>
      <c r="BR128" s="110"/>
      <c r="BS128" s="110"/>
      <c r="BT128" s="110"/>
      <c r="BU128" s="110"/>
      <c r="BV128" s="110"/>
      <c r="BW128" s="110"/>
    </row>
    <row r="129" spans="1:75">
      <c r="A129" s="114"/>
      <c r="B129" s="115"/>
      <c r="C129" s="116"/>
      <c r="D129" s="115"/>
      <c r="E129" s="115"/>
      <c r="F129" s="115"/>
      <c r="G129" s="115"/>
      <c r="H129" s="115"/>
      <c r="I129" s="115"/>
      <c r="J129" s="115"/>
      <c r="K129" s="115"/>
      <c r="L129" s="115"/>
      <c r="M129" s="115"/>
      <c r="N129" s="119"/>
      <c r="O129" s="115"/>
      <c r="P129" s="120"/>
      <c r="Q129" s="121"/>
      <c r="R129" s="124"/>
      <c r="S129" s="123"/>
      <c r="T129" s="110"/>
      <c r="U129" s="110"/>
      <c r="V129" s="110"/>
      <c r="W129" s="110"/>
      <c r="X129" s="110"/>
      <c r="Y129" s="110"/>
      <c r="Z129" s="110"/>
      <c r="AA129" s="110"/>
      <c r="AB129" s="110"/>
      <c r="AC129" s="110"/>
      <c r="AD129" s="110"/>
      <c r="AE129" s="110"/>
      <c r="AF129" s="110"/>
      <c r="AG129" s="110"/>
      <c r="AH129" s="110"/>
      <c r="AI129" s="110"/>
      <c r="AJ129" s="110"/>
      <c r="AK129" s="110"/>
      <c r="AL129" s="110"/>
      <c r="AM129" s="110"/>
      <c r="AN129" s="110"/>
      <c r="AO129" s="110"/>
      <c r="AP129" s="110"/>
      <c r="AQ129" s="110"/>
      <c r="AR129" s="110"/>
      <c r="AS129" s="110"/>
      <c r="AT129" s="110"/>
      <c r="AU129" s="110"/>
      <c r="AV129" s="110"/>
      <c r="AW129" s="110"/>
      <c r="AX129" s="110"/>
      <c r="AY129" s="110"/>
      <c r="AZ129" s="110"/>
      <c r="BA129" s="110"/>
      <c r="BB129" s="110"/>
      <c r="BC129" s="110"/>
      <c r="BD129" s="110"/>
      <c r="BE129" s="110"/>
      <c r="BF129" s="110"/>
      <c r="BG129" s="110"/>
      <c r="BH129" s="110"/>
      <c r="BI129" s="110"/>
      <c r="BJ129" s="110"/>
      <c r="BK129" s="110"/>
      <c r="BL129" s="110"/>
      <c r="BM129" s="110"/>
      <c r="BN129" s="110"/>
      <c r="BO129" s="110"/>
      <c r="BP129" s="110"/>
      <c r="BQ129" s="110"/>
      <c r="BR129" s="110"/>
      <c r="BS129" s="110"/>
      <c r="BT129" s="110"/>
      <c r="BU129" s="110"/>
      <c r="BV129" s="110"/>
      <c r="BW129" s="110"/>
    </row>
    <row r="130" spans="1:75">
      <c r="A130" s="114"/>
      <c r="B130" s="115"/>
      <c r="C130" s="116"/>
      <c r="D130" s="115"/>
      <c r="E130" s="115"/>
      <c r="F130" s="115"/>
      <c r="G130" s="115"/>
      <c r="H130" s="115"/>
      <c r="I130" s="115"/>
      <c r="J130" s="115"/>
      <c r="K130" s="115"/>
      <c r="L130" s="115"/>
      <c r="M130" s="115"/>
      <c r="N130" s="119"/>
      <c r="O130" s="115"/>
      <c r="P130" s="120"/>
      <c r="Q130" s="121"/>
      <c r="R130" s="124"/>
      <c r="S130" s="123"/>
      <c r="T130" s="110"/>
      <c r="U130" s="110"/>
      <c r="V130" s="110"/>
      <c r="W130" s="110"/>
      <c r="X130" s="110"/>
      <c r="Y130" s="110"/>
      <c r="Z130" s="110"/>
      <c r="AA130" s="110"/>
      <c r="AB130" s="110"/>
      <c r="AC130" s="110"/>
      <c r="AD130" s="110"/>
      <c r="AE130" s="110"/>
      <c r="AF130" s="110"/>
      <c r="AG130" s="110"/>
      <c r="AH130" s="110"/>
      <c r="AI130" s="110"/>
      <c r="AJ130" s="110"/>
      <c r="AK130" s="110"/>
      <c r="AL130" s="110"/>
      <c r="AM130" s="110"/>
      <c r="AN130" s="110"/>
      <c r="AO130" s="110"/>
      <c r="AP130" s="110"/>
      <c r="AQ130" s="110"/>
      <c r="AR130" s="110"/>
      <c r="AS130" s="110"/>
      <c r="AT130" s="110"/>
      <c r="AU130" s="110"/>
      <c r="AV130" s="110"/>
      <c r="AW130" s="110"/>
      <c r="AX130" s="110"/>
      <c r="AY130" s="110"/>
      <c r="AZ130" s="110"/>
      <c r="BA130" s="110"/>
      <c r="BB130" s="110"/>
      <c r="BC130" s="110"/>
      <c r="BD130" s="110"/>
      <c r="BE130" s="110"/>
      <c r="BF130" s="110"/>
      <c r="BG130" s="110"/>
      <c r="BH130" s="110"/>
      <c r="BI130" s="110"/>
      <c r="BJ130" s="110"/>
      <c r="BK130" s="110"/>
      <c r="BL130" s="110"/>
      <c r="BM130" s="110"/>
      <c r="BN130" s="110"/>
      <c r="BO130" s="110"/>
      <c r="BP130" s="110"/>
      <c r="BQ130" s="110"/>
      <c r="BR130" s="110"/>
      <c r="BS130" s="110"/>
      <c r="BT130" s="110"/>
      <c r="BU130" s="110"/>
      <c r="BV130" s="110"/>
      <c r="BW130" s="110"/>
    </row>
    <row r="131" spans="1:75">
      <c r="A131" s="114"/>
      <c r="B131" s="115"/>
      <c r="C131" s="116"/>
      <c r="D131" s="115"/>
      <c r="E131" s="115"/>
      <c r="F131" s="115"/>
      <c r="G131" s="115"/>
      <c r="H131" s="115"/>
      <c r="I131" s="115"/>
      <c r="J131" s="115"/>
      <c r="K131" s="115"/>
      <c r="L131" s="115"/>
      <c r="M131" s="115"/>
      <c r="N131" s="119"/>
      <c r="O131" s="115"/>
      <c r="P131" s="120"/>
      <c r="Q131" s="121"/>
      <c r="R131" s="124"/>
      <c r="S131" s="123"/>
      <c r="T131" s="110"/>
      <c r="U131" s="110"/>
      <c r="V131" s="110"/>
      <c r="W131" s="110"/>
      <c r="X131" s="110"/>
      <c r="Y131" s="110"/>
      <c r="Z131" s="110"/>
      <c r="AA131" s="110"/>
      <c r="AB131" s="110"/>
      <c r="AC131" s="110"/>
      <c r="AD131" s="110"/>
      <c r="AE131" s="110"/>
      <c r="AF131" s="110"/>
      <c r="AG131" s="110"/>
      <c r="AH131" s="110"/>
      <c r="AI131" s="110"/>
      <c r="AJ131" s="110"/>
      <c r="AK131" s="110"/>
      <c r="AL131" s="110"/>
      <c r="AM131" s="110"/>
      <c r="AN131" s="110"/>
      <c r="AO131" s="110"/>
      <c r="AP131" s="110"/>
      <c r="AQ131" s="110"/>
      <c r="AR131" s="110"/>
      <c r="AS131" s="110"/>
      <c r="AT131" s="110"/>
      <c r="AU131" s="110"/>
      <c r="AV131" s="110"/>
      <c r="AW131" s="110"/>
      <c r="AX131" s="110"/>
      <c r="AY131" s="110"/>
      <c r="AZ131" s="110"/>
      <c r="BA131" s="110"/>
      <c r="BB131" s="110"/>
      <c r="BC131" s="110"/>
      <c r="BD131" s="110"/>
      <c r="BE131" s="110"/>
      <c r="BF131" s="110"/>
      <c r="BG131" s="110"/>
      <c r="BH131" s="110"/>
      <c r="BI131" s="110"/>
      <c r="BJ131" s="110"/>
      <c r="BK131" s="110"/>
      <c r="BL131" s="110"/>
      <c r="BM131" s="110"/>
      <c r="BN131" s="110"/>
      <c r="BO131" s="110"/>
      <c r="BP131" s="110"/>
      <c r="BQ131" s="110"/>
      <c r="BR131" s="110"/>
      <c r="BS131" s="110"/>
      <c r="BT131" s="110"/>
      <c r="BU131" s="110"/>
      <c r="BV131" s="110"/>
      <c r="BW131" s="110"/>
    </row>
    <row r="132" spans="1:75">
      <c r="A132" s="114"/>
      <c r="B132" s="115"/>
      <c r="C132" s="116"/>
      <c r="D132" s="115"/>
      <c r="E132" s="115"/>
      <c r="F132" s="115"/>
      <c r="G132" s="115"/>
      <c r="H132" s="115"/>
      <c r="I132" s="115"/>
      <c r="J132" s="115"/>
      <c r="K132" s="115"/>
      <c r="L132" s="115"/>
      <c r="M132" s="115"/>
      <c r="N132" s="119"/>
      <c r="O132" s="115"/>
      <c r="P132" s="120"/>
      <c r="Q132" s="121"/>
      <c r="R132" s="124"/>
      <c r="S132" s="123"/>
      <c r="T132" s="110"/>
      <c r="U132" s="110"/>
      <c r="V132" s="110"/>
      <c r="W132" s="110"/>
      <c r="X132" s="110"/>
      <c r="Y132" s="110"/>
      <c r="Z132" s="110"/>
      <c r="AA132" s="110"/>
      <c r="AB132" s="110"/>
      <c r="AC132" s="110"/>
      <c r="AD132" s="110"/>
      <c r="AE132" s="110"/>
      <c r="AF132" s="110"/>
      <c r="AG132" s="110"/>
      <c r="AH132" s="110"/>
      <c r="AI132" s="110"/>
      <c r="AJ132" s="110"/>
      <c r="AK132" s="110"/>
      <c r="AL132" s="110"/>
      <c r="AM132" s="110"/>
      <c r="AN132" s="110"/>
      <c r="AO132" s="110"/>
      <c r="AP132" s="110"/>
      <c r="AQ132" s="110"/>
      <c r="AR132" s="110"/>
      <c r="AS132" s="110"/>
      <c r="AT132" s="110"/>
      <c r="AU132" s="110"/>
      <c r="AV132" s="110"/>
      <c r="AW132" s="110"/>
      <c r="AX132" s="110"/>
      <c r="AY132" s="110"/>
      <c r="AZ132" s="110"/>
      <c r="BA132" s="110"/>
      <c r="BB132" s="110"/>
      <c r="BC132" s="110"/>
      <c r="BD132" s="110"/>
      <c r="BE132" s="110"/>
      <c r="BF132" s="110"/>
      <c r="BG132" s="110"/>
      <c r="BH132" s="110"/>
      <c r="BI132" s="110"/>
      <c r="BJ132" s="110"/>
      <c r="BK132" s="110"/>
      <c r="BL132" s="110"/>
      <c r="BM132" s="110"/>
      <c r="BN132" s="110"/>
      <c r="BO132" s="110"/>
      <c r="BP132" s="110"/>
      <c r="BQ132" s="110"/>
      <c r="BR132" s="110"/>
      <c r="BS132" s="110"/>
      <c r="BT132" s="110"/>
      <c r="BU132" s="110"/>
      <c r="BV132" s="110"/>
      <c r="BW132" s="110"/>
    </row>
    <row r="133" spans="1:75">
      <c r="A133" s="114"/>
      <c r="B133" s="115"/>
      <c r="C133" s="116"/>
      <c r="D133" s="115"/>
      <c r="E133" s="115"/>
      <c r="F133" s="115"/>
      <c r="G133" s="115"/>
      <c r="H133" s="115"/>
      <c r="I133" s="115"/>
      <c r="J133" s="115"/>
      <c r="K133" s="115"/>
      <c r="L133" s="115"/>
      <c r="M133" s="115"/>
      <c r="N133" s="119"/>
      <c r="O133" s="115"/>
      <c r="P133" s="120"/>
      <c r="Q133" s="121"/>
      <c r="R133" s="124"/>
      <c r="S133" s="123"/>
      <c r="T133" s="110"/>
      <c r="U133" s="110"/>
      <c r="V133" s="110"/>
      <c r="W133" s="110"/>
      <c r="X133" s="110"/>
      <c r="Y133" s="110"/>
      <c r="Z133" s="110"/>
      <c r="AA133" s="110"/>
      <c r="AB133" s="110"/>
      <c r="AC133" s="110"/>
      <c r="AD133" s="110"/>
      <c r="AE133" s="110"/>
      <c r="AF133" s="110"/>
      <c r="AG133" s="110"/>
      <c r="AH133" s="110"/>
      <c r="AI133" s="110"/>
      <c r="AJ133" s="110"/>
      <c r="AK133" s="110"/>
      <c r="AL133" s="110"/>
      <c r="AM133" s="110"/>
      <c r="AN133" s="110"/>
      <c r="AO133" s="110"/>
      <c r="AP133" s="110"/>
      <c r="AQ133" s="110"/>
      <c r="AR133" s="110"/>
      <c r="AS133" s="110"/>
      <c r="AT133" s="110"/>
      <c r="AU133" s="110"/>
      <c r="AV133" s="110"/>
      <c r="AW133" s="110"/>
      <c r="AX133" s="110"/>
      <c r="AY133" s="110"/>
      <c r="AZ133" s="110"/>
      <c r="BA133" s="110"/>
      <c r="BB133" s="110"/>
      <c r="BC133" s="110"/>
      <c r="BD133" s="110"/>
      <c r="BE133" s="110"/>
      <c r="BF133" s="110"/>
      <c r="BG133" s="110"/>
      <c r="BH133" s="110"/>
      <c r="BI133" s="110"/>
      <c r="BJ133" s="110"/>
      <c r="BK133" s="110"/>
      <c r="BL133" s="110"/>
      <c r="BM133" s="110"/>
      <c r="BN133" s="110"/>
      <c r="BO133" s="110"/>
      <c r="BP133" s="110"/>
      <c r="BQ133" s="110"/>
      <c r="BR133" s="110"/>
      <c r="BS133" s="110"/>
      <c r="BT133" s="110"/>
      <c r="BU133" s="110"/>
      <c r="BV133" s="110"/>
      <c r="BW133" s="110"/>
    </row>
    <row r="134" spans="1:75">
      <c r="A134" s="114"/>
      <c r="B134" s="115"/>
      <c r="C134" s="116"/>
      <c r="D134" s="115"/>
      <c r="E134" s="115"/>
      <c r="F134" s="115"/>
      <c r="G134" s="115"/>
      <c r="H134" s="115"/>
      <c r="I134" s="115"/>
      <c r="J134" s="115"/>
      <c r="K134" s="115"/>
      <c r="L134" s="115"/>
      <c r="M134" s="115"/>
      <c r="N134" s="119"/>
      <c r="O134" s="115"/>
      <c r="P134" s="120"/>
      <c r="Q134" s="121"/>
      <c r="R134" s="124"/>
      <c r="S134" s="123"/>
      <c r="T134" s="110"/>
      <c r="U134" s="110"/>
      <c r="V134" s="110"/>
      <c r="W134" s="110"/>
      <c r="X134" s="110"/>
      <c r="Y134" s="110"/>
      <c r="Z134" s="110"/>
      <c r="AA134" s="110"/>
      <c r="AB134" s="110"/>
      <c r="AC134" s="110"/>
      <c r="AD134" s="110"/>
      <c r="AE134" s="110"/>
      <c r="AF134" s="110"/>
      <c r="AG134" s="110"/>
      <c r="AH134" s="110"/>
      <c r="AI134" s="110"/>
      <c r="AJ134" s="110"/>
      <c r="AK134" s="110"/>
      <c r="AL134" s="110"/>
      <c r="AM134" s="110"/>
      <c r="AN134" s="110"/>
      <c r="AO134" s="110"/>
      <c r="AP134" s="110"/>
      <c r="AQ134" s="110"/>
      <c r="AR134" s="110"/>
      <c r="AS134" s="110"/>
      <c r="AT134" s="110"/>
      <c r="AU134" s="110"/>
      <c r="AV134" s="110"/>
      <c r="AW134" s="110"/>
      <c r="AX134" s="110"/>
      <c r="AY134" s="110"/>
      <c r="AZ134" s="110"/>
      <c r="BA134" s="110"/>
      <c r="BB134" s="110"/>
      <c r="BC134" s="110"/>
      <c r="BD134" s="110"/>
      <c r="BE134" s="110"/>
      <c r="BF134" s="110"/>
      <c r="BG134" s="110"/>
      <c r="BH134" s="110"/>
      <c r="BI134" s="110"/>
      <c r="BJ134" s="110"/>
      <c r="BK134" s="110"/>
      <c r="BL134" s="110"/>
      <c r="BM134" s="110"/>
      <c r="BN134" s="110"/>
      <c r="BO134" s="110"/>
      <c r="BP134" s="110"/>
      <c r="BQ134" s="110"/>
      <c r="BR134" s="110"/>
      <c r="BS134" s="110"/>
      <c r="BT134" s="110"/>
      <c r="BU134" s="110"/>
      <c r="BV134" s="110"/>
      <c r="BW134" s="110"/>
    </row>
    <row r="135" spans="1:75">
      <c r="A135" s="114"/>
      <c r="B135" s="115"/>
      <c r="C135" s="116"/>
      <c r="D135" s="115"/>
      <c r="E135" s="115"/>
      <c r="F135" s="115"/>
      <c r="G135" s="115"/>
      <c r="H135" s="115"/>
      <c r="I135" s="115"/>
      <c r="J135" s="115"/>
      <c r="K135" s="115"/>
      <c r="L135" s="115"/>
      <c r="M135" s="115"/>
      <c r="N135" s="119"/>
      <c r="O135" s="115"/>
      <c r="P135" s="120"/>
      <c r="Q135" s="121"/>
      <c r="R135" s="124"/>
      <c r="S135" s="123"/>
      <c r="T135" s="110"/>
      <c r="U135" s="110"/>
      <c r="V135" s="110"/>
      <c r="W135" s="110"/>
      <c r="X135" s="110"/>
      <c r="Y135" s="110"/>
      <c r="Z135" s="110"/>
      <c r="AA135" s="110"/>
      <c r="AB135" s="110"/>
      <c r="AC135" s="110"/>
      <c r="AD135" s="110"/>
      <c r="AE135" s="110"/>
      <c r="AF135" s="110"/>
      <c r="AG135" s="110"/>
      <c r="AH135" s="110"/>
      <c r="AI135" s="110"/>
      <c r="AJ135" s="110"/>
      <c r="AK135" s="110"/>
      <c r="AL135" s="110"/>
      <c r="AM135" s="110"/>
      <c r="AN135" s="110"/>
      <c r="AO135" s="110"/>
      <c r="AP135" s="110"/>
      <c r="AQ135" s="110"/>
      <c r="AR135" s="110"/>
      <c r="AS135" s="110"/>
      <c r="AT135" s="110"/>
      <c r="AU135" s="110"/>
      <c r="AV135" s="110"/>
      <c r="AW135" s="110"/>
      <c r="AX135" s="110"/>
      <c r="AY135" s="110"/>
      <c r="AZ135" s="110"/>
      <c r="BA135" s="110"/>
      <c r="BB135" s="110"/>
      <c r="BC135" s="110"/>
      <c r="BD135" s="110"/>
      <c r="BE135" s="110"/>
      <c r="BF135" s="110"/>
      <c r="BG135" s="110"/>
      <c r="BH135" s="110"/>
      <c r="BI135" s="110"/>
      <c r="BJ135" s="110"/>
      <c r="BK135" s="110"/>
      <c r="BL135" s="110"/>
      <c r="BM135" s="110"/>
      <c r="BN135" s="110"/>
      <c r="BO135" s="110"/>
      <c r="BP135" s="110"/>
      <c r="BQ135" s="110"/>
      <c r="BR135" s="110"/>
      <c r="BS135" s="110"/>
      <c r="BT135" s="110"/>
      <c r="BU135" s="110"/>
      <c r="BV135" s="110"/>
      <c r="BW135" s="110"/>
    </row>
    <row r="136" spans="1:75">
      <c r="A136" s="114"/>
      <c r="B136" s="115"/>
      <c r="C136" s="116"/>
      <c r="D136" s="115"/>
      <c r="E136" s="115"/>
      <c r="F136" s="115"/>
      <c r="G136" s="115"/>
      <c r="H136" s="115"/>
      <c r="I136" s="115"/>
      <c r="J136" s="115"/>
      <c r="K136" s="115"/>
      <c r="L136" s="115"/>
      <c r="M136" s="115"/>
      <c r="N136" s="119"/>
      <c r="O136" s="115"/>
      <c r="P136" s="120"/>
      <c r="Q136" s="121"/>
      <c r="R136" s="124"/>
      <c r="S136" s="123"/>
      <c r="T136" s="110"/>
      <c r="U136" s="110"/>
      <c r="V136" s="110"/>
      <c r="W136" s="110"/>
      <c r="X136" s="110"/>
      <c r="Y136" s="110"/>
      <c r="Z136" s="110"/>
      <c r="AA136" s="110"/>
      <c r="AB136" s="110"/>
      <c r="AC136" s="110"/>
      <c r="AD136" s="110"/>
      <c r="AE136" s="110"/>
      <c r="AF136" s="110"/>
      <c r="AG136" s="110"/>
      <c r="AH136" s="110"/>
      <c r="AI136" s="110"/>
      <c r="AJ136" s="110"/>
      <c r="AK136" s="110"/>
      <c r="AL136" s="110"/>
      <c r="AM136" s="110"/>
      <c r="AN136" s="110"/>
      <c r="AO136" s="110"/>
      <c r="AP136" s="110"/>
      <c r="AQ136" s="110"/>
      <c r="AR136" s="110"/>
      <c r="AS136" s="110"/>
      <c r="AT136" s="110"/>
      <c r="AU136" s="110"/>
      <c r="AV136" s="110"/>
      <c r="AW136" s="110"/>
      <c r="AX136" s="110"/>
      <c r="AY136" s="110"/>
      <c r="AZ136" s="110"/>
      <c r="BA136" s="110"/>
      <c r="BB136" s="110"/>
      <c r="BC136" s="110"/>
      <c r="BD136" s="110"/>
      <c r="BE136" s="110"/>
      <c r="BF136" s="110"/>
      <c r="BG136" s="110"/>
      <c r="BH136" s="110"/>
      <c r="BI136" s="110"/>
      <c r="BJ136" s="110"/>
      <c r="BK136" s="110"/>
      <c r="BL136" s="110"/>
      <c r="BM136" s="110"/>
      <c r="BN136" s="110"/>
      <c r="BO136" s="110"/>
      <c r="BP136" s="110"/>
      <c r="BQ136" s="110"/>
      <c r="BR136" s="110"/>
      <c r="BS136" s="110"/>
      <c r="BT136" s="110"/>
      <c r="BU136" s="110"/>
      <c r="BV136" s="110"/>
      <c r="BW136" s="110"/>
    </row>
    <row r="137" spans="1:75">
      <c r="A137" s="114"/>
      <c r="B137" s="115"/>
      <c r="C137" s="116"/>
      <c r="D137" s="115"/>
      <c r="E137" s="115"/>
      <c r="F137" s="115"/>
      <c r="G137" s="115"/>
      <c r="H137" s="115"/>
      <c r="I137" s="115"/>
      <c r="J137" s="115"/>
      <c r="K137" s="115"/>
      <c r="L137" s="115"/>
      <c r="M137" s="115"/>
      <c r="N137" s="119"/>
      <c r="O137" s="115"/>
      <c r="P137" s="120"/>
      <c r="Q137" s="121"/>
      <c r="R137" s="124"/>
      <c r="S137" s="123"/>
      <c r="T137" s="110"/>
      <c r="U137" s="110"/>
      <c r="V137" s="110"/>
      <c r="W137" s="110"/>
      <c r="X137" s="110"/>
      <c r="Y137" s="110"/>
      <c r="Z137" s="110"/>
      <c r="AA137" s="110"/>
      <c r="AB137" s="110"/>
      <c r="AC137" s="110"/>
      <c r="AD137" s="110"/>
      <c r="AE137" s="110"/>
      <c r="AF137" s="110"/>
      <c r="AG137" s="110"/>
      <c r="AH137" s="110"/>
      <c r="AI137" s="110"/>
      <c r="AJ137" s="110"/>
      <c r="AK137" s="110"/>
      <c r="AL137" s="110"/>
      <c r="AM137" s="110"/>
      <c r="AN137" s="110"/>
      <c r="AO137" s="110"/>
      <c r="AP137" s="110"/>
      <c r="AQ137" s="110"/>
      <c r="AR137" s="110"/>
      <c r="AS137" s="110"/>
      <c r="AT137" s="110"/>
      <c r="AU137" s="110"/>
      <c r="AV137" s="110"/>
      <c r="AW137" s="110"/>
      <c r="AX137" s="110"/>
      <c r="AY137" s="110"/>
      <c r="AZ137" s="110"/>
      <c r="BA137" s="110"/>
      <c r="BB137" s="110"/>
      <c r="BC137" s="110"/>
      <c r="BD137" s="110"/>
      <c r="BE137" s="110"/>
      <c r="BF137" s="110"/>
      <c r="BG137" s="110"/>
      <c r="BH137" s="110"/>
      <c r="BI137" s="110"/>
      <c r="BJ137" s="110"/>
      <c r="BK137" s="110"/>
      <c r="BL137" s="110"/>
      <c r="BM137" s="110"/>
      <c r="BN137" s="110"/>
      <c r="BO137" s="110"/>
      <c r="BP137" s="110"/>
      <c r="BQ137" s="110"/>
      <c r="BR137" s="110"/>
      <c r="BS137" s="110"/>
      <c r="BT137" s="110"/>
      <c r="BU137" s="110"/>
      <c r="BV137" s="110"/>
      <c r="BW137" s="110"/>
    </row>
    <row r="138" spans="1:75">
      <c r="A138" s="114"/>
      <c r="B138" s="115"/>
      <c r="C138" s="116"/>
      <c r="D138" s="115"/>
      <c r="E138" s="115"/>
      <c r="F138" s="115"/>
      <c r="G138" s="115"/>
      <c r="H138" s="115"/>
      <c r="I138" s="115"/>
      <c r="J138" s="115"/>
      <c r="K138" s="115"/>
      <c r="L138" s="115"/>
      <c r="M138" s="115"/>
      <c r="N138" s="119"/>
      <c r="O138" s="115"/>
      <c r="P138" s="120"/>
      <c r="Q138" s="121"/>
      <c r="R138" s="124"/>
      <c r="S138" s="123"/>
      <c r="T138" s="110"/>
      <c r="U138" s="110"/>
      <c r="V138" s="110"/>
      <c r="W138" s="110"/>
      <c r="X138" s="110"/>
      <c r="Y138" s="110"/>
      <c r="Z138" s="110"/>
      <c r="AA138" s="110"/>
      <c r="AB138" s="110"/>
      <c r="AC138" s="110"/>
      <c r="AD138" s="110"/>
      <c r="AE138" s="110"/>
      <c r="AF138" s="110"/>
      <c r="AG138" s="110"/>
      <c r="AH138" s="110"/>
      <c r="AI138" s="110"/>
      <c r="AJ138" s="110"/>
      <c r="AK138" s="110"/>
      <c r="AL138" s="110"/>
      <c r="AM138" s="110"/>
      <c r="AN138" s="110"/>
      <c r="AO138" s="110"/>
      <c r="AP138" s="110"/>
      <c r="AQ138" s="110"/>
      <c r="AR138" s="110"/>
      <c r="AS138" s="110"/>
      <c r="AT138" s="110"/>
      <c r="AU138" s="110"/>
      <c r="AV138" s="110"/>
      <c r="AW138" s="110"/>
      <c r="AX138" s="110"/>
      <c r="AY138" s="110"/>
      <c r="AZ138" s="110"/>
      <c r="BA138" s="110"/>
      <c r="BB138" s="110"/>
      <c r="BC138" s="110"/>
      <c r="BD138" s="110"/>
      <c r="BE138" s="110"/>
      <c r="BF138" s="110"/>
      <c r="BG138" s="110"/>
      <c r="BH138" s="110"/>
      <c r="BI138" s="110"/>
      <c r="BJ138" s="110"/>
      <c r="BK138" s="110"/>
      <c r="BL138" s="110"/>
      <c r="BM138" s="110"/>
      <c r="BN138" s="110"/>
      <c r="BO138" s="110"/>
      <c r="BP138" s="110"/>
      <c r="BQ138" s="110"/>
      <c r="BR138" s="110"/>
      <c r="BS138" s="110"/>
      <c r="BT138" s="110"/>
      <c r="BU138" s="110"/>
      <c r="BV138" s="110"/>
      <c r="BW138" s="110"/>
    </row>
    <row r="139" spans="1:75">
      <c r="A139" s="114"/>
      <c r="B139" s="115"/>
      <c r="C139" s="116"/>
      <c r="D139" s="115"/>
      <c r="E139" s="115"/>
      <c r="F139" s="115"/>
      <c r="G139" s="115"/>
      <c r="H139" s="115"/>
      <c r="I139" s="115"/>
      <c r="J139" s="115"/>
      <c r="K139" s="115"/>
      <c r="L139" s="115"/>
      <c r="M139" s="115"/>
      <c r="N139" s="119"/>
      <c r="O139" s="115"/>
      <c r="P139" s="120"/>
      <c r="Q139" s="121"/>
      <c r="R139" s="124"/>
      <c r="S139" s="123"/>
      <c r="T139" s="110"/>
      <c r="U139" s="110"/>
      <c r="V139" s="110"/>
      <c r="W139" s="110"/>
      <c r="X139" s="110"/>
      <c r="Y139" s="110"/>
      <c r="Z139" s="110"/>
      <c r="AA139" s="110"/>
      <c r="AB139" s="110"/>
      <c r="AC139" s="110"/>
      <c r="AD139" s="110"/>
      <c r="AE139" s="110"/>
      <c r="AF139" s="110"/>
      <c r="AG139" s="110"/>
      <c r="AH139" s="110"/>
      <c r="AI139" s="110"/>
      <c r="AJ139" s="110"/>
      <c r="AK139" s="110"/>
      <c r="AL139" s="110"/>
      <c r="AM139" s="110"/>
      <c r="AN139" s="110"/>
      <c r="AO139" s="110"/>
      <c r="AP139" s="110"/>
      <c r="AQ139" s="110"/>
      <c r="AR139" s="110"/>
      <c r="AS139" s="110"/>
      <c r="AT139" s="110"/>
      <c r="AU139" s="110"/>
      <c r="AV139" s="110"/>
      <c r="AW139" s="110"/>
      <c r="AX139" s="110"/>
      <c r="AY139" s="110"/>
      <c r="AZ139" s="110"/>
      <c r="BA139" s="110"/>
      <c r="BB139" s="110"/>
      <c r="BC139" s="110"/>
      <c r="BD139" s="110"/>
      <c r="BE139" s="110"/>
      <c r="BF139" s="110"/>
      <c r="BG139" s="110"/>
      <c r="BH139" s="110"/>
      <c r="BI139" s="110"/>
      <c r="BJ139" s="110"/>
      <c r="BK139" s="110"/>
      <c r="BL139" s="110"/>
      <c r="BM139" s="110"/>
      <c r="BN139" s="110"/>
      <c r="BO139" s="110"/>
      <c r="BP139" s="110"/>
      <c r="BQ139" s="110"/>
      <c r="BR139" s="110"/>
      <c r="BS139" s="110"/>
      <c r="BT139" s="110"/>
      <c r="BU139" s="110"/>
      <c r="BV139" s="110"/>
      <c r="BW139" s="110"/>
    </row>
    <row r="140" spans="1:75">
      <c r="A140" s="114"/>
      <c r="B140" s="115"/>
      <c r="C140" s="116"/>
      <c r="D140" s="115"/>
      <c r="E140" s="115"/>
      <c r="F140" s="115"/>
      <c r="G140" s="115"/>
      <c r="H140" s="115"/>
      <c r="I140" s="115"/>
      <c r="J140" s="115"/>
      <c r="K140" s="115"/>
      <c r="L140" s="115"/>
      <c r="M140" s="115"/>
      <c r="N140" s="119"/>
      <c r="O140" s="115"/>
      <c r="P140" s="120"/>
      <c r="Q140" s="121"/>
      <c r="R140" s="124"/>
      <c r="S140" s="123"/>
      <c r="T140" s="110"/>
      <c r="U140" s="110"/>
      <c r="V140" s="110"/>
      <c r="W140" s="110"/>
      <c r="X140" s="110"/>
      <c r="Y140" s="110"/>
      <c r="Z140" s="110"/>
      <c r="AA140" s="110"/>
      <c r="AB140" s="110"/>
      <c r="AC140" s="110"/>
      <c r="AD140" s="110"/>
      <c r="AE140" s="110"/>
      <c r="AF140" s="110"/>
      <c r="AG140" s="110"/>
      <c r="AH140" s="110"/>
      <c r="AI140" s="110"/>
      <c r="AJ140" s="110"/>
      <c r="AK140" s="110"/>
      <c r="AL140" s="110"/>
      <c r="AM140" s="110"/>
      <c r="AN140" s="110"/>
      <c r="AO140" s="110"/>
      <c r="AP140" s="110"/>
      <c r="AQ140" s="110"/>
      <c r="AR140" s="110"/>
      <c r="AS140" s="110"/>
      <c r="AT140" s="110"/>
      <c r="AU140" s="110"/>
      <c r="AV140" s="110"/>
      <c r="AW140" s="110"/>
      <c r="AX140" s="110"/>
      <c r="AY140" s="110"/>
      <c r="AZ140" s="110"/>
      <c r="BA140" s="110"/>
      <c r="BB140" s="110"/>
      <c r="BC140" s="110"/>
      <c r="BD140" s="110"/>
      <c r="BE140" s="110"/>
      <c r="BF140" s="110"/>
      <c r="BG140" s="110"/>
      <c r="BH140" s="110"/>
      <c r="BI140" s="110"/>
      <c r="BJ140" s="110"/>
      <c r="BK140" s="110"/>
      <c r="BL140" s="110"/>
      <c r="BM140" s="110"/>
      <c r="BN140" s="110"/>
      <c r="BO140" s="110"/>
      <c r="BP140" s="110"/>
      <c r="BQ140" s="110"/>
      <c r="BR140" s="110"/>
      <c r="BS140" s="110"/>
      <c r="BT140" s="110"/>
      <c r="BU140" s="110"/>
      <c r="BV140" s="110"/>
      <c r="BW140" s="110"/>
    </row>
    <row r="141" spans="1:75">
      <c r="A141" s="114"/>
      <c r="B141" s="115"/>
      <c r="C141" s="116"/>
      <c r="D141" s="115"/>
      <c r="E141" s="115"/>
      <c r="F141" s="115"/>
      <c r="G141" s="115"/>
      <c r="H141" s="115"/>
      <c r="I141" s="115"/>
      <c r="J141" s="115"/>
      <c r="K141" s="115"/>
      <c r="L141" s="115"/>
      <c r="M141" s="115"/>
      <c r="N141" s="119"/>
      <c r="O141" s="115"/>
      <c r="P141" s="120"/>
      <c r="Q141" s="121"/>
      <c r="R141" s="124"/>
      <c r="S141" s="123"/>
      <c r="T141" s="110"/>
      <c r="U141" s="110"/>
      <c r="V141" s="110"/>
      <c r="W141" s="110"/>
      <c r="X141" s="110"/>
      <c r="Y141" s="110"/>
      <c r="Z141" s="110"/>
      <c r="AA141" s="110"/>
      <c r="AB141" s="110"/>
      <c r="AC141" s="110"/>
      <c r="AD141" s="110"/>
      <c r="AE141" s="110"/>
      <c r="AF141" s="110"/>
      <c r="AG141" s="110"/>
      <c r="AH141" s="110"/>
      <c r="AI141" s="110"/>
      <c r="AJ141" s="110"/>
      <c r="AK141" s="110"/>
      <c r="AL141" s="110"/>
      <c r="AM141" s="110"/>
      <c r="AN141" s="110"/>
      <c r="AO141" s="110"/>
      <c r="AP141" s="110"/>
      <c r="AQ141" s="110"/>
      <c r="AR141" s="110"/>
      <c r="AS141" s="110"/>
      <c r="AT141" s="110"/>
      <c r="AU141" s="110"/>
      <c r="AV141" s="110"/>
      <c r="AW141" s="110"/>
      <c r="AX141" s="110"/>
      <c r="AY141" s="110"/>
      <c r="AZ141" s="110"/>
      <c r="BA141" s="110"/>
      <c r="BB141" s="110"/>
      <c r="BC141" s="110"/>
      <c r="BD141" s="110"/>
      <c r="BE141" s="110"/>
      <c r="BF141" s="110"/>
      <c r="BG141" s="110"/>
      <c r="BH141" s="110"/>
      <c r="BI141" s="110"/>
      <c r="BJ141" s="110"/>
      <c r="BK141" s="110"/>
      <c r="BL141" s="110"/>
      <c r="BM141" s="110"/>
      <c r="BN141" s="110"/>
      <c r="BO141" s="110"/>
      <c r="BP141" s="110"/>
      <c r="BQ141" s="110"/>
      <c r="BR141" s="110"/>
      <c r="BS141" s="110"/>
      <c r="BT141" s="110"/>
      <c r="BU141" s="110"/>
      <c r="BV141" s="110"/>
      <c r="BW141" s="110"/>
    </row>
    <row r="142" spans="1:75">
      <c r="A142" s="114"/>
      <c r="B142" s="115"/>
      <c r="C142" s="116"/>
      <c r="D142" s="115"/>
      <c r="E142" s="115"/>
      <c r="F142" s="115"/>
      <c r="G142" s="115"/>
      <c r="H142" s="115"/>
      <c r="I142" s="115"/>
      <c r="J142" s="115"/>
      <c r="K142" s="115"/>
      <c r="L142" s="115"/>
      <c r="M142" s="115"/>
      <c r="N142" s="119"/>
      <c r="O142" s="115"/>
      <c r="P142" s="120"/>
      <c r="Q142" s="121"/>
      <c r="R142" s="124"/>
      <c r="S142" s="123"/>
      <c r="T142" s="110"/>
      <c r="U142" s="110"/>
      <c r="V142" s="110"/>
      <c r="W142" s="110"/>
      <c r="X142" s="110"/>
      <c r="Y142" s="110"/>
      <c r="Z142" s="110"/>
      <c r="AA142" s="110"/>
      <c r="AB142" s="110"/>
      <c r="AC142" s="110"/>
      <c r="AD142" s="110"/>
      <c r="AE142" s="110"/>
      <c r="AF142" s="110"/>
      <c r="AG142" s="110"/>
      <c r="AH142" s="110"/>
      <c r="AI142" s="110"/>
      <c r="AJ142" s="110"/>
      <c r="AK142" s="110"/>
      <c r="AL142" s="110"/>
      <c r="AM142" s="110"/>
      <c r="AN142" s="110"/>
      <c r="AO142" s="110"/>
      <c r="AP142" s="110"/>
      <c r="AQ142" s="110"/>
      <c r="AR142" s="110"/>
      <c r="AS142" s="110"/>
      <c r="AT142" s="110"/>
      <c r="AU142" s="110"/>
      <c r="AV142" s="110"/>
      <c r="AW142" s="110"/>
      <c r="AX142" s="110"/>
      <c r="AY142" s="110"/>
      <c r="AZ142" s="110"/>
      <c r="BA142" s="110"/>
      <c r="BB142" s="110"/>
      <c r="BC142" s="110"/>
      <c r="BD142" s="110"/>
      <c r="BE142" s="110"/>
      <c r="BF142" s="110"/>
      <c r="BG142" s="110"/>
      <c r="BH142" s="110"/>
      <c r="BI142" s="110"/>
      <c r="BJ142" s="110"/>
      <c r="BK142" s="110"/>
      <c r="BL142" s="110"/>
      <c r="BM142" s="110"/>
      <c r="BN142" s="110"/>
      <c r="BO142" s="110"/>
      <c r="BP142" s="110"/>
      <c r="BQ142" s="110"/>
      <c r="BR142" s="110"/>
      <c r="BS142" s="110"/>
      <c r="BT142" s="110"/>
      <c r="BU142" s="110"/>
      <c r="BV142" s="110"/>
      <c r="BW142" s="110"/>
    </row>
    <row r="143" spans="1:75">
      <c r="A143" s="114"/>
      <c r="B143" s="115"/>
      <c r="C143" s="116"/>
      <c r="D143" s="115"/>
      <c r="E143" s="115"/>
      <c r="F143" s="115"/>
      <c r="G143" s="115"/>
      <c r="H143" s="115"/>
      <c r="I143" s="115"/>
      <c r="J143" s="115"/>
      <c r="K143" s="115"/>
      <c r="L143" s="115"/>
      <c r="M143" s="115"/>
      <c r="N143" s="119"/>
      <c r="O143" s="115"/>
      <c r="P143" s="120"/>
      <c r="Q143" s="121"/>
      <c r="R143" s="124"/>
      <c r="S143" s="123"/>
      <c r="T143" s="110"/>
      <c r="U143" s="110"/>
      <c r="V143" s="110"/>
      <c r="W143" s="110"/>
      <c r="X143" s="110"/>
      <c r="Y143" s="110"/>
      <c r="Z143" s="110"/>
      <c r="AA143" s="110"/>
      <c r="AB143" s="110"/>
      <c r="AC143" s="110"/>
      <c r="AD143" s="110"/>
      <c r="AE143" s="110"/>
      <c r="AF143" s="110"/>
      <c r="AG143" s="110"/>
      <c r="AH143" s="110"/>
      <c r="AI143" s="110"/>
      <c r="AJ143" s="110"/>
      <c r="AK143" s="110"/>
      <c r="AL143" s="110"/>
      <c r="AM143" s="110"/>
      <c r="AN143" s="110"/>
      <c r="AO143" s="110"/>
      <c r="AP143" s="110"/>
      <c r="AQ143" s="110"/>
      <c r="AR143" s="110"/>
      <c r="AS143" s="110"/>
      <c r="AT143" s="110"/>
      <c r="AU143" s="110"/>
      <c r="AV143" s="110"/>
      <c r="AW143" s="110"/>
      <c r="AX143" s="110"/>
      <c r="AY143" s="110"/>
      <c r="AZ143" s="110"/>
      <c r="BA143" s="110"/>
      <c r="BB143" s="110"/>
      <c r="BC143" s="110"/>
      <c r="BD143" s="110"/>
      <c r="BE143" s="110"/>
      <c r="BF143" s="110"/>
      <c r="BG143" s="110"/>
      <c r="BH143" s="110"/>
      <c r="BI143" s="110"/>
      <c r="BJ143" s="110"/>
      <c r="BK143" s="110"/>
      <c r="BL143" s="110"/>
      <c r="BM143" s="110"/>
      <c r="BN143" s="110"/>
      <c r="BO143" s="110"/>
      <c r="BP143" s="110"/>
      <c r="BQ143" s="110"/>
      <c r="BR143" s="110"/>
      <c r="BS143" s="110"/>
      <c r="BT143" s="110"/>
      <c r="BU143" s="110"/>
      <c r="BV143" s="110"/>
      <c r="BW143" s="110"/>
    </row>
    <row r="144" spans="1:75">
      <c r="A144" s="114"/>
      <c r="B144" s="115"/>
      <c r="C144" s="116"/>
      <c r="D144" s="115"/>
      <c r="E144" s="115"/>
      <c r="F144" s="115"/>
      <c r="G144" s="115"/>
      <c r="H144" s="115"/>
      <c r="I144" s="115"/>
      <c r="J144" s="115"/>
      <c r="K144" s="115"/>
      <c r="L144" s="115"/>
      <c r="M144" s="115"/>
      <c r="N144" s="119"/>
      <c r="O144" s="115"/>
      <c r="P144" s="120"/>
      <c r="Q144" s="121"/>
      <c r="R144" s="124"/>
      <c r="S144" s="123"/>
      <c r="T144" s="110"/>
      <c r="U144" s="110"/>
      <c r="V144" s="110"/>
      <c r="W144" s="110"/>
      <c r="X144" s="110"/>
      <c r="Y144" s="110"/>
      <c r="Z144" s="110"/>
      <c r="AA144" s="110"/>
      <c r="AB144" s="110"/>
      <c r="AC144" s="110"/>
      <c r="AD144" s="110"/>
      <c r="AE144" s="110"/>
      <c r="AF144" s="110"/>
      <c r="AG144" s="110"/>
      <c r="AH144" s="110"/>
      <c r="AI144" s="110"/>
      <c r="AJ144" s="110"/>
      <c r="AK144" s="110"/>
      <c r="AL144" s="110"/>
      <c r="AM144" s="110"/>
      <c r="AN144" s="110"/>
      <c r="AO144" s="110"/>
      <c r="AP144" s="110"/>
      <c r="AQ144" s="110"/>
      <c r="AR144" s="110"/>
      <c r="AS144" s="110"/>
      <c r="AT144" s="110"/>
      <c r="AU144" s="110"/>
      <c r="AV144" s="110"/>
      <c r="AW144" s="110"/>
      <c r="AX144" s="110"/>
      <c r="AY144" s="110"/>
      <c r="AZ144" s="110"/>
      <c r="BA144" s="110"/>
      <c r="BB144" s="110"/>
      <c r="BC144" s="110"/>
      <c r="BD144" s="110"/>
      <c r="BE144" s="110"/>
      <c r="BF144" s="110"/>
      <c r="BG144" s="110"/>
      <c r="BH144" s="110"/>
      <c r="BI144" s="110"/>
      <c r="BJ144" s="110"/>
      <c r="BK144" s="110"/>
      <c r="BL144" s="110"/>
      <c r="BM144" s="110"/>
      <c r="BN144" s="110"/>
      <c r="BO144" s="110"/>
      <c r="BP144" s="110"/>
      <c r="BQ144" s="110"/>
      <c r="BR144" s="110"/>
      <c r="BS144" s="110"/>
      <c r="BT144" s="110"/>
      <c r="BU144" s="110"/>
      <c r="BV144" s="110"/>
      <c r="BW144" s="110"/>
    </row>
    <row r="145" spans="1:75">
      <c r="A145" s="114"/>
      <c r="B145" s="115"/>
      <c r="C145" s="116"/>
      <c r="D145" s="115"/>
      <c r="E145" s="115"/>
      <c r="F145" s="115"/>
      <c r="G145" s="115"/>
      <c r="H145" s="115"/>
      <c r="I145" s="115"/>
      <c r="J145" s="115"/>
      <c r="K145" s="115"/>
      <c r="L145" s="115"/>
      <c r="M145" s="115"/>
      <c r="N145" s="119"/>
      <c r="O145" s="115"/>
      <c r="P145" s="120"/>
      <c r="Q145" s="121"/>
      <c r="R145" s="124"/>
      <c r="S145" s="123"/>
      <c r="T145" s="110"/>
      <c r="U145" s="110"/>
      <c r="V145" s="110"/>
      <c r="W145" s="110"/>
      <c r="X145" s="110"/>
      <c r="Y145" s="110"/>
      <c r="Z145" s="110"/>
      <c r="AA145" s="110"/>
      <c r="AB145" s="110"/>
      <c r="AC145" s="110"/>
      <c r="AD145" s="110"/>
      <c r="AE145" s="110"/>
      <c r="AF145" s="110"/>
      <c r="AG145" s="110"/>
      <c r="AH145" s="110"/>
      <c r="AI145" s="110"/>
      <c r="AJ145" s="110"/>
      <c r="AK145" s="110"/>
      <c r="AL145" s="110"/>
      <c r="AM145" s="110"/>
      <c r="AN145" s="110"/>
      <c r="AO145" s="110"/>
      <c r="AP145" s="110"/>
      <c r="AQ145" s="110"/>
      <c r="AR145" s="110"/>
      <c r="AS145" s="110"/>
      <c r="AT145" s="110"/>
      <c r="AU145" s="110"/>
      <c r="AV145" s="110"/>
      <c r="AW145" s="110"/>
      <c r="AX145" s="110"/>
      <c r="AY145" s="110"/>
      <c r="AZ145" s="110"/>
      <c r="BA145" s="110"/>
      <c r="BB145" s="110"/>
      <c r="BC145" s="110"/>
      <c r="BD145" s="110"/>
      <c r="BE145" s="110"/>
      <c r="BF145" s="110"/>
      <c r="BG145" s="110"/>
      <c r="BH145" s="110"/>
      <c r="BI145" s="110"/>
      <c r="BJ145" s="110"/>
      <c r="BK145" s="110"/>
      <c r="BL145" s="110"/>
      <c r="BM145" s="110"/>
      <c r="BN145" s="110"/>
      <c r="BO145" s="110"/>
      <c r="BP145" s="110"/>
      <c r="BQ145" s="110"/>
      <c r="BR145" s="110"/>
      <c r="BS145" s="110"/>
      <c r="BT145" s="110"/>
      <c r="BU145" s="110"/>
      <c r="BV145" s="110"/>
      <c r="BW145" s="110"/>
    </row>
    <row r="146" spans="1:75">
      <c r="A146" s="114"/>
      <c r="B146" s="115"/>
      <c r="C146" s="116"/>
      <c r="D146" s="115"/>
      <c r="E146" s="115"/>
      <c r="F146" s="115"/>
      <c r="G146" s="115"/>
      <c r="H146" s="115"/>
      <c r="I146" s="115"/>
      <c r="J146" s="115"/>
      <c r="K146" s="115"/>
      <c r="L146" s="115"/>
      <c r="M146" s="115"/>
      <c r="N146" s="119"/>
      <c r="O146" s="115"/>
      <c r="P146" s="120"/>
      <c r="Q146" s="121"/>
      <c r="R146" s="124"/>
      <c r="S146" s="123"/>
      <c r="T146" s="110"/>
      <c r="U146" s="110"/>
      <c r="V146" s="110"/>
      <c r="W146" s="110"/>
      <c r="X146" s="110"/>
      <c r="Y146" s="110"/>
      <c r="Z146" s="110"/>
      <c r="AA146" s="110"/>
      <c r="AB146" s="110"/>
      <c r="AC146" s="110"/>
      <c r="AD146" s="110"/>
      <c r="AE146" s="110"/>
      <c r="AF146" s="110"/>
      <c r="AG146" s="110"/>
      <c r="AH146" s="110"/>
      <c r="AI146" s="110"/>
      <c r="AJ146" s="110"/>
      <c r="AK146" s="110"/>
      <c r="AL146" s="110"/>
      <c r="AM146" s="110"/>
      <c r="AN146" s="110"/>
      <c r="AO146" s="110"/>
      <c r="AP146" s="110"/>
      <c r="AQ146" s="110"/>
      <c r="AR146" s="110"/>
      <c r="AS146" s="110"/>
      <c r="AT146" s="110"/>
      <c r="AU146" s="110"/>
      <c r="AV146" s="110"/>
      <c r="AW146" s="110"/>
      <c r="AX146" s="110"/>
      <c r="AY146" s="110"/>
      <c r="AZ146" s="110"/>
      <c r="BA146" s="110"/>
      <c r="BB146" s="110"/>
      <c r="BC146" s="110"/>
      <c r="BD146" s="110"/>
      <c r="BE146" s="110"/>
      <c r="BF146" s="110"/>
      <c r="BG146" s="110"/>
      <c r="BH146" s="110"/>
      <c r="BI146" s="110"/>
      <c r="BJ146" s="110"/>
      <c r="BK146" s="110"/>
      <c r="BL146" s="110"/>
      <c r="BM146" s="110"/>
      <c r="BN146" s="110"/>
      <c r="BO146" s="110"/>
      <c r="BP146" s="110"/>
      <c r="BQ146" s="110"/>
      <c r="BR146" s="110"/>
      <c r="BS146" s="110"/>
      <c r="BT146" s="110"/>
      <c r="BU146" s="110"/>
      <c r="BV146" s="110"/>
      <c r="BW146" s="110"/>
    </row>
    <row r="147" spans="1:75">
      <c r="A147" s="114"/>
      <c r="B147" s="115"/>
      <c r="C147" s="116"/>
      <c r="D147" s="115"/>
      <c r="E147" s="115"/>
      <c r="F147" s="115"/>
      <c r="G147" s="115"/>
      <c r="H147" s="115"/>
      <c r="I147" s="115"/>
      <c r="J147" s="115"/>
      <c r="K147" s="115"/>
      <c r="L147" s="115"/>
      <c r="M147" s="115"/>
      <c r="N147" s="119"/>
      <c r="O147" s="115"/>
      <c r="P147" s="120"/>
      <c r="Q147" s="121"/>
      <c r="R147" s="124"/>
      <c r="S147" s="123"/>
      <c r="T147" s="110"/>
      <c r="U147" s="110"/>
      <c r="V147" s="110"/>
      <c r="W147" s="110"/>
      <c r="X147" s="110"/>
      <c r="Y147" s="110"/>
      <c r="Z147" s="110"/>
      <c r="AA147" s="110"/>
      <c r="AB147" s="110"/>
      <c r="AC147" s="110"/>
      <c r="AD147" s="110"/>
      <c r="AE147" s="110"/>
      <c r="AF147" s="110"/>
      <c r="AG147" s="110"/>
      <c r="AH147" s="110"/>
      <c r="AI147" s="110"/>
      <c r="AJ147" s="110"/>
      <c r="AK147" s="110"/>
      <c r="AL147" s="110"/>
      <c r="AM147" s="110"/>
      <c r="AN147" s="110"/>
      <c r="AO147" s="110"/>
      <c r="AP147" s="110"/>
      <c r="AQ147" s="110"/>
      <c r="AR147" s="110"/>
      <c r="AS147" s="110"/>
      <c r="AT147" s="110"/>
      <c r="AU147" s="110"/>
      <c r="AV147" s="110"/>
      <c r="AW147" s="110"/>
      <c r="AX147" s="110"/>
      <c r="AY147" s="110"/>
      <c r="AZ147" s="110"/>
      <c r="BA147" s="110"/>
      <c r="BB147" s="110"/>
      <c r="BC147" s="110"/>
      <c r="BD147" s="110"/>
      <c r="BE147" s="110"/>
      <c r="BF147" s="110"/>
      <c r="BG147" s="110"/>
      <c r="BH147" s="110"/>
      <c r="BI147" s="110"/>
      <c r="BJ147" s="110"/>
      <c r="BK147" s="110"/>
      <c r="BL147" s="110"/>
      <c r="BM147" s="110"/>
      <c r="BN147" s="110"/>
      <c r="BO147" s="110"/>
      <c r="BP147" s="110"/>
      <c r="BQ147" s="110"/>
      <c r="BR147" s="110"/>
      <c r="BS147" s="110"/>
      <c r="BT147" s="110"/>
      <c r="BU147" s="110"/>
      <c r="BV147" s="110"/>
      <c r="BW147" s="110"/>
    </row>
    <row r="148" spans="1:75">
      <c r="A148" s="114"/>
      <c r="B148" s="115"/>
      <c r="C148" s="116"/>
      <c r="D148" s="115"/>
      <c r="E148" s="115"/>
      <c r="F148" s="115"/>
      <c r="G148" s="115"/>
      <c r="H148" s="115"/>
      <c r="I148" s="115"/>
      <c r="J148" s="115"/>
      <c r="K148" s="115"/>
      <c r="L148" s="115"/>
      <c r="M148" s="115"/>
      <c r="N148" s="119"/>
      <c r="O148" s="115"/>
      <c r="P148" s="120"/>
      <c r="Q148" s="121"/>
      <c r="R148" s="124"/>
      <c r="S148" s="123"/>
      <c r="T148" s="110"/>
      <c r="U148" s="110"/>
      <c r="V148" s="110"/>
      <c r="W148" s="110"/>
      <c r="X148" s="110"/>
      <c r="Y148" s="110"/>
      <c r="Z148" s="110"/>
      <c r="AA148" s="110"/>
      <c r="AB148" s="110"/>
      <c r="AC148" s="110"/>
      <c r="AD148" s="110"/>
      <c r="AE148" s="110"/>
      <c r="AF148" s="110"/>
      <c r="AG148" s="110"/>
      <c r="AH148" s="110"/>
      <c r="AI148" s="110"/>
      <c r="AJ148" s="110"/>
      <c r="AK148" s="110"/>
      <c r="AL148" s="110"/>
      <c r="AM148" s="110"/>
      <c r="AN148" s="110"/>
      <c r="AO148" s="110"/>
      <c r="AP148" s="110"/>
      <c r="AQ148" s="110"/>
      <c r="AR148" s="110"/>
      <c r="AS148" s="110"/>
      <c r="AT148" s="110"/>
      <c r="AU148" s="110"/>
      <c r="AV148" s="110"/>
      <c r="AW148" s="110"/>
      <c r="AX148" s="110"/>
      <c r="AY148" s="110"/>
      <c r="AZ148" s="110"/>
      <c r="BA148" s="110"/>
      <c r="BB148" s="110"/>
      <c r="BC148" s="110"/>
      <c r="BD148" s="110"/>
      <c r="BE148" s="110"/>
      <c r="BF148" s="110"/>
      <c r="BG148" s="110"/>
      <c r="BH148" s="110"/>
      <c r="BI148" s="110"/>
      <c r="BJ148" s="110"/>
      <c r="BK148" s="110"/>
      <c r="BL148" s="110"/>
      <c r="BM148" s="110"/>
      <c r="BN148" s="110"/>
      <c r="BO148" s="110"/>
      <c r="BP148" s="110"/>
      <c r="BQ148" s="110"/>
      <c r="BR148" s="110"/>
      <c r="BS148" s="110"/>
      <c r="BT148" s="110"/>
      <c r="BU148" s="110"/>
      <c r="BV148" s="110"/>
      <c r="BW148" s="110"/>
    </row>
    <row r="149" spans="1:75">
      <c r="A149" s="114"/>
      <c r="B149" s="115"/>
      <c r="C149" s="116"/>
      <c r="D149" s="115"/>
      <c r="E149" s="115"/>
      <c r="F149" s="115"/>
      <c r="G149" s="115"/>
      <c r="H149" s="115"/>
      <c r="I149" s="115"/>
      <c r="J149" s="115"/>
      <c r="K149" s="115"/>
      <c r="L149" s="115"/>
      <c r="M149" s="115"/>
      <c r="N149" s="119"/>
      <c r="O149" s="115"/>
      <c r="P149" s="120"/>
      <c r="Q149" s="121"/>
      <c r="R149" s="124"/>
      <c r="S149" s="123"/>
      <c r="T149" s="110"/>
      <c r="U149" s="110"/>
      <c r="V149" s="110"/>
      <c r="W149" s="110"/>
      <c r="X149" s="110"/>
      <c r="Y149" s="110"/>
      <c r="Z149" s="110"/>
      <c r="AA149" s="110"/>
      <c r="AB149" s="110"/>
      <c r="AC149" s="110"/>
      <c r="AD149" s="110"/>
      <c r="AE149" s="110"/>
      <c r="AF149" s="110"/>
      <c r="AG149" s="110"/>
      <c r="AH149" s="110"/>
      <c r="AI149" s="110"/>
      <c r="AJ149" s="110"/>
      <c r="AK149" s="110"/>
      <c r="AL149" s="110"/>
      <c r="AM149" s="110"/>
      <c r="AN149" s="110"/>
      <c r="AO149" s="110"/>
      <c r="AP149" s="110"/>
      <c r="AQ149" s="110"/>
      <c r="AR149" s="110"/>
      <c r="AS149" s="110"/>
      <c r="AT149" s="110"/>
      <c r="AU149" s="110"/>
      <c r="AV149" s="110"/>
      <c r="AW149" s="110"/>
      <c r="AX149" s="110"/>
      <c r="AY149" s="110"/>
      <c r="AZ149" s="110"/>
      <c r="BA149" s="110"/>
      <c r="BB149" s="110"/>
      <c r="BC149" s="110"/>
      <c r="BD149" s="110"/>
      <c r="BE149" s="110"/>
      <c r="BF149" s="110"/>
      <c r="BG149" s="110"/>
      <c r="BH149" s="110"/>
      <c r="BI149" s="110"/>
      <c r="BJ149" s="110"/>
      <c r="BK149" s="110"/>
      <c r="BL149" s="110"/>
      <c r="BM149" s="110"/>
      <c r="BN149" s="110"/>
      <c r="BO149" s="110"/>
      <c r="BP149" s="110"/>
      <c r="BQ149" s="110"/>
      <c r="BR149" s="110"/>
      <c r="BS149" s="110"/>
      <c r="BT149" s="110"/>
      <c r="BU149" s="110"/>
      <c r="BV149" s="110"/>
      <c r="BW149" s="110"/>
    </row>
    <row r="150" spans="1:75">
      <c r="A150" s="114"/>
      <c r="B150" s="115"/>
      <c r="C150" s="116"/>
      <c r="D150" s="115"/>
      <c r="E150" s="115"/>
      <c r="F150" s="115"/>
      <c r="G150" s="115"/>
      <c r="H150" s="115"/>
      <c r="I150" s="115"/>
      <c r="J150" s="115"/>
      <c r="K150" s="115"/>
      <c r="L150" s="115"/>
      <c r="M150" s="115"/>
      <c r="N150" s="119"/>
      <c r="O150" s="115"/>
      <c r="P150" s="120"/>
      <c r="Q150" s="121"/>
      <c r="R150" s="124"/>
      <c r="S150" s="123"/>
      <c r="T150" s="110"/>
      <c r="U150" s="110"/>
      <c r="V150" s="110"/>
      <c r="W150" s="110"/>
      <c r="X150" s="110"/>
      <c r="Y150" s="110"/>
      <c r="Z150" s="110"/>
      <c r="AA150" s="110"/>
      <c r="AB150" s="110"/>
      <c r="AC150" s="110"/>
      <c r="AD150" s="110"/>
      <c r="AE150" s="110"/>
      <c r="AF150" s="110"/>
      <c r="AG150" s="110"/>
      <c r="AH150" s="110"/>
      <c r="AI150" s="110"/>
      <c r="AJ150" s="110"/>
      <c r="AK150" s="110"/>
      <c r="AL150" s="110"/>
      <c r="AM150" s="110"/>
      <c r="AN150" s="110"/>
      <c r="AO150" s="110"/>
      <c r="AP150" s="110"/>
      <c r="AQ150" s="110"/>
      <c r="AR150" s="110"/>
      <c r="AS150" s="110"/>
      <c r="AT150" s="110"/>
      <c r="AU150" s="110"/>
      <c r="AV150" s="110"/>
      <c r="AW150" s="110"/>
      <c r="AX150" s="110"/>
      <c r="AY150" s="110"/>
      <c r="AZ150" s="110"/>
      <c r="BA150" s="110"/>
      <c r="BB150" s="110"/>
      <c r="BC150" s="110"/>
      <c r="BD150" s="110"/>
      <c r="BE150" s="110"/>
      <c r="BF150" s="110"/>
      <c r="BG150" s="110"/>
      <c r="BH150" s="110"/>
      <c r="BI150" s="110"/>
      <c r="BJ150" s="110"/>
      <c r="BK150" s="110"/>
      <c r="BL150" s="110"/>
      <c r="BM150" s="110"/>
      <c r="BN150" s="110"/>
      <c r="BO150" s="110"/>
      <c r="BP150" s="110"/>
      <c r="BQ150" s="110"/>
      <c r="BR150" s="110"/>
      <c r="BS150" s="110"/>
      <c r="BT150" s="110"/>
      <c r="BU150" s="110"/>
      <c r="BV150" s="110"/>
      <c r="BW150" s="110"/>
    </row>
    <row r="151" spans="1:75">
      <c r="A151" s="114"/>
      <c r="B151" s="115"/>
      <c r="C151" s="116"/>
      <c r="D151" s="115"/>
      <c r="E151" s="115"/>
      <c r="F151" s="115"/>
      <c r="G151" s="115"/>
      <c r="H151" s="115"/>
      <c r="I151" s="115"/>
      <c r="J151" s="115"/>
      <c r="K151" s="115"/>
      <c r="L151" s="115"/>
      <c r="M151" s="115"/>
      <c r="N151" s="119"/>
      <c r="O151" s="115"/>
      <c r="P151" s="120"/>
      <c r="Q151" s="121"/>
      <c r="R151" s="124"/>
      <c r="S151" s="123"/>
      <c r="T151" s="110"/>
      <c r="U151" s="110"/>
      <c r="V151" s="110"/>
      <c r="W151" s="110"/>
      <c r="X151" s="110"/>
      <c r="Y151" s="110"/>
      <c r="Z151" s="110"/>
      <c r="AA151" s="110"/>
      <c r="AB151" s="110"/>
      <c r="AC151" s="110"/>
      <c r="AD151" s="110"/>
      <c r="AE151" s="110"/>
      <c r="AF151" s="110"/>
      <c r="AG151" s="110"/>
      <c r="AH151" s="110"/>
      <c r="AI151" s="110"/>
      <c r="AJ151" s="110"/>
      <c r="AK151" s="110"/>
      <c r="AL151" s="110"/>
      <c r="AM151" s="110"/>
      <c r="AN151" s="110"/>
      <c r="AO151" s="110"/>
      <c r="AP151" s="110"/>
      <c r="AQ151" s="110"/>
      <c r="AR151" s="110"/>
      <c r="AS151" s="110"/>
      <c r="AT151" s="110"/>
      <c r="AU151" s="110"/>
      <c r="AV151" s="110"/>
      <c r="AW151" s="110"/>
      <c r="AX151" s="110"/>
      <c r="AY151" s="110"/>
      <c r="AZ151" s="110"/>
      <c r="BA151" s="110"/>
      <c r="BB151" s="110"/>
      <c r="BC151" s="110"/>
      <c r="BD151" s="110"/>
      <c r="BE151" s="110"/>
      <c r="BF151" s="110"/>
      <c r="BG151" s="110"/>
      <c r="BH151" s="110"/>
      <c r="BI151" s="110"/>
      <c r="BJ151" s="110"/>
      <c r="BK151" s="110"/>
      <c r="BL151" s="110"/>
      <c r="BM151" s="110"/>
      <c r="BN151" s="110"/>
      <c r="BO151" s="110"/>
      <c r="BP151" s="110"/>
      <c r="BQ151" s="110"/>
      <c r="BR151" s="110"/>
      <c r="BS151" s="110"/>
      <c r="BT151" s="110"/>
      <c r="BU151" s="110"/>
      <c r="BV151" s="110"/>
      <c r="BW151" s="110"/>
    </row>
    <row r="152" spans="1:75">
      <c r="A152" s="114"/>
      <c r="B152" s="115"/>
      <c r="C152" s="116"/>
      <c r="D152" s="115"/>
      <c r="E152" s="115"/>
      <c r="F152" s="115"/>
      <c r="G152" s="115"/>
      <c r="H152" s="115"/>
      <c r="I152" s="115"/>
      <c r="J152" s="115"/>
      <c r="K152" s="115"/>
      <c r="L152" s="115"/>
      <c r="M152" s="115"/>
      <c r="N152" s="119"/>
      <c r="O152" s="115"/>
      <c r="P152" s="120"/>
      <c r="Q152" s="121"/>
      <c r="R152" s="124"/>
      <c r="S152" s="123"/>
      <c r="T152" s="110"/>
      <c r="U152" s="110"/>
      <c r="V152" s="110"/>
      <c r="W152" s="110"/>
      <c r="X152" s="110"/>
      <c r="Y152" s="110"/>
      <c r="Z152" s="110"/>
      <c r="AA152" s="110"/>
      <c r="AB152" s="110"/>
      <c r="AC152" s="110"/>
      <c r="AD152" s="110"/>
      <c r="AE152" s="110"/>
      <c r="AF152" s="110"/>
      <c r="AG152" s="110"/>
      <c r="AH152" s="110"/>
      <c r="AI152" s="110"/>
      <c r="AJ152" s="110"/>
      <c r="AK152" s="110"/>
      <c r="AL152" s="110"/>
      <c r="AM152" s="110"/>
      <c r="AN152" s="110"/>
      <c r="AO152" s="110"/>
      <c r="AP152" s="110"/>
      <c r="AQ152" s="110"/>
      <c r="AR152" s="110"/>
      <c r="AS152" s="110"/>
      <c r="AT152" s="110"/>
      <c r="AU152" s="110"/>
      <c r="AV152" s="110"/>
      <c r="AW152" s="110"/>
      <c r="AX152" s="110"/>
      <c r="AY152" s="110"/>
      <c r="AZ152" s="110"/>
      <c r="BA152" s="110"/>
      <c r="BB152" s="110"/>
      <c r="BC152" s="110"/>
      <c r="BD152" s="110"/>
      <c r="BE152" s="110"/>
      <c r="BF152" s="110"/>
      <c r="BG152" s="110"/>
      <c r="BH152" s="110"/>
      <c r="BI152" s="110"/>
      <c r="BJ152" s="110"/>
      <c r="BK152" s="110"/>
      <c r="BL152" s="110"/>
      <c r="BM152" s="110"/>
      <c r="BN152" s="110"/>
      <c r="BO152" s="110"/>
      <c r="BP152" s="110"/>
      <c r="BQ152" s="110"/>
      <c r="BR152" s="110"/>
      <c r="BS152" s="110"/>
      <c r="BT152" s="110"/>
      <c r="BU152" s="110"/>
      <c r="BV152" s="110"/>
      <c r="BW152" s="110"/>
    </row>
    <row r="153" spans="1:75">
      <c r="A153" s="114"/>
      <c r="B153" s="115"/>
      <c r="C153" s="116"/>
      <c r="D153" s="115"/>
      <c r="E153" s="115"/>
      <c r="F153" s="115"/>
      <c r="G153" s="115"/>
      <c r="H153" s="115"/>
      <c r="I153" s="115"/>
      <c r="J153" s="115"/>
      <c r="K153" s="115"/>
      <c r="L153" s="115"/>
      <c r="M153" s="115"/>
      <c r="N153" s="119"/>
      <c r="O153" s="115"/>
      <c r="P153" s="120"/>
      <c r="Q153" s="121"/>
      <c r="R153" s="124"/>
      <c r="S153" s="123"/>
      <c r="T153" s="110"/>
      <c r="U153" s="110"/>
      <c r="V153" s="110"/>
      <c r="W153" s="110"/>
      <c r="X153" s="110"/>
      <c r="Y153" s="110"/>
      <c r="Z153" s="110"/>
      <c r="AA153" s="110"/>
      <c r="AB153" s="110"/>
      <c r="AC153" s="110"/>
      <c r="AD153" s="110"/>
      <c r="AE153" s="110"/>
      <c r="AF153" s="110"/>
      <c r="AG153" s="110"/>
      <c r="AH153" s="110"/>
      <c r="AI153" s="110"/>
      <c r="AJ153" s="110"/>
      <c r="AK153" s="110"/>
      <c r="AL153" s="110"/>
      <c r="AM153" s="110"/>
      <c r="AN153" s="110"/>
      <c r="AO153" s="110"/>
      <c r="AP153" s="110"/>
      <c r="AQ153" s="110"/>
      <c r="AR153" s="110"/>
      <c r="AS153" s="110"/>
      <c r="AT153" s="110"/>
      <c r="AU153" s="110"/>
      <c r="AV153" s="110"/>
      <c r="AW153" s="110"/>
      <c r="AX153" s="110"/>
      <c r="AY153" s="110"/>
      <c r="AZ153" s="110"/>
      <c r="BA153" s="110"/>
      <c r="BB153" s="110"/>
      <c r="BC153" s="110"/>
      <c r="BD153" s="110"/>
      <c r="BE153" s="110"/>
      <c r="BF153" s="110"/>
      <c r="BG153" s="110"/>
      <c r="BH153" s="110"/>
      <c r="BI153" s="110"/>
      <c r="BJ153" s="110"/>
      <c r="BK153" s="110"/>
      <c r="BL153" s="110"/>
      <c r="BM153" s="110"/>
      <c r="BN153" s="110"/>
      <c r="BO153" s="110"/>
      <c r="BP153" s="110"/>
      <c r="BQ153" s="110"/>
      <c r="BR153" s="110"/>
      <c r="BS153" s="110"/>
      <c r="BT153" s="110"/>
      <c r="BU153" s="110"/>
      <c r="BV153" s="110"/>
      <c r="BW153" s="110"/>
    </row>
    <row r="154" spans="1:75">
      <c r="A154" s="114"/>
      <c r="B154" s="115"/>
      <c r="C154" s="116"/>
      <c r="D154" s="115"/>
      <c r="E154" s="115"/>
      <c r="F154" s="115"/>
      <c r="G154" s="115"/>
      <c r="H154" s="115"/>
      <c r="I154" s="115"/>
      <c r="J154" s="115"/>
      <c r="K154" s="115"/>
      <c r="L154" s="115"/>
      <c r="M154" s="115"/>
      <c r="N154" s="119"/>
      <c r="O154" s="115"/>
      <c r="P154" s="120"/>
      <c r="Q154" s="121"/>
      <c r="R154" s="124"/>
      <c r="S154" s="123"/>
      <c r="T154" s="110"/>
      <c r="U154" s="110"/>
      <c r="V154" s="110"/>
      <c r="W154" s="110"/>
      <c r="X154" s="110"/>
      <c r="Y154" s="110"/>
      <c r="Z154" s="110"/>
      <c r="AA154" s="110"/>
      <c r="AB154" s="110"/>
      <c r="AC154" s="110"/>
      <c r="AD154" s="110"/>
      <c r="AE154" s="110"/>
      <c r="AF154" s="110"/>
      <c r="AG154" s="110"/>
      <c r="AH154" s="110"/>
      <c r="AI154" s="110"/>
      <c r="AJ154" s="110"/>
      <c r="AK154" s="110"/>
      <c r="AL154" s="110"/>
      <c r="AM154" s="110"/>
      <c r="AN154" s="110"/>
      <c r="AO154" s="110"/>
      <c r="AP154" s="110"/>
      <c r="AQ154" s="110"/>
      <c r="AR154" s="110"/>
      <c r="AS154" s="110"/>
      <c r="AT154" s="110"/>
      <c r="AU154" s="110"/>
      <c r="AV154" s="110"/>
      <c r="AW154" s="110"/>
      <c r="AX154" s="110"/>
      <c r="AY154" s="110"/>
      <c r="AZ154" s="110"/>
      <c r="BA154" s="110"/>
      <c r="BB154" s="110"/>
      <c r="BC154" s="110"/>
      <c r="BD154" s="110"/>
      <c r="BE154" s="110"/>
      <c r="BF154" s="110"/>
      <c r="BG154" s="110"/>
      <c r="BH154" s="110"/>
      <c r="BI154" s="110"/>
      <c r="BJ154" s="110"/>
      <c r="BK154" s="110"/>
      <c r="BL154" s="110"/>
      <c r="BM154" s="110"/>
      <c r="BN154" s="110"/>
      <c r="BO154" s="110"/>
      <c r="BP154" s="110"/>
      <c r="BQ154" s="110"/>
      <c r="BR154" s="110"/>
      <c r="BS154" s="110"/>
      <c r="BT154" s="110"/>
      <c r="BU154" s="110"/>
      <c r="BV154" s="110"/>
      <c r="BW154" s="110"/>
    </row>
    <row r="155" spans="1:75">
      <c r="A155" s="114"/>
      <c r="B155" s="115"/>
      <c r="C155" s="116"/>
      <c r="D155" s="115"/>
      <c r="E155" s="115"/>
      <c r="F155" s="115"/>
      <c r="G155" s="115"/>
      <c r="H155" s="115"/>
      <c r="I155" s="115"/>
      <c r="J155" s="115"/>
      <c r="K155" s="115"/>
      <c r="L155" s="115"/>
      <c r="M155" s="115"/>
      <c r="N155" s="119"/>
      <c r="O155" s="115"/>
      <c r="P155" s="120"/>
      <c r="Q155" s="121"/>
      <c r="R155" s="124"/>
      <c r="S155" s="123"/>
      <c r="T155" s="110"/>
      <c r="U155" s="110"/>
      <c r="V155" s="110"/>
      <c r="W155" s="110"/>
      <c r="X155" s="110"/>
      <c r="Y155" s="110"/>
      <c r="Z155" s="110"/>
      <c r="AA155" s="110"/>
      <c r="AB155" s="110"/>
      <c r="AC155" s="110"/>
      <c r="AD155" s="110"/>
      <c r="AE155" s="110"/>
      <c r="AF155" s="110"/>
      <c r="AG155" s="110"/>
      <c r="AH155" s="110"/>
      <c r="AI155" s="110"/>
      <c r="AJ155" s="110"/>
      <c r="AK155" s="110"/>
      <c r="AL155" s="110"/>
      <c r="AM155" s="110"/>
      <c r="AN155" s="110"/>
      <c r="AO155" s="110"/>
      <c r="AP155" s="110"/>
      <c r="AQ155" s="110"/>
      <c r="AR155" s="110"/>
      <c r="AS155" s="110"/>
      <c r="AT155" s="110"/>
      <c r="AU155" s="110"/>
      <c r="AV155" s="110"/>
      <c r="AW155" s="110"/>
      <c r="AX155" s="110"/>
      <c r="AY155" s="110"/>
      <c r="AZ155" s="110"/>
      <c r="BA155" s="110"/>
      <c r="BB155" s="110"/>
      <c r="BC155" s="110"/>
      <c r="BD155" s="110"/>
      <c r="BE155" s="110"/>
      <c r="BF155" s="110"/>
      <c r="BG155" s="110"/>
      <c r="BH155" s="110"/>
      <c r="BI155" s="110"/>
      <c r="BJ155" s="110"/>
      <c r="BK155" s="110"/>
      <c r="BL155" s="110"/>
      <c r="BM155" s="110"/>
      <c r="BN155" s="110"/>
      <c r="BO155" s="110"/>
      <c r="BP155" s="110"/>
      <c r="BQ155" s="110"/>
      <c r="BR155" s="110"/>
      <c r="BS155" s="110"/>
      <c r="BT155" s="110"/>
      <c r="BU155" s="110"/>
      <c r="BV155" s="110"/>
      <c r="BW155" s="110"/>
    </row>
    <row r="156" spans="1:75">
      <c r="A156" s="114"/>
      <c r="B156" s="115"/>
      <c r="C156" s="116"/>
      <c r="D156" s="115"/>
      <c r="E156" s="115"/>
      <c r="F156" s="115"/>
      <c r="G156" s="115"/>
      <c r="H156" s="115"/>
      <c r="I156" s="115"/>
      <c r="J156" s="115"/>
      <c r="K156" s="115"/>
      <c r="L156" s="115"/>
      <c r="M156" s="115"/>
      <c r="N156" s="119"/>
      <c r="O156" s="115"/>
      <c r="P156" s="120"/>
      <c r="Q156" s="121"/>
      <c r="R156" s="124"/>
      <c r="S156" s="123"/>
      <c r="T156" s="110"/>
      <c r="U156" s="110"/>
      <c r="V156" s="110"/>
      <c r="W156" s="110"/>
      <c r="X156" s="110"/>
      <c r="Y156" s="110"/>
      <c r="Z156" s="110"/>
      <c r="AA156" s="110"/>
      <c r="AB156" s="110"/>
      <c r="AC156" s="110"/>
      <c r="AD156" s="110"/>
      <c r="AE156" s="110"/>
      <c r="AF156" s="110"/>
      <c r="AG156" s="110"/>
      <c r="AH156" s="110"/>
      <c r="AI156" s="110"/>
      <c r="AJ156" s="110"/>
      <c r="AK156" s="110"/>
      <c r="AL156" s="110"/>
      <c r="AM156" s="110"/>
      <c r="AN156" s="110"/>
      <c r="AO156" s="110"/>
      <c r="AP156" s="110"/>
      <c r="AQ156" s="110"/>
      <c r="AR156" s="110"/>
      <c r="AS156" s="110"/>
      <c r="AT156" s="110"/>
      <c r="AU156" s="110"/>
      <c r="AV156" s="110"/>
      <c r="AW156" s="110"/>
      <c r="AX156" s="110"/>
      <c r="AY156" s="110"/>
      <c r="AZ156" s="110"/>
      <c r="BA156" s="110"/>
      <c r="BB156" s="110"/>
      <c r="BC156" s="110"/>
      <c r="BD156" s="110"/>
      <c r="BE156" s="110"/>
      <c r="BF156" s="110"/>
      <c r="BG156" s="110"/>
      <c r="BH156" s="110"/>
      <c r="BI156" s="110"/>
      <c r="BJ156" s="110"/>
      <c r="BK156" s="110"/>
      <c r="BL156" s="110"/>
      <c r="BM156" s="110"/>
      <c r="BN156" s="110"/>
      <c r="BO156" s="110"/>
      <c r="BP156" s="110"/>
      <c r="BQ156" s="110"/>
      <c r="BR156" s="110"/>
      <c r="BS156" s="110"/>
      <c r="BT156" s="110"/>
      <c r="BU156" s="110"/>
      <c r="BV156" s="110"/>
      <c r="BW156" s="110"/>
    </row>
    <row r="157" spans="1:75">
      <c r="A157" s="114"/>
      <c r="B157" s="115"/>
      <c r="C157" s="116"/>
      <c r="D157" s="115"/>
      <c r="E157" s="115"/>
      <c r="F157" s="115"/>
      <c r="G157" s="115"/>
      <c r="H157" s="115"/>
      <c r="I157" s="115"/>
      <c r="J157" s="115"/>
      <c r="K157" s="115"/>
      <c r="L157" s="115"/>
      <c r="M157" s="115"/>
      <c r="N157" s="119"/>
      <c r="O157" s="115"/>
      <c r="P157" s="120"/>
      <c r="Q157" s="121"/>
      <c r="R157" s="124"/>
      <c r="S157" s="123"/>
      <c r="T157" s="110"/>
      <c r="U157" s="110"/>
      <c r="V157" s="110"/>
      <c r="W157" s="110"/>
      <c r="X157" s="110"/>
      <c r="Y157" s="110"/>
      <c r="Z157" s="110"/>
      <c r="AA157" s="110"/>
      <c r="AB157" s="110"/>
      <c r="AC157" s="110"/>
      <c r="AD157" s="110"/>
      <c r="AE157" s="110"/>
      <c r="AF157" s="110"/>
      <c r="AG157" s="110"/>
      <c r="AH157" s="110"/>
      <c r="AI157" s="110"/>
      <c r="AJ157" s="110"/>
      <c r="AK157" s="110"/>
      <c r="AL157" s="110"/>
      <c r="AM157" s="110"/>
      <c r="AN157" s="110"/>
      <c r="AO157" s="110"/>
      <c r="AP157" s="110"/>
      <c r="AQ157" s="110"/>
      <c r="AR157" s="110"/>
      <c r="AS157" s="110"/>
      <c r="AT157" s="110"/>
      <c r="AU157" s="110"/>
      <c r="AV157" s="110"/>
      <c r="AW157" s="110"/>
      <c r="AX157" s="110"/>
      <c r="AY157" s="110"/>
      <c r="AZ157" s="110"/>
      <c r="BA157" s="110"/>
      <c r="BB157" s="110"/>
      <c r="BC157" s="110"/>
      <c r="BD157" s="110"/>
      <c r="BE157" s="110"/>
      <c r="BF157" s="110"/>
      <c r="BG157" s="110"/>
      <c r="BH157" s="110"/>
      <c r="BI157" s="110"/>
      <c r="BJ157" s="110"/>
      <c r="BK157" s="110"/>
      <c r="BL157" s="110"/>
      <c r="BM157" s="110"/>
      <c r="BN157" s="110"/>
      <c r="BO157" s="110"/>
      <c r="BP157" s="110"/>
      <c r="BQ157" s="110"/>
      <c r="BR157" s="110"/>
      <c r="BS157" s="110"/>
      <c r="BT157" s="110"/>
      <c r="BU157" s="110"/>
      <c r="BV157" s="110"/>
      <c r="BW157" s="110"/>
    </row>
    <row r="158" spans="1:75">
      <c r="A158" s="114"/>
      <c r="B158" s="115"/>
      <c r="C158" s="116"/>
      <c r="D158" s="115"/>
      <c r="E158" s="115"/>
      <c r="F158" s="115"/>
      <c r="G158" s="115"/>
      <c r="H158" s="115"/>
      <c r="I158" s="115"/>
      <c r="J158" s="115"/>
      <c r="K158" s="115"/>
      <c r="L158" s="115"/>
      <c r="M158" s="115"/>
      <c r="N158" s="119"/>
      <c r="O158" s="115"/>
      <c r="P158" s="120"/>
      <c r="Q158" s="121"/>
      <c r="R158" s="124"/>
      <c r="S158" s="123"/>
      <c r="T158" s="110"/>
      <c r="U158" s="110"/>
      <c r="V158" s="110"/>
      <c r="W158" s="110"/>
      <c r="X158" s="110"/>
      <c r="Y158" s="110"/>
      <c r="Z158" s="110"/>
      <c r="AA158" s="110"/>
      <c r="AB158" s="110"/>
      <c r="AC158" s="110"/>
      <c r="AD158" s="110"/>
      <c r="AE158" s="110"/>
      <c r="AF158" s="110"/>
      <c r="AG158" s="110"/>
      <c r="AH158" s="110"/>
      <c r="AI158" s="110"/>
      <c r="AJ158" s="110"/>
      <c r="AK158" s="110"/>
      <c r="AL158" s="110"/>
      <c r="AM158" s="110"/>
      <c r="AN158" s="110"/>
      <c r="AO158" s="110"/>
      <c r="AP158" s="110"/>
      <c r="AQ158" s="110"/>
      <c r="AR158" s="110"/>
      <c r="AS158" s="110"/>
      <c r="AT158" s="110"/>
      <c r="AU158" s="110"/>
      <c r="AV158" s="110"/>
      <c r="AW158" s="110"/>
      <c r="AX158" s="110"/>
      <c r="AY158" s="110"/>
      <c r="AZ158" s="110"/>
      <c r="BA158" s="110"/>
      <c r="BB158" s="110"/>
      <c r="BC158" s="110"/>
      <c r="BD158" s="110"/>
      <c r="BE158" s="110"/>
      <c r="BF158" s="110"/>
      <c r="BG158" s="110"/>
      <c r="BH158" s="110"/>
      <c r="BI158" s="110"/>
      <c r="BJ158" s="110"/>
      <c r="BK158" s="110"/>
      <c r="BL158" s="110"/>
      <c r="BM158" s="110"/>
      <c r="BN158" s="110"/>
      <c r="BO158" s="110"/>
      <c r="BP158" s="110"/>
      <c r="BQ158" s="110"/>
      <c r="BR158" s="110"/>
      <c r="BS158" s="110"/>
      <c r="BT158" s="110"/>
      <c r="BU158" s="110"/>
      <c r="BV158" s="110"/>
      <c r="BW158" s="110"/>
    </row>
    <row r="159" spans="1:75">
      <c r="A159" s="114"/>
      <c r="B159" s="115"/>
      <c r="C159" s="116"/>
      <c r="D159" s="115"/>
      <c r="E159" s="115"/>
      <c r="F159" s="115"/>
      <c r="G159" s="115"/>
      <c r="H159" s="115"/>
      <c r="I159" s="115"/>
      <c r="J159" s="115"/>
      <c r="K159" s="115"/>
      <c r="L159" s="115"/>
      <c r="M159" s="115"/>
      <c r="N159" s="119"/>
      <c r="O159" s="115"/>
      <c r="P159" s="120"/>
      <c r="Q159" s="121"/>
      <c r="R159" s="124"/>
      <c r="S159" s="123"/>
      <c r="T159" s="110"/>
      <c r="U159" s="110"/>
      <c r="V159" s="110"/>
      <c r="W159" s="110"/>
      <c r="X159" s="110"/>
      <c r="Y159" s="110"/>
      <c r="Z159" s="110"/>
      <c r="AA159" s="110"/>
      <c r="AB159" s="110"/>
      <c r="AC159" s="110"/>
      <c r="AD159" s="110"/>
      <c r="AE159" s="110"/>
      <c r="AF159" s="110"/>
      <c r="AG159" s="110"/>
      <c r="AH159" s="110"/>
      <c r="AI159" s="110"/>
      <c r="AJ159" s="110"/>
      <c r="AK159" s="110"/>
      <c r="AL159" s="110"/>
      <c r="AM159" s="110"/>
      <c r="AN159" s="110"/>
      <c r="AO159" s="110"/>
      <c r="AP159" s="110"/>
      <c r="AQ159" s="110"/>
      <c r="AR159" s="110"/>
      <c r="AS159" s="110"/>
      <c r="AT159" s="110"/>
      <c r="AU159" s="110"/>
      <c r="AV159" s="110"/>
      <c r="AW159" s="110"/>
      <c r="AX159" s="110"/>
      <c r="AY159" s="110"/>
      <c r="AZ159" s="110"/>
      <c r="BA159" s="110"/>
      <c r="BB159" s="110"/>
      <c r="BC159" s="110"/>
      <c r="BD159" s="110"/>
      <c r="BE159" s="110"/>
      <c r="BF159" s="110"/>
      <c r="BG159" s="110"/>
      <c r="BH159" s="110"/>
      <c r="BI159" s="110"/>
      <c r="BJ159" s="110"/>
      <c r="BK159" s="110"/>
      <c r="BL159" s="110"/>
      <c r="BM159" s="110"/>
      <c r="BN159" s="110"/>
      <c r="BO159" s="110"/>
      <c r="BP159" s="110"/>
      <c r="BQ159" s="110"/>
      <c r="BR159" s="110"/>
      <c r="BS159" s="110"/>
      <c r="BT159" s="110"/>
      <c r="BU159" s="110"/>
      <c r="BV159" s="110"/>
      <c r="BW159" s="110"/>
    </row>
    <row r="160" spans="1:75">
      <c r="A160" s="114"/>
      <c r="B160" s="115"/>
      <c r="C160" s="116"/>
      <c r="D160" s="115"/>
      <c r="E160" s="115"/>
      <c r="F160" s="115"/>
      <c r="G160" s="115"/>
      <c r="H160" s="115"/>
      <c r="I160" s="115"/>
      <c r="J160" s="115"/>
      <c r="K160" s="115"/>
      <c r="L160" s="115"/>
      <c r="M160" s="115"/>
      <c r="N160" s="119"/>
      <c r="O160" s="115"/>
      <c r="P160" s="120"/>
      <c r="Q160" s="121"/>
      <c r="R160" s="124"/>
      <c r="S160" s="123"/>
      <c r="T160" s="110"/>
      <c r="U160" s="110"/>
      <c r="V160" s="110"/>
      <c r="W160" s="110"/>
      <c r="X160" s="110"/>
      <c r="Y160" s="110"/>
      <c r="Z160" s="110"/>
      <c r="AA160" s="110"/>
      <c r="AB160" s="110"/>
      <c r="AC160" s="110"/>
      <c r="AD160" s="110"/>
      <c r="AE160" s="110"/>
      <c r="AF160" s="110"/>
      <c r="AG160" s="110"/>
      <c r="AH160" s="110"/>
      <c r="AI160" s="110"/>
      <c r="AJ160" s="110"/>
      <c r="AK160" s="110"/>
      <c r="AL160" s="110"/>
      <c r="AM160" s="110"/>
      <c r="AN160" s="110"/>
      <c r="AO160" s="110"/>
      <c r="AP160" s="110"/>
      <c r="AQ160" s="110"/>
      <c r="AR160" s="110"/>
      <c r="AS160" s="110"/>
      <c r="AT160" s="110"/>
      <c r="AU160" s="110"/>
      <c r="AV160" s="110"/>
      <c r="AW160" s="110"/>
      <c r="AX160" s="110"/>
      <c r="AY160" s="110"/>
      <c r="AZ160" s="110"/>
      <c r="BA160" s="110"/>
      <c r="BB160" s="110"/>
      <c r="BC160" s="110"/>
      <c r="BD160" s="110"/>
      <c r="BE160" s="110"/>
      <c r="BF160" s="110"/>
      <c r="BG160" s="110"/>
      <c r="BH160" s="110"/>
      <c r="BI160" s="110"/>
      <c r="BJ160" s="110"/>
      <c r="BK160" s="110"/>
      <c r="BL160" s="110"/>
      <c r="BM160" s="110"/>
      <c r="BN160" s="110"/>
      <c r="BO160" s="110"/>
      <c r="BP160" s="110"/>
      <c r="BQ160" s="110"/>
      <c r="BR160" s="110"/>
      <c r="BS160" s="110"/>
      <c r="BT160" s="110"/>
      <c r="BU160" s="110"/>
      <c r="BV160" s="110"/>
      <c r="BW160" s="110"/>
    </row>
    <row r="161" spans="1:75">
      <c r="A161" s="114"/>
      <c r="B161" s="115"/>
      <c r="C161" s="116"/>
      <c r="D161" s="115"/>
      <c r="E161" s="115"/>
      <c r="F161" s="115"/>
      <c r="G161" s="115"/>
      <c r="H161" s="115"/>
      <c r="I161" s="115"/>
      <c r="J161" s="115"/>
      <c r="K161" s="115"/>
      <c r="L161" s="115"/>
      <c r="M161" s="115"/>
      <c r="N161" s="119"/>
      <c r="O161" s="115"/>
      <c r="P161" s="120"/>
      <c r="Q161" s="121"/>
      <c r="R161" s="124"/>
      <c r="S161" s="123"/>
      <c r="T161" s="110"/>
      <c r="U161" s="110"/>
      <c r="V161" s="110"/>
      <c r="W161" s="110"/>
      <c r="X161" s="110"/>
      <c r="Y161" s="110"/>
      <c r="Z161" s="110"/>
      <c r="AA161" s="110"/>
      <c r="AB161" s="110"/>
      <c r="AC161" s="110"/>
      <c r="AD161" s="110"/>
      <c r="AE161" s="110"/>
      <c r="AF161" s="110"/>
      <c r="AG161" s="110"/>
      <c r="AH161" s="110"/>
      <c r="AI161" s="110"/>
      <c r="AJ161" s="110"/>
      <c r="AK161" s="110"/>
      <c r="AL161" s="110"/>
      <c r="AM161" s="110"/>
      <c r="AN161" s="110"/>
      <c r="AO161" s="110"/>
      <c r="AP161" s="110"/>
      <c r="AQ161" s="110"/>
      <c r="AR161" s="110"/>
      <c r="AS161" s="110"/>
      <c r="AT161" s="110"/>
      <c r="AU161" s="110"/>
      <c r="AV161" s="110"/>
      <c r="AW161" s="110"/>
      <c r="AX161" s="110"/>
      <c r="AY161" s="110"/>
      <c r="AZ161" s="110"/>
      <c r="BA161" s="110"/>
      <c r="BB161" s="110"/>
      <c r="BC161" s="110"/>
      <c r="BD161" s="110"/>
      <c r="BE161" s="110"/>
      <c r="BF161" s="110"/>
      <c r="BG161" s="110"/>
      <c r="BH161" s="110"/>
      <c r="BI161" s="110"/>
      <c r="BJ161" s="110"/>
      <c r="BK161" s="110"/>
      <c r="BL161" s="110"/>
      <c r="BM161" s="110"/>
      <c r="BN161" s="110"/>
      <c r="BO161" s="110"/>
      <c r="BP161" s="110"/>
      <c r="BQ161" s="110"/>
      <c r="BR161" s="110"/>
      <c r="BS161" s="110"/>
      <c r="BT161" s="110"/>
      <c r="BU161" s="110"/>
      <c r="BV161" s="110"/>
      <c r="BW161" s="110"/>
    </row>
    <row r="162" spans="1:75">
      <c r="A162" s="114"/>
      <c r="B162" s="115"/>
      <c r="C162" s="116"/>
      <c r="D162" s="115"/>
      <c r="E162" s="115"/>
      <c r="F162" s="115"/>
      <c r="G162" s="115"/>
      <c r="H162" s="115"/>
      <c r="I162" s="115"/>
      <c r="J162" s="115"/>
      <c r="K162" s="115"/>
      <c r="L162" s="115"/>
      <c r="M162" s="115"/>
      <c r="N162" s="119"/>
      <c r="O162" s="115"/>
      <c r="P162" s="120"/>
      <c r="Q162" s="121"/>
      <c r="R162" s="124"/>
      <c r="S162" s="123"/>
      <c r="T162" s="110"/>
      <c r="U162" s="110"/>
      <c r="V162" s="110"/>
      <c r="W162" s="110"/>
      <c r="X162" s="110"/>
      <c r="Y162" s="110"/>
      <c r="Z162" s="110"/>
      <c r="AA162" s="110"/>
      <c r="AB162" s="110"/>
      <c r="AC162" s="110"/>
      <c r="AD162" s="110"/>
      <c r="AE162" s="110"/>
      <c r="AF162" s="110"/>
      <c r="AG162" s="110"/>
      <c r="AH162" s="110"/>
      <c r="AI162" s="110"/>
      <c r="AJ162" s="110"/>
      <c r="AK162" s="110"/>
      <c r="AL162" s="110"/>
      <c r="AM162" s="110"/>
      <c r="AN162" s="110"/>
      <c r="AO162" s="110"/>
      <c r="AP162" s="110"/>
      <c r="AQ162" s="110"/>
      <c r="AR162" s="110"/>
      <c r="AS162" s="110"/>
      <c r="AT162" s="110"/>
      <c r="AU162" s="110"/>
      <c r="AV162" s="110"/>
      <c r="AW162" s="110"/>
      <c r="AX162" s="110"/>
      <c r="AY162" s="110"/>
      <c r="AZ162" s="110"/>
      <c r="BA162" s="110"/>
      <c r="BB162" s="110"/>
      <c r="BC162" s="110"/>
      <c r="BD162" s="110"/>
      <c r="BE162" s="110"/>
      <c r="BF162" s="110"/>
      <c r="BG162" s="110"/>
      <c r="BH162" s="110"/>
      <c r="BI162" s="110"/>
      <c r="BJ162" s="110"/>
      <c r="BK162" s="110"/>
      <c r="BL162" s="110"/>
      <c r="BM162" s="110"/>
      <c r="BN162" s="110"/>
      <c r="BO162" s="110"/>
      <c r="BP162" s="110"/>
      <c r="BQ162" s="110"/>
      <c r="BR162" s="110"/>
      <c r="BS162" s="110"/>
      <c r="BT162" s="110"/>
      <c r="BU162" s="110"/>
      <c r="BV162" s="110"/>
      <c r="BW162" s="110"/>
    </row>
    <row r="163" spans="1:75">
      <c r="A163" s="114"/>
      <c r="B163" s="115"/>
      <c r="C163" s="116"/>
      <c r="D163" s="115"/>
      <c r="E163" s="115"/>
      <c r="F163" s="115"/>
      <c r="G163" s="115"/>
      <c r="H163" s="115"/>
      <c r="I163" s="115"/>
      <c r="J163" s="115"/>
      <c r="K163" s="115"/>
      <c r="L163" s="115"/>
      <c r="M163" s="115"/>
      <c r="N163" s="119"/>
      <c r="O163" s="115"/>
      <c r="P163" s="120"/>
      <c r="Q163" s="121"/>
      <c r="R163" s="124"/>
      <c r="S163" s="123"/>
      <c r="T163" s="110"/>
      <c r="U163" s="110"/>
      <c r="V163" s="110"/>
      <c r="W163" s="110"/>
      <c r="X163" s="110"/>
      <c r="Y163" s="110"/>
      <c r="Z163" s="110"/>
      <c r="AA163" s="110"/>
      <c r="AB163" s="110"/>
      <c r="AC163" s="110"/>
      <c r="AD163" s="110"/>
      <c r="AE163" s="110"/>
      <c r="AF163" s="110"/>
      <c r="AG163" s="110"/>
      <c r="AH163" s="110"/>
      <c r="AI163" s="110"/>
      <c r="AJ163" s="110"/>
      <c r="AK163" s="110"/>
      <c r="AL163" s="110"/>
      <c r="AM163" s="110"/>
      <c r="AN163" s="110"/>
      <c r="AO163" s="110"/>
      <c r="AP163" s="110"/>
      <c r="AQ163" s="110"/>
      <c r="AR163" s="110"/>
      <c r="AS163" s="110"/>
      <c r="AT163" s="110"/>
      <c r="AU163" s="110"/>
      <c r="AV163" s="110"/>
      <c r="AW163" s="110"/>
      <c r="AX163" s="110"/>
      <c r="AY163" s="110"/>
      <c r="AZ163" s="110"/>
      <c r="BA163" s="110"/>
      <c r="BB163" s="110"/>
      <c r="BC163" s="110"/>
      <c r="BD163" s="110"/>
      <c r="BE163" s="110"/>
      <c r="BF163" s="110"/>
      <c r="BG163" s="110"/>
      <c r="BH163" s="110"/>
      <c r="BI163" s="110"/>
      <c r="BJ163" s="110"/>
      <c r="BK163" s="110"/>
      <c r="BL163" s="110"/>
      <c r="BM163" s="110"/>
      <c r="BN163" s="110"/>
      <c r="BO163" s="110"/>
      <c r="BP163" s="110"/>
      <c r="BQ163" s="110"/>
      <c r="BR163" s="110"/>
      <c r="BS163" s="110"/>
      <c r="BT163" s="110"/>
      <c r="BU163" s="110"/>
      <c r="BV163" s="110"/>
      <c r="BW163" s="110"/>
    </row>
    <row r="164" spans="1:75">
      <c r="A164" s="114"/>
      <c r="B164" s="115"/>
      <c r="C164" s="116"/>
      <c r="D164" s="115"/>
      <c r="E164" s="115"/>
      <c r="F164" s="115"/>
      <c r="G164" s="115"/>
      <c r="H164" s="115"/>
      <c r="I164" s="115"/>
      <c r="J164" s="115"/>
      <c r="K164" s="115"/>
      <c r="L164" s="115"/>
      <c r="M164" s="115"/>
      <c r="N164" s="119"/>
      <c r="O164" s="115"/>
      <c r="P164" s="120"/>
      <c r="Q164" s="121"/>
      <c r="R164" s="124"/>
      <c r="S164" s="123"/>
      <c r="T164" s="110"/>
      <c r="U164" s="110"/>
      <c r="V164" s="110"/>
      <c r="W164" s="110"/>
      <c r="X164" s="110"/>
      <c r="Y164" s="110"/>
      <c r="Z164" s="110"/>
      <c r="AA164" s="110"/>
      <c r="AB164" s="110"/>
      <c r="AC164" s="110"/>
      <c r="AD164" s="110"/>
      <c r="AE164" s="110"/>
      <c r="AF164" s="110"/>
      <c r="AG164" s="110"/>
      <c r="AH164" s="110"/>
      <c r="AI164" s="110"/>
      <c r="AJ164" s="110"/>
      <c r="AK164" s="110"/>
      <c r="AL164" s="110"/>
      <c r="AM164" s="110"/>
      <c r="AN164" s="110"/>
      <c r="AO164" s="110"/>
      <c r="AP164" s="110"/>
      <c r="AQ164" s="110"/>
      <c r="AR164" s="110"/>
      <c r="AS164" s="110"/>
      <c r="AT164" s="110"/>
      <c r="AU164" s="110"/>
      <c r="AV164" s="110"/>
      <c r="AW164" s="110"/>
      <c r="AX164" s="110"/>
      <c r="AY164" s="110"/>
      <c r="AZ164" s="110"/>
      <c r="BA164" s="110"/>
      <c r="BB164" s="110"/>
      <c r="BC164" s="110"/>
      <c r="BD164" s="110"/>
      <c r="BE164" s="110"/>
      <c r="BF164" s="110"/>
      <c r="BG164" s="110"/>
      <c r="BH164" s="110"/>
      <c r="BI164" s="110"/>
      <c r="BJ164" s="110"/>
      <c r="BK164" s="110"/>
      <c r="BL164" s="110"/>
      <c r="BM164" s="110"/>
      <c r="BN164" s="110"/>
      <c r="BO164" s="110"/>
      <c r="BP164" s="110"/>
      <c r="BQ164" s="110"/>
      <c r="BR164" s="110"/>
      <c r="BS164" s="110"/>
      <c r="BT164" s="110"/>
      <c r="BU164" s="110"/>
      <c r="BV164" s="110"/>
      <c r="BW164" s="110"/>
    </row>
    <row r="165" spans="1:75">
      <c r="A165" s="114"/>
      <c r="B165" s="115"/>
      <c r="C165" s="116"/>
      <c r="D165" s="115"/>
      <c r="E165" s="115"/>
      <c r="F165" s="115"/>
      <c r="G165" s="115"/>
      <c r="H165" s="115"/>
      <c r="I165" s="115"/>
      <c r="J165" s="115"/>
      <c r="K165" s="115"/>
      <c r="L165" s="115"/>
      <c r="M165" s="115"/>
      <c r="N165" s="119"/>
      <c r="O165" s="115"/>
      <c r="P165" s="120"/>
      <c r="Q165" s="121"/>
      <c r="R165" s="124"/>
      <c r="S165" s="123"/>
      <c r="T165" s="110"/>
      <c r="U165" s="110"/>
      <c r="V165" s="110"/>
      <c r="W165" s="110"/>
      <c r="X165" s="110"/>
      <c r="Y165" s="110"/>
      <c r="Z165" s="110"/>
      <c r="AA165" s="110"/>
      <c r="AB165" s="110"/>
      <c r="AC165" s="110"/>
      <c r="AD165" s="110"/>
      <c r="AE165" s="110"/>
      <c r="AF165" s="110"/>
      <c r="AG165" s="110"/>
      <c r="AH165" s="110"/>
      <c r="AI165" s="110"/>
      <c r="AJ165" s="110"/>
      <c r="AK165" s="110"/>
      <c r="AL165" s="110"/>
      <c r="AM165" s="110"/>
      <c r="AN165" s="110"/>
      <c r="AO165" s="110"/>
      <c r="AP165" s="110"/>
      <c r="AQ165" s="110"/>
      <c r="AR165" s="110"/>
      <c r="AS165" s="110"/>
      <c r="AT165" s="110"/>
      <c r="AU165" s="110"/>
      <c r="AV165" s="110"/>
      <c r="AW165" s="110"/>
      <c r="AX165" s="110"/>
      <c r="AY165" s="110"/>
      <c r="AZ165" s="110"/>
      <c r="BA165" s="110"/>
      <c r="BB165" s="110"/>
      <c r="BC165" s="110"/>
      <c r="BD165" s="110"/>
      <c r="BE165" s="110"/>
      <c r="BF165" s="110"/>
      <c r="BG165" s="110"/>
      <c r="BH165" s="110"/>
      <c r="BI165" s="110"/>
      <c r="BJ165" s="110"/>
      <c r="BK165" s="110"/>
      <c r="BL165" s="110"/>
      <c r="BM165" s="110"/>
      <c r="BN165" s="110"/>
      <c r="BO165" s="110"/>
      <c r="BP165" s="110"/>
      <c r="BQ165" s="110"/>
      <c r="BR165" s="110"/>
      <c r="BS165" s="110"/>
      <c r="BT165" s="110"/>
      <c r="BU165" s="110"/>
      <c r="BV165" s="110"/>
      <c r="BW165" s="110"/>
    </row>
    <row r="166" spans="1:75">
      <c r="A166" s="114"/>
      <c r="B166" s="115"/>
      <c r="C166" s="116"/>
      <c r="D166" s="115"/>
      <c r="E166" s="115"/>
      <c r="F166" s="115"/>
      <c r="G166" s="115"/>
      <c r="H166" s="115"/>
      <c r="I166" s="115"/>
      <c r="J166" s="115"/>
      <c r="K166" s="115"/>
      <c r="L166" s="115"/>
      <c r="M166" s="115"/>
      <c r="N166" s="119"/>
      <c r="O166" s="115"/>
      <c r="P166" s="120"/>
      <c r="Q166" s="121"/>
      <c r="R166" s="124"/>
      <c r="S166" s="123"/>
      <c r="T166" s="110"/>
      <c r="U166" s="110"/>
      <c r="V166" s="110"/>
      <c r="W166" s="110"/>
      <c r="X166" s="110"/>
      <c r="Y166" s="110"/>
      <c r="Z166" s="110"/>
      <c r="AA166" s="110"/>
      <c r="AB166" s="110"/>
      <c r="AC166" s="110"/>
      <c r="AD166" s="110"/>
      <c r="AE166" s="110"/>
      <c r="AF166" s="110"/>
      <c r="AG166" s="110"/>
      <c r="AH166" s="110"/>
      <c r="AI166" s="110"/>
      <c r="AJ166" s="110"/>
      <c r="AK166" s="110"/>
      <c r="AL166" s="110"/>
      <c r="AM166" s="110"/>
      <c r="AN166" s="110"/>
      <c r="AO166" s="110"/>
      <c r="AP166" s="110"/>
      <c r="AQ166" s="110"/>
      <c r="AR166" s="110"/>
      <c r="AS166" s="110"/>
      <c r="AT166" s="110"/>
      <c r="AU166" s="110"/>
      <c r="AV166" s="110"/>
      <c r="AW166" s="110"/>
      <c r="AX166" s="110"/>
      <c r="AY166" s="110"/>
      <c r="AZ166" s="110"/>
      <c r="BA166" s="110"/>
      <c r="BB166" s="110"/>
      <c r="BC166" s="110"/>
      <c r="BD166" s="110"/>
      <c r="BE166" s="110"/>
      <c r="BF166" s="110"/>
      <c r="BG166" s="110"/>
      <c r="BH166" s="110"/>
      <c r="BI166" s="110"/>
      <c r="BJ166" s="110"/>
      <c r="BK166" s="110"/>
      <c r="BL166" s="110"/>
      <c r="BM166" s="110"/>
      <c r="BN166" s="110"/>
      <c r="BO166" s="110"/>
      <c r="BP166" s="110"/>
      <c r="BQ166" s="110"/>
      <c r="BR166" s="110"/>
      <c r="BS166" s="110"/>
      <c r="BT166" s="110"/>
      <c r="BU166" s="110"/>
      <c r="BV166" s="110"/>
      <c r="BW166" s="110"/>
    </row>
    <row r="167" spans="1:75">
      <c r="A167" s="114"/>
      <c r="B167" s="115"/>
      <c r="C167" s="116"/>
      <c r="D167" s="115"/>
      <c r="E167" s="115"/>
      <c r="F167" s="115"/>
      <c r="G167" s="115"/>
      <c r="H167" s="115"/>
      <c r="I167" s="115"/>
      <c r="J167" s="115"/>
      <c r="K167" s="115"/>
      <c r="L167" s="115"/>
      <c r="M167" s="115"/>
      <c r="N167" s="119"/>
      <c r="O167" s="115"/>
      <c r="P167" s="120"/>
      <c r="Q167" s="121"/>
      <c r="R167" s="124"/>
      <c r="S167" s="123"/>
      <c r="T167" s="110"/>
      <c r="U167" s="110"/>
      <c r="V167" s="110"/>
      <c r="W167" s="110"/>
      <c r="X167" s="110"/>
      <c r="Y167" s="110"/>
      <c r="Z167" s="110"/>
      <c r="AA167" s="110"/>
      <c r="AB167" s="110"/>
      <c r="AC167" s="110"/>
      <c r="AD167" s="110"/>
      <c r="AE167" s="110"/>
      <c r="AF167" s="110"/>
      <c r="AG167" s="110"/>
      <c r="AH167" s="110"/>
      <c r="AI167" s="110"/>
      <c r="AJ167" s="110"/>
      <c r="AK167" s="110"/>
      <c r="AL167" s="110"/>
      <c r="AM167" s="110"/>
      <c r="AN167" s="110"/>
      <c r="AO167" s="110"/>
      <c r="AP167" s="110"/>
      <c r="AQ167" s="110"/>
      <c r="AR167" s="110"/>
      <c r="AS167" s="110"/>
      <c r="AT167" s="110"/>
      <c r="AU167" s="110"/>
      <c r="AV167" s="110"/>
      <c r="AW167" s="110"/>
      <c r="AX167" s="110"/>
      <c r="AY167" s="110"/>
      <c r="AZ167" s="110"/>
      <c r="BA167" s="110"/>
      <c r="BB167" s="110"/>
      <c r="BC167" s="110"/>
      <c r="BD167" s="110"/>
      <c r="BE167" s="110"/>
      <c r="BF167" s="110"/>
      <c r="BG167" s="110"/>
      <c r="BH167" s="110"/>
      <c r="BI167" s="110"/>
      <c r="BJ167" s="110"/>
      <c r="BK167" s="110"/>
      <c r="BL167" s="110"/>
      <c r="BM167" s="110"/>
      <c r="BN167" s="110"/>
      <c r="BO167" s="110"/>
      <c r="BP167" s="110"/>
      <c r="BQ167" s="110"/>
      <c r="BR167" s="110"/>
      <c r="BS167" s="110"/>
      <c r="BT167" s="110"/>
      <c r="BU167" s="110"/>
      <c r="BV167" s="110"/>
      <c r="BW167" s="110"/>
    </row>
    <row r="168" spans="1:75">
      <c r="A168" s="114"/>
      <c r="B168" s="115"/>
      <c r="C168" s="116"/>
      <c r="D168" s="115"/>
      <c r="E168" s="115"/>
      <c r="F168" s="115"/>
      <c r="G168" s="115"/>
      <c r="H168" s="115"/>
      <c r="I168" s="115"/>
      <c r="J168" s="115"/>
      <c r="K168" s="115"/>
      <c r="L168" s="115"/>
      <c r="M168" s="115"/>
      <c r="N168" s="119"/>
      <c r="O168" s="115"/>
      <c r="P168" s="120"/>
      <c r="Q168" s="121"/>
      <c r="R168" s="124"/>
      <c r="S168" s="123"/>
      <c r="T168" s="110"/>
      <c r="U168" s="110"/>
      <c r="V168" s="110"/>
      <c r="W168" s="110"/>
      <c r="X168" s="110"/>
      <c r="Y168" s="110"/>
      <c r="Z168" s="110"/>
      <c r="AA168" s="110"/>
      <c r="AB168" s="110"/>
      <c r="AC168" s="110"/>
      <c r="AD168" s="110"/>
      <c r="AE168" s="110"/>
      <c r="AF168" s="110"/>
      <c r="AG168" s="110"/>
      <c r="AH168" s="110"/>
      <c r="AI168" s="110"/>
      <c r="AJ168" s="110"/>
      <c r="AK168" s="110"/>
      <c r="AL168" s="110"/>
      <c r="AM168" s="110"/>
      <c r="AN168" s="110"/>
      <c r="AO168" s="110"/>
      <c r="AP168" s="110"/>
      <c r="AQ168" s="110"/>
      <c r="AR168" s="110"/>
      <c r="AS168" s="110"/>
      <c r="AT168" s="110"/>
      <c r="AU168" s="110"/>
      <c r="AV168" s="110"/>
      <c r="AW168" s="110"/>
      <c r="AX168" s="110"/>
      <c r="AY168" s="110"/>
      <c r="AZ168" s="110"/>
      <c r="BA168" s="110"/>
      <c r="BB168" s="110"/>
      <c r="BC168" s="110"/>
      <c r="BD168" s="110"/>
      <c r="BE168" s="110"/>
      <c r="BF168" s="110"/>
      <c r="BG168" s="110"/>
      <c r="BH168" s="110"/>
      <c r="BI168" s="110"/>
      <c r="BJ168" s="110"/>
      <c r="BK168" s="110"/>
      <c r="BL168" s="110"/>
      <c r="BM168" s="110"/>
      <c r="BN168" s="110"/>
      <c r="BO168" s="110"/>
      <c r="BP168" s="110"/>
      <c r="BQ168" s="110"/>
      <c r="BR168" s="110"/>
      <c r="BS168" s="110"/>
      <c r="BT168" s="110"/>
      <c r="BU168" s="110"/>
      <c r="BV168" s="110"/>
      <c r="BW168" s="110"/>
    </row>
    <row r="169" spans="1:75">
      <c r="A169" s="114"/>
      <c r="B169" s="115"/>
      <c r="C169" s="116"/>
      <c r="D169" s="115"/>
      <c r="E169" s="115"/>
      <c r="F169" s="115"/>
      <c r="G169" s="115"/>
      <c r="H169" s="115"/>
      <c r="I169" s="115"/>
      <c r="J169" s="115"/>
      <c r="K169" s="115"/>
      <c r="L169" s="115"/>
      <c r="M169" s="115"/>
      <c r="N169" s="119"/>
      <c r="O169" s="115"/>
      <c r="P169" s="120"/>
      <c r="Q169" s="121"/>
      <c r="R169" s="124"/>
      <c r="S169" s="123"/>
      <c r="T169" s="110"/>
      <c r="U169" s="110"/>
      <c r="V169" s="110"/>
      <c r="W169" s="110"/>
      <c r="X169" s="110"/>
      <c r="Y169" s="110"/>
      <c r="Z169" s="110"/>
      <c r="AA169" s="110"/>
      <c r="AB169" s="110"/>
      <c r="AC169" s="110"/>
      <c r="AD169" s="110"/>
      <c r="AE169" s="110"/>
      <c r="AF169" s="110"/>
      <c r="AG169" s="110"/>
      <c r="AH169" s="110"/>
      <c r="AI169" s="110"/>
      <c r="AJ169" s="110"/>
      <c r="AK169" s="110"/>
      <c r="AL169" s="110"/>
      <c r="AM169" s="110"/>
      <c r="AN169" s="110"/>
      <c r="AO169" s="110"/>
      <c r="AP169" s="110"/>
      <c r="AQ169" s="110"/>
      <c r="AR169" s="110"/>
      <c r="AS169" s="110"/>
      <c r="AT169" s="110"/>
      <c r="AU169" s="110"/>
      <c r="AV169" s="110"/>
      <c r="AW169" s="110"/>
      <c r="AX169" s="110"/>
      <c r="AY169" s="110"/>
      <c r="AZ169" s="110"/>
      <c r="BA169" s="110"/>
      <c r="BB169" s="110"/>
      <c r="BC169" s="110"/>
      <c r="BD169" s="110"/>
      <c r="BE169" s="110"/>
      <c r="BF169" s="110"/>
      <c r="BG169" s="110"/>
      <c r="BH169" s="110"/>
      <c r="BI169" s="110"/>
      <c r="BJ169" s="110"/>
      <c r="BK169" s="110"/>
      <c r="BL169" s="110"/>
      <c r="BM169" s="110"/>
      <c r="BN169" s="110"/>
      <c r="BO169" s="110"/>
      <c r="BP169" s="110"/>
      <c r="BQ169" s="110"/>
      <c r="BR169" s="110"/>
      <c r="BS169" s="110"/>
      <c r="BT169" s="110"/>
      <c r="BU169" s="110"/>
      <c r="BV169" s="110"/>
      <c r="BW169" s="110"/>
    </row>
    <row r="170" spans="1:75">
      <c r="A170" s="114"/>
      <c r="B170" s="115"/>
      <c r="C170" s="116"/>
      <c r="D170" s="115"/>
      <c r="E170" s="115"/>
      <c r="F170" s="115"/>
      <c r="G170" s="115"/>
      <c r="H170" s="115"/>
      <c r="I170" s="115"/>
      <c r="J170" s="115"/>
      <c r="K170" s="115"/>
      <c r="L170" s="115"/>
      <c r="M170" s="115"/>
      <c r="N170" s="119"/>
      <c r="O170" s="115"/>
      <c r="P170" s="120"/>
      <c r="Q170" s="121"/>
      <c r="R170" s="124"/>
      <c r="S170" s="123"/>
      <c r="T170" s="110"/>
      <c r="U170" s="110"/>
      <c r="V170" s="110"/>
      <c r="W170" s="110"/>
      <c r="X170" s="110"/>
      <c r="Y170" s="110"/>
      <c r="Z170" s="110"/>
      <c r="AA170" s="110"/>
      <c r="AB170" s="110"/>
      <c r="AC170" s="110"/>
      <c r="AD170" s="110"/>
      <c r="AE170" s="110"/>
      <c r="AF170" s="110"/>
      <c r="AG170" s="110"/>
      <c r="AH170" s="110"/>
      <c r="AI170" s="110"/>
      <c r="AJ170" s="110"/>
      <c r="AK170" s="110"/>
      <c r="AL170" s="110"/>
      <c r="AM170" s="110"/>
      <c r="AN170" s="110"/>
      <c r="AO170" s="110"/>
      <c r="AP170" s="110"/>
      <c r="AQ170" s="110"/>
      <c r="AR170" s="110"/>
      <c r="AS170" s="110"/>
      <c r="AT170" s="110"/>
      <c r="AU170" s="110"/>
      <c r="AV170" s="110"/>
      <c r="AW170" s="110"/>
      <c r="AX170" s="110"/>
      <c r="AY170" s="110"/>
      <c r="AZ170" s="110"/>
      <c r="BA170" s="110"/>
      <c r="BB170" s="110"/>
      <c r="BC170" s="110"/>
      <c r="BD170" s="110"/>
      <c r="BE170" s="110"/>
      <c r="BF170" s="110"/>
      <c r="BG170" s="110"/>
      <c r="BH170" s="110"/>
      <c r="BI170" s="110"/>
      <c r="BJ170" s="110"/>
      <c r="BK170" s="110"/>
      <c r="BL170" s="110"/>
      <c r="BM170" s="110"/>
      <c r="BN170" s="110"/>
      <c r="BO170" s="110"/>
      <c r="BP170" s="110"/>
      <c r="BQ170" s="110"/>
      <c r="BR170" s="110"/>
      <c r="BS170" s="110"/>
      <c r="BT170" s="110"/>
      <c r="BU170" s="110"/>
      <c r="BV170" s="110"/>
      <c r="BW170" s="110"/>
    </row>
    <row r="171" spans="1:75">
      <c r="A171" s="114"/>
      <c r="B171" s="115"/>
      <c r="C171" s="116"/>
      <c r="D171" s="115"/>
      <c r="E171" s="115"/>
      <c r="F171" s="115"/>
      <c r="G171" s="115"/>
      <c r="H171" s="115"/>
      <c r="I171" s="115"/>
      <c r="J171" s="115"/>
      <c r="K171" s="115"/>
      <c r="L171" s="115"/>
      <c r="M171" s="115"/>
      <c r="N171" s="119"/>
      <c r="O171" s="115"/>
      <c r="P171" s="120"/>
      <c r="Q171" s="121"/>
      <c r="R171" s="124"/>
      <c r="S171" s="123"/>
      <c r="T171" s="110"/>
      <c r="U171" s="110"/>
      <c r="V171" s="110"/>
      <c r="W171" s="110"/>
      <c r="X171" s="110"/>
      <c r="Y171" s="110"/>
      <c r="Z171" s="110"/>
      <c r="AA171" s="110"/>
      <c r="AB171" s="110"/>
      <c r="AC171" s="110"/>
      <c r="AD171" s="110"/>
      <c r="AE171" s="110"/>
      <c r="AF171" s="110"/>
      <c r="AG171" s="110"/>
      <c r="AH171" s="110"/>
      <c r="AI171" s="110"/>
      <c r="AJ171" s="110"/>
      <c r="AK171" s="110"/>
      <c r="AL171" s="110"/>
      <c r="AM171" s="110"/>
      <c r="AN171" s="110"/>
      <c r="AO171" s="110"/>
      <c r="AP171" s="110"/>
      <c r="AQ171" s="110"/>
      <c r="AR171" s="110"/>
      <c r="AS171" s="110"/>
      <c r="AT171" s="110"/>
      <c r="AU171" s="110"/>
      <c r="AV171" s="110"/>
      <c r="AW171" s="110"/>
      <c r="AX171" s="110"/>
      <c r="AY171" s="110"/>
      <c r="AZ171" s="110"/>
      <c r="BA171" s="110"/>
      <c r="BB171" s="110"/>
      <c r="BC171" s="110"/>
      <c r="BD171" s="110"/>
      <c r="BE171" s="110"/>
      <c r="BF171" s="110"/>
      <c r="BG171" s="110"/>
      <c r="BH171" s="110"/>
      <c r="BI171" s="110"/>
      <c r="BJ171" s="110"/>
      <c r="BK171" s="110"/>
      <c r="BL171" s="110"/>
      <c r="BM171" s="110"/>
      <c r="BN171" s="110"/>
      <c r="BO171" s="110"/>
      <c r="BP171" s="110"/>
      <c r="BQ171" s="110"/>
      <c r="BR171" s="110"/>
      <c r="BS171" s="110"/>
      <c r="BT171" s="110"/>
      <c r="BU171" s="110"/>
      <c r="BV171" s="110"/>
      <c r="BW171" s="110"/>
    </row>
    <row r="172" spans="1:75">
      <c r="A172" s="114"/>
      <c r="B172" s="115"/>
      <c r="C172" s="116"/>
      <c r="D172" s="115"/>
      <c r="E172" s="115"/>
      <c r="F172" s="115"/>
      <c r="G172" s="115"/>
      <c r="H172" s="115"/>
      <c r="I172" s="115"/>
      <c r="J172" s="115"/>
      <c r="K172" s="115"/>
      <c r="L172" s="115"/>
      <c r="M172" s="115"/>
      <c r="N172" s="119"/>
      <c r="O172" s="115"/>
      <c r="P172" s="120"/>
      <c r="Q172" s="121"/>
      <c r="R172" s="124"/>
      <c r="S172" s="123"/>
      <c r="T172" s="110"/>
      <c r="U172" s="110"/>
      <c r="V172" s="110"/>
      <c r="W172" s="110"/>
      <c r="X172" s="110"/>
      <c r="Y172" s="110"/>
      <c r="Z172" s="110"/>
      <c r="AA172" s="110"/>
      <c r="AB172" s="110"/>
      <c r="AC172" s="110"/>
      <c r="AD172" s="110"/>
      <c r="AE172" s="110"/>
      <c r="AF172" s="110"/>
      <c r="AG172" s="110"/>
      <c r="AH172" s="110"/>
      <c r="AI172" s="110"/>
      <c r="AJ172" s="110"/>
      <c r="AK172" s="110"/>
      <c r="AL172" s="110"/>
      <c r="AM172" s="110"/>
      <c r="AN172" s="110"/>
      <c r="AO172" s="110"/>
      <c r="AP172" s="110"/>
      <c r="AQ172" s="110"/>
      <c r="AR172" s="110"/>
      <c r="AS172" s="110"/>
      <c r="AT172" s="110"/>
      <c r="AU172" s="110"/>
      <c r="AV172" s="110"/>
      <c r="AW172" s="110"/>
      <c r="AX172" s="110"/>
      <c r="AY172" s="110"/>
      <c r="AZ172" s="110"/>
      <c r="BA172" s="110"/>
      <c r="BB172" s="110"/>
      <c r="BC172" s="110"/>
      <c r="BD172" s="110"/>
      <c r="BE172" s="110"/>
      <c r="BF172" s="110"/>
      <c r="BG172" s="110"/>
      <c r="BH172" s="110"/>
      <c r="BI172" s="110"/>
      <c r="BJ172" s="110"/>
      <c r="BK172" s="110"/>
      <c r="BL172" s="110"/>
      <c r="BM172" s="110"/>
      <c r="BN172" s="110"/>
      <c r="BO172" s="110"/>
      <c r="BP172" s="110"/>
      <c r="BQ172" s="110"/>
      <c r="BR172" s="110"/>
      <c r="BS172" s="110"/>
      <c r="BT172" s="110"/>
      <c r="BU172" s="110"/>
      <c r="BV172" s="110"/>
      <c r="BW172" s="110"/>
    </row>
    <row r="173" spans="1:75">
      <c r="A173" s="114"/>
      <c r="B173" s="115"/>
      <c r="C173" s="116"/>
      <c r="D173" s="115"/>
      <c r="E173" s="115"/>
      <c r="F173" s="115"/>
      <c r="G173" s="115"/>
      <c r="H173" s="115"/>
      <c r="I173" s="115"/>
      <c r="J173" s="115"/>
      <c r="K173" s="115"/>
      <c r="L173" s="115"/>
      <c r="M173" s="115"/>
      <c r="N173" s="119"/>
      <c r="O173" s="115"/>
      <c r="P173" s="120"/>
      <c r="Q173" s="121"/>
      <c r="R173" s="124"/>
      <c r="S173" s="123"/>
      <c r="T173" s="110"/>
      <c r="U173" s="110"/>
      <c r="V173" s="110"/>
      <c r="W173" s="110"/>
      <c r="X173" s="110"/>
      <c r="Y173" s="110"/>
      <c r="Z173" s="110"/>
      <c r="AA173" s="110"/>
      <c r="AB173" s="110"/>
      <c r="AC173" s="110"/>
      <c r="AD173" s="110"/>
      <c r="AE173" s="110"/>
      <c r="AF173" s="110"/>
      <c r="AG173" s="110"/>
      <c r="AH173" s="110"/>
      <c r="AI173" s="110"/>
      <c r="AJ173" s="110"/>
      <c r="AK173" s="110"/>
      <c r="AL173" s="110"/>
      <c r="AM173" s="110"/>
      <c r="AN173" s="110"/>
      <c r="AO173" s="110"/>
      <c r="AP173" s="110"/>
      <c r="AQ173" s="110"/>
      <c r="AR173" s="110"/>
      <c r="AS173" s="110"/>
      <c r="AT173" s="110"/>
      <c r="AU173" s="110"/>
      <c r="AV173" s="110"/>
      <c r="AW173" s="110"/>
      <c r="AX173" s="110"/>
      <c r="AY173" s="110"/>
      <c r="AZ173" s="110"/>
      <c r="BA173" s="110"/>
      <c r="BB173" s="110"/>
      <c r="BC173" s="110"/>
      <c r="BD173" s="110"/>
      <c r="BE173" s="110"/>
      <c r="BF173" s="110"/>
      <c r="BG173" s="110"/>
      <c r="BH173" s="110"/>
      <c r="BI173" s="110"/>
      <c r="BJ173" s="110"/>
      <c r="BK173" s="110"/>
      <c r="BL173" s="110"/>
      <c r="BM173" s="110"/>
      <c r="BN173" s="110"/>
      <c r="BO173" s="110"/>
      <c r="BP173" s="110"/>
      <c r="BQ173" s="110"/>
      <c r="BR173" s="110"/>
      <c r="BS173" s="110"/>
      <c r="BT173" s="110"/>
      <c r="BU173" s="110"/>
      <c r="BV173" s="110"/>
      <c r="BW173" s="110"/>
    </row>
    <row r="174" spans="1:75">
      <c r="A174" s="114"/>
      <c r="B174" s="115"/>
      <c r="C174" s="116"/>
      <c r="D174" s="115"/>
      <c r="E174" s="115"/>
      <c r="F174" s="115"/>
      <c r="G174" s="115"/>
      <c r="H174" s="115"/>
      <c r="I174" s="115"/>
      <c r="J174" s="115"/>
      <c r="K174" s="115"/>
      <c r="L174" s="115"/>
      <c r="M174" s="115"/>
      <c r="N174" s="119"/>
      <c r="O174" s="115"/>
      <c r="P174" s="120"/>
      <c r="Q174" s="121"/>
      <c r="R174" s="124"/>
      <c r="S174" s="123"/>
      <c r="T174" s="110"/>
      <c r="U174" s="110"/>
      <c r="V174" s="110"/>
      <c r="W174" s="110"/>
      <c r="X174" s="110"/>
      <c r="Y174" s="110"/>
      <c r="Z174" s="110"/>
      <c r="AA174" s="110"/>
      <c r="AB174" s="110"/>
      <c r="AC174" s="110"/>
      <c r="AD174" s="110"/>
      <c r="AE174" s="110"/>
      <c r="AF174" s="110"/>
      <c r="AG174" s="110"/>
      <c r="AH174" s="110"/>
      <c r="AI174" s="110"/>
      <c r="AJ174" s="110"/>
      <c r="AK174" s="110"/>
      <c r="AL174" s="110"/>
      <c r="AM174" s="110"/>
      <c r="AN174" s="110"/>
      <c r="AO174" s="110"/>
      <c r="AP174" s="110"/>
      <c r="AQ174" s="110"/>
      <c r="AR174" s="110"/>
      <c r="AS174" s="110"/>
      <c r="AT174" s="110"/>
      <c r="AU174" s="110"/>
      <c r="AV174" s="110"/>
      <c r="AW174" s="110"/>
      <c r="AX174" s="110"/>
      <c r="AY174" s="110"/>
      <c r="AZ174" s="110"/>
      <c r="BA174" s="110"/>
      <c r="BB174" s="110"/>
      <c r="BC174" s="110"/>
      <c r="BD174" s="110"/>
      <c r="BE174" s="110"/>
      <c r="BF174" s="110"/>
      <c r="BG174" s="110"/>
      <c r="BH174" s="110"/>
      <c r="BI174" s="110"/>
      <c r="BJ174" s="110"/>
      <c r="BK174" s="110"/>
      <c r="BL174" s="110"/>
      <c r="BM174" s="110"/>
      <c r="BN174" s="110"/>
      <c r="BO174" s="110"/>
      <c r="BP174" s="110"/>
      <c r="BQ174" s="110"/>
      <c r="BR174" s="110"/>
      <c r="BS174" s="110"/>
      <c r="BT174" s="110"/>
      <c r="BU174" s="110"/>
      <c r="BV174" s="110"/>
      <c r="BW174" s="110"/>
    </row>
    <row r="175" spans="1:75">
      <c r="A175" s="114"/>
      <c r="B175" s="115"/>
      <c r="C175" s="116"/>
      <c r="D175" s="115"/>
      <c r="E175" s="115"/>
      <c r="F175" s="115"/>
      <c r="G175" s="115"/>
      <c r="H175" s="115"/>
      <c r="I175" s="115"/>
      <c r="J175" s="115"/>
      <c r="K175" s="115"/>
      <c r="L175" s="115"/>
      <c r="M175" s="115"/>
      <c r="N175" s="119"/>
      <c r="O175" s="115"/>
      <c r="P175" s="120"/>
      <c r="Q175" s="121"/>
      <c r="R175" s="124"/>
      <c r="S175" s="123"/>
      <c r="T175" s="110"/>
      <c r="U175" s="110"/>
      <c r="V175" s="110"/>
      <c r="W175" s="110"/>
      <c r="X175" s="110"/>
      <c r="Y175" s="110"/>
      <c r="Z175" s="110"/>
      <c r="AA175" s="110"/>
      <c r="AB175" s="110"/>
      <c r="AC175" s="110"/>
      <c r="AD175" s="110"/>
      <c r="AE175" s="110"/>
      <c r="AF175" s="110"/>
      <c r="AG175" s="110"/>
      <c r="AH175" s="110"/>
      <c r="AI175" s="110"/>
      <c r="AJ175" s="110"/>
      <c r="AK175" s="110"/>
      <c r="AL175" s="110"/>
      <c r="AM175" s="110"/>
      <c r="AN175" s="110"/>
      <c r="AO175" s="110"/>
      <c r="AP175" s="110"/>
      <c r="AQ175" s="110"/>
      <c r="AR175" s="110"/>
      <c r="AS175" s="110"/>
      <c r="AT175" s="110"/>
      <c r="AU175" s="110"/>
      <c r="AV175" s="110"/>
      <c r="AW175" s="110"/>
      <c r="AX175" s="110"/>
      <c r="AY175" s="110"/>
      <c r="AZ175" s="110"/>
      <c r="BA175" s="110"/>
      <c r="BB175" s="110"/>
      <c r="BC175" s="110"/>
      <c r="BD175" s="110"/>
      <c r="BE175" s="110"/>
      <c r="BF175" s="110"/>
      <c r="BG175" s="110"/>
      <c r="BH175" s="110"/>
      <c r="BI175" s="110"/>
      <c r="BJ175" s="110"/>
      <c r="BK175" s="110"/>
      <c r="BL175" s="110"/>
      <c r="BM175" s="110"/>
      <c r="BN175" s="110"/>
      <c r="BO175" s="110"/>
      <c r="BP175" s="110"/>
      <c r="BQ175" s="110"/>
      <c r="BR175" s="110"/>
      <c r="BS175" s="110"/>
      <c r="BT175" s="110"/>
      <c r="BU175" s="110"/>
      <c r="BV175" s="110"/>
      <c r="BW175" s="110"/>
    </row>
    <row r="176" spans="1:75">
      <c r="A176" s="114"/>
      <c r="B176" s="115"/>
      <c r="C176" s="116"/>
      <c r="D176" s="115"/>
      <c r="E176" s="115"/>
      <c r="F176" s="115"/>
      <c r="G176" s="115"/>
      <c r="H176" s="115"/>
      <c r="I176" s="115"/>
      <c r="J176" s="115"/>
      <c r="K176" s="115"/>
      <c r="L176" s="115"/>
      <c r="M176" s="115"/>
      <c r="N176" s="119"/>
      <c r="O176" s="115"/>
      <c r="P176" s="120"/>
      <c r="Q176" s="121"/>
      <c r="R176" s="124"/>
      <c r="S176" s="123"/>
      <c r="T176" s="110"/>
      <c r="U176" s="110"/>
      <c r="V176" s="110"/>
      <c r="W176" s="110"/>
      <c r="X176" s="110"/>
      <c r="Y176" s="110"/>
      <c r="Z176" s="110"/>
      <c r="AA176" s="110"/>
      <c r="AB176" s="110"/>
      <c r="AC176" s="110"/>
      <c r="AD176" s="110"/>
      <c r="AE176" s="110"/>
      <c r="AF176" s="110"/>
      <c r="AG176" s="110"/>
      <c r="AH176" s="110"/>
      <c r="AI176" s="110"/>
      <c r="AJ176" s="110"/>
      <c r="AK176" s="110"/>
      <c r="AL176" s="110"/>
      <c r="AM176" s="110"/>
      <c r="AN176" s="110"/>
      <c r="AO176" s="110"/>
      <c r="AP176" s="110"/>
      <c r="AQ176" s="110"/>
      <c r="AR176" s="110"/>
      <c r="AS176" s="110"/>
      <c r="AT176" s="110"/>
      <c r="AU176" s="110"/>
      <c r="AV176" s="110"/>
      <c r="AW176" s="110"/>
      <c r="AX176" s="110"/>
      <c r="AY176" s="110"/>
      <c r="AZ176" s="110"/>
      <c r="BA176" s="110"/>
      <c r="BB176" s="110"/>
      <c r="BC176" s="110"/>
      <c r="BD176" s="110"/>
      <c r="BE176" s="110"/>
      <c r="BF176" s="110"/>
      <c r="BG176" s="110"/>
      <c r="BH176" s="110"/>
      <c r="BI176" s="110"/>
      <c r="BJ176" s="110"/>
      <c r="BK176" s="110"/>
      <c r="BL176" s="110"/>
      <c r="BM176" s="110"/>
      <c r="BN176" s="110"/>
      <c r="BO176" s="110"/>
      <c r="BP176" s="110"/>
      <c r="BQ176" s="110"/>
      <c r="BR176" s="110"/>
      <c r="BS176" s="110"/>
      <c r="BT176" s="110"/>
      <c r="BU176" s="110"/>
      <c r="BV176" s="110"/>
      <c r="BW176" s="110"/>
    </row>
    <row r="177" spans="1:75">
      <c r="A177" s="114"/>
      <c r="B177" s="115"/>
      <c r="C177" s="116"/>
      <c r="D177" s="115"/>
      <c r="E177" s="115"/>
      <c r="F177" s="115"/>
      <c r="G177" s="115"/>
      <c r="H177" s="115"/>
      <c r="I177" s="115"/>
      <c r="J177" s="115"/>
      <c r="K177" s="115"/>
      <c r="L177" s="115"/>
      <c r="M177" s="115"/>
      <c r="N177" s="119"/>
      <c r="O177" s="115"/>
      <c r="P177" s="120"/>
      <c r="Q177" s="121"/>
      <c r="R177" s="124"/>
      <c r="S177" s="123"/>
      <c r="T177" s="110"/>
      <c r="U177" s="110"/>
      <c r="V177" s="110"/>
      <c r="W177" s="110"/>
      <c r="X177" s="110"/>
      <c r="Y177" s="110"/>
      <c r="Z177" s="110"/>
      <c r="AA177" s="110"/>
      <c r="AB177" s="110"/>
      <c r="AC177" s="110"/>
      <c r="AD177" s="110"/>
      <c r="AE177" s="110"/>
      <c r="AF177" s="110"/>
      <c r="AG177" s="110"/>
      <c r="AH177" s="110"/>
      <c r="AI177" s="110"/>
      <c r="AJ177" s="110"/>
      <c r="AK177" s="110"/>
      <c r="AL177" s="110"/>
      <c r="AM177" s="110"/>
      <c r="AN177" s="110"/>
      <c r="AO177" s="110"/>
      <c r="AP177" s="110"/>
      <c r="AQ177" s="110"/>
      <c r="AR177" s="110"/>
      <c r="AS177" s="110"/>
      <c r="AT177" s="110"/>
      <c r="AU177" s="110"/>
      <c r="AV177" s="110"/>
      <c r="AW177" s="110"/>
      <c r="AX177" s="110"/>
      <c r="AY177" s="110"/>
      <c r="AZ177" s="110"/>
      <c r="BA177" s="110"/>
      <c r="BB177" s="110"/>
      <c r="BC177" s="110"/>
      <c r="BD177" s="110"/>
      <c r="BE177" s="110"/>
      <c r="BF177" s="110"/>
      <c r="BG177" s="110"/>
      <c r="BH177" s="110"/>
      <c r="BI177" s="110"/>
      <c r="BJ177" s="110"/>
      <c r="BK177" s="110"/>
      <c r="BL177" s="110"/>
      <c r="BM177" s="110"/>
      <c r="BN177" s="110"/>
      <c r="BO177" s="110"/>
      <c r="BP177" s="110"/>
      <c r="BQ177" s="110"/>
      <c r="BR177" s="110"/>
      <c r="BS177" s="110"/>
      <c r="BT177" s="110"/>
      <c r="BU177" s="110"/>
      <c r="BV177" s="110"/>
      <c r="BW177" s="110"/>
    </row>
    <row r="178" spans="1:75">
      <c r="A178" s="114"/>
      <c r="B178" s="115"/>
      <c r="C178" s="116"/>
      <c r="D178" s="115"/>
      <c r="E178" s="115"/>
      <c r="F178" s="115"/>
      <c r="G178" s="115"/>
      <c r="H178" s="115"/>
      <c r="I178" s="115"/>
      <c r="J178" s="115"/>
      <c r="K178" s="115"/>
      <c r="L178" s="115"/>
      <c r="M178" s="115"/>
      <c r="N178" s="119"/>
      <c r="O178" s="115"/>
      <c r="P178" s="120"/>
      <c r="Q178" s="121"/>
      <c r="R178" s="124"/>
      <c r="S178" s="123"/>
      <c r="T178" s="110"/>
      <c r="U178" s="110"/>
      <c r="V178" s="110"/>
      <c r="W178" s="110"/>
      <c r="X178" s="110"/>
      <c r="Y178" s="110"/>
      <c r="Z178" s="110"/>
      <c r="AA178" s="110"/>
      <c r="AB178" s="110"/>
      <c r="AC178" s="110"/>
      <c r="AD178" s="110"/>
      <c r="AE178" s="110"/>
      <c r="AF178" s="110"/>
      <c r="AG178" s="110"/>
      <c r="AH178" s="110"/>
      <c r="AI178" s="110"/>
      <c r="AJ178" s="110"/>
      <c r="AK178" s="110"/>
      <c r="AL178" s="110"/>
      <c r="AM178" s="110"/>
      <c r="AN178" s="110"/>
      <c r="AO178" s="110"/>
      <c r="AP178" s="110"/>
      <c r="AQ178" s="110"/>
      <c r="AR178" s="110"/>
      <c r="AS178" s="110"/>
      <c r="AT178" s="110"/>
      <c r="AU178" s="110"/>
      <c r="AV178" s="110"/>
      <c r="AW178" s="110"/>
      <c r="AX178" s="110"/>
      <c r="AY178" s="110"/>
      <c r="AZ178" s="110"/>
      <c r="BA178" s="110"/>
      <c r="BB178" s="110"/>
      <c r="BC178" s="110"/>
      <c r="BD178" s="110"/>
      <c r="BE178" s="110"/>
      <c r="BF178" s="110"/>
      <c r="BG178" s="110"/>
      <c r="BH178" s="110"/>
      <c r="BI178" s="110"/>
      <c r="BJ178" s="110"/>
      <c r="BK178" s="110"/>
      <c r="BL178" s="110"/>
      <c r="BM178" s="110"/>
      <c r="BN178" s="110"/>
      <c r="BO178" s="110"/>
      <c r="BP178" s="110"/>
      <c r="BQ178" s="110"/>
      <c r="BR178" s="110"/>
      <c r="BS178" s="110"/>
      <c r="BT178" s="110"/>
      <c r="BU178" s="110"/>
      <c r="BV178" s="110"/>
      <c r="BW178" s="110"/>
    </row>
    <row r="179" spans="1:75">
      <c r="A179" s="114"/>
      <c r="B179" s="115"/>
      <c r="C179" s="116"/>
      <c r="D179" s="115"/>
      <c r="E179" s="115"/>
      <c r="F179" s="115"/>
      <c r="G179" s="115"/>
      <c r="H179" s="115"/>
      <c r="I179" s="115"/>
      <c r="J179" s="115"/>
      <c r="K179" s="115"/>
      <c r="L179" s="115"/>
      <c r="M179" s="115"/>
      <c r="N179" s="119"/>
      <c r="O179" s="115"/>
      <c r="P179" s="120"/>
      <c r="Q179" s="121"/>
      <c r="R179" s="124"/>
      <c r="S179" s="123"/>
      <c r="T179" s="110"/>
      <c r="U179" s="110"/>
      <c r="V179" s="110"/>
      <c r="W179" s="110"/>
      <c r="X179" s="110"/>
      <c r="Y179" s="110"/>
      <c r="Z179" s="110"/>
      <c r="AA179" s="110"/>
      <c r="AB179" s="110"/>
      <c r="AC179" s="110"/>
      <c r="AD179" s="110"/>
      <c r="AE179" s="110"/>
      <c r="AF179" s="110"/>
      <c r="AG179" s="110"/>
      <c r="AH179" s="110"/>
      <c r="AI179" s="110"/>
      <c r="AJ179" s="110"/>
      <c r="AK179" s="110"/>
      <c r="AL179" s="110"/>
      <c r="AM179" s="110"/>
      <c r="AN179" s="110"/>
      <c r="AO179" s="110"/>
      <c r="AP179" s="110"/>
      <c r="AQ179" s="110"/>
      <c r="AR179" s="110"/>
      <c r="AS179" s="110"/>
      <c r="AT179" s="110"/>
      <c r="AU179" s="110"/>
      <c r="AV179" s="110"/>
      <c r="AW179" s="110"/>
      <c r="AX179" s="110"/>
      <c r="AY179" s="110"/>
      <c r="AZ179" s="110"/>
      <c r="BA179" s="110"/>
      <c r="BB179" s="110"/>
      <c r="BC179" s="110"/>
      <c r="BD179" s="110"/>
      <c r="BE179" s="110"/>
      <c r="BF179" s="110"/>
      <c r="BG179" s="110"/>
      <c r="BH179" s="110"/>
      <c r="BI179" s="110"/>
      <c r="BJ179" s="110"/>
      <c r="BK179" s="110"/>
      <c r="BL179" s="110"/>
      <c r="BM179" s="110"/>
      <c r="BN179" s="110"/>
      <c r="BO179" s="110"/>
      <c r="BP179" s="110"/>
      <c r="BQ179" s="110"/>
      <c r="BR179" s="110"/>
      <c r="BS179" s="110"/>
      <c r="BT179" s="110"/>
      <c r="BU179" s="110"/>
      <c r="BV179" s="110"/>
      <c r="BW179" s="110"/>
    </row>
    <row r="180" spans="1:75">
      <c r="A180" s="114"/>
      <c r="B180" s="115"/>
      <c r="C180" s="116"/>
      <c r="D180" s="115"/>
      <c r="E180" s="115"/>
      <c r="F180" s="115"/>
      <c r="G180" s="115"/>
      <c r="H180" s="115"/>
      <c r="I180" s="115"/>
      <c r="J180" s="115"/>
      <c r="K180" s="115"/>
      <c r="L180" s="115"/>
      <c r="M180" s="115"/>
      <c r="N180" s="119"/>
      <c r="O180" s="115"/>
      <c r="P180" s="120"/>
      <c r="Q180" s="121"/>
      <c r="R180" s="124"/>
      <c r="S180" s="123"/>
      <c r="T180" s="110"/>
      <c r="U180" s="110"/>
      <c r="V180" s="110"/>
      <c r="W180" s="110"/>
      <c r="X180" s="110"/>
      <c r="Y180" s="110"/>
      <c r="Z180" s="110"/>
      <c r="AA180" s="110"/>
      <c r="AB180" s="110"/>
      <c r="AC180" s="110"/>
      <c r="AD180" s="110"/>
      <c r="AE180" s="110"/>
      <c r="AF180" s="110"/>
      <c r="AG180" s="110"/>
      <c r="AH180" s="110"/>
      <c r="AI180" s="110"/>
      <c r="AJ180" s="110"/>
      <c r="AK180" s="110"/>
      <c r="AL180" s="110"/>
      <c r="AM180" s="110"/>
      <c r="AN180" s="110"/>
      <c r="AO180" s="110"/>
      <c r="AP180" s="110"/>
      <c r="AQ180" s="110"/>
      <c r="AR180" s="110"/>
      <c r="AS180" s="110"/>
      <c r="AT180" s="110"/>
      <c r="AU180" s="110"/>
      <c r="AV180" s="110"/>
      <c r="AW180" s="110"/>
      <c r="AX180" s="110"/>
      <c r="AY180" s="110"/>
      <c r="AZ180" s="110"/>
      <c r="BA180" s="110"/>
      <c r="BB180" s="110"/>
      <c r="BC180" s="110"/>
      <c r="BD180" s="110"/>
      <c r="BE180" s="110"/>
      <c r="BF180" s="110"/>
      <c r="BG180" s="110"/>
      <c r="BH180" s="110"/>
      <c r="BI180" s="110"/>
      <c r="BJ180" s="110"/>
      <c r="BK180" s="110"/>
      <c r="BL180" s="110"/>
      <c r="BM180" s="110"/>
      <c r="BN180" s="110"/>
      <c r="BO180" s="110"/>
      <c r="BP180" s="110"/>
      <c r="BQ180" s="110"/>
      <c r="BR180" s="110"/>
      <c r="BS180" s="110"/>
      <c r="BT180" s="110"/>
      <c r="BU180" s="110"/>
      <c r="BV180" s="110"/>
      <c r="BW180" s="110"/>
    </row>
    <row r="181" spans="1:75">
      <c r="A181" s="114"/>
      <c r="B181" s="115"/>
      <c r="C181" s="116"/>
      <c r="D181" s="115"/>
      <c r="E181" s="115"/>
      <c r="F181" s="115"/>
      <c r="G181" s="115"/>
      <c r="H181" s="115"/>
      <c r="I181" s="115"/>
      <c r="J181" s="115"/>
      <c r="K181" s="115"/>
      <c r="L181" s="115"/>
      <c r="M181" s="115"/>
      <c r="N181" s="119"/>
      <c r="O181" s="115"/>
      <c r="P181" s="120"/>
      <c r="Q181" s="121"/>
      <c r="R181" s="124"/>
      <c r="S181" s="123"/>
      <c r="T181" s="110"/>
      <c r="U181" s="110"/>
      <c r="V181" s="110"/>
      <c r="W181" s="110"/>
      <c r="X181" s="110"/>
      <c r="Y181" s="110"/>
      <c r="Z181" s="110"/>
      <c r="AA181" s="110"/>
      <c r="AB181" s="110"/>
      <c r="AC181" s="110"/>
      <c r="AD181" s="110"/>
      <c r="AE181" s="110"/>
      <c r="AF181" s="110"/>
      <c r="AG181" s="110"/>
      <c r="AH181" s="110"/>
      <c r="AI181" s="110"/>
      <c r="AJ181" s="110"/>
      <c r="AK181" s="110"/>
      <c r="AL181" s="110"/>
      <c r="AM181" s="110"/>
      <c r="AN181" s="110"/>
      <c r="AO181" s="110"/>
      <c r="AP181" s="110"/>
      <c r="AQ181" s="110"/>
      <c r="AR181" s="110"/>
      <c r="AS181" s="110"/>
      <c r="AT181" s="110"/>
      <c r="AU181" s="110"/>
      <c r="AV181" s="110"/>
      <c r="AW181" s="110"/>
      <c r="AX181" s="110"/>
      <c r="AY181" s="110"/>
      <c r="AZ181" s="110"/>
      <c r="BA181" s="110"/>
      <c r="BB181" s="110"/>
      <c r="BC181" s="110"/>
      <c r="BD181" s="110"/>
      <c r="BE181" s="110"/>
      <c r="BF181" s="110"/>
      <c r="BG181" s="110"/>
      <c r="BH181" s="110"/>
      <c r="BI181" s="110"/>
      <c r="BJ181" s="110"/>
      <c r="BK181" s="110"/>
      <c r="BL181" s="110"/>
      <c r="BM181" s="110"/>
      <c r="BN181" s="110"/>
      <c r="BO181" s="110"/>
      <c r="BP181" s="110"/>
      <c r="BQ181" s="110"/>
      <c r="BR181" s="110"/>
      <c r="BS181" s="110"/>
      <c r="BT181" s="110"/>
      <c r="BU181" s="110"/>
      <c r="BV181" s="110"/>
      <c r="BW181" s="110"/>
    </row>
    <row r="182" spans="1:75">
      <c r="A182" s="114"/>
      <c r="B182" s="115"/>
      <c r="C182" s="116"/>
      <c r="D182" s="115"/>
      <c r="E182" s="115"/>
      <c r="F182" s="115"/>
      <c r="G182" s="115"/>
      <c r="H182" s="115"/>
      <c r="I182" s="115"/>
      <c r="J182" s="115"/>
      <c r="K182" s="115"/>
      <c r="L182" s="115"/>
      <c r="M182" s="115"/>
      <c r="N182" s="119"/>
      <c r="O182" s="115"/>
      <c r="P182" s="120"/>
      <c r="Q182" s="121"/>
      <c r="R182" s="124"/>
      <c r="S182" s="123"/>
      <c r="T182" s="110"/>
      <c r="U182" s="110"/>
      <c r="V182" s="110"/>
      <c r="W182" s="110"/>
      <c r="X182" s="110"/>
      <c r="Y182" s="110"/>
      <c r="Z182" s="110"/>
      <c r="AA182" s="110"/>
      <c r="AB182" s="110"/>
      <c r="AC182" s="110"/>
      <c r="AD182" s="110"/>
      <c r="AE182" s="110"/>
      <c r="AF182" s="110"/>
      <c r="AG182" s="110"/>
      <c r="AH182" s="110"/>
      <c r="AI182" s="110"/>
      <c r="AJ182" s="110"/>
      <c r="AK182" s="110"/>
      <c r="AL182" s="110"/>
      <c r="AM182" s="110"/>
      <c r="AN182" s="110"/>
      <c r="AO182" s="110"/>
      <c r="AP182" s="110"/>
      <c r="AQ182" s="110"/>
      <c r="AR182" s="110"/>
      <c r="AS182" s="110"/>
      <c r="AT182" s="110"/>
      <c r="AU182" s="110"/>
      <c r="AV182" s="110"/>
      <c r="AW182" s="110"/>
      <c r="AX182" s="110"/>
      <c r="AY182" s="110"/>
      <c r="AZ182" s="110"/>
      <c r="BA182" s="110"/>
      <c r="BB182" s="110"/>
      <c r="BC182" s="110"/>
      <c r="BD182" s="110"/>
      <c r="BE182" s="110"/>
      <c r="BF182" s="110"/>
      <c r="BG182" s="110"/>
      <c r="BH182" s="110"/>
      <c r="BI182" s="110"/>
      <c r="BJ182" s="110"/>
      <c r="BK182" s="110"/>
      <c r="BL182" s="110"/>
      <c r="BM182" s="110"/>
      <c r="BN182" s="110"/>
      <c r="BO182" s="110"/>
      <c r="BP182" s="110"/>
      <c r="BQ182" s="110"/>
      <c r="BR182" s="110"/>
      <c r="BS182" s="110"/>
      <c r="BT182" s="110"/>
      <c r="BU182" s="110"/>
      <c r="BV182" s="110"/>
      <c r="BW182" s="110"/>
    </row>
    <row r="183" spans="1:75">
      <c r="A183" s="114"/>
      <c r="B183" s="115"/>
      <c r="C183" s="116"/>
      <c r="D183" s="115"/>
      <c r="E183" s="115"/>
      <c r="F183" s="115"/>
      <c r="G183" s="115"/>
      <c r="H183" s="115"/>
      <c r="I183" s="115"/>
      <c r="J183" s="115"/>
      <c r="K183" s="115"/>
      <c r="L183" s="115"/>
      <c r="M183" s="115"/>
      <c r="N183" s="119"/>
      <c r="O183" s="115"/>
      <c r="P183" s="120"/>
      <c r="Q183" s="121"/>
      <c r="R183" s="124"/>
      <c r="S183" s="123"/>
      <c r="T183" s="110"/>
      <c r="U183" s="110"/>
      <c r="V183" s="110"/>
      <c r="W183" s="110"/>
      <c r="X183" s="110"/>
      <c r="Y183" s="110"/>
      <c r="Z183" s="110"/>
      <c r="AA183" s="110"/>
      <c r="AB183" s="110"/>
      <c r="AC183" s="110"/>
      <c r="AD183" s="110"/>
      <c r="AE183" s="110"/>
      <c r="AF183" s="110"/>
      <c r="AG183" s="110"/>
      <c r="AH183" s="110"/>
      <c r="AI183" s="110"/>
      <c r="AJ183" s="110"/>
      <c r="AK183" s="110"/>
      <c r="AL183" s="110"/>
      <c r="AM183" s="110"/>
      <c r="AN183" s="110"/>
      <c r="AO183" s="110"/>
      <c r="AP183" s="110"/>
      <c r="AQ183" s="110"/>
      <c r="AR183" s="110"/>
      <c r="AS183" s="110"/>
      <c r="AT183" s="110"/>
      <c r="AU183" s="110"/>
      <c r="AV183" s="110"/>
      <c r="AW183" s="110"/>
      <c r="AX183" s="110"/>
      <c r="AY183" s="110"/>
      <c r="AZ183" s="110"/>
      <c r="BA183" s="110"/>
      <c r="BB183" s="110"/>
      <c r="BC183" s="110"/>
      <c r="BD183" s="110"/>
      <c r="BE183" s="110"/>
      <c r="BF183" s="110"/>
      <c r="BG183" s="110"/>
      <c r="BH183" s="110"/>
      <c r="BI183" s="110"/>
      <c r="BJ183" s="110"/>
      <c r="BK183" s="110"/>
      <c r="BL183" s="110"/>
      <c r="BM183" s="110"/>
      <c r="BN183" s="110"/>
      <c r="BO183" s="110"/>
      <c r="BP183" s="110"/>
      <c r="BQ183" s="110"/>
      <c r="BR183" s="110"/>
      <c r="BS183" s="110"/>
      <c r="BT183" s="110"/>
      <c r="BU183" s="110"/>
      <c r="BV183" s="110"/>
      <c r="BW183" s="110"/>
    </row>
    <row r="184" spans="1:75">
      <c r="A184" s="114"/>
      <c r="B184" s="115"/>
      <c r="C184" s="116"/>
      <c r="D184" s="115"/>
      <c r="E184" s="115"/>
      <c r="F184" s="115"/>
      <c r="G184" s="115"/>
      <c r="H184" s="115"/>
      <c r="I184" s="115"/>
      <c r="J184" s="115"/>
      <c r="K184" s="115"/>
      <c r="L184" s="115"/>
      <c r="M184" s="115"/>
      <c r="N184" s="119"/>
      <c r="O184" s="115"/>
      <c r="P184" s="120"/>
      <c r="Q184" s="121"/>
      <c r="R184" s="124"/>
      <c r="S184" s="123"/>
      <c r="T184" s="110"/>
      <c r="U184" s="110"/>
      <c r="V184" s="110"/>
      <c r="W184" s="110"/>
      <c r="X184" s="110"/>
      <c r="Y184" s="110"/>
      <c r="Z184" s="110"/>
      <c r="AA184" s="110"/>
      <c r="AB184" s="110"/>
      <c r="AC184" s="110"/>
      <c r="AD184" s="110"/>
      <c r="AE184" s="110"/>
      <c r="AF184" s="110"/>
      <c r="AG184" s="110"/>
      <c r="AH184" s="110"/>
      <c r="AI184" s="110"/>
      <c r="AJ184" s="110"/>
      <c r="AK184" s="110"/>
      <c r="AL184" s="110"/>
      <c r="AM184" s="110"/>
      <c r="AN184" s="110"/>
      <c r="AO184" s="110"/>
      <c r="AP184" s="110"/>
      <c r="AQ184" s="110"/>
      <c r="AR184" s="110"/>
      <c r="AS184" s="110"/>
      <c r="AT184" s="110"/>
      <c r="AU184" s="110"/>
      <c r="AV184" s="110"/>
      <c r="AW184" s="110"/>
      <c r="AX184" s="110"/>
      <c r="AY184" s="110"/>
      <c r="AZ184" s="110"/>
      <c r="BA184" s="110"/>
      <c r="BB184" s="110"/>
      <c r="BC184" s="110"/>
      <c r="BD184" s="110"/>
      <c r="BE184" s="110"/>
      <c r="BF184" s="110"/>
      <c r="BG184" s="110"/>
      <c r="BH184" s="110"/>
      <c r="BI184" s="110"/>
      <c r="BJ184" s="110"/>
      <c r="BK184" s="110"/>
      <c r="BL184" s="110"/>
      <c r="BM184" s="110"/>
      <c r="BN184" s="110"/>
      <c r="BO184" s="110"/>
      <c r="BP184" s="110"/>
      <c r="BQ184" s="110"/>
      <c r="BR184" s="110"/>
      <c r="BS184" s="110"/>
      <c r="BT184" s="110"/>
      <c r="BU184" s="110"/>
      <c r="BV184" s="110"/>
      <c r="BW184" s="110"/>
    </row>
    <row r="185" spans="1:75">
      <c r="A185" s="114"/>
      <c r="B185" s="115"/>
      <c r="C185" s="116"/>
      <c r="D185" s="115"/>
      <c r="E185" s="115"/>
      <c r="F185" s="115"/>
      <c r="G185" s="115"/>
      <c r="H185" s="115"/>
      <c r="I185" s="115"/>
      <c r="J185" s="115"/>
      <c r="K185" s="115"/>
      <c r="L185" s="115"/>
      <c r="M185" s="115"/>
      <c r="N185" s="119"/>
      <c r="O185" s="115"/>
      <c r="P185" s="120"/>
      <c r="Q185" s="121"/>
      <c r="R185" s="124"/>
      <c r="S185" s="123"/>
      <c r="T185" s="110"/>
      <c r="U185" s="110"/>
      <c r="V185" s="110"/>
      <c r="W185" s="110"/>
      <c r="X185" s="110"/>
      <c r="Y185" s="110"/>
      <c r="Z185" s="110"/>
      <c r="AA185" s="110"/>
      <c r="AB185" s="110"/>
      <c r="AC185" s="110"/>
      <c r="AD185" s="110"/>
      <c r="AE185" s="110"/>
      <c r="AF185" s="110"/>
      <c r="AG185" s="110"/>
      <c r="AH185" s="110"/>
      <c r="AI185" s="110"/>
      <c r="AJ185" s="110"/>
      <c r="AK185" s="110"/>
      <c r="AL185" s="110"/>
      <c r="AM185" s="110"/>
      <c r="AN185" s="110"/>
      <c r="AO185" s="110"/>
      <c r="AP185" s="110"/>
      <c r="AQ185" s="110"/>
      <c r="AR185" s="110"/>
      <c r="AS185" s="110"/>
      <c r="AT185" s="110"/>
      <c r="AU185" s="110"/>
      <c r="AV185" s="110"/>
      <c r="AW185" s="110"/>
      <c r="AX185" s="110"/>
      <c r="AY185" s="110"/>
      <c r="AZ185" s="110"/>
      <c r="BA185" s="110"/>
      <c r="BB185" s="110"/>
      <c r="BC185" s="110"/>
      <c r="BD185" s="110"/>
      <c r="BE185" s="110"/>
      <c r="BF185" s="110"/>
      <c r="BG185" s="110"/>
      <c r="BH185" s="110"/>
      <c r="BI185" s="110"/>
      <c r="BJ185" s="110"/>
      <c r="BK185" s="110"/>
      <c r="BL185" s="110"/>
      <c r="BM185" s="110"/>
      <c r="BN185" s="110"/>
      <c r="BO185" s="110"/>
      <c r="BP185" s="110"/>
      <c r="BQ185" s="110"/>
      <c r="BR185" s="110"/>
      <c r="BS185" s="110"/>
      <c r="BT185" s="110"/>
      <c r="BU185" s="110"/>
      <c r="BV185" s="110"/>
      <c r="BW185" s="110"/>
    </row>
    <row r="186" spans="1:75">
      <c r="A186" s="114"/>
      <c r="B186" s="115"/>
      <c r="C186" s="116"/>
      <c r="D186" s="115"/>
      <c r="E186" s="115"/>
      <c r="F186" s="115"/>
      <c r="G186" s="115"/>
      <c r="H186" s="115"/>
      <c r="I186" s="115"/>
      <c r="J186" s="115"/>
      <c r="K186" s="115"/>
      <c r="L186" s="115"/>
      <c r="M186" s="115"/>
      <c r="N186" s="119"/>
      <c r="O186" s="115"/>
      <c r="P186" s="120"/>
      <c r="Q186" s="121"/>
      <c r="R186" s="124"/>
      <c r="S186" s="123"/>
      <c r="T186" s="110"/>
      <c r="U186" s="110"/>
      <c r="V186" s="110"/>
      <c r="W186" s="110"/>
      <c r="X186" s="110"/>
      <c r="Y186" s="110"/>
      <c r="Z186" s="110"/>
      <c r="AA186" s="110"/>
      <c r="AB186" s="110"/>
      <c r="AC186" s="110"/>
      <c r="AD186" s="110"/>
      <c r="AE186" s="110"/>
      <c r="AF186" s="110"/>
      <c r="AG186" s="110"/>
      <c r="AH186" s="110"/>
      <c r="AI186" s="110"/>
      <c r="AJ186" s="110"/>
      <c r="AK186" s="110"/>
      <c r="AL186" s="110"/>
      <c r="AM186" s="110"/>
      <c r="AN186" s="110"/>
      <c r="AO186" s="110"/>
      <c r="AP186" s="110"/>
      <c r="AQ186" s="110"/>
      <c r="AR186" s="110"/>
      <c r="AS186" s="110"/>
      <c r="AT186" s="110"/>
      <c r="AU186" s="110"/>
      <c r="AV186" s="110"/>
      <c r="AW186" s="110"/>
      <c r="AX186" s="110"/>
      <c r="AY186" s="110"/>
      <c r="AZ186" s="110"/>
      <c r="BA186" s="110"/>
      <c r="BB186" s="110"/>
      <c r="BC186" s="110"/>
      <c r="BD186" s="110"/>
      <c r="BE186" s="110"/>
      <c r="BF186" s="110"/>
      <c r="BG186" s="110"/>
      <c r="BH186" s="110"/>
      <c r="BI186" s="110"/>
      <c r="BJ186" s="110"/>
      <c r="BK186" s="110"/>
      <c r="BL186" s="110"/>
      <c r="BM186" s="110"/>
      <c r="BN186" s="110"/>
      <c r="BO186" s="110"/>
      <c r="BP186" s="110"/>
      <c r="BQ186" s="110"/>
      <c r="BR186" s="110"/>
      <c r="BS186" s="110"/>
      <c r="BT186" s="110"/>
      <c r="BU186" s="110"/>
      <c r="BV186" s="110"/>
      <c r="BW186" s="110"/>
    </row>
    <row r="187" spans="1:75">
      <c r="A187" s="114"/>
      <c r="B187" s="115"/>
      <c r="C187" s="116"/>
      <c r="D187" s="115"/>
      <c r="E187" s="115"/>
      <c r="F187" s="115"/>
      <c r="G187" s="115"/>
      <c r="H187" s="115"/>
      <c r="I187" s="115"/>
      <c r="J187" s="115"/>
      <c r="K187" s="115"/>
      <c r="L187" s="115"/>
      <c r="M187" s="115"/>
      <c r="N187" s="119"/>
      <c r="O187" s="115"/>
      <c r="P187" s="120"/>
      <c r="Q187" s="121"/>
      <c r="R187" s="124"/>
      <c r="S187" s="123"/>
      <c r="T187" s="110"/>
      <c r="U187" s="110"/>
      <c r="V187" s="110"/>
      <c r="W187" s="110"/>
      <c r="X187" s="110"/>
      <c r="Y187" s="110"/>
      <c r="Z187" s="110"/>
      <c r="AA187" s="110"/>
      <c r="AB187" s="110"/>
      <c r="AC187" s="110"/>
      <c r="AD187" s="110"/>
      <c r="AE187" s="110"/>
      <c r="AF187" s="110"/>
      <c r="AG187" s="110"/>
      <c r="AH187" s="110"/>
      <c r="AI187" s="110"/>
      <c r="AJ187" s="110"/>
      <c r="AK187" s="110"/>
      <c r="AL187" s="110"/>
      <c r="AM187" s="110"/>
      <c r="AN187" s="110"/>
      <c r="AO187" s="110"/>
      <c r="AP187" s="110"/>
      <c r="AQ187" s="110"/>
      <c r="AR187" s="110"/>
      <c r="AS187" s="110"/>
      <c r="AT187" s="110"/>
      <c r="AU187" s="110"/>
      <c r="AV187" s="110"/>
      <c r="AW187" s="110"/>
      <c r="AX187" s="110"/>
      <c r="AY187" s="110"/>
      <c r="AZ187" s="110"/>
      <c r="BA187" s="110"/>
      <c r="BB187" s="110"/>
      <c r="BC187" s="110"/>
      <c r="BD187" s="110"/>
      <c r="BE187" s="110"/>
      <c r="BF187" s="110"/>
      <c r="BG187" s="110"/>
      <c r="BH187" s="110"/>
      <c r="BI187" s="110"/>
      <c r="BJ187" s="110"/>
      <c r="BK187" s="110"/>
      <c r="BL187" s="110"/>
      <c r="BM187" s="110"/>
      <c r="BN187" s="110"/>
      <c r="BO187" s="110"/>
      <c r="BP187" s="110"/>
      <c r="BQ187" s="110"/>
      <c r="BR187" s="110"/>
      <c r="BS187" s="110"/>
      <c r="BT187" s="110"/>
      <c r="BU187" s="110"/>
      <c r="BV187" s="110"/>
      <c r="BW187" s="110"/>
    </row>
    <row r="188" spans="1:75">
      <c r="A188" s="114"/>
      <c r="B188" s="115"/>
      <c r="C188" s="116"/>
      <c r="D188" s="115"/>
      <c r="E188" s="115"/>
      <c r="F188" s="115"/>
      <c r="G188" s="115"/>
      <c r="H188" s="115"/>
      <c r="I188" s="115"/>
      <c r="J188" s="115"/>
      <c r="K188" s="115"/>
      <c r="L188" s="115"/>
      <c r="M188" s="115"/>
      <c r="N188" s="119"/>
      <c r="O188" s="115"/>
      <c r="P188" s="120"/>
      <c r="Q188" s="121"/>
      <c r="R188" s="124"/>
      <c r="S188" s="123"/>
      <c r="T188" s="110"/>
      <c r="U188" s="110"/>
      <c r="V188" s="110"/>
      <c r="W188" s="110"/>
      <c r="X188" s="110"/>
      <c r="Y188" s="110"/>
      <c r="Z188" s="110"/>
      <c r="AA188" s="110"/>
      <c r="AB188" s="110"/>
      <c r="AC188" s="110"/>
      <c r="AD188" s="110"/>
      <c r="AE188" s="110"/>
      <c r="AF188" s="110"/>
      <c r="AG188" s="110"/>
      <c r="AH188" s="110"/>
      <c r="AI188" s="110"/>
      <c r="AJ188" s="110"/>
      <c r="AK188" s="110"/>
      <c r="AL188" s="110"/>
      <c r="AM188" s="110"/>
      <c r="AN188" s="110"/>
      <c r="AO188" s="110"/>
      <c r="AP188" s="110"/>
      <c r="AQ188" s="110"/>
      <c r="AR188" s="110"/>
      <c r="AS188" s="110"/>
      <c r="AT188" s="110"/>
      <c r="AU188" s="110"/>
      <c r="AV188" s="110"/>
      <c r="AW188" s="110"/>
      <c r="AX188" s="110"/>
      <c r="AY188" s="110"/>
      <c r="AZ188" s="110"/>
      <c r="BA188" s="110"/>
      <c r="BB188" s="110"/>
      <c r="BC188" s="110"/>
      <c r="BD188" s="110"/>
      <c r="BE188" s="110"/>
      <c r="BF188" s="110"/>
      <c r="BG188" s="110"/>
      <c r="BH188" s="110"/>
      <c r="BI188" s="110"/>
      <c r="BJ188" s="110"/>
      <c r="BK188" s="110"/>
      <c r="BL188" s="110"/>
      <c r="BM188" s="110"/>
      <c r="BN188" s="110"/>
      <c r="BO188" s="110"/>
      <c r="BP188" s="110"/>
      <c r="BQ188" s="110"/>
      <c r="BR188" s="110"/>
      <c r="BS188" s="110"/>
      <c r="BT188" s="110"/>
      <c r="BU188" s="110"/>
      <c r="BV188" s="110"/>
      <c r="BW188" s="110"/>
    </row>
    <row r="189" spans="1:75">
      <c r="A189" s="114"/>
      <c r="B189" s="115"/>
      <c r="C189" s="116"/>
      <c r="D189" s="115"/>
      <c r="E189" s="115"/>
      <c r="F189" s="115"/>
      <c r="G189" s="115"/>
      <c r="H189" s="115"/>
      <c r="I189" s="115"/>
      <c r="J189" s="115"/>
      <c r="K189" s="115"/>
      <c r="L189" s="115"/>
      <c r="M189" s="115"/>
      <c r="N189" s="119"/>
      <c r="O189" s="115"/>
      <c r="P189" s="120"/>
      <c r="Q189" s="121"/>
      <c r="R189" s="124"/>
      <c r="S189" s="123"/>
      <c r="T189" s="110"/>
      <c r="U189" s="110"/>
      <c r="V189" s="110"/>
      <c r="W189" s="110"/>
      <c r="X189" s="110"/>
      <c r="Y189" s="110"/>
      <c r="Z189" s="110"/>
      <c r="AA189" s="110"/>
      <c r="AB189" s="110"/>
      <c r="AC189" s="110"/>
      <c r="AD189" s="110"/>
      <c r="AE189" s="110"/>
      <c r="AF189" s="110"/>
      <c r="AG189" s="110"/>
      <c r="AH189" s="110"/>
      <c r="AI189" s="110"/>
      <c r="AJ189" s="110"/>
      <c r="AK189" s="110"/>
      <c r="AL189" s="110"/>
      <c r="AM189" s="110"/>
      <c r="AN189" s="110"/>
      <c r="AO189" s="110"/>
      <c r="AP189" s="110"/>
      <c r="AQ189" s="110"/>
      <c r="AR189" s="110"/>
      <c r="AS189" s="110"/>
      <c r="AT189" s="110"/>
      <c r="AU189" s="110"/>
      <c r="AV189" s="110"/>
      <c r="AW189" s="110"/>
      <c r="AX189" s="110"/>
      <c r="AY189" s="110"/>
      <c r="AZ189" s="110"/>
      <c r="BA189" s="110"/>
      <c r="BB189" s="110"/>
      <c r="BC189" s="110"/>
      <c r="BD189" s="110"/>
      <c r="BE189" s="110"/>
      <c r="BF189" s="110"/>
      <c r="BG189" s="110"/>
      <c r="BH189" s="110"/>
      <c r="BI189" s="110"/>
      <c r="BJ189" s="110"/>
      <c r="BK189" s="110"/>
      <c r="BL189" s="110"/>
      <c r="BM189" s="110"/>
      <c r="BN189" s="110"/>
      <c r="BO189" s="110"/>
      <c r="BP189" s="110"/>
      <c r="BQ189" s="110"/>
      <c r="BR189" s="110"/>
      <c r="BS189" s="110"/>
      <c r="BT189" s="110"/>
      <c r="BU189" s="110"/>
      <c r="BV189" s="110"/>
      <c r="BW189" s="110"/>
    </row>
    <row r="190" spans="1:75">
      <c r="A190" s="114"/>
      <c r="B190" s="115"/>
      <c r="C190" s="116"/>
      <c r="D190" s="115"/>
      <c r="E190" s="115"/>
      <c r="F190" s="115"/>
      <c r="G190" s="115"/>
      <c r="H190" s="115"/>
      <c r="I190" s="115"/>
      <c r="J190" s="115"/>
      <c r="K190" s="115"/>
      <c r="L190" s="115"/>
      <c r="M190" s="115"/>
      <c r="N190" s="119"/>
      <c r="O190" s="115"/>
      <c r="P190" s="120"/>
      <c r="Q190" s="121"/>
      <c r="R190" s="124"/>
      <c r="S190" s="123"/>
      <c r="T190" s="110"/>
      <c r="U190" s="110"/>
      <c r="V190" s="110"/>
      <c r="W190" s="110"/>
      <c r="X190" s="110"/>
      <c r="Y190" s="110"/>
      <c r="Z190" s="110"/>
      <c r="AA190" s="110"/>
      <c r="AB190" s="110"/>
      <c r="AC190" s="110"/>
      <c r="AD190" s="110"/>
      <c r="AE190" s="110"/>
      <c r="AF190" s="110"/>
      <c r="AG190" s="110"/>
      <c r="AH190" s="110"/>
      <c r="AI190" s="110"/>
      <c r="AJ190" s="110"/>
      <c r="AK190" s="110"/>
      <c r="AL190" s="110"/>
      <c r="AM190" s="110"/>
      <c r="AN190" s="110"/>
      <c r="AO190" s="110"/>
      <c r="AP190" s="110"/>
      <c r="AQ190" s="110"/>
      <c r="AR190" s="110"/>
      <c r="AS190" s="110"/>
      <c r="AT190" s="110"/>
      <c r="AU190" s="110"/>
      <c r="AV190" s="110"/>
      <c r="AW190" s="110"/>
      <c r="AX190" s="110"/>
      <c r="AY190" s="110"/>
      <c r="AZ190" s="110"/>
      <c r="BA190" s="110"/>
      <c r="BB190" s="110"/>
      <c r="BC190" s="110"/>
      <c r="BD190" s="110"/>
      <c r="BE190" s="110"/>
      <c r="BF190" s="110"/>
      <c r="BG190" s="110"/>
      <c r="BH190" s="110"/>
      <c r="BI190" s="110"/>
      <c r="BJ190" s="110"/>
      <c r="BK190" s="110"/>
      <c r="BL190" s="110"/>
      <c r="BM190" s="110"/>
      <c r="BN190" s="110"/>
      <c r="BO190" s="110"/>
      <c r="BP190" s="110"/>
      <c r="BQ190" s="110"/>
      <c r="BR190" s="110"/>
      <c r="BS190" s="110"/>
      <c r="BT190" s="110"/>
      <c r="BU190" s="110"/>
      <c r="BV190" s="110"/>
      <c r="BW190" s="110"/>
    </row>
    <row r="191" spans="1:75">
      <c r="A191" s="114"/>
      <c r="B191" s="115"/>
      <c r="C191" s="116"/>
      <c r="D191" s="115"/>
      <c r="E191" s="115"/>
      <c r="F191" s="115"/>
      <c r="G191" s="115"/>
      <c r="H191" s="115"/>
      <c r="I191" s="115"/>
      <c r="J191" s="115"/>
      <c r="K191" s="115"/>
      <c r="L191" s="115"/>
      <c r="M191" s="115"/>
      <c r="N191" s="119"/>
      <c r="O191" s="115"/>
      <c r="P191" s="120"/>
      <c r="Q191" s="121"/>
      <c r="R191" s="124"/>
      <c r="S191" s="123"/>
      <c r="T191" s="110"/>
      <c r="U191" s="110"/>
      <c r="V191" s="110"/>
      <c r="W191" s="110"/>
      <c r="X191" s="110"/>
      <c r="Y191" s="110"/>
      <c r="Z191" s="110"/>
      <c r="AA191" s="110"/>
      <c r="AB191" s="110"/>
      <c r="AC191" s="110"/>
      <c r="AD191" s="110"/>
      <c r="AE191" s="110"/>
      <c r="AF191" s="110"/>
      <c r="AG191" s="110"/>
      <c r="AH191" s="110"/>
      <c r="AI191" s="110"/>
      <c r="AJ191" s="110"/>
      <c r="AK191" s="110"/>
      <c r="AL191" s="110"/>
      <c r="AM191" s="110"/>
      <c r="AN191" s="110"/>
      <c r="AO191" s="110"/>
      <c r="AP191" s="110"/>
      <c r="AQ191" s="110"/>
      <c r="AR191" s="110"/>
      <c r="AS191" s="110"/>
      <c r="AT191" s="110"/>
      <c r="AU191" s="110"/>
      <c r="AV191" s="110"/>
      <c r="AW191" s="110"/>
      <c r="AX191" s="110"/>
      <c r="AY191" s="110"/>
      <c r="AZ191" s="110"/>
      <c r="BA191" s="110"/>
      <c r="BB191" s="110"/>
      <c r="BC191" s="110"/>
      <c r="BD191" s="110"/>
      <c r="BE191" s="110"/>
      <c r="BF191" s="110"/>
      <c r="BG191" s="110"/>
      <c r="BH191" s="110"/>
      <c r="BI191" s="110"/>
      <c r="BJ191" s="110"/>
      <c r="BK191" s="110"/>
      <c r="BL191" s="110"/>
      <c r="BM191" s="110"/>
      <c r="BN191" s="110"/>
      <c r="BO191" s="110"/>
      <c r="BP191" s="110"/>
      <c r="BQ191" s="110"/>
      <c r="BR191" s="110"/>
      <c r="BS191" s="110"/>
      <c r="BT191" s="110"/>
      <c r="BU191" s="110"/>
      <c r="BV191" s="110"/>
      <c r="BW191" s="110"/>
    </row>
    <row r="192" spans="1:75">
      <c r="A192" s="114"/>
      <c r="B192" s="115"/>
      <c r="C192" s="116"/>
      <c r="D192" s="115"/>
      <c r="E192" s="115"/>
      <c r="F192" s="115"/>
      <c r="G192" s="115"/>
      <c r="H192" s="115"/>
      <c r="I192" s="115"/>
      <c r="J192" s="115"/>
      <c r="K192" s="115"/>
      <c r="L192" s="115"/>
      <c r="M192" s="115"/>
      <c r="N192" s="119"/>
      <c r="O192" s="115"/>
      <c r="P192" s="120"/>
      <c r="Q192" s="121"/>
      <c r="R192" s="124"/>
      <c r="S192" s="123"/>
      <c r="T192" s="110"/>
      <c r="U192" s="110"/>
      <c r="V192" s="110"/>
      <c r="W192" s="110"/>
      <c r="X192" s="110"/>
      <c r="Y192" s="110"/>
      <c r="Z192" s="110"/>
      <c r="AA192" s="110"/>
      <c r="AB192" s="110"/>
      <c r="AC192" s="110"/>
      <c r="AD192" s="110"/>
      <c r="AE192" s="110"/>
      <c r="AF192" s="110"/>
      <c r="AG192" s="110"/>
      <c r="AH192" s="110"/>
      <c r="AI192" s="110"/>
      <c r="AJ192" s="110"/>
      <c r="AK192" s="110"/>
      <c r="AL192" s="110"/>
      <c r="AM192" s="110"/>
      <c r="AN192" s="110"/>
      <c r="AO192" s="110"/>
      <c r="AP192" s="110"/>
      <c r="AQ192" s="110"/>
      <c r="AR192" s="110"/>
      <c r="AS192" s="110"/>
      <c r="AT192" s="110"/>
      <c r="AU192" s="110"/>
      <c r="AV192" s="110"/>
      <c r="AW192" s="110"/>
      <c r="AX192" s="110"/>
      <c r="AY192" s="110"/>
      <c r="AZ192" s="110"/>
      <c r="BA192" s="110"/>
      <c r="BB192" s="110"/>
      <c r="BC192" s="110"/>
      <c r="BD192" s="110"/>
      <c r="BE192" s="110"/>
      <c r="BF192" s="110"/>
      <c r="BG192" s="110"/>
      <c r="BH192" s="110"/>
      <c r="BI192" s="110"/>
      <c r="BJ192" s="110"/>
      <c r="BK192" s="110"/>
      <c r="BL192" s="110"/>
      <c r="BM192" s="110"/>
      <c r="BN192" s="110"/>
      <c r="BO192" s="110"/>
      <c r="BP192" s="110"/>
      <c r="BQ192" s="110"/>
      <c r="BR192" s="110"/>
      <c r="BS192" s="110"/>
      <c r="BT192" s="110"/>
      <c r="BU192" s="110"/>
      <c r="BV192" s="110"/>
      <c r="BW192" s="110"/>
    </row>
    <row r="193" spans="1:75">
      <c r="A193" s="114"/>
      <c r="B193" s="115"/>
      <c r="C193" s="116"/>
      <c r="D193" s="115"/>
      <c r="E193" s="115"/>
      <c r="F193" s="115"/>
      <c r="G193" s="115"/>
      <c r="H193" s="115"/>
      <c r="I193" s="115"/>
      <c r="J193" s="115"/>
      <c r="K193" s="115"/>
      <c r="L193" s="115"/>
      <c r="M193" s="115"/>
      <c r="N193" s="119"/>
      <c r="O193" s="115"/>
      <c r="P193" s="120"/>
      <c r="Q193" s="121"/>
      <c r="R193" s="124"/>
      <c r="S193" s="123"/>
      <c r="T193" s="110"/>
      <c r="U193" s="110"/>
      <c r="V193" s="110"/>
      <c r="W193" s="110"/>
      <c r="X193" s="110"/>
      <c r="Y193" s="110"/>
      <c r="Z193" s="110"/>
      <c r="AA193" s="110"/>
      <c r="AB193" s="110"/>
      <c r="AC193" s="110"/>
      <c r="AD193" s="110"/>
      <c r="AE193" s="110"/>
      <c r="AF193" s="110"/>
      <c r="AG193" s="110"/>
      <c r="AH193" s="110"/>
      <c r="AI193" s="110"/>
      <c r="AJ193" s="110"/>
      <c r="AK193" s="110"/>
      <c r="AL193" s="110"/>
      <c r="AM193" s="110"/>
      <c r="AN193" s="110"/>
      <c r="AO193" s="110"/>
      <c r="AP193" s="110"/>
      <c r="AQ193" s="110"/>
      <c r="AR193" s="110"/>
      <c r="AS193" s="110"/>
      <c r="AT193" s="110"/>
      <c r="AU193" s="110"/>
      <c r="AV193" s="110"/>
      <c r="AW193" s="110"/>
      <c r="AX193" s="110"/>
      <c r="AY193" s="110"/>
      <c r="AZ193" s="110"/>
      <c r="BA193" s="110"/>
      <c r="BB193" s="110"/>
      <c r="BC193" s="110"/>
      <c r="BD193" s="110"/>
      <c r="BE193" s="110"/>
      <c r="BF193" s="110"/>
      <c r="BG193" s="110"/>
      <c r="BH193" s="110"/>
      <c r="BI193" s="110"/>
      <c r="BJ193" s="110"/>
      <c r="BK193" s="110"/>
      <c r="BL193" s="110"/>
      <c r="BM193" s="110"/>
      <c r="BN193" s="110"/>
      <c r="BO193" s="110"/>
      <c r="BP193" s="110"/>
      <c r="BQ193" s="110"/>
      <c r="BR193" s="110"/>
      <c r="BS193" s="110"/>
      <c r="BT193" s="110"/>
      <c r="BU193" s="110"/>
      <c r="BV193" s="110"/>
      <c r="BW193" s="110"/>
    </row>
    <row r="194" spans="1:75">
      <c r="A194" s="114"/>
      <c r="B194" s="115"/>
      <c r="C194" s="116"/>
      <c r="D194" s="115"/>
      <c r="E194" s="115"/>
      <c r="F194" s="115"/>
      <c r="G194" s="115"/>
      <c r="H194" s="115"/>
      <c r="I194" s="115"/>
      <c r="J194" s="115"/>
      <c r="K194" s="115"/>
      <c r="L194" s="115"/>
      <c r="M194" s="115"/>
      <c r="N194" s="119"/>
      <c r="O194" s="115"/>
      <c r="P194" s="120"/>
      <c r="Q194" s="121"/>
      <c r="R194" s="124"/>
      <c r="S194" s="123"/>
      <c r="T194" s="110"/>
      <c r="U194" s="110"/>
      <c r="V194" s="110"/>
      <c r="W194" s="110"/>
      <c r="X194" s="110"/>
      <c r="Y194" s="110"/>
      <c r="Z194" s="110"/>
      <c r="AA194" s="110"/>
      <c r="AB194" s="110"/>
      <c r="AC194" s="110"/>
      <c r="AD194" s="110"/>
      <c r="AE194" s="110"/>
      <c r="AF194" s="110"/>
      <c r="AG194" s="110"/>
      <c r="AH194" s="110"/>
      <c r="AI194" s="110"/>
      <c r="AJ194" s="110"/>
      <c r="AK194" s="110"/>
      <c r="AL194" s="110"/>
      <c r="AM194" s="110"/>
      <c r="AN194" s="110"/>
      <c r="AO194" s="110"/>
      <c r="AP194" s="110"/>
      <c r="AQ194" s="110"/>
      <c r="AR194" s="110"/>
      <c r="AS194" s="110"/>
      <c r="AT194" s="110"/>
      <c r="AU194" s="110"/>
      <c r="AV194" s="110"/>
      <c r="AW194" s="110"/>
      <c r="AX194" s="110"/>
      <c r="AY194" s="110"/>
      <c r="AZ194" s="110"/>
      <c r="BA194" s="110"/>
      <c r="BB194" s="110"/>
      <c r="BC194" s="110"/>
      <c r="BD194" s="110"/>
      <c r="BE194" s="110"/>
      <c r="BF194" s="110"/>
      <c r="BG194" s="110"/>
      <c r="BH194" s="110"/>
      <c r="BI194" s="110"/>
      <c r="BJ194" s="110"/>
      <c r="BK194" s="110"/>
      <c r="BL194" s="110"/>
      <c r="BM194" s="110"/>
      <c r="BN194" s="110"/>
      <c r="BO194" s="110"/>
      <c r="BP194" s="110"/>
      <c r="BQ194" s="110"/>
      <c r="BR194" s="110"/>
      <c r="BS194" s="110"/>
      <c r="BT194" s="110"/>
      <c r="BU194" s="110"/>
      <c r="BV194" s="110"/>
      <c r="BW194" s="110"/>
    </row>
    <row r="195" spans="1:75">
      <c r="A195" s="114"/>
      <c r="B195" s="115"/>
      <c r="C195" s="116"/>
      <c r="D195" s="115"/>
      <c r="E195" s="115"/>
      <c r="F195" s="115"/>
      <c r="G195" s="115"/>
      <c r="H195" s="115"/>
      <c r="I195" s="115"/>
      <c r="J195" s="115"/>
      <c r="K195" s="115"/>
      <c r="L195" s="115"/>
      <c r="M195" s="115"/>
      <c r="N195" s="119"/>
      <c r="O195" s="115"/>
      <c r="P195" s="120"/>
      <c r="Q195" s="121"/>
      <c r="R195" s="124"/>
      <c r="S195" s="123"/>
      <c r="T195" s="110"/>
      <c r="U195" s="110"/>
      <c r="V195" s="110"/>
      <c r="W195" s="110"/>
      <c r="X195" s="110"/>
      <c r="Y195" s="110"/>
      <c r="Z195" s="110"/>
      <c r="AA195" s="110"/>
      <c r="AB195" s="110"/>
      <c r="AC195" s="110"/>
      <c r="AD195" s="110"/>
      <c r="AE195" s="110"/>
      <c r="AF195" s="110"/>
      <c r="AG195" s="110"/>
      <c r="AH195" s="110"/>
      <c r="AI195" s="110"/>
      <c r="AJ195" s="110"/>
      <c r="AK195" s="110"/>
      <c r="AL195" s="110"/>
      <c r="AM195" s="110"/>
      <c r="AN195" s="110"/>
      <c r="AO195" s="110"/>
      <c r="AP195" s="110"/>
      <c r="AQ195" s="110"/>
      <c r="AR195" s="110"/>
      <c r="AS195" s="110"/>
      <c r="AT195" s="110"/>
      <c r="AU195" s="110"/>
      <c r="AV195" s="110"/>
      <c r="AW195" s="110"/>
      <c r="AX195" s="110"/>
      <c r="AY195" s="110"/>
      <c r="AZ195" s="110"/>
      <c r="BA195" s="110"/>
      <c r="BB195" s="110"/>
      <c r="BC195" s="110"/>
      <c r="BD195" s="110"/>
      <c r="BE195" s="110"/>
      <c r="BF195" s="110"/>
      <c r="BG195" s="110"/>
      <c r="BH195" s="110"/>
      <c r="BI195" s="110"/>
      <c r="BJ195" s="110"/>
      <c r="BK195" s="110"/>
      <c r="BL195" s="110"/>
      <c r="BM195" s="110"/>
      <c r="BN195" s="110"/>
      <c r="BO195" s="110"/>
      <c r="BP195" s="110"/>
      <c r="BQ195" s="110"/>
      <c r="BR195" s="110"/>
      <c r="BS195" s="110"/>
      <c r="BT195" s="110"/>
      <c r="BU195" s="110"/>
      <c r="BV195" s="110"/>
      <c r="BW195" s="110"/>
    </row>
    <row r="196" spans="1:75">
      <c r="A196" s="114"/>
      <c r="B196" s="115"/>
      <c r="C196" s="116"/>
      <c r="D196" s="115"/>
      <c r="E196" s="115"/>
      <c r="F196" s="115"/>
      <c r="G196" s="115"/>
      <c r="H196" s="115"/>
      <c r="I196" s="115"/>
      <c r="J196" s="115"/>
      <c r="K196" s="115"/>
      <c r="L196" s="115"/>
      <c r="M196" s="115"/>
      <c r="N196" s="119"/>
      <c r="O196" s="115"/>
      <c r="P196" s="120"/>
      <c r="Q196" s="121"/>
      <c r="R196" s="124"/>
      <c r="S196" s="123"/>
      <c r="T196" s="110"/>
      <c r="U196" s="110"/>
      <c r="V196" s="110"/>
      <c r="W196" s="110"/>
      <c r="X196" s="110"/>
      <c r="Y196" s="110"/>
      <c r="Z196" s="110"/>
      <c r="AA196" s="110"/>
      <c r="AB196" s="110"/>
      <c r="AC196" s="110"/>
      <c r="AD196" s="110"/>
      <c r="AE196" s="110"/>
      <c r="AF196" s="110"/>
      <c r="AG196" s="110"/>
      <c r="AH196" s="110"/>
      <c r="AI196" s="110"/>
      <c r="AJ196" s="110"/>
      <c r="AK196" s="110"/>
      <c r="AL196" s="110"/>
      <c r="AM196" s="110"/>
      <c r="AN196" s="110"/>
      <c r="AO196" s="110"/>
      <c r="AP196" s="110"/>
      <c r="AQ196" s="110"/>
      <c r="AR196" s="110"/>
      <c r="AS196" s="110"/>
      <c r="AT196" s="110"/>
      <c r="AU196" s="110"/>
      <c r="AV196" s="110"/>
      <c r="AW196" s="110"/>
      <c r="AX196" s="110"/>
      <c r="AY196" s="110"/>
      <c r="AZ196" s="110"/>
      <c r="BA196" s="110"/>
      <c r="BB196" s="110"/>
      <c r="BC196" s="110"/>
      <c r="BD196" s="110"/>
      <c r="BE196" s="110"/>
      <c r="BF196" s="110"/>
      <c r="BG196" s="110"/>
      <c r="BH196" s="110"/>
      <c r="BI196" s="110"/>
      <c r="BJ196" s="110"/>
      <c r="BK196" s="110"/>
      <c r="BL196" s="110"/>
      <c r="BM196" s="110"/>
      <c r="BN196" s="110"/>
      <c r="BO196" s="110"/>
      <c r="BP196" s="110"/>
      <c r="BQ196" s="110"/>
      <c r="BR196" s="110"/>
      <c r="BS196" s="110"/>
      <c r="BT196" s="110"/>
      <c r="BU196" s="110"/>
      <c r="BV196" s="110"/>
      <c r="BW196" s="110"/>
    </row>
    <row r="197" spans="1:75">
      <c r="A197" s="114"/>
      <c r="B197" s="115"/>
      <c r="C197" s="116"/>
      <c r="D197" s="115"/>
      <c r="E197" s="115"/>
      <c r="F197" s="115"/>
      <c r="G197" s="115"/>
      <c r="H197" s="115"/>
      <c r="I197" s="115"/>
      <c r="J197" s="115"/>
      <c r="K197" s="115"/>
      <c r="L197" s="115"/>
      <c r="M197" s="115"/>
      <c r="N197" s="119"/>
      <c r="O197" s="115"/>
      <c r="P197" s="120"/>
      <c r="Q197" s="121"/>
      <c r="R197" s="124"/>
      <c r="S197" s="123"/>
      <c r="T197" s="110"/>
      <c r="U197" s="110"/>
      <c r="V197" s="110"/>
      <c r="W197" s="110"/>
      <c r="X197" s="110"/>
      <c r="Y197" s="110"/>
      <c r="Z197" s="110"/>
      <c r="AA197" s="110"/>
      <c r="AB197" s="110"/>
      <c r="AC197" s="110"/>
      <c r="AD197" s="110"/>
      <c r="AE197" s="110"/>
      <c r="AF197" s="110"/>
      <c r="AG197" s="110"/>
      <c r="AH197" s="110"/>
      <c r="AI197" s="110"/>
      <c r="AJ197" s="110"/>
      <c r="AK197" s="110"/>
      <c r="AL197" s="110"/>
      <c r="AM197" s="110"/>
      <c r="AN197" s="110"/>
      <c r="AO197" s="110"/>
      <c r="AP197" s="110"/>
      <c r="AQ197" s="110"/>
      <c r="AR197" s="110"/>
      <c r="AS197" s="110"/>
      <c r="AT197" s="110"/>
      <c r="AU197" s="110"/>
      <c r="AV197" s="110"/>
      <c r="AW197" s="110"/>
      <c r="AX197" s="110"/>
      <c r="AY197" s="110"/>
      <c r="AZ197" s="110"/>
      <c r="BA197" s="110"/>
      <c r="BB197" s="110"/>
      <c r="BC197" s="110"/>
      <c r="BD197" s="110"/>
      <c r="BE197" s="110"/>
      <c r="BF197" s="110"/>
      <c r="BG197" s="110"/>
      <c r="BH197" s="110"/>
      <c r="BI197" s="110"/>
      <c r="BJ197" s="110"/>
      <c r="BK197" s="110"/>
      <c r="BL197" s="110"/>
      <c r="BM197" s="110"/>
      <c r="BN197" s="110"/>
      <c r="BO197" s="110"/>
      <c r="BP197" s="110"/>
      <c r="BQ197" s="110"/>
      <c r="BR197" s="110"/>
      <c r="BS197" s="110"/>
      <c r="BT197" s="110"/>
      <c r="BU197" s="110"/>
      <c r="BV197" s="110"/>
      <c r="BW197" s="110"/>
    </row>
    <row r="198" spans="1:75">
      <c r="A198" s="114"/>
      <c r="B198" s="115"/>
      <c r="C198" s="116"/>
      <c r="D198" s="115"/>
      <c r="E198" s="115"/>
      <c r="F198" s="115"/>
      <c r="G198" s="115"/>
      <c r="H198" s="115"/>
      <c r="I198" s="115"/>
      <c r="J198" s="115"/>
      <c r="K198" s="115"/>
      <c r="L198" s="115"/>
      <c r="M198" s="115"/>
      <c r="N198" s="119"/>
      <c r="O198" s="115"/>
      <c r="P198" s="120"/>
      <c r="Q198" s="121"/>
      <c r="R198" s="124"/>
      <c r="S198" s="123"/>
      <c r="T198" s="110"/>
      <c r="U198" s="110"/>
      <c r="V198" s="110"/>
      <c r="W198" s="110"/>
      <c r="X198" s="110"/>
      <c r="Y198" s="110"/>
      <c r="Z198" s="110"/>
      <c r="AA198" s="110"/>
      <c r="AB198" s="110"/>
      <c r="AC198" s="110"/>
      <c r="AD198" s="110"/>
      <c r="AE198" s="110"/>
      <c r="AF198" s="110"/>
      <c r="AG198" s="110"/>
      <c r="AH198" s="110"/>
      <c r="AI198" s="110"/>
      <c r="AJ198" s="110"/>
      <c r="AK198" s="110"/>
      <c r="AL198" s="110"/>
      <c r="AM198" s="110"/>
      <c r="AN198" s="110"/>
      <c r="AO198" s="110"/>
      <c r="AP198" s="110"/>
      <c r="AQ198" s="110"/>
      <c r="AR198" s="110"/>
      <c r="AS198" s="110"/>
      <c r="AT198" s="110"/>
      <c r="AU198" s="110"/>
      <c r="AV198" s="110"/>
      <c r="AW198" s="110"/>
      <c r="AX198" s="110"/>
      <c r="AY198" s="110"/>
      <c r="AZ198" s="110"/>
      <c r="BA198" s="110"/>
      <c r="BB198" s="110"/>
      <c r="BC198" s="110"/>
      <c r="BD198" s="110"/>
      <c r="BE198" s="110"/>
      <c r="BF198" s="110"/>
      <c r="BG198" s="110"/>
      <c r="BH198" s="110"/>
      <c r="BI198" s="110"/>
      <c r="BJ198" s="110"/>
      <c r="BK198" s="110"/>
      <c r="BL198" s="110"/>
      <c r="BM198" s="110"/>
      <c r="BN198" s="110"/>
      <c r="BO198" s="110"/>
      <c r="BP198" s="110"/>
      <c r="BQ198" s="110"/>
      <c r="BR198" s="110"/>
      <c r="BS198" s="110"/>
      <c r="BT198" s="110"/>
      <c r="BU198" s="110"/>
      <c r="BV198" s="110"/>
      <c r="BW198" s="110"/>
    </row>
    <row r="199" spans="1:75">
      <c r="A199" s="114"/>
      <c r="B199" s="115"/>
      <c r="C199" s="116"/>
      <c r="D199" s="115"/>
      <c r="E199" s="115"/>
      <c r="F199" s="115"/>
      <c r="G199" s="115"/>
      <c r="H199" s="115"/>
      <c r="I199" s="115"/>
      <c r="J199" s="115"/>
      <c r="K199" s="115"/>
      <c r="L199" s="115"/>
      <c r="M199" s="115"/>
      <c r="N199" s="119"/>
      <c r="O199" s="115"/>
      <c r="P199" s="120"/>
      <c r="Q199" s="121"/>
      <c r="R199" s="124"/>
      <c r="S199" s="123"/>
      <c r="T199" s="110"/>
      <c r="U199" s="110"/>
      <c r="V199" s="110"/>
      <c r="W199" s="110"/>
      <c r="X199" s="110"/>
      <c r="Y199" s="110"/>
      <c r="Z199" s="110"/>
      <c r="AA199" s="110"/>
      <c r="AB199" s="110"/>
      <c r="AC199" s="110"/>
      <c r="AD199" s="110"/>
      <c r="AE199" s="110"/>
      <c r="AF199" s="110"/>
      <c r="AG199" s="110"/>
      <c r="AH199" s="110"/>
      <c r="AI199" s="110"/>
      <c r="AJ199" s="110"/>
      <c r="AK199" s="110"/>
      <c r="AL199" s="110"/>
      <c r="AM199" s="110"/>
      <c r="AN199" s="110"/>
      <c r="AO199" s="110"/>
      <c r="AP199" s="110"/>
      <c r="AQ199" s="110"/>
      <c r="AR199" s="110"/>
      <c r="AS199" s="110"/>
      <c r="AT199" s="110"/>
      <c r="AU199" s="110"/>
      <c r="AV199" s="110"/>
      <c r="AW199" s="110"/>
      <c r="AX199" s="110"/>
      <c r="AY199" s="110"/>
      <c r="AZ199" s="110"/>
      <c r="BA199" s="110"/>
      <c r="BB199" s="110"/>
      <c r="BC199" s="110"/>
      <c r="BD199" s="110"/>
      <c r="BE199" s="110"/>
      <c r="BF199" s="110"/>
      <c r="BG199" s="110"/>
      <c r="BH199" s="110"/>
      <c r="BI199" s="110"/>
      <c r="BJ199" s="110"/>
      <c r="BK199" s="110"/>
      <c r="BL199" s="110"/>
      <c r="BM199" s="110"/>
      <c r="BN199" s="110"/>
      <c r="BO199" s="110"/>
      <c r="BP199" s="110"/>
      <c r="BQ199" s="110"/>
      <c r="BR199" s="110"/>
      <c r="BS199" s="110"/>
      <c r="BT199" s="110"/>
      <c r="BU199" s="110"/>
      <c r="BV199" s="110"/>
      <c r="BW199" s="110"/>
    </row>
    <row r="200" spans="1:75">
      <c r="A200" s="114"/>
      <c r="B200" s="115"/>
      <c r="C200" s="116"/>
      <c r="D200" s="115"/>
      <c r="E200" s="115"/>
      <c r="F200" s="115"/>
      <c r="G200" s="115"/>
      <c r="H200" s="115"/>
      <c r="I200" s="115"/>
      <c r="J200" s="115"/>
      <c r="K200" s="115"/>
      <c r="L200" s="115"/>
      <c r="M200" s="115"/>
      <c r="N200" s="119"/>
      <c r="O200" s="115"/>
      <c r="P200" s="120"/>
      <c r="Q200" s="121"/>
      <c r="R200" s="124"/>
      <c r="S200" s="123"/>
      <c r="T200" s="110"/>
      <c r="U200" s="110"/>
      <c r="V200" s="110"/>
      <c r="W200" s="110"/>
      <c r="X200" s="110"/>
      <c r="Y200" s="110"/>
      <c r="Z200" s="110"/>
      <c r="AA200" s="110"/>
      <c r="AB200" s="110"/>
      <c r="AC200" s="110"/>
      <c r="AD200" s="110"/>
      <c r="AE200" s="110"/>
      <c r="AF200" s="110"/>
      <c r="AG200" s="110"/>
      <c r="AH200" s="110"/>
      <c r="AI200" s="110"/>
      <c r="AJ200" s="110"/>
      <c r="AK200" s="110"/>
      <c r="AL200" s="110"/>
      <c r="AM200" s="110"/>
      <c r="AN200" s="110"/>
      <c r="AO200" s="110"/>
      <c r="AP200" s="110"/>
      <c r="AQ200" s="110"/>
      <c r="AR200" s="110"/>
      <c r="AS200" s="110"/>
      <c r="AT200" s="110"/>
      <c r="AU200" s="110"/>
      <c r="AV200" s="110"/>
      <c r="AW200" s="110"/>
      <c r="AX200" s="110"/>
      <c r="AY200" s="110"/>
      <c r="AZ200" s="110"/>
      <c r="BA200" s="110"/>
      <c r="BB200" s="110"/>
      <c r="BC200" s="110"/>
      <c r="BD200" s="110"/>
      <c r="BE200" s="110"/>
      <c r="BF200" s="110"/>
      <c r="BG200" s="110"/>
      <c r="BH200" s="110"/>
      <c r="BI200" s="110"/>
      <c r="BJ200" s="110"/>
      <c r="BK200" s="110"/>
      <c r="BL200" s="110"/>
      <c r="BM200" s="110"/>
      <c r="BN200" s="110"/>
      <c r="BO200" s="110"/>
      <c r="BP200" s="110"/>
      <c r="BQ200" s="110"/>
      <c r="BR200" s="110"/>
      <c r="BS200" s="110"/>
      <c r="BT200" s="110"/>
      <c r="BU200" s="110"/>
      <c r="BV200" s="110"/>
      <c r="BW200" s="110"/>
    </row>
    <row r="201" spans="1:75">
      <c r="A201" s="114"/>
      <c r="B201" s="115"/>
      <c r="C201" s="116"/>
      <c r="D201" s="115"/>
      <c r="E201" s="115"/>
      <c r="F201" s="115"/>
      <c r="G201" s="115"/>
      <c r="H201" s="115"/>
      <c r="I201" s="115"/>
      <c r="J201" s="115"/>
      <c r="K201" s="115"/>
      <c r="L201" s="115"/>
      <c r="M201" s="115"/>
      <c r="N201" s="119"/>
      <c r="O201" s="115"/>
      <c r="P201" s="120"/>
      <c r="Q201" s="121"/>
      <c r="R201" s="124"/>
      <c r="S201" s="123"/>
      <c r="T201" s="110"/>
      <c r="U201" s="110"/>
      <c r="V201" s="110"/>
      <c r="W201" s="110"/>
      <c r="X201" s="110"/>
      <c r="Y201" s="110"/>
      <c r="Z201" s="110"/>
      <c r="AA201" s="110"/>
      <c r="AB201" s="110"/>
      <c r="AC201" s="110"/>
      <c r="AD201" s="110"/>
      <c r="AE201" s="110"/>
      <c r="AF201" s="110"/>
      <c r="AG201" s="110"/>
      <c r="AH201" s="110"/>
      <c r="AI201" s="110"/>
      <c r="AJ201" s="110"/>
      <c r="AK201" s="110"/>
      <c r="AL201" s="110"/>
      <c r="AM201" s="110"/>
      <c r="AN201" s="110"/>
      <c r="AO201" s="110"/>
      <c r="AP201" s="110"/>
      <c r="AQ201" s="110"/>
      <c r="AR201" s="110"/>
      <c r="AS201" s="110"/>
      <c r="AT201" s="110"/>
      <c r="AU201" s="110"/>
      <c r="AV201" s="110"/>
      <c r="AW201" s="110"/>
      <c r="AX201" s="110"/>
      <c r="AY201" s="110"/>
      <c r="AZ201" s="110"/>
      <c r="BA201" s="110"/>
      <c r="BB201" s="110"/>
      <c r="BC201" s="110"/>
      <c r="BD201" s="110"/>
      <c r="BE201" s="110"/>
      <c r="BF201" s="110"/>
      <c r="BG201" s="110"/>
      <c r="BH201" s="110"/>
      <c r="BI201" s="110"/>
      <c r="BJ201" s="110"/>
      <c r="BK201" s="110"/>
      <c r="BL201" s="110"/>
      <c r="BM201" s="110"/>
      <c r="BN201" s="110"/>
      <c r="BO201" s="110"/>
      <c r="BP201" s="110"/>
      <c r="BQ201" s="110"/>
      <c r="BR201" s="110"/>
      <c r="BS201" s="110"/>
      <c r="BT201" s="110"/>
      <c r="BU201" s="110"/>
      <c r="BV201" s="110"/>
      <c r="BW201" s="110"/>
    </row>
    <row r="202" spans="1:75">
      <c r="A202" s="114"/>
      <c r="B202" s="115"/>
      <c r="C202" s="116"/>
      <c r="D202" s="115"/>
      <c r="E202" s="115"/>
      <c r="F202" s="115"/>
      <c r="G202" s="115"/>
      <c r="H202" s="115"/>
      <c r="I202" s="115"/>
      <c r="J202" s="115"/>
      <c r="K202" s="115"/>
      <c r="L202" s="115"/>
      <c r="M202" s="115"/>
      <c r="N202" s="119"/>
      <c r="O202" s="115"/>
      <c r="P202" s="120"/>
      <c r="Q202" s="121"/>
      <c r="R202" s="124"/>
      <c r="S202" s="123"/>
      <c r="T202" s="110"/>
      <c r="U202" s="110"/>
      <c r="V202" s="110"/>
      <c r="W202" s="110"/>
      <c r="X202" s="110"/>
      <c r="Y202" s="110"/>
      <c r="Z202" s="110"/>
      <c r="AA202" s="110"/>
      <c r="AB202" s="110"/>
      <c r="AC202" s="110"/>
      <c r="AD202" s="110"/>
      <c r="AE202" s="110"/>
      <c r="AF202" s="110"/>
      <c r="AG202" s="110"/>
      <c r="AH202" s="110"/>
      <c r="AI202" s="110"/>
      <c r="AJ202" s="110"/>
      <c r="AK202" s="110"/>
      <c r="AL202" s="110"/>
      <c r="AM202" s="110"/>
      <c r="AN202" s="110"/>
      <c r="AO202" s="110"/>
      <c r="AP202" s="110"/>
      <c r="AQ202" s="110"/>
      <c r="AR202" s="110"/>
      <c r="AS202" s="110"/>
      <c r="AT202" s="110"/>
      <c r="AU202" s="110"/>
      <c r="AV202" s="110"/>
      <c r="AW202" s="110"/>
      <c r="AX202" s="110"/>
      <c r="AY202" s="110"/>
      <c r="AZ202" s="110"/>
      <c r="BA202" s="110"/>
      <c r="BB202" s="110"/>
      <c r="BC202" s="110"/>
      <c r="BD202" s="110"/>
      <c r="BE202" s="110"/>
      <c r="BF202" s="110"/>
      <c r="BG202" s="110"/>
      <c r="BH202" s="110"/>
      <c r="BI202" s="110"/>
      <c r="BJ202" s="110"/>
      <c r="BK202" s="110"/>
      <c r="BL202" s="110"/>
      <c r="BM202" s="110"/>
      <c r="BN202" s="110"/>
      <c r="BO202" s="110"/>
      <c r="BP202" s="110"/>
      <c r="BQ202" s="110"/>
      <c r="BR202" s="110"/>
      <c r="BS202" s="110"/>
      <c r="BT202" s="110"/>
      <c r="BU202" s="110"/>
      <c r="BV202" s="110"/>
      <c r="BW202" s="110"/>
    </row>
    <row r="203" spans="1:75">
      <c r="A203" s="114"/>
      <c r="B203" s="115"/>
      <c r="C203" s="116"/>
      <c r="D203" s="115"/>
      <c r="E203" s="115"/>
      <c r="F203" s="115"/>
      <c r="G203" s="115"/>
      <c r="H203" s="115"/>
      <c r="I203" s="115"/>
      <c r="J203" s="115"/>
      <c r="K203" s="115"/>
      <c r="L203" s="115"/>
      <c r="M203" s="115"/>
      <c r="N203" s="119"/>
      <c r="O203" s="115"/>
      <c r="P203" s="120"/>
      <c r="Q203" s="121"/>
      <c r="R203" s="124"/>
      <c r="S203" s="123"/>
      <c r="T203" s="110"/>
      <c r="U203" s="110"/>
      <c r="V203" s="110"/>
      <c r="W203" s="110"/>
      <c r="X203" s="110"/>
      <c r="Y203" s="110"/>
      <c r="Z203" s="110"/>
      <c r="AA203" s="110"/>
      <c r="AB203" s="110"/>
      <c r="AC203" s="110"/>
      <c r="AD203" s="110"/>
      <c r="AE203" s="110"/>
      <c r="AF203" s="110"/>
      <c r="AG203" s="110"/>
      <c r="AH203" s="110"/>
      <c r="AI203" s="110"/>
      <c r="AJ203" s="110"/>
      <c r="AK203" s="110"/>
      <c r="AL203" s="110"/>
      <c r="AM203" s="110"/>
      <c r="AN203" s="110"/>
      <c r="AO203" s="110"/>
      <c r="AP203" s="110"/>
      <c r="AQ203" s="110"/>
      <c r="AR203" s="110"/>
      <c r="AS203" s="110"/>
      <c r="AT203" s="110"/>
      <c r="AU203" s="110"/>
      <c r="AV203" s="110"/>
      <c r="AW203" s="110"/>
      <c r="AX203" s="110"/>
      <c r="AY203" s="110"/>
      <c r="AZ203" s="110"/>
      <c r="BA203" s="110"/>
      <c r="BB203" s="110"/>
      <c r="BC203" s="110"/>
      <c r="BD203" s="110"/>
      <c r="BE203" s="110"/>
      <c r="BF203" s="110"/>
      <c r="BG203" s="110"/>
      <c r="BH203" s="110"/>
      <c r="BI203" s="110"/>
      <c r="BJ203" s="110"/>
      <c r="BK203" s="110"/>
      <c r="BL203" s="110"/>
      <c r="BM203" s="110"/>
      <c r="BN203" s="110"/>
      <c r="BO203" s="110"/>
      <c r="BP203" s="110"/>
      <c r="BQ203" s="110"/>
      <c r="BR203" s="110"/>
      <c r="BS203" s="110"/>
      <c r="BT203" s="110"/>
      <c r="BU203" s="110"/>
      <c r="BV203" s="110"/>
      <c r="BW203" s="110"/>
    </row>
    <row r="204" spans="1:75">
      <c r="A204" s="114"/>
      <c r="B204" s="115"/>
      <c r="C204" s="116"/>
      <c r="D204" s="115"/>
      <c r="E204" s="115"/>
      <c r="F204" s="115"/>
      <c r="G204" s="115"/>
      <c r="H204" s="115"/>
      <c r="I204" s="115"/>
      <c r="J204" s="115"/>
      <c r="K204" s="115"/>
      <c r="L204" s="115"/>
      <c r="M204" s="115"/>
      <c r="N204" s="119"/>
      <c r="O204" s="115"/>
      <c r="P204" s="120"/>
      <c r="Q204" s="121"/>
      <c r="R204" s="124"/>
      <c r="S204" s="123"/>
      <c r="T204" s="110"/>
      <c r="U204" s="110"/>
      <c r="V204" s="110"/>
      <c r="W204" s="110"/>
      <c r="X204" s="110"/>
      <c r="Y204" s="110"/>
      <c r="Z204" s="110"/>
      <c r="AA204" s="110"/>
      <c r="AB204" s="110"/>
      <c r="AC204" s="110"/>
      <c r="AD204" s="110"/>
      <c r="AE204" s="110"/>
      <c r="AF204" s="110"/>
      <c r="AG204" s="110"/>
      <c r="AH204" s="110"/>
      <c r="AI204" s="110"/>
      <c r="AJ204" s="110"/>
      <c r="AK204" s="110"/>
      <c r="AL204" s="110"/>
      <c r="AM204" s="110"/>
      <c r="AN204" s="110"/>
      <c r="AO204" s="110"/>
      <c r="AP204" s="110"/>
      <c r="AQ204" s="110"/>
      <c r="AR204" s="110"/>
      <c r="AS204" s="110"/>
      <c r="AT204" s="110"/>
      <c r="AU204" s="110"/>
      <c r="AV204" s="110"/>
      <c r="AW204" s="110"/>
      <c r="AX204" s="110"/>
      <c r="AY204" s="110"/>
      <c r="AZ204" s="110"/>
      <c r="BA204" s="110"/>
      <c r="BB204" s="110"/>
      <c r="BC204" s="110"/>
      <c r="BD204" s="110"/>
      <c r="BE204" s="110"/>
      <c r="BF204" s="110"/>
      <c r="BG204" s="110"/>
      <c r="BH204" s="110"/>
      <c r="BI204" s="110"/>
      <c r="BJ204" s="110"/>
      <c r="BK204" s="110"/>
      <c r="BL204" s="110"/>
      <c r="BM204" s="110"/>
      <c r="BN204" s="110"/>
      <c r="BO204" s="110"/>
      <c r="BP204" s="110"/>
      <c r="BQ204" s="110"/>
      <c r="BR204" s="110"/>
      <c r="BS204" s="110"/>
      <c r="BT204" s="110"/>
      <c r="BU204" s="110"/>
      <c r="BV204" s="110"/>
      <c r="BW204" s="110"/>
    </row>
    <row r="205" spans="1:75">
      <c r="A205" s="114"/>
      <c r="B205" s="115"/>
      <c r="C205" s="116"/>
      <c r="D205" s="115"/>
      <c r="E205" s="115"/>
      <c r="F205" s="115"/>
      <c r="G205" s="115"/>
      <c r="H205" s="115"/>
      <c r="I205" s="115"/>
      <c r="J205" s="115"/>
      <c r="K205" s="115"/>
      <c r="L205" s="115"/>
      <c r="M205" s="115"/>
      <c r="N205" s="119"/>
      <c r="O205" s="115"/>
      <c r="P205" s="120"/>
      <c r="Q205" s="121"/>
      <c r="R205" s="124"/>
      <c r="S205" s="123"/>
      <c r="T205" s="110"/>
      <c r="U205" s="110"/>
      <c r="V205" s="110"/>
      <c r="W205" s="110"/>
      <c r="X205" s="110"/>
      <c r="Y205" s="110"/>
      <c r="Z205" s="110"/>
      <c r="AA205" s="110"/>
      <c r="AB205" s="110"/>
      <c r="AC205" s="110"/>
      <c r="AD205" s="110"/>
      <c r="AE205" s="110"/>
      <c r="AF205" s="110"/>
      <c r="AG205" s="110"/>
      <c r="AH205" s="110"/>
      <c r="AI205" s="110"/>
      <c r="AJ205" s="110"/>
      <c r="AK205" s="110"/>
      <c r="AL205" s="110"/>
      <c r="AM205" s="110"/>
      <c r="AN205" s="110"/>
      <c r="AO205" s="110"/>
      <c r="AP205" s="110"/>
      <c r="AQ205" s="110"/>
      <c r="AR205" s="110"/>
      <c r="AS205" s="110"/>
      <c r="AT205" s="110"/>
      <c r="AU205" s="110"/>
      <c r="AV205" s="110"/>
      <c r="AW205" s="110"/>
      <c r="AX205" s="110"/>
      <c r="AY205" s="110"/>
      <c r="AZ205" s="110"/>
      <c r="BA205" s="110"/>
      <c r="BB205" s="110"/>
      <c r="BC205" s="110"/>
      <c r="BD205" s="110"/>
      <c r="BE205" s="110"/>
      <c r="BF205" s="110"/>
      <c r="BG205" s="110"/>
      <c r="BH205" s="110"/>
      <c r="BI205" s="110"/>
      <c r="BJ205" s="110"/>
      <c r="BK205" s="110"/>
      <c r="BL205" s="110"/>
      <c r="BM205" s="110"/>
      <c r="BN205" s="110"/>
      <c r="BO205" s="110"/>
      <c r="BP205" s="110"/>
      <c r="BQ205" s="110"/>
      <c r="BR205" s="110"/>
      <c r="BS205" s="110"/>
      <c r="BT205" s="110"/>
      <c r="BU205" s="110"/>
      <c r="BV205" s="110"/>
      <c r="BW205" s="110"/>
    </row>
    <row r="206" spans="1:75">
      <c r="A206" s="114"/>
      <c r="B206" s="115"/>
      <c r="C206" s="116"/>
      <c r="D206" s="115"/>
      <c r="E206" s="115"/>
      <c r="F206" s="115"/>
      <c r="G206" s="115"/>
      <c r="H206" s="115"/>
      <c r="I206" s="115"/>
      <c r="J206" s="115"/>
      <c r="K206" s="115"/>
      <c r="L206" s="115"/>
      <c r="M206" s="115"/>
      <c r="N206" s="119"/>
      <c r="O206" s="115"/>
      <c r="P206" s="120"/>
      <c r="Q206" s="121"/>
      <c r="R206" s="124"/>
      <c r="S206" s="123"/>
      <c r="T206" s="110"/>
      <c r="U206" s="110"/>
      <c r="V206" s="110"/>
      <c r="W206" s="110"/>
      <c r="X206" s="110"/>
      <c r="Y206" s="110"/>
      <c r="Z206" s="110"/>
      <c r="AA206" s="110"/>
      <c r="AB206" s="110"/>
      <c r="AC206" s="110"/>
      <c r="AD206" s="110"/>
      <c r="AE206" s="110"/>
      <c r="AF206" s="110"/>
      <c r="AG206" s="110"/>
      <c r="AH206" s="110"/>
      <c r="AI206" s="110"/>
      <c r="AJ206" s="110"/>
      <c r="AK206" s="110"/>
      <c r="AL206" s="110"/>
      <c r="AM206" s="110"/>
      <c r="AN206" s="110"/>
      <c r="AO206" s="110"/>
      <c r="AP206" s="110"/>
      <c r="AQ206" s="110"/>
      <c r="AR206" s="110"/>
      <c r="AS206" s="110"/>
      <c r="AT206" s="110"/>
      <c r="AU206" s="110"/>
      <c r="AV206" s="110"/>
      <c r="AW206" s="110"/>
      <c r="AX206" s="110"/>
      <c r="AY206" s="110"/>
      <c r="AZ206" s="110"/>
      <c r="BA206" s="110"/>
      <c r="BB206" s="110"/>
      <c r="BC206" s="110"/>
      <c r="BD206" s="110"/>
      <c r="BE206" s="110"/>
      <c r="BF206" s="110"/>
      <c r="BG206" s="110"/>
      <c r="BH206" s="110"/>
      <c r="BI206" s="110"/>
      <c r="BJ206" s="110"/>
      <c r="BK206" s="110"/>
      <c r="BL206" s="110"/>
      <c r="BM206" s="110"/>
      <c r="BN206" s="110"/>
      <c r="BO206" s="110"/>
      <c r="BP206" s="110"/>
      <c r="BQ206" s="110"/>
      <c r="BR206" s="110"/>
      <c r="BS206" s="110"/>
      <c r="BT206" s="110"/>
      <c r="BU206" s="110"/>
      <c r="BV206" s="110"/>
      <c r="BW206" s="110"/>
    </row>
    <row r="207" spans="1:75">
      <c r="A207" s="114"/>
      <c r="B207" s="115"/>
      <c r="C207" s="116"/>
      <c r="D207" s="115"/>
      <c r="E207" s="115"/>
      <c r="F207" s="115"/>
      <c r="G207" s="115"/>
      <c r="H207" s="115"/>
      <c r="I207" s="115"/>
      <c r="J207" s="115"/>
      <c r="K207" s="115"/>
      <c r="L207" s="115"/>
      <c r="M207" s="115"/>
      <c r="N207" s="119"/>
      <c r="O207" s="115"/>
      <c r="P207" s="120"/>
      <c r="Q207" s="121"/>
      <c r="R207" s="124"/>
      <c r="S207" s="123"/>
      <c r="T207" s="110"/>
      <c r="U207" s="110"/>
      <c r="V207" s="110"/>
      <c r="W207" s="110"/>
      <c r="X207" s="110"/>
      <c r="Y207" s="110"/>
      <c r="Z207" s="110"/>
      <c r="AA207" s="110"/>
      <c r="AB207" s="110"/>
      <c r="AC207" s="110"/>
      <c r="AD207" s="110"/>
      <c r="AE207" s="110"/>
      <c r="AF207" s="110"/>
      <c r="AG207" s="110"/>
      <c r="AH207" s="110"/>
      <c r="AI207" s="110"/>
      <c r="AJ207" s="110"/>
      <c r="AK207" s="110"/>
      <c r="AL207" s="110"/>
      <c r="AM207" s="110"/>
      <c r="AN207" s="110"/>
      <c r="AO207" s="110"/>
      <c r="AP207" s="110"/>
      <c r="AQ207" s="110"/>
      <c r="AR207" s="110"/>
      <c r="AS207" s="110"/>
      <c r="AT207" s="110"/>
      <c r="AU207" s="110"/>
      <c r="AV207" s="110"/>
      <c r="AW207" s="110"/>
      <c r="AX207" s="110"/>
      <c r="AY207" s="110"/>
      <c r="AZ207" s="110"/>
      <c r="BA207" s="110"/>
      <c r="BB207" s="110"/>
      <c r="BC207" s="110"/>
      <c r="BD207" s="110"/>
      <c r="BE207" s="110"/>
      <c r="BF207" s="110"/>
      <c r="BG207" s="110"/>
      <c r="BH207" s="110"/>
      <c r="BI207" s="110"/>
      <c r="BJ207" s="110"/>
      <c r="BK207" s="110"/>
      <c r="BL207" s="110"/>
      <c r="BM207" s="110"/>
      <c r="BN207" s="110"/>
      <c r="BO207" s="110"/>
      <c r="BP207" s="110"/>
      <c r="BQ207" s="110"/>
      <c r="BR207" s="110"/>
      <c r="BS207" s="110"/>
      <c r="BT207" s="110"/>
      <c r="BU207" s="110"/>
      <c r="BV207" s="110"/>
      <c r="BW207" s="110"/>
    </row>
    <row r="208" spans="1:75">
      <c r="A208" s="114"/>
      <c r="B208" s="115"/>
      <c r="C208" s="116"/>
      <c r="D208" s="115"/>
      <c r="E208" s="115"/>
      <c r="F208" s="115"/>
      <c r="G208" s="115"/>
      <c r="H208" s="115"/>
      <c r="I208" s="115"/>
      <c r="J208" s="115"/>
      <c r="K208" s="115"/>
      <c r="L208" s="115"/>
      <c r="M208" s="115"/>
      <c r="N208" s="119"/>
      <c r="O208" s="115"/>
      <c r="P208" s="120"/>
      <c r="Q208" s="121"/>
      <c r="R208" s="124"/>
      <c r="S208" s="123"/>
      <c r="T208" s="110"/>
      <c r="U208" s="110"/>
      <c r="V208" s="110"/>
      <c r="W208" s="110"/>
      <c r="X208" s="110"/>
      <c r="Y208" s="110"/>
      <c r="Z208" s="110"/>
      <c r="AA208" s="110"/>
      <c r="AB208" s="110"/>
      <c r="AC208" s="110"/>
      <c r="AD208" s="110"/>
      <c r="AE208" s="110"/>
      <c r="AF208" s="110"/>
      <c r="AG208" s="110"/>
      <c r="AH208" s="110"/>
      <c r="AI208" s="110"/>
      <c r="AJ208" s="110"/>
      <c r="AK208" s="110"/>
      <c r="AL208" s="110"/>
      <c r="AM208" s="110"/>
      <c r="AN208" s="110"/>
      <c r="AO208" s="110"/>
      <c r="AP208" s="110"/>
      <c r="AQ208" s="110"/>
      <c r="AR208" s="110"/>
      <c r="AS208" s="110"/>
      <c r="AT208" s="110"/>
      <c r="AU208" s="110"/>
      <c r="AV208" s="110"/>
      <c r="AW208" s="110"/>
      <c r="AX208" s="110"/>
      <c r="AY208" s="110"/>
      <c r="AZ208" s="110"/>
      <c r="BA208" s="110"/>
      <c r="BB208" s="110"/>
      <c r="BC208" s="110"/>
      <c r="BD208" s="110"/>
      <c r="BE208" s="110"/>
      <c r="BF208" s="110"/>
      <c r="BG208" s="110"/>
      <c r="BH208" s="110"/>
      <c r="BI208" s="110"/>
      <c r="BJ208" s="110"/>
      <c r="BK208" s="110"/>
      <c r="BL208" s="110"/>
      <c r="BM208" s="110"/>
      <c r="BN208" s="110"/>
      <c r="BO208" s="110"/>
      <c r="BP208" s="110"/>
      <c r="BQ208" s="110"/>
      <c r="BR208" s="110"/>
      <c r="BS208" s="110"/>
      <c r="BT208" s="110"/>
      <c r="BU208" s="110"/>
      <c r="BV208" s="110"/>
      <c r="BW208" s="110"/>
    </row>
    <row r="209" spans="1:75">
      <c r="A209" s="114"/>
      <c r="B209" s="115"/>
      <c r="C209" s="116"/>
      <c r="D209" s="115"/>
      <c r="E209" s="115"/>
      <c r="F209" s="115"/>
      <c r="G209" s="115"/>
      <c r="H209" s="115"/>
      <c r="I209" s="115"/>
      <c r="J209" s="115"/>
      <c r="K209" s="115"/>
      <c r="L209" s="115"/>
      <c r="M209" s="115"/>
      <c r="N209" s="119"/>
      <c r="O209" s="115"/>
      <c r="P209" s="120"/>
      <c r="Q209" s="121"/>
      <c r="R209" s="124"/>
      <c r="S209" s="123"/>
      <c r="T209" s="110"/>
      <c r="U209" s="110"/>
      <c r="V209" s="110"/>
      <c r="W209" s="110"/>
      <c r="X209" s="110"/>
      <c r="Y209" s="110"/>
      <c r="Z209" s="110"/>
      <c r="AA209" s="110"/>
      <c r="AB209" s="110"/>
      <c r="AC209" s="110"/>
      <c r="AD209" s="110"/>
      <c r="AE209" s="110"/>
      <c r="AF209" s="110"/>
      <c r="AG209" s="110"/>
      <c r="AH209" s="110"/>
      <c r="AI209" s="110"/>
      <c r="AJ209" s="110"/>
      <c r="AK209" s="110"/>
      <c r="AL209" s="110"/>
      <c r="AM209" s="110"/>
      <c r="AN209" s="110"/>
      <c r="AO209" s="110"/>
      <c r="AP209" s="110"/>
      <c r="AQ209" s="110"/>
      <c r="AR209" s="110"/>
      <c r="AS209" s="110"/>
      <c r="AT209" s="110"/>
      <c r="AU209" s="110"/>
      <c r="AV209" s="110"/>
      <c r="AW209" s="110"/>
      <c r="AX209" s="110"/>
      <c r="AY209" s="110"/>
      <c r="AZ209" s="110"/>
      <c r="BA209" s="110"/>
      <c r="BB209" s="110"/>
      <c r="BC209" s="110"/>
      <c r="BD209" s="110"/>
      <c r="BE209" s="110"/>
      <c r="BF209" s="110"/>
      <c r="BG209" s="110"/>
      <c r="BH209" s="110"/>
      <c r="BI209" s="110"/>
      <c r="BJ209" s="110"/>
      <c r="BK209" s="110"/>
      <c r="BL209" s="110"/>
      <c r="BM209" s="110"/>
      <c r="BN209" s="110"/>
      <c r="BO209" s="110"/>
      <c r="BP209" s="110"/>
      <c r="BQ209" s="110"/>
      <c r="BR209" s="110"/>
      <c r="BS209" s="110"/>
      <c r="BT209" s="110"/>
      <c r="BU209" s="110"/>
      <c r="BV209" s="110"/>
      <c r="BW209" s="110"/>
    </row>
    <row r="210" spans="1:75">
      <c r="A210" s="114"/>
      <c r="B210" s="115"/>
      <c r="C210" s="116"/>
      <c r="D210" s="115"/>
      <c r="E210" s="115"/>
      <c r="F210" s="115"/>
      <c r="G210" s="115"/>
      <c r="H210" s="115"/>
      <c r="I210" s="115"/>
      <c r="J210" s="115"/>
      <c r="K210" s="115"/>
      <c r="L210" s="115"/>
      <c r="M210" s="115"/>
      <c r="N210" s="119"/>
      <c r="O210" s="115"/>
      <c r="P210" s="120"/>
      <c r="Q210" s="121"/>
      <c r="R210" s="124"/>
      <c r="S210" s="123"/>
      <c r="T210" s="110"/>
      <c r="U210" s="110"/>
      <c r="V210" s="110"/>
      <c r="W210" s="110"/>
      <c r="X210" s="110"/>
      <c r="Y210" s="110"/>
      <c r="Z210" s="110"/>
      <c r="AA210" s="110"/>
      <c r="AB210" s="110"/>
      <c r="AC210" s="110"/>
      <c r="AD210" s="110"/>
      <c r="AE210" s="110"/>
      <c r="AF210" s="110"/>
      <c r="AG210" s="110"/>
      <c r="AH210" s="110"/>
      <c r="AI210" s="110"/>
      <c r="AJ210" s="110"/>
      <c r="AK210" s="110"/>
      <c r="AL210" s="110"/>
      <c r="AM210" s="110"/>
      <c r="AN210" s="110"/>
      <c r="AO210" s="110"/>
      <c r="AP210" s="110"/>
      <c r="AQ210" s="110"/>
      <c r="AR210" s="110"/>
      <c r="AS210" s="110"/>
      <c r="AT210" s="110"/>
      <c r="AU210" s="110"/>
      <c r="AV210" s="110"/>
      <c r="AW210" s="110"/>
      <c r="AX210" s="110"/>
      <c r="AY210" s="110"/>
      <c r="AZ210" s="110"/>
      <c r="BA210" s="110"/>
      <c r="BB210" s="110"/>
      <c r="BC210" s="110"/>
      <c r="BD210" s="110"/>
      <c r="BE210" s="110"/>
      <c r="BF210" s="110"/>
      <c r="BG210" s="110"/>
      <c r="BH210" s="110"/>
      <c r="BI210" s="110"/>
      <c r="BJ210" s="110"/>
      <c r="BK210" s="110"/>
      <c r="BL210" s="110"/>
      <c r="BM210" s="110"/>
      <c r="BN210" s="110"/>
      <c r="BO210" s="110"/>
      <c r="BP210" s="110"/>
      <c r="BQ210" s="110"/>
      <c r="BR210" s="110"/>
      <c r="BS210" s="110"/>
      <c r="BT210" s="110"/>
      <c r="BU210" s="110"/>
      <c r="BV210" s="110"/>
      <c r="BW210" s="110"/>
    </row>
    <row r="211" spans="1:75">
      <c r="A211" s="114"/>
      <c r="B211" s="115"/>
      <c r="C211" s="116"/>
      <c r="D211" s="115"/>
      <c r="E211" s="115"/>
      <c r="F211" s="115"/>
      <c r="G211" s="115"/>
      <c r="H211" s="115"/>
      <c r="I211" s="115"/>
      <c r="J211" s="115"/>
      <c r="K211" s="115"/>
      <c r="L211" s="115"/>
      <c r="M211" s="115"/>
      <c r="N211" s="119"/>
      <c r="O211" s="115"/>
      <c r="P211" s="120"/>
      <c r="Q211" s="121"/>
      <c r="R211" s="124"/>
      <c r="S211" s="123"/>
      <c r="T211" s="110"/>
      <c r="U211" s="110"/>
      <c r="V211" s="110"/>
      <c r="W211" s="110"/>
      <c r="X211" s="110"/>
      <c r="Y211" s="110"/>
      <c r="Z211" s="110"/>
      <c r="AA211" s="110"/>
      <c r="AB211" s="110"/>
      <c r="AC211" s="110"/>
      <c r="AD211" s="110"/>
      <c r="AE211" s="110"/>
      <c r="AF211" s="110"/>
      <c r="AG211" s="110"/>
      <c r="AH211" s="110"/>
      <c r="AI211" s="110"/>
      <c r="AJ211" s="110"/>
      <c r="AK211" s="110"/>
      <c r="AL211" s="110"/>
      <c r="AM211" s="110"/>
      <c r="AN211" s="110"/>
      <c r="AO211" s="110"/>
      <c r="AP211" s="110"/>
      <c r="AQ211" s="110"/>
      <c r="AR211" s="110"/>
      <c r="AS211" s="110"/>
      <c r="AT211" s="110"/>
      <c r="AU211" s="110"/>
      <c r="AV211" s="110"/>
      <c r="AW211" s="110"/>
      <c r="AX211" s="110"/>
      <c r="AY211" s="110"/>
      <c r="AZ211" s="110"/>
      <c r="BA211" s="110"/>
      <c r="BB211" s="110"/>
      <c r="BC211" s="110"/>
      <c r="BD211" s="110"/>
      <c r="BE211" s="110"/>
      <c r="BF211" s="110"/>
      <c r="BG211" s="110"/>
      <c r="BH211" s="110"/>
      <c r="BI211" s="110"/>
      <c r="BJ211" s="110"/>
      <c r="BK211" s="110"/>
      <c r="BL211" s="110"/>
      <c r="BM211" s="110"/>
      <c r="BN211" s="110"/>
      <c r="BO211" s="110"/>
      <c r="BP211" s="110"/>
      <c r="BQ211" s="110"/>
      <c r="BR211" s="110"/>
      <c r="BS211" s="110"/>
      <c r="BT211" s="110"/>
      <c r="BU211" s="110"/>
      <c r="BV211" s="110"/>
      <c r="BW211" s="110"/>
    </row>
    <row r="212" spans="1:75">
      <c r="A212" s="114"/>
      <c r="B212" s="115"/>
      <c r="C212" s="116"/>
      <c r="D212" s="115"/>
      <c r="E212" s="115"/>
      <c r="F212" s="115"/>
      <c r="G212" s="115"/>
      <c r="H212" s="115"/>
      <c r="I212" s="115"/>
      <c r="J212" s="115"/>
      <c r="K212" s="115"/>
      <c r="L212" s="115"/>
      <c r="M212" s="115"/>
      <c r="N212" s="119"/>
      <c r="O212" s="115"/>
      <c r="P212" s="120"/>
      <c r="Q212" s="121"/>
      <c r="R212" s="124"/>
      <c r="S212" s="123"/>
      <c r="T212" s="110"/>
      <c r="U212" s="110"/>
      <c r="V212" s="110"/>
      <c r="W212" s="110"/>
      <c r="X212" s="110"/>
      <c r="Y212" s="110"/>
      <c r="Z212" s="110"/>
      <c r="AA212" s="110"/>
      <c r="AB212" s="110"/>
      <c r="AC212" s="110"/>
      <c r="AD212" s="110"/>
      <c r="AE212" s="110"/>
      <c r="AF212" s="110"/>
      <c r="AG212" s="110"/>
      <c r="AH212" s="110"/>
      <c r="AI212" s="110"/>
      <c r="AJ212" s="110"/>
      <c r="AK212" s="110"/>
      <c r="AL212" s="110"/>
      <c r="AM212" s="110"/>
      <c r="AN212" s="110"/>
      <c r="AO212" s="110"/>
      <c r="AP212" s="110"/>
      <c r="AQ212" s="110"/>
      <c r="AR212" s="110"/>
      <c r="AS212" s="110"/>
      <c r="AT212" s="110"/>
      <c r="AU212" s="110"/>
      <c r="AV212" s="110"/>
      <c r="AW212" s="110"/>
      <c r="AX212" s="110"/>
      <c r="AY212" s="110"/>
      <c r="AZ212" s="110"/>
      <c r="BA212" s="110"/>
      <c r="BB212" s="110"/>
      <c r="BC212" s="110"/>
      <c r="BD212" s="110"/>
      <c r="BE212" s="110"/>
      <c r="BF212" s="110"/>
      <c r="BG212" s="110"/>
      <c r="BH212" s="110"/>
      <c r="BI212" s="110"/>
      <c r="BJ212" s="110"/>
      <c r="BK212" s="110"/>
      <c r="BL212" s="110"/>
      <c r="BM212" s="110"/>
      <c r="BN212" s="110"/>
      <c r="BO212" s="110"/>
      <c r="BP212" s="110"/>
      <c r="BQ212" s="110"/>
      <c r="BR212" s="110"/>
      <c r="BS212" s="110"/>
      <c r="BT212" s="110"/>
      <c r="BU212" s="110"/>
      <c r="BV212" s="110"/>
      <c r="BW212" s="110"/>
    </row>
    <row r="213" spans="1:75">
      <c r="A213" s="114"/>
      <c r="B213" s="115"/>
      <c r="C213" s="116"/>
      <c r="D213" s="115"/>
      <c r="E213" s="115"/>
      <c r="F213" s="115"/>
      <c r="G213" s="115"/>
      <c r="H213" s="115"/>
      <c r="I213" s="115"/>
      <c r="J213" s="115"/>
      <c r="K213" s="115"/>
      <c r="L213" s="115"/>
      <c r="M213" s="115"/>
      <c r="N213" s="119"/>
      <c r="O213" s="115"/>
      <c r="P213" s="120"/>
      <c r="Q213" s="121"/>
      <c r="R213" s="124"/>
      <c r="S213" s="123"/>
      <c r="T213" s="110"/>
      <c r="U213" s="110"/>
      <c r="V213" s="110"/>
      <c r="W213" s="110"/>
      <c r="X213" s="110"/>
      <c r="Y213" s="110"/>
      <c r="Z213" s="110"/>
      <c r="AA213" s="110"/>
      <c r="AB213" s="110"/>
      <c r="AC213" s="110"/>
      <c r="AD213" s="110"/>
      <c r="AE213" s="110"/>
      <c r="AF213" s="110"/>
      <c r="AG213" s="110"/>
      <c r="AH213" s="110"/>
      <c r="AI213" s="110"/>
      <c r="AJ213" s="110"/>
      <c r="AK213" s="110"/>
      <c r="AL213" s="110"/>
      <c r="AM213" s="110"/>
      <c r="AN213" s="110"/>
      <c r="AO213" s="110"/>
      <c r="AP213" s="110"/>
      <c r="AQ213" s="110"/>
      <c r="AR213" s="110"/>
      <c r="AS213" s="110"/>
      <c r="AT213" s="110"/>
      <c r="AU213" s="110"/>
      <c r="AV213" s="110"/>
      <c r="AW213" s="110"/>
      <c r="AX213" s="110"/>
      <c r="AY213" s="110"/>
      <c r="AZ213" s="110"/>
      <c r="BA213" s="110"/>
      <c r="BB213" s="110"/>
      <c r="BC213" s="110"/>
      <c r="BD213" s="110"/>
      <c r="BE213" s="110"/>
      <c r="BF213" s="110"/>
      <c r="BG213" s="110"/>
      <c r="BH213" s="110"/>
      <c r="BI213" s="110"/>
      <c r="BJ213" s="110"/>
      <c r="BK213" s="110"/>
      <c r="BL213" s="110"/>
      <c r="BM213" s="110"/>
      <c r="BN213" s="110"/>
      <c r="BO213" s="110"/>
      <c r="BP213" s="110"/>
      <c r="BQ213" s="110"/>
      <c r="BR213" s="110"/>
      <c r="BS213" s="110"/>
      <c r="BT213" s="110"/>
      <c r="BU213" s="110"/>
      <c r="BV213" s="110"/>
      <c r="BW213" s="110"/>
    </row>
    <row r="214" spans="1:75">
      <c r="A214" s="114"/>
      <c r="B214" s="115"/>
      <c r="C214" s="116"/>
      <c r="D214" s="115"/>
      <c r="E214" s="115"/>
      <c r="F214" s="115"/>
      <c r="G214" s="115"/>
      <c r="H214" s="115"/>
      <c r="I214" s="115"/>
      <c r="J214" s="115"/>
      <c r="K214" s="115"/>
      <c r="L214" s="115"/>
      <c r="M214" s="115"/>
      <c r="N214" s="119"/>
      <c r="O214" s="115"/>
      <c r="P214" s="120"/>
      <c r="Q214" s="121"/>
      <c r="R214" s="124"/>
      <c r="S214" s="123"/>
      <c r="T214" s="110"/>
      <c r="U214" s="110"/>
      <c r="V214" s="110"/>
      <c r="W214" s="110"/>
      <c r="X214" s="110"/>
      <c r="Y214" s="110"/>
      <c r="Z214" s="110"/>
      <c r="AA214" s="110"/>
      <c r="AB214" s="110"/>
      <c r="AC214" s="110"/>
      <c r="AD214" s="110"/>
      <c r="AE214" s="110"/>
      <c r="AF214" s="110"/>
      <c r="AG214" s="110"/>
      <c r="AH214" s="110"/>
      <c r="AI214" s="110"/>
      <c r="AJ214" s="110"/>
      <c r="AK214" s="110"/>
      <c r="AL214" s="110"/>
      <c r="AM214" s="110"/>
      <c r="AN214" s="110"/>
      <c r="AO214" s="110"/>
      <c r="AP214" s="110"/>
      <c r="AQ214" s="110"/>
      <c r="AR214" s="110"/>
      <c r="AS214" s="110"/>
      <c r="AT214" s="110"/>
      <c r="AU214" s="110"/>
      <c r="AV214" s="110"/>
      <c r="AW214" s="110"/>
      <c r="AX214" s="110"/>
      <c r="AY214" s="110"/>
      <c r="AZ214" s="110"/>
      <c r="BA214" s="110"/>
      <c r="BB214" s="110"/>
      <c r="BC214" s="110"/>
      <c r="BD214" s="110"/>
      <c r="BE214" s="110"/>
      <c r="BF214" s="110"/>
      <c r="BG214" s="110"/>
      <c r="BH214" s="110"/>
      <c r="BI214" s="110"/>
      <c r="BJ214" s="110"/>
      <c r="BK214" s="110"/>
      <c r="BL214" s="110"/>
      <c r="BM214" s="110"/>
      <c r="BN214" s="110"/>
      <c r="BO214" s="110"/>
      <c r="BP214" s="110"/>
      <c r="BQ214" s="110"/>
      <c r="BR214" s="110"/>
      <c r="BS214" s="110"/>
      <c r="BT214" s="110"/>
      <c r="BU214" s="110"/>
      <c r="BV214" s="110"/>
      <c r="BW214" s="110"/>
    </row>
    <row r="215" spans="1:75">
      <c r="A215" s="114"/>
      <c r="B215" s="115"/>
      <c r="C215" s="116"/>
      <c r="D215" s="115"/>
      <c r="E215" s="115"/>
      <c r="F215" s="115"/>
      <c r="G215" s="115"/>
      <c r="H215" s="115"/>
      <c r="I215" s="115"/>
      <c r="J215" s="115"/>
      <c r="K215" s="115"/>
      <c r="L215" s="115"/>
      <c r="M215" s="115"/>
      <c r="N215" s="119"/>
      <c r="O215" s="115"/>
      <c r="P215" s="120"/>
      <c r="Q215" s="121"/>
      <c r="R215" s="124"/>
      <c r="S215" s="123"/>
      <c r="T215" s="110"/>
      <c r="U215" s="110"/>
      <c r="V215" s="110"/>
      <c r="W215" s="110"/>
      <c r="X215" s="110"/>
      <c r="Y215" s="110"/>
      <c r="Z215" s="110"/>
      <c r="AA215" s="110"/>
      <c r="AB215" s="110"/>
      <c r="AC215" s="110"/>
      <c r="AD215" s="110"/>
      <c r="AE215" s="110"/>
      <c r="AF215" s="110"/>
      <c r="AG215" s="110"/>
      <c r="AH215" s="110"/>
      <c r="AI215" s="110"/>
      <c r="AJ215" s="110"/>
      <c r="AK215" s="110"/>
      <c r="AL215" s="110"/>
      <c r="AM215" s="110"/>
      <c r="AN215" s="110"/>
      <c r="AO215" s="110"/>
      <c r="AP215" s="110"/>
      <c r="AQ215" s="110"/>
      <c r="AR215" s="110"/>
      <c r="AS215" s="110"/>
      <c r="AT215" s="110"/>
      <c r="AU215" s="110"/>
      <c r="AV215" s="110"/>
      <c r="AW215" s="110"/>
      <c r="AX215" s="110"/>
      <c r="AY215" s="110"/>
      <c r="AZ215" s="110"/>
      <c r="BA215" s="110"/>
      <c r="BB215" s="110"/>
      <c r="BC215" s="110"/>
      <c r="BD215" s="110"/>
      <c r="BE215" s="110"/>
      <c r="BF215" s="110"/>
      <c r="BG215" s="110"/>
      <c r="BH215" s="110"/>
      <c r="BI215" s="110"/>
      <c r="BJ215" s="110"/>
      <c r="BK215" s="110"/>
      <c r="BL215" s="110"/>
      <c r="BM215" s="110"/>
      <c r="BN215" s="110"/>
      <c r="BO215" s="110"/>
      <c r="BP215" s="110"/>
      <c r="BQ215" s="110"/>
      <c r="BR215" s="110"/>
      <c r="BS215" s="110"/>
      <c r="BT215" s="110"/>
      <c r="BU215" s="110"/>
      <c r="BV215" s="110"/>
      <c r="BW215" s="110"/>
    </row>
    <row r="216" spans="1:75">
      <c r="A216" s="114"/>
      <c r="B216" s="115"/>
      <c r="C216" s="116"/>
      <c r="D216" s="115"/>
      <c r="E216" s="115"/>
      <c r="F216" s="115"/>
      <c r="G216" s="115"/>
      <c r="H216" s="115"/>
      <c r="I216" s="115"/>
      <c r="J216" s="115"/>
      <c r="K216" s="115"/>
      <c r="L216" s="115"/>
      <c r="M216" s="115"/>
      <c r="N216" s="119"/>
      <c r="O216" s="115"/>
      <c r="P216" s="120"/>
      <c r="Q216" s="121"/>
      <c r="R216" s="124"/>
      <c r="S216" s="123"/>
      <c r="T216" s="110"/>
      <c r="U216" s="110"/>
      <c r="V216" s="110"/>
      <c r="W216" s="110"/>
      <c r="X216" s="110"/>
      <c r="Y216" s="110"/>
      <c r="Z216" s="110"/>
      <c r="AA216" s="110"/>
      <c r="AB216" s="110"/>
      <c r="AC216" s="110"/>
      <c r="AD216" s="110"/>
      <c r="AE216" s="110"/>
      <c r="AF216" s="110"/>
      <c r="AG216" s="110"/>
      <c r="AH216" s="110"/>
      <c r="AI216" s="110"/>
      <c r="AJ216" s="110"/>
      <c r="AK216" s="110"/>
      <c r="AL216" s="110"/>
      <c r="AM216" s="110"/>
      <c r="AN216" s="110"/>
      <c r="AO216" s="110"/>
      <c r="AP216" s="110"/>
      <c r="AQ216" s="110"/>
      <c r="AR216" s="110"/>
      <c r="AS216" s="110"/>
      <c r="AT216" s="110"/>
      <c r="AU216" s="110"/>
      <c r="AV216" s="110"/>
      <c r="AW216" s="110"/>
      <c r="AX216" s="110"/>
      <c r="AY216" s="110"/>
      <c r="AZ216" s="110"/>
      <c r="BA216" s="110"/>
      <c r="BB216" s="110"/>
      <c r="BC216" s="110"/>
      <c r="BD216" s="110"/>
      <c r="BE216" s="110"/>
      <c r="BF216" s="110"/>
      <c r="BG216" s="110"/>
      <c r="BH216" s="110"/>
      <c r="BI216" s="110"/>
      <c r="BJ216" s="110"/>
      <c r="BK216" s="110"/>
      <c r="BL216" s="110"/>
      <c r="BM216" s="110"/>
      <c r="BN216" s="110"/>
      <c r="BO216" s="110"/>
      <c r="BP216" s="110"/>
      <c r="BQ216" s="110"/>
      <c r="BR216" s="110"/>
      <c r="BS216" s="110"/>
      <c r="BT216" s="110"/>
      <c r="BU216" s="110"/>
      <c r="BV216" s="110"/>
      <c r="BW216" s="110"/>
    </row>
    <row r="217" spans="1:75">
      <c r="A217" s="114"/>
      <c r="B217" s="115"/>
      <c r="C217" s="116"/>
      <c r="D217" s="115"/>
      <c r="E217" s="115"/>
      <c r="F217" s="115"/>
      <c r="G217" s="115"/>
      <c r="H217" s="115"/>
      <c r="I217" s="115"/>
      <c r="J217" s="115"/>
      <c r="K217" s="115"/>
      <c r="L217" s="115"/>
      <c r="M217" s="115"/>
      <c r="N217" s="119"/>
      <c r="O217" s="115"/>
      <c r="P217" s="120"/>
      <c r="Q217" s="121"/>
      <c r="R217" s="124"/>
      <c r="S217" s="123"/>
      <c r="T217" s="110"/>
      <c r="U217" s="110"/>
      <c r="V217" s="110"/>
      <c r="W217" s="110"/>
      <c r="X217" s="110"/>
      <c r="Y217" s="110"/>
      <c r="Z217" s="110"/>
      <c r="AA217" s="110"/>
      <c r="AB217" s="110"/>
      <c r="AC217" s="110"/>
      <c r="AD217" s="110"/>
      <c r="AE217" s="110"/>
      <c r="AF217" s="110"/>
      <c r="AG217" s="110"/>
      <c r="AH217" s="110"/>
      <c r="AI217" s="110"/>
      <c r="AJ217" s="110"/>
      <c r="AK217" s="110"/>
      <c r="AL217" s="110"/>
      <c r="AM217" s="110"/>
      <c r="AN217" s="110"/>
      <c r="AO217" s="110"/>
      <c r="AP217" s="110"/>
      <c r="AQ217" s="110"/>
      <c r="AR217" s="110"/>
      <c r="AS217" s="110"/>
      <c r="AT217" s="110"/>
      <c r="AU217" s="110"/>
      <c r="AV217" s="110"/>
      <c r="AW217" s="110"/>
      <c r="AX217" s="110"/>
      <c r="AY217" s="110"/>
      <c r="AZ217" s="110"/>
      <c r="BA217" s="110"/>
      <c r="BB217" s="110"/>
      <c r="BC217" s="110"/>
      <c r="BD217" s="110"/>
      <c r="BE217" s="110"/>
      <c r="BF217" s="110"/>
      <c r="BG217" s="110"/>
      <c r="BH217" s="110"/>
      <c r="BI217" s="110"/>
      <c r="BJ217" s="110"/>
      <c r="BK217" s="110"/>
      <c r="BL217" s="110"/>
      <c r="BM217" s="110"/>
      <c r="BN217" s="110"/>
      <c r="BO217" s="110"/>
      <c r="BP217" s="110"/>
      <c r="BQ217" s="110"/>
      <c r="BR217" s="110"/>
      <c r="BS217" s="110"/>
      <c r="BT217" s="110"/>
      <c r="BU217" s="110"/>
      <c r="BV217" s="110"/>
      <c r="BW217" s="110"/>
    </row>
    <row r="218" spans="1:75">
      <c r="A218" s="114"/>
      <c r="B218" s="115"/>
      <c r="C218" s="116"/>
      <c r="D218" s="115"/>
      <c r="E218" s="115"/>
      <c r="F218" s="115"/>
      <c r="G218" s="115"/>
      <c r="H218" s="115"/>
      <c r="I218" s="115"/>
      <c r="J218" s="115"/>
      <c r="K218" s="115"/>
      <c r="L218" s="115"/>
      <c r="M218" s="115"/>
      <c r="N218" s="119"/>
      <c r="O218" s="115"/>
      <c r="P218" s="120"/>
      <c r="Q218" s="121"/>
      <c r="R218" s="124"/>
      <c r="S218" s="123"/>
      <c r="T218" s="110"/>
      <c r="U218" s="110"/>
      <c r="V218" s="110"/>
      <c r="W218" s="110"/>
      <c r="X218" s="110"/>
      <c r="Y218" s="110"/>
      <c r="Z218" s="110"/>
      <c r="AA218" s="110"/>
      <c r="AB218" s="110"/>
      <c r="AC218" s="110"/>
      <c r="AD218" s="110"/>
      <c r="AE218" s="110"/>
      <c r="AF218" s="110"/>
      <c r="AG218" s="110"/>
      <c r="AH218" s="110"/>
      <c r="AI218" s="110"/>
      <c r="AJ218" s="110"/>
      <c r="AK218" s="110"/>
      <c r="AL218" s="110"/>
      <c r="AM218" s="110"/>
      <c r="AN218" s="110"/>
      <c r="AO218" s="110"/>
      <c r="AP218" s="110"/>
      <c r="AQ218" s="110"/>
      <c r="AR218" s="110"/>
      <c r="AS218" s="110"/>
      <c r="AT218" s="110"/>
      <c r="AU218" s="110"/>
      <c r="AV218" s="110"/>
      <c r="AW218" s="110"/>
      <c r="AX218" s="110"/>
      <c r="AY218" s="110"/>
      <c r="AZ218" s="110"/>
      <c r="BA218" s="110"/>
      <c r="BB218" s="110"/>
      <c r="BC218" s="110"/>
      <c r="BD218" s="110"/>
      <c r="BE218" s="110"/>
      <c r="BF218" s="110"/>
      <c r="BG218" s="110"/>
      <c r="BH218" s="110"/>
      <c r="BI218" s="110"/>
      <c r="BJ218" s="110"/>
      <c r="BK218" s="110"/>
      <c r="BL218" s="110"/>
      <c r="BM218" s="110"/>
      <c r="BN218" s="110"/>
      <c r="BO218" s="110"/>
      <c r="BP218" s="110"/>
      <c r="BQ218" s="110"/>
      <c r="BR218" s="110"/>
      <c r="BS218" s="110"/>
      <c r="BT218" s="110"/>
      <c r="BU218" s="110"/>
      <c r="BV218" s="110"/>
      <c r="BW218" s="110"/>
    </row>
    <row r="219" spans="1:75">
      <c r="A219" s="114"/>
      <c r="B219" s="115"/>
      <c r="C219" s="116"/>
      <c r="D219" s="115"/>
      <c r="E219" s="115"/>
      <c r="F219" s="115"/>
      <c r="G219" s="115"/>
      <c r="H219" s="115"/>
      <c r="I219" s="115"/>
      <c r="J219" s="115"/>
      <c r="K219" s="115"/>
      <c r="L219" s="115"/>
      <c r="M219" s="115"/>
      <c r="N219" s="119"/>
      <c r="O219" s="115"/>
      <c r="P219" s="120"/>
      <c r="Q219" s="121"/>
      <c r="R219" s="124"/>
      <c r="S219" s="123"/>
      <c r="T219" s="110"/>
      <c r="U219" s="110"/>
      <c r="V219" s="110"/>
      <c r="W219" s="110"/>
      <c r="X219" s="110"/>
      <c r="Y219" s="110"/>
      <c r="Z219" s="110"/>
      <c r="AA219" s="110"/>
      <c r="AB219" s="110"/>
      <c r="AC219" s="110"/>
      <c r="AD219" s="110"/>
      <c r="AE219" s="110"/>
      <c r="AF219" s="110"/>
      <c r="AG219" s="110"/>
      <c r="AH219" s="110"/>
      <c r="AI219" s="110"/>
      <c r="AJ219" s="110"/>
      <c r="AK219" s="110"/>
      <c r="AL219" s="110"/>
      <c r="AM219" s="110"/>
      <c r="AN219" s="110"/>
      <c r="AO219" s="110"/>
      <c r="AP219" s="110"/>
      <c r="AQ219" s="110"/>
      <c r="AR219" s="110"/>
      <c r="AS219" s="110"/>
      <c r="AT219" s="110"/>
      <c r="AU219" s="110"/>
      <c r="AV219" s="110"/>
      <c r="AW219" s="110"/>
      <c r="AX219" s="110"/>
      <c r="AY219" s="110"/>
      <c r="AZ219" s="110"/>
      <c r="BA219" s="110"/>
      <c r="BB219" s="110"/>
      <c r="BC219" s="110"/>
      <c r="BD219" s="110"/>
      <c r="BE219" s="110"/>
      <c r="BF219" s="110"/>
      <c r="BG219" s="110"/>
      <c r="BH219" s="110"/>
      <c r="BI219" s="110"/>
      <c r="BJ219" s="110"/>
      <c r="BK219" s="110"/>
      <c r="BL219" s="110"/>
      <c r="BM219" s="110"/>
      <c r="BN219" s="110"/>
      <c r="BO219" s="110"/>
      <c r="BP219" s="110"/>
      <c r="BQ219" s="110"/>
      <c r="BR219" s="110"/>
      <c r="BS219" s="110"/>
      <c r="BT219" s="110"/>
      <c r="BU219" s="110"/>
      <c r="BV219" s="110"/>
      <c r="BW219" s="110"/>
    </row>
    <row r="220" spans="1:75">
      <c r="A220" s="114"/>
      <c r="B220" s="115"/>
      <c r="C220" s="116"/>
      <c r="D220" s="115"/>
      <c r="E220" s="115"/>
      <c r="F220" s="115"/>
      <c r="G220" s="115"/>
      <c r="H220" s="115"/>
      <c r="I220" s="115"/>
      <c r="J220" s="115"/>
      <c r="K220" s="115"/>
      <c r="L220" s="115"/>
      <c r="M220" s="115"/>
      <c r="N220" s="119"/>
      <c r="O220" s="115"/>
      <c r="P220" s="120"/>
      <c r="Q220" s="121"/>
      <c r="R220" s="124"/>
      <c r="S220" s="123"/>
      <c r="T220" s="110"/>
      <c r="U220" s="110"/>
      <c r="V220" s="110"/>
      <c r="W220" s="110"/>
      <c r="X220" s="110"/>
      <c r="Y220" s="110"/>
      <c r="Z220" s="110"/>
      <c r="AA220" s="110"/>
      <c r="AB220" s="110"/>
      <c r="AC220" s="110"/>
      <c r="AD220" s="110"/>
      <c r="AE220" s="110"/>
      <c r="AF220" s="110"/>
      <c r="AG220" s="110"/>
      <c r="AH220" s="110"/>
      <c r="AI220" s="110"/>
      <c r="AJ220" s="110"/>
      <c r="AK220" s="110"/>
      <c r="AL220" s="110"/>
      <c r="AM220" s="110"/>
      <c r="AN220" s="110"/>
      <c r="AO220" s="110"/>
      <c r="AP220" s="110"/>
      <c r="AQ220" s="110"/>
      <c r="AR220" s="110"/>
      <c r="AS220" s="110"/>
      <c r="AT220" s="110"/>
      <c r="AU220" s="110"/>
      <c r="AV220" s="110"/>
      <c r="AW220" s="110"/>
      <c r="AX220" s="110"/>
      <c r="AY220" s="110"/>
      <c r="AZ220" s="110"/>
      <c r="BA220" s="110"/>
      <c r="BB220" s="110"/>
      <c r="BC220" s="110"/>
      <c r="BD220" s="110"/>
      <c r="BE220" s="110"/>
      <c r="BF220" s="110"/>
      <c r="BG220" s="110"/>
      <c r="BH220" s="110"/>
      <c r="BI220" s="110"/>
      <c r="BJ220" s="110"/>
      <c r="BK220" s="110"/>
      <c r="BL220" s="110"/>
      <c r="BM220" s="110"/>
      <c r="BN220" s="110"/>
      <c r="BO220" s="110"/>
      <c r="BP220" s="110"/>
      <c r="BQ220" s="110"/>
      <c r="BR220" s="110"/>
      <c r="BS220" s="110"/>
      <c r="BT220" s="110"/>
      <c r="BU220" s="110"/>
      <c r="BV220" s="110"/>
      <c r="BW220" s="110"/>
    </row>
    <row r="221" spans="1:75">
      <c r="A221" s="114"/>
      <c r="B221" s="115"/>
      <c r="C221" s="116"/>
      <c r="D221" s="115"/>
      <c r="E221" s="115"/>
      <c r="F221" s="115"/>
      <c r="G221" s="115"/>
      <c r="H221" s="115"/>
      <c r="I221" s="115"/>
      <c r="J221" s="115"/>
      <c r="K221" s="115"/>
      <c r="L221" s="115"/>
      <c r="M221" s="115"/>
      <c r="N221" s="119"/>
      <c r="O221" s="115"/>
      <c r="P221" s="120"/>
      <c r="Q221" s="121"/>
      <c r="R221" s="124"/>
      <c r="S221" s="123"/>
      <c r="T221" s="110"/>
      <c r="U221" s="110"/>
      <c r="V221" s="110"/>
      <c r="W221" s="110"/>
      <c r="X221" s="110"/>
      <c r="Y221" s="110"/>
      <c r="Z221" s="110"/>
      <c r="AA221" s="110"/>
      <c r="AB221" s="110"/>
      <c r="AC221" s="110"/>
      <c r="AD221" s="110"/>
      <c r="AE221" s="110"/>
      <c r="AF221" s="110"/>
      <c r="AG221" s="110"/>
      <c r="AH221" s="110"/>
      <c r="AI221" s="110"/>
      <c r="AJ221" s="110"/>
      <c r="AK221" s="110"/>
      <c r="AL221" s="110"/>
      <c r="AM221" s="110"/>
      <c r="AN221" s="110"/>
      <c r="AO221" s="110"/>
      <c r="AP221" s="110"/>
      <c r="AQ221" s="110"/>
      <c r="AR221" s="110"/>
      <c r="AS221" s="110"/>
      <c r="AT221" s="110"/>
      <c r="AU221" s="110"/>
      <c r="AV221" s="110"/>
      <c r="AW221" s="110"/>
      <c r="AX221" s="110"/>
      <c r="AY221" s="110"/>
      <c r="AZ221" s="110"/>
      <c r="BA221" s="110"/>
      <c r="BB221" s="110"/>
      <c r="BC221" s="110"/>
      <c r="BD221" s="110"/>
      <c r="BE221" s="110"/>
      <c r="BF221" s="110"/>
      <c r="BG221" s="110"/>
      <c r="BH221" s="110"/>
      <c r="BI221" s="110"/>
      <c r="BJ221" s="110"/>
      <c r="BK221" s="110"/>
      <c r="BL221" s="110"/>
      <c r="BM221" s="110"/>
      <c r="BN221" s="110"/>
      <c r="BO221" s="110"/>
      <c r="BP221" s="110"/>
      <c r="BQ221" s="110"/>
      <c r="BR221" s="110"/>
      <c r="BS221" s="110"/>
      <c r="BT221" s="110"/>
      <c r="BU221" s="110"/>
      <c r="BV221" s="110"/>
      <c r="BW221" s="110"/>
    </row>
    <row r="222" spans="1:75">
      <c r="A222" s="114"/>
      <c r="B222" s="115"/>
      <c r="C222" s="116"/>
      <c r="D222" s="115"/>
      <c r="E222" s="115"/>
      <c r="F222" s="115"/>
      <c r="G222" s="115"/>
      <c r="H222" s="115"/>
      <c r="I222" s="115"/>
      <c r="J222" s="115"/>
      <c r="K222" s="115"/>
      <c r="L222" s="115"/>
      <c r="M222" s="115"/>
      <c r="N222" s="119"/>
      <c r="O222" s="115"/>
      <c r="P222" s="120"/>
      <c r="Q222" s="121"/>
      <c r="R222" s="124"/>
      <c r="S222" s="123"/>
      <c r="T222" s="110"/>
      <c r="U222" s="110"/>
      <c r="V222" s="110"/>
      <c r="W222" s="110"/>
      <c r="X222" s="110"/>
      <c r="Y222" s="110"/>
      <c r="Z222" s="110"/>
      <c r="AA222" s="110"/>
      <c r="AB222" s="110"/>
      <c r="AC222" s="110"/>
      <c r="AD222" s="110"/>
      <c r="AE222" s="110"/>
      <c r="AF222" s="110"/>
      <c r="AG222" s="110"/>
      <c r="AH222" s="110"/>
      <c r="AI222" s="110"/>
      <c r="AJ222" s="110"/>
      <c r="AK222" s="110"/>
      <c r="AL222" s="110"/>
      <c r="AM222" s="110"/>
      <c r="AN222" s="110"/>
      <c r="AO222" s="110"/>
      <c r="AP222" s="110"/>
      <c r="AQ222" s="110"/>
      <c r="AR222" s="110"/>
      <c r="AS222" s="110"/>
      <c r="AT222" s="110"/>
      <c r="AU222" s="110"/>
      <c r="AV222" s="110"/>
      <c r="AW222" s="110"/>
      <c r="AX222" s="110"/>
      <c r="AY222" s="110"/>
      <c r="AZ222" s="110"/>
      <c r="BA222" s="110"/>
      <c r="BB222" s="110"/>
      <c r="BC222" s="110"/>
      <c r="BD222" s="110"/>
      <c r="BE222" s="110"/>
      <c r="BF222" s="110"/>
      <c r="BG222" s="110"/>
      <c r="BH222" s="110"/>
      <c r="BI222" s="110"/>
      <c r="BJ222" s="110"/>
      <c r="BK222" s="110"/>
      <c r="BL222" s="110"/>
      <c r="BM222" s="110"/>
      <c r="BN222" s="110"/>
      <c r="BO222" s="110"/>
      <c r="BP222" s="110"/>
      <c r="BQ222" s="110"/>
      <c r="BR222" s="110"/>
      <c r="BS222" s="110"/>
      <c r="BT222" s="110"/>
      <c r="BU222" s="110"/>
      <c r="BV222" s="110"/>
      <c r="BW222" s="110"/>
    </row>
    <row r="223" spans="1:75">
      <c r="A223" s="114"/>
      <c r="B223" s="115"/>
      <c r="C223" s="116"/>
      <c r="D223" s="115"/>
      <c r="E223" s="115"/>
      <c r="F223" s="115"/>
      <c r="G223" s="115"/>
      <c r="H223" s="115"/>
      <c r="I223" s="115"/>
      <c r="J223" s="115"/>
      <c r="K223" s="115"/>
      <c r="L223" s="115"/>
      <c r="M223" s="115"/>
      <c r="N223" s="119"/>
      <c r="O223" s="115"/>
      <c r="P223" s="120"/>
      <c r="Q223" s="121"/>
      <c r="R223" s="124"/>
      <c r="S223" s="123"/>
      <c r="T223" s="110"/>
      <c r="U223" s="110"/>
      <c r="V223" s="110"/>
      <c r="W223" s="110"/>
      <c r="X223" s="110"/>
      <c r="Y223" s="110"/>
      <c r="Z223" s="110"/>
      <c r="AA223" s="110"/>
      <c r="AB223" s="110"/>
      <c r="AC223" s="110"/>
      <c r="AD223" s="110"/>
      <c r="AE223" s="110"/>
      <c r="AF223" s="110"/>
      <c r="AG223" s="110"/>
      <c r="AH223" s="110"/>
      <c r="AI223" s="110"/>
      <c r="AJ223" s="110"/>
      <c r="AK223" s="110"/>
      <c r="AL223" s="110"/>
      <c r="AM223" s="110"/>
      <c r="AN223" s="110"/>
      <c r="AO223" s="110"/>
      <c r="AP223" s="110"/>
      <c r="AQ223" s="110"/>
      <c r="AR223" s="110"/>
      <c r="AS223" s="110"/>
      <c r="AT223" s="110"/>
      <c r="AU223" s="110"/>
      <c r="AV223" s="110"/>
      <c r="AW223" s="110"/>
      <c r="AX223" s="110"/>
      <c r="AY223" s="110"/>
      <c r="AZ223" s="110"/>
      <c r="BA223" s="110"/>
      <c r="BB223" s="110"/>
      <c r="BC223" s="110"/>
      <c r="BD223" s="110"/>
      <c r="BE223" s="110"/>
      <c r="BF223" s="110"/>
      <c r="BG223" s="110"/>
      <c r="BH223" s="110"/>
      <c r="BI223" s="110"/>
      <c r="BJ223" s="110"/>
      <c r="BK223" s="110"/>
      <c r="BL223" s="110"/>
      <c r="BM223" s="110"/>
      <c r="BN223" s="110"/>
      <c r="BO223" s="110"/>
      <c r="BP223" s="110"/>
      <c r="BQ223" s="110"/>
      <c r="BR223" s="110"/>
      <c r="BS223" s="110"/>
      <c r="BT223" s="110"/>
      <c r="BU223" s="110"/>
      <c r="BV223" s="110"/>
      <c r="BW223" s="110"/>
    </row>
    <row r="224" spans="1:75">
      <c r="A224" s="114"/>
      <c r="B224" s="115"/>
      <c r="C224" s="116"/>
      <c r="D224" s="115"/>
      <c r="E224" s="115"/>
      <c r="F224" s="115"/>
      <c r="G224" s="115"/>
      <c r="H224" s="115"/>
      <c r="I224" s="115"/>
      <c r="J224" s="115"/>
      <c r="K224" s="115"/>
      <c r="L224" s="115"/>
      <c r="M224" s="115"/>
      <c r="N224" s="119"/>
      <c r="O224" s="115"/>
      <c r="P224" s="120"/>
      <c r="Q224" s="121"/>
      <c r="R224" s="124"/>
      <c r="S224" s="123"/>
      <c r="T224" s="110"/>
      <c r="U224" s="110"/>
      <c r="V224" s="110"/>
      <c r="W224" s="110"/>
      <c r="X224" s="110"/>
      <c r="Y224" s="110"/>
      <c r="Z224" s="110"/>
      <c r="AA224" s="110"/>
      <c r="AB224" s="110"/>
      <c r="AC224" s="110"/>
      <c r="AD224" s="110"/>
      <c r="AE224" s="110"/>
      <c r="AF224" s="110"/>
      <c r="AG224" s="110"/>
      <c r="AH224" s="110"/>
      <c r="AI224" s="110"/>
      <c r="AJ224" s="110"/>
      <c r="AK224" s="110"/>
      <c r="AL224" s="110"/>
      <c r="AM224" s="110"/>
      <c r="AN224" s="110"/>
      <c r="AO224" s="110"/>
      <c r="AP224" s="110"/>
      <c r="AQ224" s="110"/>
      <c r="AR224" s="110"/>
      <c r="AS224" s="110"/>
      <c r="AT224" s="110"/>
      <c r="AU224" s="110"/>
      <c r="AV224" s="110"/>
      <c r="AW224" s="110"/>
      <c r="AX224" s="110"/>
      <c r="AY224" s="110"/>
      <c r="AZ224" s="110"/>
      <c r="BA224" s="110"/>
      <c r="BB224" s="110"/>
      <c r="BC224" s="110"/>
      <c r="BD224" s="110"/>
      <c r="BE224" s="110"/>
      <c r="BF224" s="110"/>
      <c r="BG224" s="110"/>
      <c r="BH224" s="110"/>
      <c r="BI224" s="110"/>
      <c r="BJ224" s="110"/>
      <c r="BK224" s="110"/>
      <c r="BL224" s="110"/>
      <c r="BM224" s="110"/>
      <c r="BN224" s="110"/>
      <c r="BO224" s="110"/>
      <c r="BP224" s="110"/>
      <c r="BQ224" s="110"/>
      <c r="BR224" s="110"/>
      <c r="BS224" s="110"/>
      <c r="BT224" s="110"/>
      <c r="BU224" s="110"/>
      <c r="BV224" s="110"/>
      <c r="BW224" s="110"/>
    </row>
    <row r="225" spans="1:75">
      <c r="A225" s="114"/>
      <c r="B225" s="115"/>
      <c r="C225" s="116"/>
      <c r="D225" s="115"/>
      <c r="E225" s="115"/>
      <c r="F225" s="115"/>
      <c r="G225" s="115"/>
      <c r="H225" s="115"/>
      <c r="I225" s="115"/>
      <c r="J225" s="115"/>
      <c r="K225" s="115"/>
      <c r="L225" s="115"/>
      <c r="M225" s="115"/>
      <c r="N225" s="119"/>
      <c r="O225" s="115"/>
      <c r="P225" s="120"/>
      <c r="Q225" s="121"/>
      <c r="R225" s="124"/>
      <c r="S225" s="123"/>
      <c r="T225" s="110"/>
      <c r="U225" s="110"/>
      <c r="V225" s="110"/>
      <c r="W225" s="110"/>
      <c r="X225" s="110"/>
      <c r="Y225" s="110"/>
      <c r="Z225" s="110"/>
      <c r="AA225" s="110"/>
      <c r="AB225" s="110"/>
      <c r="AC225" s="110"/>
      <c r="AD225" s="110"/>
      <c r="AE225" s="110"/>
      <c r="AF225" s="110"/>
      <c r="AG225" s="110"/>
      <c r="AH225" s="110"/>
      <c r="AI225" s="110"/>
      <c r="AJ225" s="110"/>
      <c r="AK225" s="110"/>
      <c r="AL225" s="110"/>
      <c r="AM225" s="110"/>
      <c r="AN225" s="110"/>
      <c r="AO225" s="110"/>
      <c r="AP225" s="110"/>
      <c r="AQ225" s="110"/>
      <c r="AR225" s="110"/>
      <c r="AS225" s="110"/>
      <c r="AT225" s="110"/>
      <c r="AU225" s="110"/>
      <c r="AV225" s="110"/>
      <c r="AW225" s="110"/>
      <c r="AX225" s="110"/>
      <c r="AY225" s="110"/>
      <c r="AZ225" s="110"/>
      <c r="BA225" s="110"/>
      <c r="BB225" s="110"/>
      <c r="BC225" s="110"/>
      <c r="BD225" s="110"/>
      <c r="BE225" s="110"/>
      <c r="BF225" s="110"/>
      <c r="BG225" s="110"/>
      <c r="BH225" s="110"/>
      <c r="BI225" s="110"/>
      <c r="BJ225" s="110"/>
      <c r="BK225" s="110"/>
      <c r="BL225" s="110"/>
      <c r="BM225" s="110"/>
      <c r="BN225" s="110"/>
      <c r="BO225" s="110"/>
      <c r="BP225" s="110"/>
      <c r="BQ225" s="110"/>
      <c r="BR225" s="110"/>
      <c r="BS225" s="110"/>
      <c r="BT225" s="110"/>
      <c r="BU225" s="110"/>
      <c r="BV225" s="110"/>
      <c r="BW225" s="110"/>
    </row>
    <row r="226" spans="1:75">
      <c r="A226" s="114"/>
      <c r="B226" s="115"/>
      <c r="C226" s="116"/>
      <c r="D226" s="115"/>
      <c r="E226" s="115"/>
      <c r="F226" s="115"/>
      <c r="G226" s="115"/>
      <c r="H226" s="115"/>
      <c r="I226" s="115"/>
      <c r="J226" s="115"/>
      <c r="K226" s="115"/>
      <c r="L226" s="115"/>
      <c r="M226" s="115"/>
      <c r="N226" s="119"/>
      <c r="O226" s="115"/>
      <c r="P226" s="120"/>
      <c r="Q226" s="121"/>
      <c r="R226" s="124"/>
      <c r="S226" s="123"/>
      <c r="T226" s="110"/>
      <c r="U226" s="110"/>
      <c r="V226" s="110"/>
      <c r="W226" s="110"/>
      <c r="X226" s="110"/>
      <c r="Y226" s="110"/>
      <c r="Z226" s="110"/>
      <c r="AA226" s="110"/>
      <c r="AB226" s="110"/>
      <c r="AC226" s="110"/>
      <c r="AD226" s="110"/>
      <c r="AE226" s="110"/>
      <c r="AF226" s="110"/>
      <c r="AG226" s="110"/>
      <c r="AH226" s="110"/>
      <c r="AI226" s="110"/>
      <c r="AJ226" s="110"/>
      <c r="AK226" s="110"/>
      <c r="AL226" s="110"/>
      <c r="AM226" s="110"/>
      <c r="AN226" s="110"/>
      <c r="AO226" s="110"/>
      <c r="AP226" s="110"/>
      <c r="AQ226" s="110"/>
      <c r="AR226" s="110"/>
      <c r="AS226" s="110"/>
      <c r="AT226" s="110"/>
      <c r="AU226" s="110"/>
      <c r="AV226" s="110"/>
      <c r="AW226" s="110"/>
      <c r="AX226" s="110"/>
      <c r="AY226" s="110"/>
      <c r="AZ226" s="110"/>
      <c r="BA226" s="110"/>
      <c r="BB226" s="110"/>
      <c r="BC226" s="110"/>
      <c r="BD226" s="110"/>
      <c r="BE226" s="110"/>
      <c r="BF226" s="110"/>
      <c r="BG226" s="110"/>
      <c r="BH226" s="110"/>
      <c r="BI226" s="110"/>
      <c r="BJ226" s="110"/>
      <c r="BK226" s="110"/>
      <c r="BL226" s="110"/>
      <c r="BM226" s="110"/>
      <c r="BN226" s="110"/>
      <c r="BO226" s="110"/>
      <c r="BP226" s="110"/>
      <c r="BQ226" s="110"/>
      <c r="BR226" s="110"/>
      <c r="BS226" s="110"/>
      <c r="BT226" s="110"/>
      <c r="BU226" s="110"/>
      <c r="BV226" s="110"/>
      <c r="BW226" s="110"/>
    </row>
    <row r="227" spans="1:75">
      <c r="A227" s="114"/>
      <c r="B227" s="115"/>
      <c r="C227" s="116"/>
      <c r="D227" s="115"/>
      <c r="E227" s="115"/>
      <c r="F227" s="115"/>
      <c r="G227" s="115"/>
      <c r="H227" s="115"/>
      <c r="I227" s="115"/>
      <c r="J227" s="115"/>
      <c r="K227" s="115"/>
      <c r="L227" s="115"/>
      <c r="M227" s="115"/>
      <c r="N227" s="119"/>
      <c r="O227" s="115"/>
      <c r="P227" s="120"/>
      <c r="Q227" s="121"/>
      <c r="R227" s="124"/>
      <c r="S227" s="123"/>
      <c r="T227" s="110"/>
      <c r="U227" s="110"/>
      <c r="V227" s="110"/>
      <c r="W227" s="110"/>
      <c r="X227" s="110"/>
      <c r="Y227" s="110"/>
      <c r="Z227" s="110"/>
      <c r="AA227" s="110"/>
      <c r="AB227" s="110"/>
      <c r="AC227" s="110"/>
      <c r="AD227" s="110"/>
      <c r="AE227" s="110"/>
      <c r="AF227" s="110"/>
      <c r="AG227" s="110"/>
      <c r="AH227" s="110"/>
      <c r="AI227" s="110"/>
      <c r="AJ227" s="110"/>
      <c r="AK227" s="110"/>
      <c r="AL227" s="110"/>
      <c r="AM227" s="110"/>
      <c r="AN227" s="110"/>
      <c r="AO227" s="110"/>
      <c r="AP227" s="110"/>
      <c r="AQ227" s="110"/>
      <c r="AR227" s="110"/>
      <c r="AS227" s="110"/>
      <c r="AT227" s="110"/>
      <c r="AU227" s="110"/>
      <c r="AV227" s="110"/>
      <c r="AW227" s="110"/>
      <c r="AX227" s="110"/>
      <c r="AY227" s="110"/>
      <c r="AZ227" s="110"/>
      <c r="BA227" s="110"/>
      <c r="BB227" s="110"/>
      <c r="BC227" s="110"/>
      <c r="BD227" s="110"/>
      <c r="BE227" s="110"/>
      <c r="BF227" s="110"/>
      <c r="BG227" s="110"/>
      <c r="BH227" s="110"/>
      <c r="BI227" s="110"/>
      <c r="BJ227" s="110"/>
      <c r="BK227" s="110"/>
      <c r="BL227" s="110"/>
      <c r="BM227" s="110"/>
      <c r="BN227" s="110"/>
      <c r="BO227" s="110"/>
      <c r="BP227" s="110"/>
      <c r="BQ227" s="110"/>
      <c r="BR227" s="110"/>
      <c r="BS227" s="110"/>
      <c r="BT227" s="110"/>
      <c r="BU227" s="110"/>
      <c r="BV227" s="110"/>
      <c r="BW227" s="110"/>
    </row>
    <row r="228" spans="1:75">
      <c r="A228" s="114"/>
      <c r="B228" s="115"/>
      <c r="C228" s="116"/>
      <c r="D228" s="115"/>
      <c r="E228" s="115"/>
      <c r="F228" s="115"/>
      <c r="G228" s="115"/>
      <c r="H228" s="115"/>
      <c r="I228" s="115"/>
      <c r="J228" s="115"/>
      <c r="K228" s="115"/>
      <c r="L228" s="115"/>
      <c r="M228" s="115"/>
      <c r="N228" s="119"/>
      <c r="O228" s="115"/>
      <c r="P228" s="120"/>
      <c r="Q228" s="121"/>
      <c r="R228" s="124"/>
      <c r="S228" s="123"/>
      <c r="T228" s="110"/>
      <c r="U228" s="110"/>
      <c r="V228" s="110"/>
      <c r="W228" s="110"/>
      <c r="X228" s="110"/>
      <c r="Y228" s="110"/>
      <c r="Z228" s="110"/>
      <c r="AA228" s="110"/>
      <c r="AB228" s="110"/>
      <c r="AC228" s="110"/>
      <c r="AD228" s="110"/>
      <c r="AE228" s="110"/>
      <c r="AF228" s="110"/>
      <c r="AG228" s="110"/>
      <c r="AH228" s="110"/>
      <c r="AI228" s="110"/>
      <c r="AJ228" s="110"/>
      <c r="AK228" s="110"/>
      <c r="AL228" s="110"/>
      <c r="AM228" s="110"/>
      <c r="AN228" s="110"/>
      <c r="AO228" s="110"/>
      <c r="AP228" s="110"/>
      <c r="AQ228" s="110"/>
      <c r="AR228" s="110"/>
      <c r="AS228" s="110"/>
      <c r="AT228" s="110"/>
      <c r="AU228" s="110"/>
      <c r="AV228" s="110"/>
      <c r="AW228" s="110"/>
      <c r="AX228" s="110"/>
      <c r="AY228" s="110"/>
      <c r="AZ228" s="110"/>
      <c r="BA228" s="110"/>
      <c r="BB228" s="110"/>
      <c r="BC228" s="110"/>
      <c r="BD228" s="110"/>
      <c r="BE228" s="110"/>
      <c r="BF228" s="110"/>
      <c r="BG228" s="110"/>
      <c r="BH228" s="110"/>
      <c r="BI228" s="110"/>
      <c r="BJ228" s="110"/>
      <c r="BK228" s="110"/>
      <c r="BL228" s="110"/>
      <c r="BM228" s="110"/>
      <c r="BN228" s="110"/>
      <c r="BO228" s="110"/>
      <c r="BP228" s="110"/>
      <c r="BQ228" s="110"/>
      <c r="BR228" s="110"/>
      <c r="BS228" s="110"/>
      <c r="BT228" s="110"/>
      <c r="BU228" s="110"/>
      <c r="BV228" s="110"/>
      <c r="BW228" s="110"/>
    </row>
    <row r="229" spans="1:75">
      <c r="A229" s="114"/>
      <c r="B229" s="115"/>
      <c r="C229" s="116"/>
      <c r="D229" s="115"/>
      <c r="E229" s="115"/>
      <c r="F229" s="115"/>
      <c r="G229" s="115"/>
      <c r="H229" s="115"/>
      <c r="I229" s="115"/>
      <c r="J229" s="115"/>
      <c r="K229" s="115"/>
      <c r="L229" s="115"/>
      <c r="M229" s="115"/>
      <c r="N229" s="119"/>
      <c r="O229" s="115"/>
      <c r="P229" s="120"/>
      <c r="Q229" s="121"/>
      <c r="R229" s="124"/>
      <c r="S229" s="123"/>
      <c r="T229" s="110"/>
      <c r="U229" s="110"/>
      <c r="V229" s="110"/>
      <c r="W229" s="110"/>
      <c r="X229" s="110"/>
      <c r="Y229" s="110"/>
      <c r="Z229" s="110"/>
      <c r="AA229" s="110"/>
      <c r="AB229" s="110"/>
      <c r="AC229" s="110"/>
      <c r="AD229" s="110"/>
      <c r="AE229" s="110"/>
      <c r="AF229" s="110"/>
      <c r="AG229" s="110"/>
      <c r="AH229" s="110"/>
      <c r="AI229" s="110"/>
      <c r="AJ229" s="110"/>
      <c r="AK229" s="110"/>
      <c r="AL229" s="110"/>
      <c r="AM229" s="110"/>
      <c r="AN229" s="110"/>
      <c r="AO229" s="110"/>
      <c r="AP229" s="110"/>
      <c r="AQ229" s="110"/>
      <c r="AR229" s="110"/>
      <c r="AS229" s="110"/>
      <c r="AT229" s="110"/>
      <c r="AU229" s="110"/>
      <c r="AV229" s="110"/>
      <c r="AW229" s="110"/>
      <c r="AX229" s="110"/>
      <c r="AY229" s="110"/>
      <c r="AZ229" s="110"/>
      <c r="BA229" s="110"/>
      <c r="BB229" s="110"/>
      <c r="BC229" s="110"/>
      <c r="BD229" s="110"/>
      <c r="BE229" s="110"/>
      <c r="BF229" s="110"/>
      <c r="BG229" s="110"/>
      <c r="BH229" s="110"/>
      <c r="BI229" s="110"/>
      <c r="BJ229" s="110"/>
      <c r="BK229" s="110"/>
      <c r="BL229" s="110"/>
      <c r="BM229" s="110"/>
      <c r="BN229" s="110"/>
      <c r="BO229" s="110"/>
      <c r="BP229" s="110"/>
      <c r="BQ229" s="110"/>
      <c r="BR229" s="110"/>
      <c r="BS229" s="110"/>
      <c r="BT229" s="110"/>
      <c r="BU229" s="110"/>
      <c r="BV229" s="110"/>
      <c r="BW229" s="110"/>
    </row>
    <row r="230" spans="1:75">
      <c r="A230" s="114"/>
      <c r="B230" s="115"/>
      <c r="C230" s="116"/>
      <c r="D230" s="115"/>
      <c r="E230" s="115"/>
      <c r="F230" s="115"/>
      <c r="G230" s="115"/>
      <c r="H230" s="115"/>
      <c r="I230" s="115"/>
      <c r="J230" s="115"/>
      <c r="K230" s="115"/>
      <c r="L230" s="115"/>
      <c r="M230" s="115"/>
      <c r="N230" s="119"/>
      <c r="O230" s="115"/>
      <c r="P230" s="120"/>
      <c r="Q230" s="121"/>
      <c r="R230" s="124"/>
      <c r="S230" s="123"/>
      <c r="T230" s="110"/>
      <c r="U230" s="110"/>
      <c r="V230" s="110"/>
      <c r="W230" s="110"/>
      <c r="X230" s="110"/>
      <c r="Y230" s="110"/>
      <c r="Z230" s="110"/>
      <c r="AA230" s="110"/>
      <c r="AB230" s="110"/>
      <c r="AC230" s="110"/>
      <c r="AD230" s="110"/>
      <c r="AE230" s="110"/>
      <c r="AF230" s="110"/>
      <c r="AG230" s="110"/>
      <c r="AH230" s="110"/>
      <c r="AI230" s="110"/>
      <c r="AJ230" s="110"/>
      <c r="AK230" s="110"/>
      <c r="AL230" s="110"/>
      <c r="AM230" s="110"/>
      <c r="AN230" s="110"/>
      <c r="AO230" s="110"/>
      <c r="AP230" s="110"/>
      <c r="AQ230" s="110"/>
      <c r="AR230" s="110"/>
      <c r="AS230" s="110"/>
      <c r="AT230" s="110"/>
      <c r="AU230" s="110"/>
      <c r="AV230" s="110"/>
      <c r="AW230" s="110"/>
      <c r="AX230" s="110"/>
      <c r="AY230" s="110"/>
      <c r="AZ230" s="110"/>
      <c r="BA230" s="110"/>
      <c r="BB230" s="110"/>
      <c r="BC230" s="110"/>
      <c r="BD230" s="110"/>
      <c r="BE230" s="110"/>
      <c r="BF230" s="110"/>
      <c r="BG230" s="110"/>
      <c r="BH230" s="110"/>
      <c r="BI230" s="110"/>
      <c r="BJ230" s="110"/>
      <c r="BK230" s="110"/>
      <c r="BL230" s="110"/>
      <c r="BM230" s="110"/>
      <c r="BN230" s="110"/>
      <c r="BO230" s="110"/>
      <c r="BP230" s="110"/>
      <c r="BQ230" s="110"/>
      <c r="BR230" s="110"/>
      <c r="BS230" s="110"/>
      <c r="BT230" s="110"/>
      <c r="BU230" s="110"/>
      <c r="BV230" s="110"/>
      <c r="BW230" s="110"/>
    </row>
    <row r="231" spans="1:75">
      <c r="A231" s="114"/>
      <c r="B231" s="115"/>
      <c r="C231" s="116"/>
      <c r="D231" s="115"/>
      <c r="E231" s="115"/>
      <c r="F231" s="115"/>
      <c r="G231" s="115"/>
      <c r="H231" s="115"/>
      <c r="I231" s="115"/>
      <c r="J231" s="115"/>
      <c r="K231" s="115"/>
      <c r="L231" s="115"/>
      <c r="M231" s="115"/>
      <c r="N231" s="119"/>
      <c r="O231" s="115"/>
      <c r="P231" s="120"/>
      <c r="Q231" s="121"/>
      <c r="R231" s="124"/>
      <c r="S231" s="123"/>
      <c r="T231" s="110"/>
      <c r="U231" s="110"/>
      <c r="V231" s="110"/>
      <c r="W231" s="110"/>
      <c r="X231" s="110"/>
      <c r="Y231" s="110"/>
      <c r="Z231" s="110"/>
      <c r="AA231" s="110"/>
      <c r="AB231" s="110"/>
      <c r="AC231" s="110"/>
      <c r="AD231" s="110"/>
      <c r="AE231" s="110"/>
      <c r="AF231" s="110"/>
      <c r="AG231" s="110"/>
      <c r="AH231" s="110"/>
      <c r="AI231" s="110"/>
      <c r="AJ231" s="110"/>
      <c r="AK231" s="110"/>
      <c r="AL231" s="110"/>
      <c r="AM231" s="110"/>
      <c r="AN231" s="110"/>
      <c r="AO231" s="110"/>
      <c r="AP231" s="110"/>
      <c r="AQ231" s="110"/>
      <c r="AR231" s="110"/>
      <c r="AS231" s="110"/>
      <c r="AT231" s="110"/>
      <c r="AU231" s="110"/>
      <c r="AV231" s="110"/>
      <c r="AW231" s="110"/>
      <c r="AX231" s="110"/>
      <c r="AY231" s="110"/>
      <c r="AZ231" s="110"/>
      <c r="BA231" s="110"/>
      <c r="BB231" s="110"/>
      <c r="BC231" s="110"/>
      <c r="BD231" s="110"/>
      <c r="BE231" s="110"/>
      <c r="BF231" s="110"/>
      <c r="BG231" s="110"/>
      <c r="BH231" s="110"/>
      <c r="BI231" s="110"/>
      <c r="BJ231" s="110"/>
      <c r="BK231" s="110"/>
      <c r="BL231" s="110"/>
      <c r="BM231" s="110"/>
      <c r="BN231" s="110"/>
      <c r="BO231" s="110"/>
      <c r="BP231" s="110"/>
      <c r="BQ231" s="110"/>
      <c r="BR231" s="110"/>
      <c r="BS231" s="110"/>
      <c r="BT231" s="110"/>
      <c r="BU231" s="110"/>
      <c r="BV231" s="110"/>
      <c r="BW231" s="110"/>
    </row>
    <row r="232" spans="1:75">
      <c r="A232" s="114"/>
      <c r="B232" s="115"/>
      <c r="C232" s="116"/>
      <c r="D232" s="115"/>
      <c r="E232" s="115"/>
      <c r="F232" s="115"/>
      <c r="G232" s="115"/>
      <c r="H232" s="115"/>
      <c r="I232" s="115"/>
      <c r="J232" s="115"/>
      <c r="K232" s="115"/>
      <c r="L232" s="115"/>
      <c r="M232" s="115"/>
      <c r="N232" s="119"/>
      <c r="O232" s="115"/>
      <c r="P232" s="120"/>
      <c r="Q232" s="121"/>
      <c r="R232" s="124"/>
      <c r="S232" s="123"/>
      <c r="T232" s="110"/>
      <c r="U232" s="110"/>
      <c r="V232" s="110"/>
      <c r="W232" s="110"/>
      <c r="X232" s="110"/>
      <c r="Y232" s="110"/>
      <c r="Z232" s="110"/>
      <c r="AA232" s="110"/>
      <c r="AB232" s="110"/>
      <c r="AC232" s="110"/>
      <c r="AD232" s="110"/>
      <c r="AE232" s="110"/>
      <c r="AF232" s="110"/>
      <c r="AG232" s="110"/>
      <c r="AH232" s="110"/>
      <c r="AI232" s="110"/>
      <c r="AJ232" s="110"/>
      <c r="AK232" s="110"/>
      <c r="AL232" s="110"/>
      <c r="AM232" s="110"/>
      <c r="AN232" s="110"/>
      <c r="AO232" s="110"/>
      <c r="AP232" s="110"/>
      <c r="AQ232" s="110"/>
      <c r="AR232" s="110"/>
      <c r="AS232" s="110"/>
      <c r="AT232" s="110"/>
      <c r="AU232" s="110"/>
      <c r="AV232" s="110"/>
      <c r="AW232" s="110"/>
      <c r="AX232" s="110"/>
      <c r="AY232" s="110"/>
      <c r="AZ232" s="110"/>
      <c r="BA232" s="110"/>
      <c r="BB232" s="110"/>
      <c r="BC232" s="110"/>
      <c r="BD232" s="110"/>
      <c r="BE232" s="110"/>
      <c r="BF232" s="110"/>
      <c r="BG232" s="110"/>
      <c r="BH232" s="110"/>
      <c r="BI232" s="110"/>
      <c r="BJ232" s="110"/>
      <c r="BK232" s="110"/>
      <c r="BL232" s="110"/>
      <c r="BM232" s="110"/>
      <c r="BN232" s="110"/>
      <c r="BO232" s="110"/>
      <c r="BP232" s="110"/>
      <c r="BQ232" s="110"/>
      <c r="BR232" s="110"/>
      <c r="BS232" s="110"/>
      <c r="BT232" s="110"/>
      <c r="BU232" s="110"/>
      <c r="BV232" s="110"/>
      <c r="BW232" s="110"/>
    </row>
    <row r="233" spans="1:75">
      <c r="A233" s="114"/>
      <c r="B233" s="115"/>
      <c r="C233" s="116"/>
      <c r="D233" s="115"/>
      <c r="E233" s="115"/>
      <c r="F233" s="115"/>
      <c r="G233" s="115"/>
      <c r="H233" s="115"/>
      <c r="I233" s="115"/>
      <c r="J233" s="115"/>
      <c r="K233" s="115"/>
      <c r="L233" s="115"/>
      <c r="M233" s="115"/>
      <c r="N233" s="119"/>
      <c r="O233" s="115"/>
      <c r="P233" s="120"/>
      <c r="Q233" s="121"/>
      <c r="R233" s="124"/>
      <c r="S233" s="123"/>
      <c r="T233" s="110"/>
      <c r="U233" s="110"/>
      <c r="V233" s="110"/>
      <c r="W233" s="110"/>
      <c r="X233" s="110"/>
      <c r="Y233" s="110"/>
      <c r="Z233" s="110"/>
      <c r="AA233" s="110"/>
      <c r="AB233" s="110"/>
      <c r="AC233" s="110"/>
      <c r="AD233" s="110"/>
      <c r="AE233" s="110"/>
      <c r="AF233" s="110"/>
      <c r="AG233" s="110"/>
      <c r="AH233" s="110"/>
      <c r="AI233" s="110"/>
      <c r="AJ233" s="110"/>
      <c r="AK233" s="110"/>
      <c r="AL233" s="110"/>
      <c r="AM233" s="110"/>
      <c r="AN233" s="110"/>
      <c r="AO233" s="110"/>
      <c r="AP233" s="110"/>
      <c r="AQ233" s="110"/>
      <c r="AR233" s="110"/>
      <c r="AS233" s="110"/>
      <c r="AT233" s="110"/>
      <c r="AU233" s="110"/>
      <c r="AV233" s="110"/>
      <c r="AW233" s="110"/>
      <c r="AX233" s="110"/>
      <c r="AY233" s="110"/>
      <c r="AZ233" s="110"/>
      <c r="BA233" s="110"/>
      <c r="BB233" s="110"/>
      <c r="BC233" s="110"/>
      <c r="BD233" s="110"/>
      <c r="BE233" s="110"/>
      <c r="BF233" s="110"/>
      <c r="BG233" s="110"/>
      <c r="BH233" s="110"/>
      <c r="BI233" s="110"/>
      <c r="BJ233" s="110"/>
      <c r="BK233" s="110"/>
      <c r="BL233" s="110"/>
      <c r="BM233" s="110"/>
      <c r="BN233" s="110"/>
      <c r="BO233" s="110"/>
      <c r="BP233" s="110"/>
      <c r="BQ233" s="110"/>
      <c r="BR233" s="110"/>
      <c r="BS233" s="110"/>
      <c r="BT233" s="110"/>
      <c r="BU233" s="110"/>
      <c r="BV233" s="110"/>
      <c r="BW233" s="110"/>
    </row>
    <row r="234" spans="1:75">
      <c r="A234" s="114"/>
      <c r="B234" s="115"/>
      <c r="C234" s="116"/>
      <c r="D234" s="115"/>
      <c r="E234" s="115"/>
      <c r="F234" s="115"/>
      <c r="G234" s="115"/>
      <c r="H234" s="115"/>
      <c r="I234" s="115"/>
      <c r="J234" s="115"/>
      <c r="K234" s="115"/>
      <c r="L234" s="115"/>
      <c r="M234" s="115"/>
      <c r="N234" s="119"/>
      <c r="O234" s="115"/>
      <c r="P234" s="120"/>
      <c r="Q234" s="121"/>
      <c r="R234" s="124"/>
      <c r="S234" s="123"/>
      <c r="T234" s="110"/>
      <c r="U234" s="110"/>
      <c r="V234" s="110"/>
      <c r="W234" s="110"/>
      <c r="X234" s="110"/>
      <c r="Y234" s="110"/>
      <c r="Z234" s="110"/>
      <c r="AA234" s="110"/>
      <c r="AB234" s="110"/>
      <c r="AC234" s="110"/>
      <c r="AD234" s="110"/>
      <c r="AE234" s="110"/>
      <c r="AF234" s="110"/>
      <c r="AG234" s="110"/>
      <c r="AH234" s="110"/>
      <c r="AI234" s="110"/>
      <c r="AJ234" s="110"/>
      <c r="AK234" s="110"/>
      <c r="AL234" s="110"/>
      <c r="AM234" s="110"/>
      <c r="AN234" s="110"/>
      <c r="AO234" s="110"/>
      <c r="AP234" s="110"/>
      <c r="AQ234" s="110"/>
      <c r="AR234" s="110"/>
      <c r="AS234" s="110"/>
      <c r="AT234" s="110"/>
      <c r="AU234" s="110"/>
      <c r="AV234" s="110"/>
      <c r="AW234" s="110"/>
      <c r="AX234" s="110"/>
      <c r="AY234" s="110"/>
      <c r="AZ234" s="110"/>
      <c r="BA234" s="110"/>
      <c r="BB234" s="110"/>
      <c r="BC234" s="110"/>
      <c r="BD234" s="110"/>
      <c r="BE234" s="110"/>
      <c r="BF234" s="110"/>
      <c r="BG234" s="110"/>
      <c r="BH234" s="110"/>
      <c r="BI234" s="110"/>
      <c r="BJ234" s="110"/>
      <c r="BK234" s="110"/>
      <c r="BL234" s="110"/>
      <c r="BM234" s="110"/>
      <c r="BN234" s="110"/>
      <c r="BO234" s="110"/>
      <c r="BP234" s="110"/>
      <c r="BQ234" s="110"/>
      <c r="BR234" s="110"/>
      <c r="BS234" s="110"/>
      <c r="BT234" s="110"/>
      <c r="BU234" s="110"/>
      <c r="BV234" s="110"/>
      <c r="BW234" s="110"/>
    </row>
    <row r="235" spans="1:75">
      <c r="A235" s="114"/>
      <c r="B235" s="115"/>
      <c r="C235" s="116"/>
      <c r="D235" s="115"/>
      <c r="E235" s="115"/>
      <c r="F235" s="115"/>
      <c r="G235" s="115"/>
      <c r="H235" s="115"/>
      <c r="I235" s="115"/>
      <c r="J235" s="115"/>
      <c r="K235" s="115"/>
      <c r="L235" s="115"/>
      <c r="M235" s="115"/>
      <c r="N235" s="119"/>
      <c r="O235" s="115"/>
      <c r="P235" s="120"/>
      <c r="Q235" s="121"/>
      <c r="R235" s="124"/>
      <c r="S235" s="123"/>
      <c r="T235" s="110"/>
      <c r="U235" s="110"/>
      <c r="V235" s="110"/>
      <c r="W235" s="110"/>
      <c r="X235" s="110"/>
      <c r="Y235" s="110"/>
      <c r="Z235" s="110"/>
      <c r="AA235" s="110"/>
      <c r="AB235" s="110"/>
      <c r="AC235" s="110"/>
      <c r="AD235" s="110"/>
      <c r="AE235" s="110"/>
      <c r="AF235" s="110"/>
      <c r="AG235" s="110"/>
      <c r="AH235" s="110"/>
      <c r="AI235" s="110"/>
      <c r="AJ235" s="110"/>
      <c r="AK235" s="110"/>
      <c r="AL235" s="110"/>
      <c r="AM235" s="110"/>
      <c r="AN235" s="110"/>
      <c r="AO235" s="110"/>
      <c r="AP235" s="110"/>
      <c r="AQ235" s="110"/>
      <c r="AR235" s="110"/>
      <c r="AS235" s="110"/>
      <c r="AT235" s="110"/>
      <c r="AU235" s="110"/>
      <c r="AV235" s="110"/>
      <c r="AW235" s="110"/>
      <c r="AX235" s="110"/>
      <c r="AY235" s="110"/>
      <c r="AZ235" s="110"/>
      <c r="BA235" s="110"/>
      <c r="BB235" s="110"/>
      <c r="BC235" s="110"/>
      <c r="BD235" s="110"/>
      <c r="BE235" s="110"/>
      <c r="BF235" s="110"/>
      <c r="BG235" s="110"/>
      <c r="BH235" s="110"/>
      <c r="BI235" s="110"/>
      <c r="BJ235" s="110"/>
      <c r="BK235" s="110"/>
      <c r="BL235" s="110"/>
      <c r="BM235" s="110"/>
      <c r="BN235" s="110"/>
      <c r="BO235" s="110"/>
      <c r="BP235" s="110"/>
      <c r="BQ235" s="110"/>
      <c r="BR235" s="110"/>
      <c r="BS235" s="110"/>
      <c r="BT235" s="110"/>
      <c r="BU235" s="110"/>
      <c r="BV235" s="110"/>
      <c r="BW235" s="110"/>
    </row>
  </sheetData>
  <mergeCells count="5">
    <mergeCell ref="A1:J1"/>
    <mergeCell ref="L1:N1"/>
    <mergeCell ref="AB1:AD1"/>
    <mergeCell ref="AR1:AS1"/>
    <mergeCell ref="BH1:BI1"/>
  </mergeCells>
  <pageMargins left="0.75" right="0.75" top="1" bottom="1" header="0.5" footer="0.5"/>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Z20"/>
  <sheetViews>
    <sheetView workbookViewId="0">
      <selection activeCell="A1" sqref="A1"/>
    </sheetView>
  </sheetViews>
  <sheetFormatPr defaultColWidth="9" defaultRowHeight="15.75"/>
  <cols>
    <col min="1" max="27" width="7.38333333333333" customWidth="1"/>
    <col min="28" max="28" width="7.38333333333333" hidden="1" customWidth="1"/>
    <col min="29" max="29" width="42.3083333333333" customWidth="1"/>
    <col min="30" max="52" width="7.38333333333333" customWidth="1"/>
  </cols>
  <sheetData>
    <row r="1" ht="13.1" customHeight="1" spans="1:52">
      <c r="A1" t="s">
        <v>517</v>
      </c>
      <c r="B1" t="s">
        <v>518</v>
      </c>
      <c r="C1" t="s">
        <v>519</v>
      </c>
      <c r="D1" t="s">
        <v>520</v>
      </c>
      <c r="E1" t="s">
        <v>521</v>
      </c>
      <c r="F1" t="s">
        <v>522</v>
      </c>
      <c r="G1" t="s">
        <v>523</v>
      </c>
      <c r="H1" t="s">
        <v>524</v>
      </c>
      <c r="I1" t="s">
        <v>525</v>
      </c>
      <c r="J1" t="s">
        <v>526</v>
      </c>
      <c r="K1" t="s">
        <v>527</v>
      </c>
      <c r="L1" t="s">
        <v>528</v>
      </c>
      <c r="M1" t="s">
        <v>529</v>
      </c>
      <c r="N1" t="s">
        <v>530</v>
      </c>
      <c r="O1" t="s">
        <v>531</v>
      </c>
      <c r="P1" t="s">
        <v>532</v>
      </c>
      <c r="Q1" t="s">
        <v>533</v>
      </c>
      <c r="R1" t="s">
        <v>534</v>
      </c>
      <c r="S1" t="s">
        <v>535</v>
      </c>
      <c r="T1" t="s">
        <v>536</v>
      </c>
      <c r="U1" t="s">
        <v>537</v>
      </c>
      <c r="V1" t="s">
        <v>538</v>
      </c>
      <c r="W1" t="s">
        <v>539</v>
      </c>
      <c r="X1" t="s">
        <v>540</v>
      </c>
      <c r="Y1" t="s">
        <v>541</v>
      </c>
      <c r="Z1" t="s">
        <v>542</v>
      </c>
      <c r="AA1" t="s">
        <v>543</v>
      </c>
      <c r="AB1" t="s">
        <v>544</v>
      </c>
      <c r="AC1" t="s">
        <v>545</v>
      </c>
      <c r="AD1" t="s">
        <v>546</v>
      </c>
      <c r="AE1" t="s">
        <v>547</v>
      </c>
      <c r="AF1" t="s">
        <v>548</v>
      </c>
      <c r="AG1" t="s">
        <v>549</v>
      </c>
      <c r="AH1" t="s">
        <v>550</v>
      </c>
      <c r="AI1" t="s">
        <v>551</v>
      </c>
      <c r="AJ1" t="s">
        <v>552</v>
      </c>
      <c r="AK1" t="s">
        <v>553</v>
      </c>
      <c r="AL1" t="s">
        <v>554</v>
      </c>
      <c r="AM1" t="s">
        <v>555</v>
      </c>
      <c r="AN1" t="s">
        <v>556</v>
      </c>
      <c r="AO1" t="s">
        <v>557</v>
      </c>
      <c r="AP1" t="s">
        <v>558</v>
      </c>
      <c r="AQ1" t="s">
        <v>559</v>
      </c>
      <c r="AR1" t="s">
        <v>560</v>
      </c>
      <c r="AS1" t="s">
        <v>561</v>
      </c>
      <c r="AT1" t="s">
        <v>562</v>
      </c>
      <c r="AU1" t="s">
        <v>563</v>
      </c>
      <c r="AV1" t="s">
        <v>564</v>
      </c>
      <c r="AW1" t="s">
        <v>565</v>
      </c>
      <c r="AX1" t="s">
        <v>566</v>
      </c>
      <c r="AY1" t="s">
        <v>567</v>
      </c>
      <c r="AZ1" t="s">
        <v>568</v>
      </c>
    </row>
    <row r="2" ht="13.1" customHeight="1" spans="1:52">
      <c r="A2" t="s">
        <v>569</v>
      </c>
      <c r="B2" t="s">
        <v>569</v>
      </c>
      <c r="C2" t="s">
        <v>570</v>
      </c>
      <c r="D2" t="s">
        <v>571</v>
      </c>
      <c r="E2" t="s">
        <v>572</v>
      </c>
      <c r="F2" t="s">
        <v>573</v>
      </c>
      <c r="G2" s="39" t="s">
        <v>574</v>
      </c>
      <c r="J2" t="s">
        <v>575</v>
      </c>
      <c r="K2" t="s">
        <v>576</v>
      </c>
      <c r="L2" t="s">
        <v>577</v>
      </c>
      <c r="M2" t="s">
        <v>578</v>
      </c>
      <c r="N2" t="s">
        <v>579</v>
      </c>
      <c r="O2">
        <v>1</v>
      </c>
      <c r="P2" t="s">
        <v>580</v>
      </c>
      <c r="Q2">
        <v>79.99</v>
      </c>
      <c r="Y2" t="s">
        <v>581</v>
      </c>
      <c r="Z2" t="s">
        <v>582</v>
      </c>
      <c r="AA2" t="s">
        <v>583</v>
      </c>
      <c r="AB2" t="s">
        <v>584</v>
      </c>
      <c r="AC2" t="s">
        <v>585</v>
      </c>
      <c r="AD2" t="b">
        <v>0</v>
      </c>
      <c r="AW2" t="b">
        <v>0</v>
      </c>
      <c r="AZ2" t="b">
        <v>0</v>
      </c>
    </row>
    <row r="3" ht="13.1" customHeight="1" spans="1:52">
      <c r="A3" t="s">
        <v>586</v>
      </c>
      <c r="B3" t="s">
        <v>586</v>
      </c>
      <c r="C3" t="s">
        <v>587</v>
      </c>
      <c r="D3" t="s">
        <v>588</v>
      </c>
      <c r="E3" t="s">
        <v>589</v>
      </c>
      <c r="F3" t="s">
        <v>573</v>
      </c>
      <c r="G3" s="39" t="s">
        <v>574</v>
      </c>
      <c r="J3" t="s">
        <v>575</v>
      </c>
      <c r="K3" t="s">
        <v>590</v>
      </c>
      <c r="L3" t="s">
        <v>591</v>
      </c>
      <c r="M3" t="s">
        <v>592</v>
      </c>
      <c r="N3" t="s">
        <v>589</v>
      </c>
      <c r="O3">
        <v>1</v>
      </c>
      <c r="P3" t="s">
        <v>580</v>
      </c>
      <c r="Q3">
        <v>99.99</v>
      </c>
      <c r="R3">
        <v>1.89</v>
      </c>
      <c r="W3">
        <v>72.99</v>
      </c>
      <c r="Y3" t="s">
        <v>593</v>
      </c>
      <c r="Z3" t="s">
        <v>594</v>
      </c>
      <c r="AA3" t="s">
        <v>595</v>
      </c>
      <c r="AB3" t="s">
        <v>584</v>
      </c>
      <c r="AC3" t="s">
        <v>596</v>
      </c>
      <c r="AD3" t="b">
        <v>0</v>
      </c>
      <c r="AW3" t="b">
        <v>0</v>
      </c>
      <c r="AZ3" t="b">
        <v>0</v>
      </c>
    </row>
    <row r="4" ht="13.1" customHeight="1" spans="1:52">
      <c r="A4" t="s">
        <v>597</v>
      </c>
      <c r="B4" t="s">
        <v>597</v>
      </c>
      <c r="C4" t="s">
        <v>598</v>
      </c>
      <c r="D4" t="s">
        <v>599</v>
      </c>
      <c r="E4" t="s">
        <v>572</v>
      </c>
      <c r="F4" t="s">
        <v>573</v>
      </c>
      <c r="G4" s="39" t="s">
        <v>574</v>
      </c>
      <c r="J4" t="s">
        <v>575</v>
      </c>
      <c r="K4" t="s">
        <v>576</v>
      </c>
      <c r="L4" t="s">
        <v>577</v>
      </c>
      <c r="M4" t="s">
        <v>578</v>
      </c>
      <c r="N4" t="s">
        <v>579</v>
      </c>
      <c r="O4">
        <v>1</v>
      </c>
      <c r="P4" t="s">
        <v>580</v>
      </c>
      <c r="Q4">
        <v>79.99</v>
      </c>
      <c r="Y4" t="s">
        <v>600</v>
      </c>
      <c r="Z4" t="s">
        <v>601</v>
      </c>
      <c r="AA4" t="s">
        <v>602</v>
      </c>
      <c r="AB4" t="s">
        <v>584</v>
      </c>
      <c r="AC4" t="s">
        <v>603</v>
      </c>
      <c r="AD4" t="b">
        <v>0</v>
      </c>
      <c r="AW4" t="b">
        <v>0</v>
      </c>
      <c r="AZ4" t="b">
        <v>0</v>
      </c>
    </row>
    <row r="5" ht="13.1" customHeight="1" spans="1:52">
      <c r="A5" t="s">
        <v>604</v>
      </c>
      <c r="B5" t="s">
        <v>604</v>
      </c>
      <c r="C5" t="s">
        <v>605</v>
      </c>
      <c r="D5" t="s">
        <v>606</v>
      </c>
      <c r="E5" t="s">
        <v>589</v>
      </c>
      <c r="F5" t="s">
        <v>573</v>
      </c>
      <c r="G5" s="39" t="s">
        <v>574</v>
      </c>
      <c r="J5" t="s">
        <v>575</v>
      </c>
      <c r="K5" t="s">
        <v>576</v>
      </c>
      <c r="L5" t="s">
        <v>577</v>
      </c>
      <c r="M5" t="s">
        <v>578</v>
      </c>
      <c r="N5" t="s">
        <v>589</v>
      </c>
      <c r="O5">
        <v>1</v>
      </c>
      <c r="P5" t="s">
        <v>580</v>
      </c>
      <c r="Q5">
        <v>79.99</v>
      </c>
      <c r="R5">
        <v>1.85</v>
      </c>
      <c r="W5">
        <v>59.99</v>
      </c>
      <c r="Y5" t="s">
        <v>607</v>
      </c>
      <c r="Z5" t="s">
        <v>608</v>
      </c>
      <c r="AA5" t="s">
        <v>609</v>
      </c>
      <c r="AB5" t="s">
        <v>584</v>
      </c>
      <c r="AC5" t="s">
        <v>610</v>
      </c>
      <c r="AD5" t="b">
        <v>0</v>
      </c>
      <c r="AW5" t="b">
        <v>0</v>
      </c>
      <c r="AZ5" t="b">
        <v>0</v>
      </c>
    </row>
    <row r="6" ht="13.1" customHeight="1" spans="1:52">
      <c r="A6" t="s">
        <v>611</v>
      </c>
      <c r="B6" t="s">
        <v>611</v>
      </c>
      <c r="C6" t="s">
        <v>612</v>
      </c>
      <c r="D6" t="s">
        <v>613</v>
      </c>
      <c r="E6" t="s">
        <v>572</v>
      </c>
      <c r="F6" t="s">
        <v>573</v>
      </c>
      <c r="G6" s="39" t="s">
        <v>574</v>
      </c>
      <c r="J6" t="s">
        <v>614</v>
      </c>
      <c r="K6" t="s">
        <v>615</v>
      </c>
      <c r="L6" t="s">
        <v>616</v>
      </c>
      <c r="M6" t="s">
        <v>617</v>
      </c>
      <c r="N6" t="s">
        <v>579</v>
      </c>
      <c r="O6">
        <v>1</v>
      </c>
      <c r="P6" t="s">
        <v>580</v>
      </c>
      <c r="Q6">
        <v>79.99</v>
      </c>
      <c r="Y6" t="s">
        <v>618</v>
      </c>
      <c r="Z6" t="s">
        <v>619</v>
      </c>
      <c r="AA6" t="s">
        <v>620</v>
      </c>
      <c r="AB6" t="s">
        <v>584</v>
      </c>
      <c r="AC6" t="s">
        <v>621</v>
      </c>
      <c r="AD6" t="b">
        <v>0</v>
      </c>
      <c r="AW6" t="b">
        <v>0</v>
      </c>
      <c r="AZ6" t="b">
        <v>0</v>
      </c>
    </row>
    <row r="7" ht="13.1" customHeight="1" spans="1:52">
      <c r="A7" t="s">
        <v>622</v>
      </c>
      <c r="B7" t="s">
        <v>622</v>
      </c>
      <c r="C7" t="s">
        <v>623</v>
      </c>
      <c r="D7" t="s">
        <v>624</v>
      </c>
      <c r="E7" t="s">
        <v>572</v>
      </c>
      <c r="F7" t="s">
        <v>573</v>
      </c>
      <c r="G7" s="39" t="s">
        <v>574</v>
      </c>
      <c r="J7" t="s">
        <v>575</v>
      </c>
      <c r="K7" t="s">
        <v>576</v>
      </c>
      <c r="L7" t="s">
        <v>577</v>
      </c>
      <c r="M7" t="s">
        <v>578</v>
      </c>
      <c r="N7" t="s">
        <v>579</v>
      </c>
      <c r="O7">
        <v>1</v>
      </c>
      <c r="P7" t="s">
        <v>580</v>
      </c>
      <c r="Q7">
        <v>79.99</v>
      </c>
      <c r="Y7" t="s">
        <v>625</v>
      </c>
      <c r="Z7" t="s">
        <v>626</v>
      </c>
      <c r="AA7" t="s">
        <v>627</v>
      </c>
      <c r="AB7" t="s">
        <v>584</v>
      </c>
      <c r="AC7" t="s">
        <v>603</v>
      </c>
      <c r="AD7" t="b">
        <v>0</v>
      </c>
      <c r="AW7" t="b">
        <v>0</v>
      </c>
      <c r="AZ7" t="b">
        <v>0</v>
      </c>
    </row>
    <row r="8" ht="13.1" customHeight="1" spans="1:52">
      <c r="A8" t="s">
        <v>628</v>
      </c>
      <c r="B8" t="s">
        <v>628</v>
      </c>
      <c r="C8" t="s">
        <v>629</v>
      </c>
      <c r="D8" t="s">
        <v>630</v>
      </c>
      <c r="E8" t="s">
        <v>572</v>
      </c>
      <c r="F8" t="s">
        <v>573</v>
      </c>
      <c r="G8" s="39" t="s">
        <v>574</v>
      </c>
      <c r="J8" t="s">
        <v>575</v>
      </c>
      <c r="K8" t="s">
        <v>615</v>
      </c>
      <c r="L8" t="s">
        <v>616</v>
      </c>
      <c r="M8" t="s">
        <v>617</v>
      </c>
      <c r="N8" t="s">
        <v>579</v>
      </c>
      <c r="O8">
        <v>1</v>
      </c>
      <c r="P8" t="s">
        <v>580</v>
      </c>
      <c r="Q8">
        <v>79.99</v>
      </c>
      <c r="Y8" t="s">
        <v>631</v>
      </c>
      <c r="Z8" t="s">
        <v>632</v>
      </c>
      <c r="AA8" t="s">
        <v>633</v>
      </c>
      <c r="AB8" t="s">
        <v>584</v>
      </c>
      <c r="AC8" t="s">
        <v>634</v>
      </c>
      <c r="AD8" t="b">
        <v>0</v>
      </c>
      <c r="AW8" t="b">
        <v>0</v>
      </c>
      <c r="AZ8" t="b">
        <v>0</v>
      </c>
    </row>
    <row r="9" ht="13.1" customHeight="1" spans="1:52">
      <c r="A9" t="s">
        <v>635</v>
      </c>
      <c r="B9" t="s">
        <v>635</v>
      </c>
      <c r="C9" t="s">
        <v>636</v>
      </c>
      <c r="D9" t="s">
        <v>637</v>
      </c>
      <c r="E9" t="s">
        <v>589</v>
      </c>
      <c r="F9" t="s">
        <v>573</v>
      </c>
      <c r="G9" s="39" t="s">
        <v>574</v>
      </c>
      <c r="J9" t="s">
        <v>575</v>
      </c>
      <c r="K9" t="s">
        <v>615</v>
      </c>
      <c r="L9" t="s">
        <v>616</v>
      </c>
      <c r="M9" t="s">
        <v>617</v>
      </c>
      <c r="N9" t="s">
        <v>589</v>
      </c>
      <c r="O9">
        <v>1</v>
      </c>
      <c r="P9" t="s">
        <v>580</v>
      </c>
      <c r="Q9">
        <v>79.99</v>
      </c>
      <c r="R9">
        <v>3.12</v>
      </c>
      <c r="W9">
        <v>47.99</v>
      </c>
      <c r="Y9" t="s">
        <v>638</v>
      </c>
      <c r="Z9" t="s">
        <v>608</v>
      </c>
      <c r="AA9" t="s">
        <v>639</v>
      </c>
      <c r="AB9" t="s">
        <v>584</v>
      </c>
      <c r="AC9" t="s">
        <v>634</v>
      </c>
      <c r="AD9" t="b">
        <v>0</v>
      </c>
      <c r="AW9" t="b">
        <v>0</v>
      </c>
      <c r="AZ9" t="b">
        <v>0</v>
      </c>
    </row>
    <row r="10" ht="13.1" customHeight="1" spans="1:52">
      <c r="A10" t="s">
        <v>640</v>
      </c>
      <c r="B10" t="s">
        <v>640</v>
      </c>
      <c r="C10" t="s">
        <v>641</v>
      </c>
      <c r="D10" t="s">
        <v>642</v>
      </c>
      <c r="E10" t="s">
        <v>589</v>
      </c>
      <c r="F10" t="s">
        <v>573</v>
      </c>
      <c r="G10" s="39" t="s">
        <v>574</v>
      </c>
      <c r="J10" t="s">
        <v>575</v>
      </c>
      <c r="K10" t="s">
        <v>576</v>
      </c>
      <c r="L10" t="s">
        <v>577</v>
      </c>
      <c r="M10" t="s">
        <v>578</v>
      </c>
      <c r="N10" t="s">
        <v>589</v>
      </c>
      <c r="O10">
        <v>1</v>
      </c>
      <c r="P10" t="s">
        <v>580</v>
      </c>
      <c r="Q10">
        <v>79.99</v>
      </c>
      <c r="R10">
        <v>1.25</v>
      </c>
      <c r="S10">
        <v>2.99</v>
      </c>
      <c r="W10">
        <v>59.99</v>
      </c>
      <c r="X10">
        <v>2.99</v>
      </c>
      <c r="Y10" t="s">
        <v>643</v>
      </c>
      <c r="Z10" t="s">
        <v>644</v>
      </c>
      <c r="AA10" t="s">
        <v>645</v>
      </c>
      <c r="AB10" t="s">
        <v>584</v>
      </c>
      <c r="AC10" t="s">
        <v>646</v>
      </c>
      <c r="AD10" t="b">
        <v>0</v>
      </c>
      <c r="AW10" t="b">
        <v>0</v>
      </c>
      <c r="AZ10" t="b">
        <v>0</v>
      </c>
    </row>
    <row r="11" ht="13.1" customHeight="1" spans="1:52">
      <c r="A11" t="s">
        <v>647</v>
      </c>
      <c r="B11" t="s">
        <v>647</v>
      </c>
      <c r="C11" t="s">
        <v>648</v>
      </c>
      <c r="D11" t="s">
        <v>649</v>
      </c>
      <c r="E11" t="s">
        <v>589</v>
      </c>
      <c r="F11" t="s">
        <v>573</v>
      </c>
      <c r="G11" s="39" t="s">
        <v>574</v>
      </c>
      <c r="J11" t="s">
        <v>614</v>
      </c>
      <c r="K11" t="s">
        <v>590</v>
      </c>
      <c r="L11" t="s">
        <v>591</v>
      </c>
      <c r="M11" t="s">
        <v>592</v>
      </c>
      <c r="N11" t="s">
        <v>589</v>
      </c>
      <c r="O11">
        <v>1</v>
      </c>
      <c r="P11" t="s">
        <v>580</v>
      </c>
      <c r="Q11">
        <v>99.99</v>
      </c>
      <c r="R11">
        <v>2.84</v>
      </c>
      <c r="W11">
        <v>67.99</v>
      </c>
      <c r="Y11" t="s">
        <v>650</v>
      </c>
      <c r="Z11" t="s">
        <v>651</v>
      </c>
      <c r="AA11">
        <v>11235</v>
      </c>
      <c r="AB11" t="s">
        <v>584</v>
      </c>
      <c r="AC11" t="s">
        <v>652</v>
      </c>
      <c r="AD11" t="b">
        <v>0</v>
      </c>
      <c r="AW11" t="b">
        <v>0</v>
      </c>
      <c r="AZ11" t="b">
        <v>0</v>
      </c>
    </row>
    <row r="12" ht="13.1" customHeight="1" spans="1:52">
      <c r="A12" t="s">
        <v>653</v>
      </c>
      <c r="B12" t="s">
        <v>653</v>
      </c>
      <c r="C12" t="s">
        <v>654</v>
      </c>
      <c r="D12" t="s">
        <v>655</v>
      </c>
      <c r="E12" t="s">
        <v>572</v>
      </c>
      <c r="F12" t="s">
        <v>573</v>
      </c>
      <c r="G12" s="39" t="s">
        <v>574</v>
      </c>
      <c r="J12" t="s">
        <v>575</v>
      </c>
      <c r="K12" t="s">
        <v>576</v>
      </c>
      <c r="L12" t="s">
        <v>577</v>
      </c>
      <c r="M12" t="s">
        <v>578</v>
      </c>
      <c r="N12" t="s">
        <v>579</v>
      </c>
      <c r="O12">
        <v>1</v>
      </c>
      <c r="P12" t="s">
        <v>580</v>
      </c>
      <c r="Q12">
        <v>79.99</v>
      </c>
      <c r="Y12" t="s">
        <v>656</v>
      </c>
      <c r="Z12" t="s">
        <v>651</v>
      </c>
      <c r="AA12">
        <v>10461</v>
      </c>
      <c r="AB12" t="s">
        <v>584</v>
      </c>
      <c r="AC12" t="s">
        <v>585</v>
      </c>
      <c r="AD12" t="b">
        <v>0</v>
      </c>
      <c r="AW12" t="b">
        <v>0</v>
      </c>
      <c r="AZ12" t="b">
        <v>0</v>
      </c>
    </row>
    <row r="13" ht="13.1" customHeight="1" spans="1:52">
      <c r="A13" t="s">
        <v>657</v>
      </c>
      <c r="B13" t="s">
        <v>657</v>
      </c>
      <c r="C13" t="s">
        <v>658</v>
      </c>
      <c r="D13" t="s">
        <v>659</v>
      </c>
      <c r="E13" t="s">
        <v>589</v>
      </c>
      <c r="F13" t="s">
        <v>573</v>
      </c>
      <c r="G13" s="39" t="s">
        <v>574</v>
      </c>
      <c r="J13" t="s">
        <v>575</v>
      </c>
      <c r="K13" t="s">
        <v>615</v>
      </c>
      <c r="L13" t="s">
        <v>616</v>
      </c>
      <c r="M13" t="s">
        <v>617</v>
      </c>
      <c r="N13" t="s">
        <v>589</v>
      </c>
      <c r="O13">
        <v>1</v>
      </c>
      <c r="P13" t="s">
        <v>580</v>
      </c>
      <c r="Q13">
        <v>79.99</v>
      </c>
      <c r="R13">
        <v>3.8</v>
      </c>
      <c r="W13">
        <v>40</v>
      </c>
      <c r="Y13" t="s">
        <v>660</v>
      </c>
      <c r="Z13" t="s">
        <v>626</v>
      </c>
      <c r="AA13" t="s">
        <v>661</v>
      </c>
      <c r="AB13" t="s">
        <v>584</v>
      </c>
      <c r="AC13" t="s">
        <v>662</v>
      </c>
      <c r="AD13" t="b">
        <v>0</v>
      </c>
      <c r="AW13" t="b">
        <v>0</v>
      </c>
      <c r="AZ13" t="b">
        <v>0</v>
      </c>
    </row>
    <row r="14" ht="13.1" customHeight="1"/>
    <row r="15" ht="13.1" customHeight="1"/>
    <row r="16" ht="13.1" customHeight="1"/>
    <row r="17" ht="13.1" customHeight="1"/>
    <row r="18" ht="13.1" customHeight="1"/>
    <row r="19" ht="13.1" customHeight="1"/>
    <row r="20" ht="13.1" customHeight="1"/>
  </sheetData>
  <autoFilter xmlns:etc="http://www.wps.cn/officeDocument/2017/etCustomData" ref="A1:AZ13" etc:filterBottomFollowUsedRange="0">
    <extLst/>
  </autoFilter>
  <hyperlinks>
    <hyperlink ref="G6" r:id="rId1" display="Amazon.com"/>
    <hyperlink ref="G7" r:id="rId1" display="Amazon.com"/>
    <hyperlink ref="G8" r:id="rId1" display="Amazon.com"/>
    <hyperlink ref="G9" r:id="rId1" display="Amazon.com"/>
    <hyperlink ref="G2" r:id="rId1" display="Amazon.com"/>
    <hyperlink ref="G5" r:id="rId1" display="Amazon.com"/>
    <hyperlink ref="G10" r:id="rId1" display="Amazon.com"/>
    <hyperlink ref="G11" r:id="rId1" display="Amazon.com"/>
    <hyperlink ref="G12" r:id="rId1" display="Amazon.com"/>
    <hyperlink ref="G13" r:id="rId1" display="Amazon.com"/>
    <hyperlink ref="G3" r:id="rId1" display="Amazon.com"/>
    <hyperlink ref="G4" r:id="rId1" display="Amazon.com"/>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34"/>
  <sheetViews>
    <sheetView workbookViewId="0">
      <selection activeCell="A1" sqref="A1"/>
    </sheetView>
  </sheetViews>
  <sheetFormatPr defaultColWidth="9" defaultRowHeight="15.75"/>
  <cols>
    <col min="1" max="15" width="7.38333333333333" customWidth="1"/>
    <col min="16" max="16" width="24.5083333333333" customWidth="1"/>
    <col min="17" max="19" width="7.38333333333333" customWidth="1"/>
    <col min="20" max="20" width="7.15833333333333" customWidth="1"/>
  </cols>
  <sheetData>
    <row r="1" ht="21.45" customHeight="1" spans="1:19">
      <c r="A1" t="s">
        <v>663</v>
      </c>
      <c r="B1" t="s">
        <v>664</v>
      </c>
      <c r="C1" t="s">
        <v>203</v>
      </c>
      <c r="D1" t="s">
        <v>665</v>
      </c>
      <c r="E1" t="s">
        <v>53</v>
      </c>
      <c r="F1" t="s">
        <v>666</v>
      </c>
      <c r="G1" t="s">
        <v>667</v>
      </c>
      <c r="H1" t="s">
        <v>668</v>
      </c>
      <c r="I1" t="s">
        <v>669</v>
      </c>
      <c r="J1" t="s">
        <v>670</v>
      </c>
      <c r="K1" s="37" t="s">
        <v>671</v>
      </c>
      <c r="L1" t="s">
        <v>457</v>
      </c>
      <c r="M1" t="s">
        <v>672</v>
      </c>
      <c r="N1" t="s">
        <v>673</v>
      </c>
      <c r="O1" t="s">
        <v>674</v>
      </c>
      <c r="P1" t="s">
        <v>675</v>
      </c>
      <c r="Q1" t="s">
        <v>676</v>
      </c>
      <c r="R1" t="s">
        <v>677</v>
      </c>
      <c r="S1" t="s">
        <v>678</v>
      </c>
    </row>
    <row r="2" ht="21.45" customHeight="1" spans="1:19">
      <c r="A2" t="s">
        <v>679</v>
      </c>
      <c r="B2" t="s">
        <v>680</v>
      </c>
      <c r="C2" t="s">
        <v>592</v>
      </c>
      <c r="D2" t="s">
        <v>681</v>
      </c>
      <c r="E2" t="s">
        <v>682</v>
      </c>
      <c r="F2" t="s">
        <v>683</v>
      </c>
      <c r="G2">
        <v>68</v>
      </c>
      <c r="I2" t="s">
        <v>684</v>
      </c>
      <c r="J2" s="38" t="s">
        <v>685</v>
      </c>
      <c r="K2" s="37">
        <v>37</v>
      </c>
      <c r="L2" t="s">
        <v>686</v>
      </c>
      <c r="M2" s="38" t="s">
        <v>687</v>
      </c>
      <c r="P2" t="s">
        <v>688</v>
      </c>
      <c r="Q2" t="s">
        <v>689</v>
      </c>
      <c r="R2" t="s">
        <v>690</v>
      </c>
    </row>
    <row r="3" ht="11.3" customHeight="1" spans="1:19">
      <c r="A3" t="s">
        <v>679</v>
      </c>
      <c r="B3" t="s">
        <v>680</v>
      </c>
      <c r="C3" t="s">
        <v>592</v>
      </c>
      <c r="D3" t="s">
        <v>681</v>
      </c>
      <c r="E3" t="s">
        <v>682</v>
      </c>
      <c r="F3" t="s">
        <v>683</v>
      </c>
      <c r="G3">
        <v>68</v>
      </c>
      <c r="I3" t="s">
        <v>691</v>
      </c>
      <c r="J3" s="38" t="s">
        <v>685</v>
      </c>
      <c r="K3" s="37">
        <v>14</v>
      </c>
      <c r="L3" t="s">
        <v>686</v>
      </c>
      <c r="M3" s="38" t="s">
        <v>687</v>
      </c>
      <c r="P3" t="s">
        <v>688</v>
      </c>
      <c r="Q3" t="s">
        <v>692</v>
      </c>
      <c r="R3" t="s">
        <v>693</v>
      </c>
    </row>
    <row r="4" ht="11.3" customHeight="1" spans="1:19">
      <c r="A4" t="s">
        <v>679</v>
      </c>
      <c r="B4" t="s">
        <v>680</v>
      </c>
      <c r="C4" t="s">
        <v>592</v>
      </c>
      <c r="D4" t="s">
        <v>681</v>
      </c>
      <c r="E4" t="s">
        <v>682</v>
      </c>
      <c r="F4" t="s">
        <v>683</v>
      </c>
      <c r="G4">
        <v>68</v>
      </c>
      <c r="I4" t="s">
        <v>694</v>
      </c>
      <c r="J4" s="38" t="s">
        <v>685</v>
      </c>
      <c r="K4" s="37">
        <v>30</v>
      </c>
      <c r="L4" t="s">
        <v>686</v>
      </c>
      <c r="M4" s="38" t="s">
        <v>687</v>
      </c>
      <c r="P4" t="s">
        <v>688</v>
      </c>
      <c r="Q4" t="s">
        <v>695</v>
      </c>
      <c r="R4" t="s">
        <v>696</v>
      </c>
    </row>
    <row r="5" ht="11.3" customHeight="1" spans="1:19">
      <c r="A5" t="s">
        <v>679</v>
      </c>
      <c r="B5" t="s">
        <v>680</v>
      </c>
      <c r="C5" t="s">
        <v>592</v>
      </c>
      <c r="D5" t="s">
        <v>681</v>
      </c>
      <c r="E5" t="s">
        <v>682</v>
      </c>
      <c r="F5" t="s">
        <v>683</v>
      </c>
      <c r="G5">
        <v>68</v>
      </c>
      <c r="I5" t="s">
        <v>697</v>
      </c>
      <c r="J5" s="38" t="s">
        <v>685</v>
      </c>
      <c r="K5" s="37">
        <v>63</v>
      </c>
      <c r="L5" t="s">
        <v>686</v>
      </c>
      <c r="M5" s="38" t="s">
        <v>687</v>
      </c>
      <c r="P5" t="s">
        <v>688</v>
      </c>
      <c r="Q5" t="s">
        <v>698</v>
      </c>
      <c r="R5" t="s">
        <v>699</v>
      </c>
    </row>
    <row r="6" ht="11.3" customHeight="1" spans="1:19">
      <c r="A6" t="s">
        <v>679</v>
      </c>
      <c r="B6" t="s">
        <v>680</v>
      </c>
      <c r="C6" t="s">
        <v>592</v>
      </c>
      <c r="D6" t="s">
        <v>681</v>
      </c>
      <c r="E6" t="s">
        <v>682</v>
      </c>
      <c r="F6" t="s">
        <v>683</v>
      </c>
      <c r="G6">
        <v>68</v>
      </c>
      <c r="I6" t="s">
        <v>700</v>
      </c>
      <c r="J6" s="38" t="s">
        <v>685</v>
      </c>
      <c r="K6" s="37">
        <v>32</v>
      </c>
      <c r="L6" t="s">
        <v>701</v>
      </c>
      <c r="O6" t="s">
        <v>702</v>
      </c>
      <c r="P6" t="s">
        <v>688</v>
      </c>
      <c r="Q6" t="s">
        <v>703</v>
      </c>
      <c r="S6" t="s">
        <v>704</v>
      </c>
    </row>
    <row r="7" ht="11.3" customHeight="1" spans="1:19">
      <c r="A7" t="s">
        <v>679</v>
      </c>
      <c r="B7" t="s">
        <v>680</v>
      </c>
      <c r="C7" t="s">
        <v>592</v>
      </c>
      <c r="D7" t="s">
        <v>681</v>
      </c>
      <c r="E7" t="s">
        <v>682</v>
      </c>
      <c r="F7" t="s">
        <v>683</v>
      </c>
      <c r="G7">
        <v>68</v>
      </c>
      <c r="I7" t="s">
        <v>705</v>
      </c>
      <c r="J7" s="38" t="s">
        <v>685</v>
      </c>
      <c r="K7" s="37">
        <v>32</v>
      </c>
      <c r="L7" t="s">
        <v>686</v>
      </c>
      <c r="M7" s="38" t="s">
        <v>687</v>
      </c>
      <c r="P7" t="s">
        <v>688</v>
      </c>
      <c r="Q7" t="s">
        <v>706</v>
      </c>
      <c r="R7" t="s">
        <v>707</v>
      </c>
    </row>
    <row r="8" ht="11.3" customHeight="1" spans="1:19">
      <c r="A8" t="s">
        <v>679</v>
      </c>
      <c r="B8" t="s">
        <v>680</v>
      </c>
      <c r="C8" t="s">
        <v>592</v>
      </c>
      <c r="D8" t="s">
        <v>681</v>
      </c>
      <c r="E8" t="s">
        <v>682</v>
      </c>
      <c r="F8" t="s">
        <v>683</v>
      </c>
      <c r="G8">
        <v>68</v>
      </c>
      <c r="I8" t="s">
        <v>708</v>
      </c>
      <c r="J8" s="38" t="s">
        <v>685</v>
      </c>
      <c r="K8" s="37">
        <v>49</v>
      </c>
      <c r="L8" t="s">
        <v>686</v>
      </c>
      <c r="N8" s="38" t="s">
        <v>709</v>
      </c>
      <c r="P8" t="s">
        <v>688</v>
      </c>
      <c r="Q8" t="s">
        <v>710</v>
      </c>
      <c r="R8" t="s">
        <v>711</v>
      </c>
    </row>
    <row r="9" ht="11.3" customHeight="1" spans="1:19">
      <c r="A9" t="s">
        <v>679</v>
      </c>
      <c r="B9" t="s">
        <v>680</v>
      </c>
      <c r="C9" t="s">
        <v>592</v>
      </c>
      <c r="D9" t="s">
        <v>681</v>
      </c>
      <c r="E9" t="s">
        <v>682</v>
      </c>
      <c r="F9" t="s">
        <v>683</v>
      </c>
      <c r="G9">
        <v>68</v>
      </c>
      <c r="I9" t="s">
        <v>712</v>
      </c>
      <c r="J9" s="38" t="s">
        <v>685</v>
      </c>
      <c r="K9" s="37">
        <v>24</v>
      </c>
      <c r="L9" t="s">
        <v>686</v>
      </c>
      <c r="M9" s="38" t="s">
        <v>687</v>
      </c>
      <c r="P9" t="s">
        <v>688</v>
      </c>
      <c r="Q9" t="s">
        <v>713</v>
      </c>
      <c r="R9" t="s">
        <v>714</v>
      </c>
    </row>
    <row r="10" ht="11.3" customHeight="1" spans="1:19">
      <c r="A10" t="s">
        <v>679</v>
      </c>
      <c r="B10" t="s">
        <v>680</v>
      </c>
      <c r="C10" t="s">
        <v>592</v>
      </c>
      <c r="D10" t="s">
        <v>681</v>
      </c>
      <c r="E10" t="s">
        <v>682</v>
      </c>
      <c r="F10" t="s">
        <v>683</v>
      </c>
      <c r="G10">
        <v>68</v>
      </c>
      <c r="I10" t="s">
        <v>715</v>
      </c>
      <c r="J10" s="38" t="s">
        <v>685</v>
      </c>
      <c r="K10" s="37">
        <v>14</v>
      </c>
      <c r="L10" t="s">
        <v>701</v>
      </c>
      <c r="O10" t="s">
        <v>702</v>
      </c>
      <c r="P10" t="s">
        <v>688</v>
      </c>
      <c r="Q10" t="s">
        <v>716</v>
      </c>
      <c r="S10" t="s">
        <v>717</v>
      </c>
    </row>
    <row r="11" ht="11.3" customHeight="1" spans="1:19">
      <c r="A11" t="s">
        <v>679</v>
      </c>
      <c r="B11" t="s">
        <v>680</v>
      </c>
      <c r="C11" t="s">
        <v>592</v>
      </c>
      <c r="D11" t="s">
        <v>681</v>
      </c>
      <c r="E11" t="s">
        <v>682</v>
      </c>
      <c r="F11" t="s">
        <v>683</v>
      </c>
      <c r="G11">
        <v>68</v>
      </c>
      <c r="I11" t="s">
        <v>718</v>
      </c>
      <c r="J11" s="38" t="s">
        <v>685</v>
      </c>
      <c r="K11" s="37">
        <v>28</v>
      </c>
      <c r="L11" t="s">
        <v>686</v>
      </c>
      <c r="M11" s="38" t="s">
        <v>687</v>
      </c>
      <c r="P11" t="s">
        <v>688</v>
      </c>
      <c r="Q11" t="s">
        <v>719</v>
      </c>
      <c r="R11" t="s">
        <v>720</v>
      </c>
    </row>
    <row r="12" ht="11.3" customHeight="1" spans="1:19">
      <c r="A12" t="s">
        <v>679</v>
      </c>
      <c r="B12" t="s">
        <v>721</v>
      </c>
      <c r="C12" t="s">
        <v>94</v>
      </c>
      <c r="D12" t="s">
        <v>681</v>
      </c>
      <c r="E12" t="s">
        <v>682</v>
      </c>
      <c r="F12" t="s">
        <v>722</v>
      </c>
      <c r="G12">
        <v>68</v>
      </c>
      <c r="I12" t="s">
        <v>723</v>
      </c>
      <c r="J12" s="38" t="s">
        <v>685</v>
      </c>
      <c r="K12" s="37">
        <v>22</v>
      </c>
      <c r="L12" t="s">
        <v>701</v>
      </c>
      <c r="O12" t="s">
        <v>724</v>
      </c>
      <c r="P12" t="s">
        <v>725</v>
      </c>
      <c r="S12" t="s">
        <v>726</v>
      </c>
    </row>
    <row r="13" ht="11.3" customHeight="1" spans="1:19">
      <c r="A13" t="s">
        <v>679</v>
      </c>
      <c r="B13" t="s">
        <v>721</v>
      </c>
      <c r="C13" t="s">
        <v>94</v>
      </c>
      <c r="D13" t="s">
        <v>681</v>
      </c>
      <c r="E13" t="s">
        <v>682</v>
      </c>
      <c r="F13" t="s">
        <v>722</v>
      </c>
      <c r="G13">
        <v>68</v>
      </c>
      <c r="I13" t="s">
        <v>727</v>
      </c>
      <c r="J13" s="38" t="s">
        <v>685</v>
      </c>
      <c r="K13" s="37">
        <v>25</v>
      </c>
      <c r="L13" t="s">
        <v>686</v>
      </c>
      <c r="N13" s="38" t="s">
        <v>709</v>
      </c>
      <c r="P13" t="s">
        <v>725</v>
      </c>
      <c r="Q13" t="s">
        <v>728</v>
      </c>
      <c r="R13" t="s">
        <v>729</v>
      </c>
    </row>
    <row r="14" ht="11.3" customHeight="1" spans="1:19">
      <c r="A14" t="s">
        <v>679</v>
      </c>
      <c r="B14" t="s">
        <v>721</v>
      </c>
      <c r="C14" t="s">
        <v>94</v>
      </c>
      <c r="D14" t="s">
        <v>681</v>
      </c>
      <c r="E14" t="s">
        <v>682</v>
      </c>
      <c r="F14" t="s">
        <v>722</v>
      </c>
      <c r="G14">
        <v>68</v>
      </c>
      <c r="I14" t="s">
        <v>730</v>
      </c>
      <c r="J14" s="38" t="s">
        <v>685</v>
      </c>
      <c r="K14" s="37">
        <v>17</v>
      </c>
      <c r="L14" t="s">
        <v>701</v>
      </c>
      <c r="O14" t="s">
        <v>702</v>
      </c>
      <c r="P14" t="s">
        <v>725</v>
      </c>
      <c r="Q14" t="s">
        <v>731</v>
      </c>
      <c r="S14" t="s">
        <v>732</v>
      </c>
    </row>
    <row r="15" ht="11.3" customHeight="1" spans="1:19">
      <c r="A15" t="s">
        <v>679</v>
      </c>
      <c r="B15" t="s">
        <v>721</v>
      </c>
      <c r="C15" t="s">
        <v>94</v>
      </c>
      <c r="D15" t="s">
        <v>681</v>
      </c>
      <c r="E15" t="s">
        <v>682</v>
      </c>
      <c r="F15" t="s">
        <v>722</v>
      </c>
      <c r="G15">
        <v>68</v>
      </c>
      <c r="I15" t="s">
        <v>733</v>
      </c>
      <c r="J15" s="38" t="s">
        <v>685</v>
      </c>
      <c r="K15" s="37">
        <v>80</v>
      </c>
      <c r="L15" t="s">
        <v>686</v>
      </c>
      <c r="M15" s="38" t="s">
        <v>687</v>
      </c>
      <c r="P15" t="s">
        <v>725</v>
      </c>
      <c r="Q15" t="s">
        <v>734</v>
      </c>
      <c r="R15" t="s">
        <v>735</v>
      </c>
    </row>
    <row r="16" ht="11.3" customHeight="1" spans="1:19">
      <c r="A16" t="s">
        <v>679</v>
      </c>
      <c r="B16" t="s">
        <v>721</v>
      </c>
      <c r="C16" t="s">
        <v>94</v>
      </c>
      <c r="D16" t="s">
        <v>681</v>
      </c>
      <c r="E16" t="s">
        <v>682</v>
      </c>
      <c r="F16" t="s">
        <v>722</v>
      </c>
      <c r="G16">
        <v>68</v>
      </c>
      <c r="I16" t="s">
        <v>736</v>
      </c>
      <c r="J16" s="38" t="s">
        <v>685</v>
      </c>
      <c r="K16" s="37">
        <v>51</v>
      </c>
      <c r="L16" t="s">
        <v>701</v>
      </c>
      <c r="O16" t="s">
        <v>702</v>
      </c>
      <c r="P16" t="s">
        <v>725</v>
      </c>
      <c r="Q16" t="s">
        <v>737</v>
      </c>
      <c r="S16" t="s">
        <v>738</v>
      </c>
    </row>
    <row r="17" ht="11.3" customHeight="1" spans="1:19">
      <c r="A17" t="s">
        <v>679</v>
      </c>
      <c r="B17" t="s">
        <v>721</v>
      </c>
      <c r="C17" t="s">
        <v>94</v>
      </c>
      <c r="D17" t="s">
        <v>681</v>
      </c>
      <c r="E17" t="s">
        <v>682</v>
      </c>
      <c r="F17" t="s">
        <v>722</v>
      </c>
      <c r="G17">
        <v>68</v>
      </c>
      <c r="I17" t="s">
        <v>739</v>
      </c>
      <c r="J17" s="38" t="s">
        <v>685</v>
      </c>
      <c r="K17" s="37">
        <v>13</v>
      </c>
      <c r="L17" t="s">
        <v>686</v>
      </c>
      <c r="M17" s="38" t="s">
        <v>687</v>
      </c>
      <c r="P17" t="s">
        <v>725</v>
      </c>
      <c r="Q17" t="s">
        <v>740</v>
      </c>
      <c r="R17" t="s">
        <v>741</v>
      </c>
    </row>
    <row r="18" ht="11.3" customHeight="1" spans="1:19">
      <c r="A18" t="s">
        <v>679</v>
      </c>
      <c r="B18" t="s">
        <v>721</v>
      </c>
      <c r="C18" t="s">
        <v>94</v>
      </c>
      <c r="D18" t="s">
        <v>681</v>
      </c>
      <c r="E18" t="s">
        <v>682</v>
      </c>
      <c r="F18" t="s">
        <v>722</v>
      </c>
      <c r="G18">
        <v>68</v>
      </c>
      <c r="I18" t="s">
        <v>742</v>
      </c>
      <c r="J18" s="38" t="s">
        <v>685</v>
      </c>
      <c r="K18" s="37">
        <v>30</v>
      </c>
      <c r="L18" t="s">
        <v>701</v>
      </c>
      <c r="O18" t="s">
        <v>702</v>
      </c>
      <c r="P18" t="s">
        <v>725</v>
      </c>
      <c r="Q18" t="s">
        <v>743</v>
      </c>
      <c r="S18" t="s">
        <v>744</v>
      </c>
    </row>
    <row r="19" ht="11.3" customHeight="1" spans="1:19">
      <c r="A19" t="s">
        <v>679</v>
      </c>
      <c r="B19" t="s">
        <v>721</v>
      </c>
      <c r="C19" t="s">
        <v>94</v>
      </c>
      <c r="D19" t="s">
        <v>681</v>
      </c>
      <c r="E19" t="s">
        <v>682</v>
      </c>
      <c r="F19" t="s">
        <v>722</v>
      </c>
      <c r="G19">
        <v>68</v>
      </c>
      <c r="I19" t="s">
        <v>745</v>
      </c>
      <c r="J19" s="38" t="s">
        <v>685</v>
      </c>
      <c r="K19" s="37">
        <v>47</v>
      </c>
      <c r="L19" t="s">
        <v>701</v>
      </c>
      <c r="O19" t="s">
        <v>746</v>
      </c>
      <c r="P19" t="s">
        <v>725</v>
      </c>
      <c r="S19" t="s">
        <v>747</v>
      </c>
    </row>
    <row r="20" ht="11.3" customHeight="1" spans="1:19">
      <c r="A20" t="s">
        <v>679</v>
      </c>
      <c r="B20" t="s">
        <v>721</v>
      </c>
      <c r="C20" t="s">
        <v>94</v>
      </c>
      <c r="D20" t="s">
        <v>681</v>
      </c>
      <c r="E20" t="s">
        <v>682</v>
      </c>
      <c r="F20" t="s">
        <v>722</v>
      </c>
      <c r="G20">
        <v>68</v>
      </c>
      <c r="I20" t="s">
        <v>748</v>
      </c>
      <c r="J20" s="38" t="s">
        <v>685</v>
      </c>
      <c r="K20" s="37">
        <v>15</v>
      </c>
      <c r="L20" t="s">
        <v>701</v>
      </c>
      <c r="O20" t="s">
        <v>749</v>
      </c>
      <c r="P20" t="s">
        <v>725</v>
      </c>
      <c r="Q20" t="s">
        <v>750</v>
      </c>
      <c r="S20" t="s">
        <v>751</v>
      </c>
    </row>
    <row r="21" ht="11.3" customHeight="1" spans="1:19">
      <c r="A21" t="s">
        <v>679</v>
      </c>
      <c r="B21" t="s">
        <v>721</v>
      </c>
      <c r="C21" t="s">
        <v>94</v>
      </c>
      <c r="D21" t="s">
        <v>681</v>
      </c>
      <c r="E21" t="s">
        <v>682</v>
      </c>
      <c r="F21" t="s">
        <v>722</v>
      </c>
      <c r="G21">
        <v>68</v>
      </c>
      <c r="I21" t="s">
        <v>752</v>
      </c>
      <c r="J21" s="38" t="s">
        <v>685</v>
      </c>
      <c r="K21" s="37">
        <v>47</v>
      </c>
      <c r="L21" t="s">
        <v>686</v>
      </c>
      <c r="M21" s="38" t="s">
        <v>687</v>
      </c>
      <c r="P21" t="s">
        <v>725</v>
      </c>
      <c r="Q21" t="s">
        <v>753</v>
      </c>
      <c r="R21" t="s">
        <v>754</v>
      </c>
    </row>
    <row r="22" ht="11.3" customHeight="1" spans="1:19">
      <c r="A22" t="s">
        <v>679</v>
      </c>
      <c r="B22" t="s">
        <v>721</v>
      </c>
      <c r="C22" t="s">
        <v>94</v>
      </c>
      <c r="D22" t="s">
        <v>681</v>
      </c>
      <c r="E22" t="s">
        <v>682</v>
      </c>
      <c r="F22" t="s">
        <v>722</v>
      </c>
      <c r="G22">
        <v>68</v>
      </c>
      <c r="I22" t="s">
        <v>755</v>
      </c>
      <c r="J22" s="38" t="s">
        <v>685</v>
      </c>
      <c r="K22" s="37">
        <v>28</v>
      </c>
      <c r="L22" t="s">
        <v>701</v>
      </c>
      <c r="O22" t="s">
        <v>702</v>
      </c>
      <c r="P22" t="s">
        <v>725</v>
      </c>
      <c r="Q22" t="s">
        <v>756</v>
      </c>
      <c r="S22" t="s">
        <v>757</v>
      </c>
    </row>
    <row r="23" ht="11.3" customHeight="1" spans="1:19">
      <c r="A23" t="s">
        <v>679</v>
      </c>
      <c r="B23" t="s">
        <v>721</v>
      </c>
      <c r="C23" t="s">
        <v>94</v>
      </c>
      <c r="D23" t="s">
        <v>681</v>
      </c>
      <c r="E23" t="s">
        <v>682</v>
      </c>
      <c r="F23" t="s">
        <v>722</v>
      </c>
      <c r="G23">
        <v>68</v>
      </c>
      <c r="I23" t="s">
        <v>758</v>
      </c>
      <c r="J23" s="38" t="s">
        <v>685</v>
      </c>
      <c r="K23" s="37">
        <v>39</v>
      </c>
      <c r="L23" t="s">
        <v>686</v>
      </c>
      <c r="M23" s="38" t="s">
        <v>687</v>
      </c>
      <c r="P23" t="s">
        <v>725</v>
      </c>
      <c r="Q23" t="s">
        <v>759</v>
      </c>
      <c r="R23" t="s">
        <v>760</v>
      </c>
    </row>
    <row r="24" ht="11.3" customHeight="1" spans="1:19">
      <c r="A24" t="s">
        <v>679</v>
      </c>
      <c r="B24" t="s">
        <v>761</v>
      </c>
      <c r="C24" t="s">
        <v>592</v>
      </c>
      <c r="D24" t="s">
        <v>681</v>
      </c>
      <c r="E24" t="s">
        <v>682</v>
      </c>
      <c r="F24" t="s">
        <v>762</v>
      </c>
      <c r="G24">
        <v>68</v>
      </c>
      <c r="I24" t="s">
        <v>745</v>
      </c>
      <c r="J24" s="38" t="s">
        <v>685</v>
      </c>
      <c r="K24" s="37">
        <v>37</v>
      </c>
      <c r="L24" t="s">
        <v>701</v>
      </c>
      <c r="O24" t="s">
        <v>702</v>
      </c>
      <c r="P24" t="s">
        <v>763</v>
      </c>
      <c r="Q24" t="s">
        <v>764</v>
      </c>
      <c r="S24" t="s">
        <v>765</v>
      </c>
    </row>
    <row r="25" ht="11.3" customHeight="1" spans="1:19">
      <c r="A25" t="s">
        <v>679</v>
      </c>
      <c r="B25" t="s">
        <v>761</v>
      </c>
      <c r="C25" t="s">
        <v>592</v>
      </c>
      <c r="D25" t="s">
        <v>681</v>
      </c>
      <c r="E25" t="s">
        <v>682</v>
      </c>
      <c r="F25" t="s">
        <v>762</v>
      </c>
      <c r="G25">
        <v>68</v>
      </c>
      <c r="I25" t="s">
        <v>766</v>
      </c>
      <c r="J25" s="38" t="s">
        <v>685</v>
      </c>
      <c r="K25" s="37">
        <v>36</v>
      </c>
      <c r="L25" t="s">
        <v>686</v>
      </c>
      <c r="M25" s="38" t="s">
        <v>687</v>
      </c>
      <c r="P25" t="s">
        <v>763</v>
      </c>
      <c r="Q25" t="s">
        <v>767</v>
      </c>
      <c r="R25" t="s">
        <v>768</v>
      </c>
    </row>
    <row r="26" ht="11.3" customHeight="1" spans="1:19">
      <c r="A26" t="s">
        <v>679</v>
      </c>
      <c r="B26" t="s">
        <v>761</v>
      </c>
      <c r="C26" t="s">
        <v>592</v>
      </c>
      <c r="D26" t="s">
        <v>681</v>
      </c>
      <c r="E26" t="s">
        <v>682</v>
      </c>
      <c r="F26" t="s">
        <v>762</v>
      </c>
      <c r="G26">
        <v>68</v>
      </c>
      <c r="I26" t="s">
        <v>730</v>
      </c>
      <c r="J26" s="38" t="s">
        <v>685</v>
      </c>
      <c r="K26" s="37">
        <v>17</v>
      </c>
      <c r="L26" t="s">
        <v>701</v>
      </c>
      <c r="O26" t="s">
        <v>702</v>
      </c>
      <c r="P26" t="s">
        <v>763</v>
      </c>
      <c r="Q26" t="s">
        <v>769</v>
      </c>
      <c r="S26" t="s">
        <v>770</v>
      </c>
    </row>
    <row r="27" ht="11.3" customHeight="1" spans="1:19">
      <c r="A27" t="s">
        <v>679</v>
      </c>
      <c r="B27" t="s">
        <v>761</v>
      </c>
      <c r="C27" t="s">
        <v>592</v>
      </c>
      <c r="D27" t="s">
        <v>681</v>
      </c>
      <c r="E27" t="s">
        <v>682</v>
      </c>
      <c r="F27" t="s">
        <v>762</v>
      </c>
      <c r="G27">
        <v>68</v>
      </c>
      <c r="I27" t="s">
        <v>723</v>
      </c>
      <c r="J27" s="38" t="s">
        <v>685</v>
      </c>
      <c r="K27" s="37">
        <v>28</v>
      </c>
      <c r="L27" t="s">
        <v>701</v>
      </c>
      <c r="O27" t="s">
        <v>702</v>
      </c>
      <c r="P27" t="s">
        <v>763</v>
      </c>
      <c r="Q27" t="s">
        <v>771</v>
      </c>
      <c r="S27" t="s">
        <v>772</v>
      </c>
    </row>
    <row r="28" ht="11.3" customHeight="1" spans="1:19">
      <c r="A28" t="s">
        <v>679</v>
      </c>
      <c r="B28" t="s">
        <v>761</v>
      </c>
      <c r="C28" t="s">
        <v>592</v>
      </c>
      <c r="D28" t="s">
        <v>681</v>
      </c>
      <c r="E28" t="s">
        <v>682</v>
      </c>
      <c r="F28" t="s">
        <v>762</v>
      </c>
      <c r="G28">
        <v>68</v>
      </c>
      <c r="I28" t="s">
        <v>742</v>
      </c>
      <c r="J28" s="38" t="s">
        <v>685</v>
      </c>
      <c r="K28" s="37">
        <v>30</v>
      </c>
      <c r="L28" t="s">
        <v>701</v>
      </c>
      <c r="O28" t="s">
        <v>702</v>
      </c>
      <c r="P28" t="s">
        <v>763</v>
      </c>
      <c r="Q28" t="s">
        <v>773</v>
      </c>
      <c r="S28" t="s">
        <v>774</v>
      </c>
    </row>
    <row r="29" ht="11.3" customHeight="1" spans="1:19">
      <c r="A29" t="s">
        <v>679</v>
      </c>
      <c r="B29" t="s">
        <v>761</v>
      </c>
      <c r="C29" t="s">
        <v>592</v>
      </c>
      <c r="D29" t="s">
        <v>681</v>
      </c>
      <c r="E29" t="s">
        <v>682</v>
      </c>
      <c r="F29" t="s">
        <v>762</v>
      </c>
      <c r="G29">
        <v>68</v>
      </c>
      <c r="I29" t="s">
        <v>775</v>
      </c>
      <c r="J29" s="38" t="s">
        <v>685</v>
      </c>
      <c r="K29" s="37">
        <v>77</v>
      </c>
      <c r="L29" t="s">
        <v>701</v>
      </c>
      <c r="O29" t="s">
        <v>702</v>
      </c>
      <c r="P29" t="s">
        <v>763</v>
      </c>
      <c r="Q29" t="s">
        <v>776</v>
      </c>
      <c r="S29" t="s">
        <v>777</v>
      </c>
    </row>
    <row r="30" ht="11.3" customHeight="1" spans="1:19">
      <c r="A30" t="s">
        <v>679</v>
      </c>
      <c r="B30" t="s">
        <v>761</v>
      </c>
      <c r="C30" t="s">
        <v>592</v>
      </c>
      <c r="D30" t="s">
        <v>681</v>
      </c>
      <c r="E30" t="s">
        <v>682</v>
      </c>
      <c r="F30" t="s">
        <v>762</v>
      </c>
      <c r="G30">
        <v>68</v>
      </c>
      <c r="I30" t="s">
        <v>778</v>
      </c>
      <c r="J30" s="38" t="s">
        <v>685</v>
      </c>
      <c r="K30" s="37">
        <v>48</v>
      </c>
      <c r="L30" t="s">
        <v>686</v>
      </c>
      <c r="M30" s="38" t="s">
        <v>687</v>
      </c>
      <c r="P30" t="s">
        <v>763</v>
      </c>
      <c r="Q30" t="s">
        <v>779</v>
      </c>
      <c r="R30" t="s">
        <v>780</v>
      </c>
    </row>
    <row r="31" ht="11.3" customHeight="1" spans="1:19">
      <c r="A31" t="s">
        <v>679</v>
      </c>
      <c r="B31" t="s">
        <v>761</v>
      </c>
      <c r="C31" t="s">
        <v>592</v>
      </c>
      <c r="D31" t="s">
        <v>681</v>
      </c>
      <c r="E31" t="s">
        <v>682</v>
      </c>
      <c r="F31" t="s">
        <v>762</v>
      </c>
      <c r="G31">
        <v>68</v>
      </c>
      <c r="I31" t="s">
        <v>781</v>
      </c>
      <c r="J31" s="38" t="s">
        <v>685</v>
      </c>
      <c r="K31" s="37">
        <v>28</v>
      </c>
      <c r="L31" t="s">
        <v>686</v>
      </c>
      <c r="M31" s="38" t="s">
        <v>687</v>
      </c>
      <c r="P31" t="s">
        <v>763</v>
      </c>
      <c r="Q31" t="s">
        <v>782</v>
      </c>
      <c r="R31" t="s">
        <v>783</v>
      </c>
    </row>
    <row r="32" ht="11.3" customHeight="1" spans="1:19">
      <c r="A32" t="s">
        <v>679</v>
      </c>
      <c r="B32" t="s">
        <v>761</v>
      </c>
      <c r="C32" t="s">
        <v>592</v>
      </c>
      <c r="D32" t="s">
        <v>681</v>
      </c>
      <c r="E32" t="s">
        <v>682</v>
      </c>
      <c r="F32" t="s">
        <v>762</v>
      </c>
      <c r="G32">
        <v>68</v>
      </c>
      <c r="I32" t="s">
        <v>784</v>
      </c>
      <c r="J32" s="38" t="s">
        <v>685</v>
      </c>
      <c r="K32" s="37">
        <v>30</v>
      </c>
      <c r="L32" t="s">
        <v>701</v>
      </c>
      <c r="O32" t="s">
        <v>702</v>
      </c>
      <c r="P32" t="s">
        <v>763</v>
      </c>
      <c r="Q32" t="s">
        <v>785</v>
      </c>
      <c r="S32" t="s">
        <v>786</v>
      </c>
    </row>
    <row r="33" ht="11.3" customHeight="1" spans="1:18">
      <c r="A33" t="s">
        <v>679</v>
      </c>
      <c r="B33" t="s">
        <v>761</v>
      </c>
      <c r="C33" t="s">
        <v>592</v>
      </c>
      <c r="D33" t="s">
        <v>681</v>
      </c>
      <c r="E33" t="s">
        <v>682</v>
      </c>
      <c r="F33" t="s">
        <v>762</v>
      </c>
      <c r="G33">
        <v>68</v>
      </c>
      <c r="I33" t="s">
        <v>787</v>
      </c>
      <c r="J33" s="38" t="s">
        <v>685</v>
      </c>
      <c r="K33" s="37">
        <v>48</v>
      </c>
      <c r="L33" t="s">
        <v>788</v>
      </c>
      <c r="P33" t="s">
        <v>763</v>
      </c>
      <c r="Q33" t="s">
        <v>789</v>
      </c>
    </row>
    <row r="34" ht="11.3" customHeight="1" spans="1:18">
      <c r="A34" t="s">
        <v>679</v>
      </c>
      <c r="B34" t="s">
        <v>761</v>
      </c>
      <c r="C34" t="s">
        <v>592</v>
      </c>
      <c r="D34" t="s">
        <v>681</v>
      </c>
      <c r="E34" t="s">
        <v>682</v>
      </c>
      <c r="F34" t="s">
        <v>762</v>
      </c>
      <c r="G34">
        <v>68</v>
      </c>
      <c r="I34" t="s">
        <v>790</v>
      </c>
      <c r="J34" s="38" t="s">
        <v>685</v>
      </c>
      <c r="K34" s="37">
        <v>26</v>
      </c>
      <c r="L34" t="s">
        <v>686</v>
      </c>
      <c r="M34" s="38" t="s">
        <v>687</v>
      </c>
      <c r="P34" t="s">
        <v>763</v>
      </c>
      <c r="Q34" t="s">
        <v>791</v>
      </c>
      <c r="R34" t="s">
        <v>792</v>
      </c>
    </row>
  </sheetData>
  <autoFilter xmlns:etc="http://www.wps.cn/officeDocument/2017/etCustomData" ref="A1:S34" etc:filterBottomFollowUsedRange="0">
    <extLst/>
  </autoFilter>
  <hyperlinks>
    <hyperlink ref="M4" r:id="rId1" display="查看帖子"/>
    <hyperlink ref="J9" r:id="rId2" display="查看链接"/>
    <hyperlink ref="J14" r:id="rId3" display="查看链接"/>
    <hyperlink ref="J26" r:id="rId3" display="查看链接"/>
    <hyperlink ref="J20" r:id="rId4" display="查看链接"/>
    <hyperlink ref="J29" r:id="rId5" display="查看链接"/>
    <hyperlink ref="M34" r:id="rId6" display="查看帖子"/>
    <hyperlink ref="J4" r:id="rId7" display="查看链接"/>
    <hyperlink ref="N8" r:id="rId8" display="查看图片"/>
    <hyperlink ref="N13" r:id="rId9" display="查看图片"/>
    <hyperlink ref="J19" r:id="rId10" display="查看链接"/>
    <hyperlink ref="J24" r:id="rId10" display="查看链接"/>
    <hyperlink ref="M25" r:id="rId11" display="查看帖子"/>
    <hyperlink ref="J34" r:id="rId12" display="查看链接"/>
    <hyperlink ref="M3" r:id="rId13" display="查看帖子"/>
    <hyperlink ref="J8" r:id="rId14" display="查看链接"/>
    <hyperlink ref="J13" r:id="rId15" display="查看链接"/>
    <hyperlink ref="J18" r:id="rId16" display="查看链接"/>
    <hyperlink ref="J28" r:id="rId16" display="查看链接"/>
    <hyperlink ref="M23" r:id="rId17" display="查看帖子"/>
    <hyperlink ref="J25" r:id="rId18" display="查看链接"/>
    <hyperlink ref="J33" r:id="rId19" display="查看链接"/>
    <hyperlink ref="J3" r:id="rId20" display="查看链接"/>
    <hyperlink ref="M7" r:id="rId21" display="查看帖子"/>
    <hyperlink ref="J12" r:id="rId22" display="查看链接"/>
    <hyperlink ref="J27" r:id="rId22" display="查看链接"/>
    <hyperlink ref="M17" r:id="rId23" display="查看帖子"/>
    <hyperlink ref="J23" r:id="rId24" display="查看链接"/>
    <hyperlink ref="J32" r:id="rId25" display="查看链接"/>
    <hyperlink ref="M2" r:id="rId26" display="查看帖子"/>
    <hyperlink ref="J7" r:id="rId27" display="查看链接"/>
    <hyperlink ref="M11" r:id="rId28" display="查看帖子"/>
    <hyperlink ref="J17" r:id="rId29" display="查看链接"/>
    <hyperlink ref="J22" r:id="rId30" display="查看链接"/>
    <hyperlink ref="M31" r:id="rId31" display="查看帖子"/>
    <hyperlink ref="J2" r:id="rId32" display="查看链接"/>
    <hyperlink ref="J6" r:id="rId33" display="查看链接"/>
    <hyperlink ref="J11" r:id="rId34" display="查看链接"/>
    <hyperlink ref="J16" r:id="rId35" display="查看链接"/>
    <hyperlink ref="J31" r:id="rId36" display="查看链接"/>
    <hyperlink ref="M5" r:id="rId37" display="查看帖子"/>
    <hyperlink ref="J10" r:id="rId38" display="查看链接"/>
    <hyperlink ref="M15" r:id="rId39" display="查看帖子"/>
    <hyperlink ref="M21" r:id="rId40" display="查看帖子"/>
    <hyperlink ref="M30" r:id="rId41" display="查看帖子"/>
    <hyperlink ref="J5" r:id="rId42" display="查看链接"/>
    <hyperlink ref="M9" r:id="rId43" display="查看帖子"/>
    <hyperlink ref="J15" r:id="rId44" display="查看链接"/>
    <hyperlink ref="J21" r:id="rId45" display="查看链接"/>
    <hyperlink ref="J30" r:id="rId46" display="查看链接"/>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240"/>
  <sheetViews>
    <sheetView workbookViewId="0">
      <selection activeCell="A1" sqref="A1"/>
    </sheetView>
  </sheetViews>
  <sheetFormatPr defaultColWidth="9" defaultRowHeight="15.75" outlineLevelCol="2"/>
  <cols>
    <col min="1" max="20" width="37.2416666666667" customWidth="1"/>
  </cols>
  <sheetData>
    <row r="1" ht="13.1" customHeight="1" spans="1:3">
      <c r="A1" s="31" t="s">
        <v>793</v>
      </c>
      <c r="B1" s="31" t="s">
        <v>794</v>
      </c>
      <c r="C1" s="31" t="s">
        <v>795</v>
      </c>
    </row>
    <row r="2" ht="13.1" customHeight="1" spans="1:3">
      <c r="A2" t="s">
        <v>796</v>
      </c>
      <c r="B2" t="s">
        <v>797</v>
      </c>
      <c r="C2" s="31" t="s">
        <v>798</v>
      </c>
    </row>
    <row r="3" ht="13.1" customHeight="1" spans="1:3">
      <c r="A3" t="s">
        <v>799</v>
      </c>
      <c r="B3" t="s">
        <v>800</v>
      </c>
      <c r="C3" t="s">
        <v>801</v>
      </c>
    </row>
    <row r="4" ht="13.1" customHeight="1" spans="1:3">
      <c r="A4" t="s">
        <v>802</v>
      </c>
      <c r="B4" t="s">
        <v>803</v>
      </c>
      <c r="C4" t="s">
        <v>804</v>
      </c>
    </row>
    <row r="5" ht="13.1" customHeight="1" spans="1:3">
      <c r="A5" t="s">
        <v>805</v>
      </c>
      <c r="B5" t="s">
        <v>806</v>
      </c>
      <c r="C5" t="s">
        <v>807</v>
      </c>
    </row>
    <row r="6" ht="13.1" customHeight="1" spans="1:3">
      <c r="A6" t="s">
        <v>808</v>
      </c>
      <c r="B6" s="31" t="s">
        <v>809</v>
      </c>
      <c r="C6" t="s">
        <v>810</v>
      </c>
    </row>
    <row r="7" ht="13.1" customHeight="1" spans="1:3">
      <c r="A7" t="s">
        <v>811</v>
      </c>
      <c r="B7" t="s">
        <v>812</v>
      </c>
      <c r="C7" t="s">
        <v>813</v>
      </c>
    </row>
    <row r="8" ht="13.1" customHeight="1" spans="1:3">
      <c r="A8" t="s">
        <v>814</v>
      </c>
      <c r="B8" s="31" t="s">
        <v>815</v>
      </c>
      <c r="C8" t="s">
        <v>816</v>
      </c>
    </row>
    <row r="9" ht="13.1" customHeight="1" spans="1:3">
      <c r="A9" t="s">
        <v>817</v>
      </c>
      <c r="B9" s="31" t="s">
        <v>818</v>
      </c>
      <c r="C9" t="s">
        <v>819</v>
      </c>
    </row>
    <row r="10" ht="13.1" customHeight="1" spans="1:3">
      <c r="A10" t="s">
        <v>820</v>
      </c>
      <c r="B10" t="s">
        <v>821</v>
      </c>
      <c r="C10" t="s">
        <v>822</v>
      </c>
    </row>
    <row r="11" ht="13.1" customHeight="1" spans="1:3">
      <c r="A11" t="s">
        <v>823</v>
      </c>
      <c r="B11" t="s">
        <v>824</v>
      </c>
      <c r="C11" t="s">
        <v>825</v>
      </c>
    </row>
    <row r="12" ht="13.1" customHeight="1" spans="1:3">
      <c r="A12" t="s">
        <v>826</v>
      </c>
      <c r="B12" t="s">
        <v>827</v>
      </c>
      <c r="C12" t="s">
        <v>828</v>
      </c>
    </row>
    <row r="13" ht="13.1" customHeight="1" spans="1:3">
      <c r="A13" t="s">
        <v>829</v>
      </c>
      <c r="B13" s="31" t="s">
        <v>830</v>
      </c>
      <c r="C13" t="s">
        <v>831</v>
      </c>
    </row>
    <row r="14" ht="13.1" customHeight="1" spans="1:3">
      <c r="A14" t="s">
        <v>832</v>
      </c>
      <c r="B14" s="31" t="s">
        <v>833</v>
      </c>
      <c r="C14" t="s">
        <v>834</v>
      </c>
    </row>
    <row r="15" ht="13.1" customHeight="1" spans="1:3">
      <c r="A15" t="s">
        <v>835</v>
      </c>
      <c r="B15" t="s">
        <v>836</v>
      </c>
      <c r="C15" t="s">
        <v>837</v>
      </c>
    </row>
    <row r="16" ht="13.1" customHeight="1" spans="1:3">
      <c r="A16" t="s">
        <v>838</v>
      </c>
      <c r="B16" t="s">
        <v>839</v>
      </c>
      <c r="C16" t="s">
        <v>840</v>
      </c>
    </row>
    <row r="17" ht="13.1" customHeight="1" spans="1:3">
      <c r="A17" t="s">
        <v>841</v>
      </c>
      <c r="B17" t="s">
        <v>842</v>
      </c>
      <c r="C17" t="s">
        <v>843</v>
      </c>
    </row>
    <row r="18" ht="13.1" customHeight="1" spans="1:3">
      <c r="A18" t="s">
        <v>844</v>
      </c>
      <c r="B18" s="31" t="s">
        <v>845</v>
      </c>
      <c r="C18" t="s">
        <v>846</v>
      </c>
    </row>
    <row r="19" ht="13.1" customHeight="1" spans="1:3">
      <c r="A19" t="s">
        <v>847</v>
      </c>
      <c r="B19" s="31" t="s">
        <v>848</v>
      </c>
      <c r="C19" t="s">
        <v>849</v>
      </c>
    </row>
    <row r="20" ht="13.1" customHeight="1" spans="1:3">
      <c r="A20" t="s">
        <v>850</v>
      </c>
      <c r="B20" s="31" t="s">
        <v>851</v>
      </c>
      <c r="C20" t="s">
        <v>852</v>
      </c>
    </row>
    <row r="21" ht="13.1" customHeight="1" spans="1:3">
      <c r="A21" t="s">
        <v>853</v>
      </c>
      <c r="B21" s="32" t="s">
        <v>854</v>
      </c>
      <c r="C21" t="s">
        <v>855</v>
      </c>
    </row>
    <row r="22" ht="13.1" customHeight="1" spans="1:3">
      <c r="A22" t="s">
        <v>856</v>
      </c>
      <c r="B22" s="31" t="s">
        <v>857</v>
      </c>
      <c r="C22" t="s">
        <v>858</v>
      </c>
    </row>
    <row r="23" ht="13.1" customHeight="1" spans="1:3">
      <c r="A23" t="s">
        <v>859</v>
      </c>
      <c r="B23" s="31" t="s">
        <v>860</v>
      </c>
      <c r="C23" t="s">
        <v>861</v>
      </c>
    </row>
    <row r="24" ht="13.1" customHeight="1" spans="1:3">
      <c r="A24" t="s">
        <v>862</v>
      </c>
      <c r="B24" s="31" t="s">
        <v>863</v>
      </c>
      <c r="C24" t="s">
        <v>864</v>
      </c>
    </row>
    <row r="25" ht="13.1" customHeight="1" spans="1:3">
      <c r="A25" t="s">
        <v>865</v>
      </c>
      <c r="B25" s="31" t="s">
        <v>866</v>
      </c>
      <c r="C25" t="s">
        <v>867</v>
      </c>
    </row>
    <row r="26" ht="13.1" customHeight="1" spans="1:3">
      <c r="A26" t="s">
        <v>868</v>
      </c>
      <c r="B26" s="31" t="s">
        <v>869</v>
      </c>
      <c r="C26" t="s">
        <v>870</v>
      </c>
    </row>
    <row r="27" ht="13.1" customHeight="1" spans="1:3">
      <c r="A27" t="s">
        <v>871</v>
      </c>
      <c r="B27" s="31" t="s">
        <v>872</v>
      </c>
      <c r="C27" t="s">
        <v>873</v>
      </c>
    </row>
    <row r="28" ht="13.1" customHeight="1" spans="1:3">
      <c r="A28" t="s">
        <v>874</v>
      </c>
      <c r="B28" s="31" t="s">
        <v>875</v>
      </c>
      <c r="C28" t="s">
        <v>876</v>
      </c>
    </row>
    <row r="29" ht="13.1" customHeight="1" spans="1:3">
      <c r="A29" t="s">
        <v>877</v>
      </c>
      <c r="B29" s="31" t="s">
        <v>878</v>
      </c>
      <c r="C29" t="s">
        <v>879</v>
      </c>
    </row>
    <row r="30" ht="13.1" customHeight="1" spans="1:3">
      <c r="A30" t="s">
        <v>880</v>
      </c>
      <c r="B30" s="31" t="s">
        <v>881</v>
      </c>
      <c r="C30" t="s">
        <v>882</v>
      </c>
    </row>
    <row r="31" ht="13.1" customHeight="1" spans="1:3">
      <c r="A31" t="s">
        <v>883</v>
      </c>
      <c r="B31" s="31" t="s">
        <v>884</v>
      </c>
      <c r="C31" t="s">
        <v>885</v>
      </c>
    </row>
    <row r="32" ht="13.1" customHeight="1" spans="1:3">
      <c r="A32" t="s">
        <v>886</v>
      </c>
      <c r="B32" s="31" t="s">
        <v>887</v>
      </c>
      <c r="C32">
        <v>360</v>
      </c>
    </row>
    <row r="33" ht="13.1" customHeight="1" spans="1:3">
      <c r="A33" t="s">
        <v>888</v>
      </c>
      <c r="B33" s="31" t="s">
        <v>889</v>
      </c>
      <c r="C33" t="s">
        <v>890</v>
      </c>
    </row>
    <row r="34" ht="13.1" customHeight="1" spans="1:3">
      <c r="A34" t="s">
        <v>891</v>
      </c>
      <c r="B34" s="33" t="s">
        <v>892</v>
      </c>
      <c r="C34" t="s">
        <v>893</v>
      </c>
    </row>
    <row r="35" ht="13.1" customHeight="1" spans="1:3">
      <c r="A35" t="s">
        <v>894</v>
      </c>
      <c r="B35" s="33" t="s">
        <v>895</v>
      </c>
      <c r="C35" t="s">
        <v>896</v>
      </c>
    </row>
    <row r="36" ht="13.1" customHeight="1" spans="1:3">
      <c r="A36" t="s">
        <v>897</v>
      </c>
      <c r="B36" s="33" t="s">
        <v>811</v>
      </c>
      <c r="C36" t="s">
        <v>898</v>
      </c>
    </row>
    <row r="37" ht="13.1" customHeight="1" spans="1:3">
      <c r="A37" t="s">
        <v>899</v>
      </c>
      <c r="B37" s="33" t="s">
        <v>900</v>
      </c>
      <c r="C37" t="s">
        <v>901</v>
      </c>
    </row>
    <row r="38" ht="13.1" customHeight="1" spans="1:3">
      <c r="A38" t="s">
        <v>902</v>
      </c>
      <c r="B38" s="33" t="s">
        <v>798</v>
      </c>
      <c r="C38" t="s">
        <v>903</v>
      </c>
    </row>
    <row r="39" ht="13.1" customHeight="1" spans="1:3">
      <c r="A39" t="s">
        <v>904</v>
      </c>
      <c r="B39" s="33" t="s">
        <v>905</v>
      </c>
      <c r="C39" t="s">
        <v>906</v>
      </c>
    </row>
    <row r="40" ht="13.1" customHeight="1" spans="1:3">
      <c r="A40" t="s">
        <v>907</v>
      </c>
      <c r="B40" s="33" t="s">
        <v>908</v>
      </c>
      <c r="C40" t="s">
        <v>909</v>
      </c>
    </row>
    <row r="41" ht="13.1" customHeight="1" spans="1:3">
      <c r="A41" t="s">
        <v>910</v>
      </c>
      <c r="B41" s="33" t="s">
        <v>911</v>
      </c>
      <c r="C41" t="s">
        <v>912</v>
      </c>
    </row>
    <row r="42" ht="13.1" customHeight="1" spans="1:3">
      <c r="A42" s="34" t="s">
        <v>913</v>
      </c>
      <c r="B42" s="33" t="s">
        <v>914</v>
      </c>
      <c r="C42" t="s">
        <v>915</v>
      </c>
    </row>
    <row r="43" ht="13.1" customHeight="1" spans="1:3">
      <c r="A43" s="34" t="s">
        <v>916</v>
      </c>
      <c r="B43" s="33" t="s">
        <v>917</v>
      </c>
      <c r="C43" t="s">
        <v>918</v>
      </c>
    </row>
    <row r="44" ht="13.1" customHeight="1" spans="1:3">
      <c r="A44" s="34" t="s">
        <v>919</v>
      </c>
      <c r="B44" s="33" t="s">
        <v>874</v>
      </c>
      <c r="C44" t="s">
        <v>920</v>
      </c>
    </row>
    <row r="45" ht="13.1" customHeight="1" spans="1:3">
      <c r="A45" s="34" t="s">
        <v>811</v>
      </c>
      <c r="B45" s="33" t="s">
        <v>851</v>
      </c>
      <c r="C45" t="s">
        <v>921</v>
      </c>
    </row>
    <row r="46" ht="13.1" customHeight="1" spans="1:3">
      <c r="A46" s="34" t="s">
        <v>922</v>
      </c>
      <c r="B46" s="33" t="s">
        <v>923</v>
      </c>
      <c r="C46" t="s">
        <v>924</v>
      </c>
    </row>
    <row r="47" ht="13.1" customHeight="1" spans="1:3">
      <c r="A47" s="34" t="s">
        <v>925</v>
      </c>
      <c r="B47" s="33" t="s">
        <v>926</v>
      </c>
      <c r="C47" t="s">
        <v>927</v>
      </c>
    </row>
    <row r="48" ht="13.1" customHeight="1" spans="1:3">
      <c r="A48" s="34" t="s">
        <v>928</v>
      </c>
      <c r="B48" s="33" t="s">
        <v>929</v>
      </c>
      <c r="C48" t="s">
        <v>930</v>
      </c>
    </row>
    <row r="49" ht="13.1" customHeight="1" spans="1:3">
      <c r="A49" s="34" t="s">
        <v>931</v>
      </c>
      <c r="B49" s="33" t="s">
        <v>816</v>
      </c>
      <c r="C49" t="s">
        <v>932</v>
      </c>
    </row>
    <row r="50" ht="13.1" customHeight="1" spans="1:3">
      <c r="A50" s="34" t="s">
        <v>933</v>
      </c>
      <c r="B50" s="33" t="s">
        <v>800</v>
      </c>
      <c r="C50" t="s">
        <v>934</v>
      </c>
    </row>
    <row r="51" ht="13.1" customHeight="1" spans="1:3">
      <c r="A51" s="34" t="s">
        <v>805</v>
      </c>
      <c r="B51" s="33" t="s">
        <v>935</v>
      </c>
      <c r="C51" t="s">
        <v>936</v>
      </c>
    </row>
    <row r="52" ht="13.1" customHeight="1" spans="1:3">
      <c r="A52" s="34" t="s">
        <v>937</v>
      </c>
      <c r="B52" s="33" t="s">
        <v>938</v>
      </c>
      <c r="C52" t="s">
        <v>939</v>
      </c>
    </row>
    <row r="53" ht="13.1" customHeight="1" spans="1:3">
      <c r="A53" s="34" t="s">
        <v>874</v>
      </c>
      <c r="B53" s="33" t="s">
        <v>869</v>
      </c>
      <c r="C53" t="s">
        <v>940</v>
      </c>
    </row>
    <row r="54" ht="13.1" customHeight="1" spans="1:3">
      <c r="A54" s="34" t="s">
        <v>941</v>
      </c>
      <c r="B54" s="33" t="s">
        <v>942</v>
      </c>
      <c r="C54" t="s">
        <v>943</v>
      </c>
    </row>
    <row r="55" ht="13.1" customHeight="1" spans="1:3">
      <c r="A55" s="34" t="s">
        <v>944</v>
      </c>
      <c r="B55" s="33" t="s">
        <v>945</v>
      </c>
      <c r="C55" t="s">
        <v>946</v>
      </c>
    </row>
    <row r="56" ht="13.1" customHeight="1" spans="1:3">
      <c r="A56" s="34" t="s">
        <v>947</v>
      </c>
      <c r="B56" s="33" t="s">
        <v>948</v>
      </c>
      <c r="C56" t="s">
        <v>949</v>
      </c>
    </row>
    <row r="57" ht="13.1" customHeight="1" spans="1:3">
      <c r="A57" s="34" t="s">
        <v>950</v>
      </c>
      <c r="B57" s="33" t="s">
        <v>951</v>
      </c>
      <c r="C57" t="s">
        <v>952</v>
      </c>
    </row>
    <row r="58" ht="13.1" customHeight="1" spans="1:3">
      <c r="A58" s="34" t="s">
        <v>953</v>
      </c>
      <c r="B58" s="33" t="s">
        <v>954</v>
      </c>
      <c r="C58" t="s">
        <v>955</v>
      </c>
    </row>
    <row r="59" ht="13.1" customHeight="1" spans="1:3">
      <c r="A59" s="34" t="s">
        <v>956</v>
      </c>
      <c r="B59" s="33" t="s">
        <v>957</v>
      </c>
      <c r="C59" t="s">
        <v>958</v>
      </c>
    </row>
    <row r="60" ht="13.1" customHeight="1" spans="1:3">
      <c r="A60" s="34" t="s">
        <v>959</v>
      </c>
      <c r="B60" s="33" t="s">
        <v>960</v>
      </c>
      <c r="C60" t="s">
        <v>961</v>
      </c>
    </row>
    <row r="61" ht="13.1" customHeight="1" spans="1:3">
      <c r="A61" s="34" t="s">
        <v>962</v>
      </c>
      <c r="B61" s="33" t="s">
        <v>800</v>
      </c>
      <c r="C61" t="s">
        <v>963</v>
      </c>
    </row>
    <row r="62" ht="13.1" customHeight="1" spans="1:3">
      <c r="A62" s="34" t="s">
        <v>880</v>
      </c>
      <c r="B62" s="33" t="s">
        <v>964</v>
      </c>
      <c r="C62" t="s">
        <v>965</v>
      </c>
    </row>
    <row r="63" ht="13.1" customHeight="1" spans="1:3">
      <c r="A63" s="34" t="s">
        <v>966</v>
      </c>
      <c r="B63" s="33" t="s">
        <v>967</v>
      </c>
      <c r="C63" t="s">
        <v>968</v>
      </c>
    </row>
    <row r="64" ht="13.1" customHeight="1" spans="1:3">
      <c r="A64" s="34" t="s">
        <v>969</v>
      </c>
      <c r="B64" s="33" t="s">
        <v>816</v>
      </c>
      <c r="C64" t="s">
        <v>970</v>
      </c>
    </row>
    <row r="65" ht="13.1" customHeight="1" spans="1:3">
      <c r="A65" s="34" t="s">
        <v>886</v>
      </c>
      <c r="B65" s="33" t="s">
        <v>971</v>
      </c>
      <c r="C65" t="s">
        <v>972</v>
      </c>
    </row>
    <row r="66" ht="13.1" customHeight="1" spans="1:3">
      <c r="A66" s="34" t="s">
        <v>973</v>
      </c>
      <c r="B66" s="33" t="s">
        <v>974</v>
      </c>
      <c r="C66" t="s">
        <v>975</v>
      </c>
    </row>
    <row r="67" ht="13.1" customHeight="1" spans="1:3">
      <c r="A67" s="34" t="s">
        <v>976</v>
      </c>
      <c r="B67" s="33" t="s">
        <v>977</v>
      </c>
      <c r="C67" t="s">
        <v>978</v>
      </c>
    </row>
    <row r="68" ht="13.1" customHeight="1" spans="1:3">
      <c r="A68" s="34" t="s">
        <v>979</v>
      </c>
      <c r="B68" s="33" t="s">
        <v>980</v>
      </c>
      <c r="C68" t="s">
        <v>981</v>
      </c>
    </row>
    <row r="69" ht="13.1" customHeight="1" spans="1:3">
      <c r="A69" s="34" t="s">
        <v>982</v>
      </c>
      <c r="B69" s="33" t="s">
        <v>983</v>
      </c>
      <c r="C69" t="s">
        <v>984</v>
      </c>
    </row>
    <row r="70" ht="13.1" customHeight="1" spans="1:3">
      <c r="A70" s="34" t="s">
        <v>985</v>
      </c>
      <c r="B70" s="35" t="s">
        <v>986</v>
      </c>
      <c r="C70" t="s">
        <v>987</v>
      </c>
    </row>
    <row r="71" ht="13.1" customHeight="1" spans="1:3">
      <c r="A71" s="34" t="s">
        <v>988</v>
      </c>
      <c r="B71" s="33" t="s">
        <v>989</v>
      </c>
      <c r="C71" t="s">
        <v>990</v>
      </c>
    </row>
    <row r="72" ht="13.1" customHeight="1" spans="1:3">
      <c r="A72" s="34" t="s">
        <v>991</v>
      </c>
      <c r="B72" s="33" t="s">
        <v>808</v>
      </c>
      <c r="C72" t="s">
        <v>992</v>
      </c>
    </row>
    <row r="73" ht="13.1" customHeight="1" spans="1:3">
      <c r="A73" s="34" t="s">
        <v>993</v>
      </c>
      <c r="B73" s="33" t="s">
        <v>994</v>
      </c>
      <c r="C73">
        <v>360</v>
      </c>
    </row>
    <row r="74" ht="13.1" customHeight="1" spans="1:3">
      <c r="A74" s="34" t="s">
        <v>802</v>
      </c>
      <c r="B74" s="33" t="s">
        <v>834</v>
      </c>
      <c r="C74" t="s">
        <v>995</v>
      </c>
    </row>
    <row r="75" ht="13.1" customHeight="1" spans="1:3">
      <c r="A75" s="34" t="s">
        <v>996</v>
      </c>
      <c r="B75" s="33" t="s">
        <v>887</v>
      </c>
      <c r="C75" t="s">
        <v>997</v>
      </c>
    </row>
    <row r="76" ht="13.1" customHeight="1" spans="1:3">
      <c r="A76" s="34" t="s">
        <v>998</v>
      </c>
      <c r="B76" s="33" t="s">
        <v>999</v>
      </c>
      <c r="C76" t="s">
        <v>1000</v>
      </c>
    </row>
    <row r="77" ht="13.1" customHeight="1" spans="1:3">
      <c r="A77" s="34" t="s">
        <v>816</v>
      </c>
      <c r="B77" s="33" t="s">
        <v>1001</v>
      </c>
      <c r="C77" t="s">
        <v>1002</v>
      </c>
    </row>
    <row r="78" ht="13.1" customHeight="1" spans="1:3">
      <c r="A78" s="34" t="s">
        <v>1003</v>
      </c>
      <c r="B78" s="33" t="s">
        <v>895</v>
      </c>
      <c r="C78" t="s">
        <v>1004</v>
      </c>
    </row>
    <row r="79" ht="13.1" customHeight="1" spans="1:3">
      <c r="A79" s="34" t="s">
        <v>971</v>
      </c>
      <c r="B79" s="33" t="s">
        <v>1005</v>
      </c>
      <c r="C79" t="s">
        <v>1006</v>
      </c>
    </row>
    <row r="80" ht="13.1" customHeight="1" spans="1:3">
      <c r="A80" s="34" t="s">
        <v>1007</v>
      </c>
      <c r="B80" s="33" t="s">
        <v>1008</v>
      </c>
      <c r="C80" t="s">
        <v>1009</v>
      </c>
    </row>
    <row r="81" ht="13.1" customHeight="1" spans="1:3">
      <c r="A81" s="34" t="s">
        <v>1010</v>
      </c>
      <c r="B81" s="33" t="s">
        <v>797</v>
      </c>
      <c r="C81" t="s">
        <v>1011</v>
      </c>
    </row>
    <row r="82" ht="13.1" customHeight="1" spans="1:3">
      <c r="A82" s="34" t="s">
        <v>1012</v>
      </c>
      <c r="B82" s="33" t="s">
        <v>826</v>
      </c>
      <c r="C82" t="s">
        <v>1013</v>
      </c>
    </row>
    <row r="83" ht="13.1" customHeight="1" spans="1:3">
      <c r="A83" s="36" t="s">
        <v>1014</v>
      </c>
      <c r="B83" s="33" t="s">
        <v>1015</v>
      </c>
      <c r="C83" t="s">
        <v>1016</v>
      </c>
    </row>
    <row r="84" ht="13.1" customHeight="1" spans="1:3">
      <c r="A84" s="34" t="s">
        <v>1017</v>
      </c>
      <c r="B84" s="33" t="s">
        <v>1018</v>
      </c>
      <c r="C84" t="s">
        <v>1019</v>
      </c>
    </row>
    <row r="85" ht="13.1" customHeight="1" spans="1:3">
      <c r="A85" s="34" t="s">
        <v>1020</v>
      </c>
      <c r="B85" s="33" t="s">
        <v>1021</v>
      </c>
      <c r="C85" t="s">
        <v>1022</v>
      </c>
    </row>
    <row r="86" ht="13.1" customHeight="1" spans="1:3">
      <c r="A86" s="34" t="s">
        <v>808</v>
      </c>
      <c r="B86" s="33" t="s">
        <v>1023</v>
      </c>
      <c r="C86" t="s">
        <v>1024</v>
      </c>
    </row>
    <row r="87" ht="13.1" customHeight="1" spans="1:3">
      <c r="A87" s="34" t="s">
        <v>1025</v>
      </c>
      <c r="B87" s="33" t="s">
        <v>1026</v>
      </c>
      <c r="C87" t="s">
        <v>1027</v>
      </c>
    </row>
    <row r="88" ht="13.1" customHeight="1" spans="1:3">
      <c r="A88" s="34" t="s">
        <v>1028</v>
      </c>
      <c r="B88" s="33" t="s">
        <v>1029</v>
      </c>
      <c r="C88" t="s">
        <v>1030</v>
      </c>
    </row>
    <row r="89" ht="13.1" customHeight="1" spans="1:3">
      <c r="A89" s="34" t="s">
        <v>1031</v>
      </c>
      <c r="B89" s="33" t="s">
        <v>1032</v>
      </c>
      <c r="C89" t="s">
        <v>1033</v>
      </c>
    </row>
    <row r="90" ht="13.1" customHeight="1" spans="1:3">
      <c r="A90" s="34" t="s">
        <v>1034</v>
      </c>
      <c r="B90" s="33" t="s">
        <v>1035</v>
      </c>
      <c r="C90" t="s">
        <v>1036</v>
      </c>
    </row>
    <row r="91" ht="13.1" customHeight="1" spans="1:3">
      <c r="A91" s="34" t="s">
        <v>1037</v>
      </c>
      <c r="B91" s="33" t="s">
        <v>1038</v>
      </c>
      <c r="C91" t="s">
        <v>1039</v>
      </c>
    </row>
    <row r="92" ht="13.1" customHeight="1" spans="1:3">
      <c r="A92" s="34" t="s">
        <v>1040</v>
      </c>
      <c r="B92" s="33">
        <v>360</v>
      </c>
      <c r="C92" t="s">
        <v>1041</v>
      </c>
    </row>
    <row r="93" ht="13.1" customHeight="1" spans="1:3">
      <c r="A93" s="34" t="s">
        <v>1042</v>
      </c>
      <c r="B93" s="33" t="s">
        <v>1043</v>
      </c>
      <c r="C93" t="s">
        <v>1044</v>
      </c>
    </row>
    <row r="94" ht="13.1" customHeight="1" spans="1:3">
      <c r="A94" s="34" t="s">
        <v>1045</v>
      </c>
      <c r="B94" s="33" t="s">
        <v>1046</v>
      </c>
      <c r="C94" t="s">
        <v>1047</v>
      </c>
    </row>
    <row r="95" ht="13.1" customHeight="1" spans="1:3">
      <c r="A95" s="34" t="s">
        <v>1048</v>
      </c>
      <c r="B95" s="33" t="s">
        <v>1049</v>
      </c>
      <c r="C95" t="s">
        <v>1050</v>
      </c>
    </row>
    <row r="96" ht="13.1" customHeight="1" spans="1:3">
      <c r="A96" s="34" t="s">
        <v>1051</v>
      </c>
      <c r="B96" s="33" t="s">
        <v>1052</v>
      </c>
      <c r="C96" t="s">
        <v>1053</v>
      </c>
    </row>
    <row r="97" ht="13.1" customHeight="1" spans="1:3">
      <c r="A97" s="34" t="s">
        <v>1008</v>
      </c>
      <c r="B97" s="33" t="s">
        <v>1054</v>
      </c>
      <c r="C97" t="s">
        <v>1055</v>
      </c>
    </row>
    <row r="98" ht="13.1" customHeight="1" spans="1:3">
      <c r="A98" s="34" t="s">
        <v>1056</v>
      </c>
      <c r="B98" s="33" t="s">
        <v>1057</v>
      </c>
      <c r="C98" t="s">
        <v>1058</v>
      </c>
    </row>
    <row r="99" ht="13.1" customHeight="1" spans="1:3">
      <c r="A99" s="34" t="s">
        <v>1059</v>
      </c>
      <c r="B99" s="33" t="s">
        <v>1060</v>
      </c>
      <c r="C99" t="s">
        <v>1061</v>
      </c>
    </row>
    <row r="100" ht="13.1" customHeight="1" spans="1:3">
      <c r="A100" s="34" t="s">
        <v>826</v>
      </c>
      <c r="B100" s="33" t="s">
        <v>1062</v>
      </c>
      <c r="C100" t="s">
        <v>1063</v>
      </c>
    </row>
    <row r="101" ht="13.1" customHeight="1" spans="1:3">
      <c r="A101" s="34" t="s">
        <v>1018</v>
      </c>
      <c r="B101" s="33" t="s">
        <v>1064</v>
      </c>
      <c r="C101" t="s">
        <v>1065</v>
      </c>
    </row>
    <row r="102" ht="13.1" customHeight="1" spans="1:3">
      <c r="A102" s="34" t="s">
        <v>1066</v>
      </c>
      <c r="B102" s="33" t="s">
        <v>1067</v>
      </c>
      <c r="C102" t="s">
        <v>1068</v>
      </c>
    </row>
    <row r="103" ht="13.1" customHeight="1" spans="1:3">
      <c r="A103" s="34" t="s">
        <v>1069</v>
      </c>
      <c r="B103" s="33" t="s">
        <v>1070</v>
      </c>
      <c r="C103" t="s">
        <v>1071</v>
      </c>
    </row>
    <row r="104" ht="13.1" customHeight="1" spans="1:3">
      <c r="A104" s="34" t="s">
        <v>1072</v>
      </c>
      <c r="B104" s="33" t="s">
        <v>1073</v>
      </c>
      <c r="C104" t="s">
        <v>1074</v>
      </c>
    </row>
    <row r="105" ht="13.1" customHeight="1" spans="1:3">
      <c r="A105" s="34" t="s">
        <v>1075</v>
      </c>
      <c r="B105" s="33" t="s">
        <v>1076</v>
      </c>
      <c r="C105" t="s">
        <v>1077</v>
      </c>
    </row>
    <row r="106" ht="13.1" customHeight="1" spans="1:3">
      <c r="A106" s="34" t="s">
        <v>1078</v>
      </c>
      <c r="B106" s="33" t="s">
        <v>1079</v>
      </c>
      <c r="C106" t="s">
        <v>1080</v>
      </c>
    </row>
    <row r="107" ht="13.1" customHeight="1" spans="1:3">
      <c r="A107" s="34" t="s">
        <v>1081</v>
      </c>
      <c r="B107" s="33" t="s">
        <v>1082</v>
      </c>
      <c r="C107" t="s">
        <v>1083</v>
      </c>
    </row>
    <row r="108" ht="13.1" customHeight="1" spans="1:3">
      <c r="A108" s="34" t="s">
        <v>1084</v>
      </c>
      <c r="B108" s="33" t="s">
        <v>1085</v>
      </c>
      <c r="C108" t="s">
        <v>1086</v>
      </c>
    </row>
    <row r="109" ht="13.1" customHeight="1" spans="1:3">
      <c r="A109" s="34" t="s">
        <v>1046</v>
      </c>
      <c r="B109" s="33" t="s">
        <v>1087</v>
      </c>
      <c r="C109" t="s">
        <v>1088</v>
      </c>
    </row>
    <row r="110" ht="13.1" customHeight="1" spans="1:3">
      <c r="A110" s="34" t="s">
        <v>1089</v>
      </c>
      <c r="B110" s="33" t="s">
        <v>1090</v>
      </c>
      <c r="C110" t="s">
        <v>1091</v>
      </c>
    </row>
    <row r="111" ht="13.1" customHeight="1" spans="1:3">
      <c r="A111" s="34" t="s">
        <v>1092</v>
      </c>
      <c r="B111" s="33" t="s">
        <v>1093</v>
      </c>
      <c r="C111" t="s">
        <v>1094</v>
      </c>
    </row>
    <row r="112" ht="13.1" customHeight="1" spans="1:3">
      <c r="A112" s="34" t="s">
        <v>1057</v>
      </c>
      <c r="B112" s="33" t="s">
        <v>1095</v>
      </c>
      <c r="C112" t="s">
        <v>1096</v>
      </c>
    </row>
    <row r="113" ht="13.1" customHeight="1" spans="1:3">
      <c r="A113" s="34" t="s">
        <v>1097</v>
      </c>
      <c r="B113" s="33">
        <v>57</v>
      </c>
      <c r="C113" t="s">
        <v>1098</v>
      </c>
    </row>
    <row r="114" ht="13.1" customHeight="1" spans="1:3">
      <c r="A114" s="34" t="s">
        <v>1099</v>
      </c>
      <c r="B114" s="33" t="s">
        <v>1100</v>
      </c>
      <c r="C114" t="s">
        <v>1101</v>
      </c>
    </row>
    <row r="115" ht="13.1" customHeight="1" spans="1:3">
      <c r="A115" s="34" t="s">
        <v>1102</v>
      </c>
      <c r="B115" s="33" t="s">
        <v>1103</v>
      </c>
      <c r="C115" t="s">
        <v>1104</v>
      </c>
    </row>
    <row r="116" ht="13.1" customHeight="1" spans="1:3">
      <c r="A116" s="34" t="s">
        <v>1067</v>
      </c>
      <c r="B116" s="33" t="s">
        <v>1105</v>
      </c>
      <c r="C116" t="s">
        <v>1106</v>
      </c>
    </row>
    <row r="117" ht="13.1" customHeight="1" spans="1:3">
      <c r="A117" s="34" t="s">
        <v>1107</v>
      </c>
      <c r="B117" s="33" t="s">
        <v>1108</v>
      </c>
      <c r="C117" t="s">
        <v>1109</v>
      </c>
    </row>
    <row r="118" ht="13.1" customHeight="1" spans="1:3">
      <c r="A118" s="34" t="s">
        <v>1110</v>
      </c>
      <c r="B118" s="33" t="s">
        <v>1111</v>
      </c>
      <c r="C118" t="s">
        <v>1112</v>
      </c>
    </row>
    <row r="119" ht="13.1" customHeight="1" spans="1:3">
      <c r="A119" s="34" t="s">
        <v>1113</v>
      </c>
      <c r="B119" s="33" t="s">
        <v>1114</v>
      </c>
      <c r="C119" t="s">
        <v>1115</v>
      </c>
    </row>
    <row r="120" ht="13.1" customHeight="1" spans="1:3">
      <c r="A120" s="34" t="s">
        <v>1085</v>
      </c>
      <c r="B120" s="33" t="s">
        <v>1116</v>
      </c>
      <c r="C120" t="s">
        <v>1117</v>
      </c>
    </row>
    <row r="121" ht="13.1" customHeight="1" spans="1:3">
      <c r="A121" s="34" t="s">
        <v>1087</v>
      </c>
      <c r="B121" s="33" t="s">
        <v>1118</v>
      </c>
      <c r="C121" t="s">
        <v>1119</v>
      </c>
    </row>
    <row r="122" ht="13.1" customHeight="1" spans="1:3">
      <c r="A122" s="34" t="s">
        <v>1120</v>
      </c>
      <c r="B122" s="33" t="s">
        <v>1121</v>
      </c>
      <c r="C122" t="s">
        <v>1122</v>
      </c>
    </row>
    <row r="123" ht="13.1" customHeight="1" spans="1:3">
      <c r="A123" s="34" t="s">
        <v>844</v>
      </c>
      <c r="B123" s="33" t="s">
        <v>1123</v>
      </c>
      <c r="C123" t="s">
        <v>1124</v>
      </c>
    </row>
    <row r="124" ht="13.1" customHeight="1" spans="1:3">
      <c r="A124" s="34" t="s">
        <v>1125</v>
      </c>
      <c r="B124" s="33" t="s">
        <v>1126</v>
      </c>
      <c r="C124" t="s">
        <v>1127</v>
      </c>
    </row>
    <row r="125" ht="13.1" customHeight="1" spans="1:3">
      <c r="A125" s="34" t="s">
        <v>1128</v>
      </c>
      <c r="B125" s="33" t="s">
        <v>871</v>
      </c>
      <c r="C125" t="s">
        <v>1129</v>
      </c>
    </row>
    <row r="126" ht="13.1" customHeight="1" spans="1:3">
      <c r="A126" s="34" t="s">
        <v>1100</v>
      </c>
      <c r="B126" s="33" t="s">
        <v>1130</v>
      </c>
      <c r="C126" t="s">
        <v>1131</v>
      </c>
    </row>
    <row r="127" ht="13.1" customHeight="1" spans="1:3">
      <c r="A127" s="34" t="s">
        <v>1103</v>
      </c>
      <c r="B127" s="33" t="s">
        <v>1132</v>
      </c>
      <c r="C127" t="s">
        <v>1133</v>
      </c>
    </row>
    <row r="128" ht="13.1" customHeight="1" spans="1:3">
      <c r="A128" s="34" t="s">
        <v>1134</v>
      </c>
      <c r="B128" s="33" t="s">
        <v>1135</v>
      </c>
      <c r="C128" t="s">
        <v>1136</v>
      </c>
    </row>
    <row r="129" ht="13.1" customHeight="1" spans="1:3">
      <c r="A129" s="34" t="s">
        <v>1108</v>
      </c>
      <c r="B129" s="33" t="s">
        <v>1137</v>
      </c>
      <c r="C129" t="s">
        <v>1138</v>
      </c>
    </row>
    <row r="130" ht="13.1" customHeight="1" spans="1:3">
      <c r="A130" s="34" t="s">
        <v>1139</v>
      </c>
      <c r="B130" s="33" t="s">
        <v>1140</v>
      </c>
      <c r="C130" t="s">
        <v>1141</v>
      </c>
    </row>
    <row r="131" ht="13.1" customHeight="1" spans="1:3">
      <c r="A131" s="34" t="s">
        <v>1142</v>
      </c>
      <c r="B131" s="33" t="s">
        <v>1143</v>
      </c>
      <c r="C131" t="s">
        <v>1144</v>
      </c>
    </row>
    <row r="132" ht="13.1" customHeight="1" spans="1:3">
      <c r="A132" s="34" t="s">
        <v>1111</v>
      </c>
      <c r="B132" s="33" t="s">
        <v>1145</v>
      </c>
      <c r="C132" t="s">
        <v>1146</v>
      </c>
    </row>
    <row r="133" ht="13.1" customHeight="1" spans="1:3">
      <c r="A133" s="34" t="s">
        <v>1147</v>
      </c>
      <c r="B133" s="33" t="s">
        <v>1148</v>
      </c>
      <c r="C133" t="s">
        <v>1149</v>
      </c>
    </row>
    <row r="134" ht="13.1" customHeight="1" spans="1:3">
      <c r="A134" s="34" t="s">
        <v>1150</v>
      </c>
      <c r="B134" s="33" t="s">
        <v>1151</v>
      </c>
      <c r="C134" t="s">
        <v>1152</v>
      </c>
    </row>
    <row r="135" ht="13.1" customHeight="1" spans="1:3">
      <c r="A135" s="34" t="s">
        <v>1153</v>
      </c>
      <c r="B135" s="33" t="s">
        <v>856</v>
      </c>
      <c r="C135" t="s">
        <v>1154</v>
      </c>
    </row>
    <row r="136" ht="13.1" customHeight="1" spans="1:3">
      <c r="A136" s="34" t="s">
        <v>1123</v>
      </c>
      <c r="B136" s="33" t="s">
        <v>1155</v>
      </c>
      <c r="C136" t="s">
        <v>1156</v>
      </c>
    </row>
    <row r="137" ht="13.1" customHeight="1" spans="1:3">
      <c r="A137" s="34" t="s">
        <v>1126</v>
      </c>
      <c r="B137" s="33" t="s">
        <v>1157</v>
      </c>
      <c r="C137" t="s">
        <v>1158</v>
      </c>
    </row>
    <row r="138" ht="13.1" customHeight="1" spans="1:3">
      <c r="A138" s="34" t="s">
        <v>871</v>
      </c>
      <c r="B138" s="33" t="s">
        <v>1064</v>
      </c>
      <c r="C138" t="s">
        <v>1159</v>
      </c>
    </row>
    <row r="139" ht="13.1" customHeight="1" spans="1:3">
      <c r="A139" s="34" t="s">
        <v>1160</v>
      </c>
      <c r="B139" s="33" t="s">
        <v>1161</v>
      </c>
      <c r="C139" t="s">
        <v>1162</v>
      </c>
    </row>
    <row r="140" ht="13.1" customHeight="1" spans="1:3">
      <c r="A140" s="34" t="s">
        <v>1130</v>
      </c>
      <c r="B140" s="33" t="s">
        <v>1163</v>
      </c>
      <c r="C140" t="s">
        <v>1164</v>
      </c>
    </row>
    <row r="141" ht="13.1" customHeight="1" spans="1:3">
      <c r="A141" s="34" t="s">
        <v>1165</v>
      </c>
      <c r="B141" s="33" t="s">
        <v>1166</v>
      </c>
      <c r="C141" t="s">
        <v>1167</v>
      </c>
    </row>
    <row r="142" ht="13.1" customHeight="1" spans="1:3">
      <c r="A142" s="34" t="s">
        <v>1135</v>
      </c>
      <c r="B142" s="33" t="s">
        <v>1168</v>
      </c>
    </row>
    <row r="143" ht="13.1" customHeight="1" spans="1:3">
      <c r="A143" s="34" t="s">
        <v>1169</v>
      </c>
      <c r="B143" s="33" t="s">
        <v>897</v>
      </c>
    </row>
    <row r="144" ht="13.1" customHeight="1" spans="1:3">
      <c r="A144" s="34" t="s">
        <v>1170</v>
      </c>
      <c r="B144" s="33" t="s">
        <v>1171</v>
      </c>
    </row>
    <row r="145" ht="13.1" customHeight="1" spans="1:2">
      <c r="A145" s="34" t="s">
        <v>894</v>
      </c>
      <c r="B145" s="33" t="s">
        <v>1172</v>
      </c>
    </row>
    <row r="146" ht="13.1" customHeight="1" spans="1:2">
      <c r="A146" s="34" t="s">
        <v>1173</v>
      </c>
      <c r="B146" s="33" t="s">
        <v>1174</v>
      </c>
    </row>
    <row r="147" ht="13.1" customHeight="1" spans="1:2">
      <c r="A147" s="34" t="s">
        <v>1148</v>
      </c>
      <c r="B147" s="33" t="s">
        <v>1005</v>
      </c>
    </row>
    <row r="148" ht="13.1" customHeight="1" spans="1:2">
      <c r="A148" s="34" t="s">
        <v>1151</v>
      </c>
      <c r="B148" s="33" t="s">
        <v>1175</v>
      </c>
    </row>
    <row r="149" ht="13.1" customHeight="1" spans="1:2">
      <c r="A149" s="34" t="s">
        <v>1176</v>
      </c>
      <c r="B149" s="33" t="s">
        <v>1177</v>
      </c>
    </row>
    <row r="150" ht="13.1" customHeight="1" spans="1:2">
      <c r="A150" s="34" t="s">
        <v>856</v>
      </c>
      <c r="B150" s="33" t="s">
        <v>1178</v>
      </c>
    </row>
    <row r="151" ht="13.1" customHeight="1" spans="1:2">
      <c r="A151" s="34" t="s">
        <v>1179</v>
      </c>
      <c r="B151" s="33" t="s">
        <v>1180</v>
      </c>
    </row>
    <row r="152" ht="13.1" customHeight="1" spans="1:2">
      <c r="A152" s="34" t="s">
        <v>1181</v>
      </c>
      <c r="B152" s="33" t="s">
        <v>1182</v>
      </c>
    </row>
    <row r="153" ht="13.1" customHeight="1" spans="1:2">
      <c r="A153" s="34" t="s">
        <v>1183</v>
      </c>
      <c r="B153" s="33" t="s">
        <v>1184</v>
      </c>
    </row>
    <row r="154" ht="13.1" customHeight="1" spans="1:2">
      <c r="A154" s="34" t="s">
        <v>1185</v>
      </c>
      <c r="B154" s="33" t="s">
        <v>1186</v>
      </c>
    </row>
    <row r="155" ht="13.1" customHeight="1" spans="1:2">
      <c r="A155" s="34" t="s">
        <v>1163</v>
      </c>
      <c r="B155" s="33" t="s">
        <v>1187</v>
      </c>
    </row>
    <row r="156" ht="13.1" customHeight="1" spans="1:2">
      <c r="A156" s="34" t="s">
        <v>1168</v>
      </c>
      <c r="B156" s="33" t="s">
        <v>1188</v>
      </c>
    </row>
    <row r="157" ht="13.1" customHeight="1" spans="1:2">
      <c r="A157" s="34" t="s">
        <v>897</v>
      </c>
      <c r="B157" s="33" t="s">
        <v>1189</v>
      </c>
    </row>
    <row r="158" ht="13.1" customHeight="1" spans="1:2">
      <c r="A158" s="34" t="s">
        <v>1171</v>
      </c>
      <c r="B158" s="33" t="s">
        <v>1190</v>
      </c>
    </row>
    <row r="159" ht="13.1" customHeight="1" spans="1:2">
      <c r="A159" s="34" t="s">
        <v>1191</v>
      </c>
      <c r="B159" s="33" t="s">
        <v>1192</v>
      </c>
    </row>
    <row r="160" ht="13.1" customHeight="1" spans="1:2">
      <c r="A160" s="34" t="s">
        <v>1174</v>
      </c>
      <c r="B160" s="33" t="s">
        <v>1193</v>
      </c>
    </row>
    <row r="161" ht="13.1" customHeight="1" spans="1:2">
      <c r="A161" s="34" t="s">
        <v>1194</v>
      </c>
      <c r="B161" s="33" t="s">
        <v>1195</v>
      </c>
    </row>
    <row r="162" ht="13.1" customHeight="1" spans="1:2">
      <c r="A162" s="34" t="s">
        <v>1196</v>
      </c>
      <c r="B162" s="33" t="s">
        <v>1197</v>
      </c>
    </row>
    <row r="163" ht="13.1" customHeight="1" spans="1:2">
      <c r="A163" s="34" t="s">
        <v>1198</v>
      </c>
      <c r="B163" s="33" t="s">
        <v>1199</v>
      </c>
    </row>
    <row r="164" ht="13.1" customHeight="1" spans="1:2">
      <c r="A164" s="34" t="s">
        <v>1178</v>
      </c>
      <c r="B164" s="33" t="s">
        <v>1200</v>
      </c>
    </row>
    <row r="165" ht="13.1" customHeight="1" spans="1:2">
      <c r="A165" s="34" t="s">
        <v>1201</v>
      </c>
      <c r="B165" s="33" t="s">
        <v>817</v>
      </c>
    </row>
    <row r="166" ht="13.1" customHeight="1" spans="1:2">
      <c r="A166" s="34" t="s">
        <v>1180</v>
      </c>
      <c r="B166" s="33" t="s">
        <v>1202</v>
      </c>
    </row>
    <row r="167" ht="13.1" customHeight="1" spans="1:2">
      <c r="A167" s="34" t="s">
        <v>1203</v>
      </c>
      <c r="B167" s="33" t="s">
        <v>1204</v>
      </c>
    </row>
    <row r="168" ht="13.1" customHeight="1" spans="1:2">
      <c r="A168" s="34" t="s">
        <v>1184</v>
      </c>
      <c r="B168" s="33" t="s">
        <v>1205</v>
      </c>
    </row>
    <row r="169" ht="13.1" customHeight="1" spans="1:2">
      <c r="A169" s="34" t="s">
        <v>1186</v>
      </c>
      <c r="B169" s="33" t="s">
        <v>1206</v>
      </c>
    </row>
    <row r="170" ht="13.1" customHeight="1" spans="1:2">
      <c r="A170" s="34" t="s">
        <v>1187</v>
      </c>
      <c r="B170" s="33" t="s">
        <v>1207</v>
      </c>
    </row>
    <row r="171" ht="13.1" customHeight="1" spans="1:2">
      <c r="A171" s="34" t="s">
        <v>1188</v>
      </c>
      <c r="B171" s="33" t="s">
        <v>1208</v>
      </c>
    </row>
    <row r="172" ht="13.1" customHeight="1" spans="1:2">
      <c r="A172" s="34" t="s">
        <v>1189</v>
      </c>
      <c r="B172" s="33" t="s">
        <v>1209</v>
      </c>
    </row>
    <row r="173" ht="13.1" customHeight="1" spans="1:2">
      <c r="A173" s="34" t="s">
        <v>1190</v>
      </c>
      <c r="B173" s="33" t="s">
        <v>1210</v>
      </c>
    </row>
    <row r="174" ht="13.1" customHeight="1" spans="1:2">
      <c r="A174" s="34" t="s">
        <v>1192</v>
      </c>
      <c r="B174" s="33" t="s">
        <v>1211</v>
      </c>
    </row>
    <row r="175" ht="13.1" customHeight="1" spans="1:2">
      <c r="A175" s="34" t="s">
        <v>1193</v>
      </c>
      <c r="B175" s="33" t="s">
        <v>1132</v>
      </c>
    </row>
    <row r="176" ht="13.1" customHeight="1" spans="1:2">
      <c r="A176" s="34" t="s">
        <v>1195</v>
      </c>
      <c r="B176" s="33" t="s">
        <v>1212</v>
      </c>
    </row>
    <row r="177" ht="13.1" customHeight="1" spans="1:2">
      <c r="A177" s="34" t="s">
        <v>1213</v>
      </c>
      <c r="B177" s="33" t="s">
        <v>887</v>
      </c>
    </row>
    <row r="178" ht="13.1" customHeight="1" spans="1:2">
      <c r="A178" s="34" t="s">
        <v>1197</v>
      </c>
      <c r="B178" s="33" t="s">
        <v>1214</v>
      </c>
    </row>
    <row r="179" ht="13.1" customHeight="1" spans="1:2">
      <c r="A179" s="34" t="s">
        <v>1199</v>
      </c>
      <c r="B179" s="33" t="s">
        <v>1215</v>
      </c>
    </row>
    <row r="180" ht="13.1" customHeight="1" spans="1:2">
      <c r="A180" s="34" t="s">
        <v>1200</v>
      </c>
      <c r="B180" s="33" t="s">
        <v>1216</v>
      </c>
    </row>
    <row r="181" ht="13.1" customHeight="1" spans="1:2">
      <c r="A181" s="34" t="s">
        <v>817</v>
      </c>
      <c r="B181" s="33" t="s">
        <v>1217</v>
      </c>
    </row>
    <row r="182" ht="13.1" customHeight="1" spans="1:2">
      <c r="A182" s="34" t="s">
        <v>1202</v>
      </c>
      <c r="B182" s="33" t="s">
        <v>1218</v>
      </c>
    </row>
    <row r="183" ht="13.1" customHeight="1" spans="1:2">
      <c r="A183" s="34" t="s">
        <v>1204</v>
      </c>
      <c r="B183" s="33" t="s">
        <v>1219</v>
      </c>
    </row>
    <row r="184" ht="13.1" customHeight="1" spans="1:2">
      <c r="A184" s="34" t="s">
        <v>1205</v>
      </c>
      <c r="B184" s="33" t="s">
        <v>1220</v>
      </c>
    </row>
    <row r="185" ht="13.1" customHeight="1" spans="1:2">
      <c r="A185" s="34" t="s">
        <v>1206</v>
      </c>
      <c r="B185" s="33" t="s">
        <v>1221</v>
      </c>
    </row>
    <row r="186" ht="13.1" customHeight="1" spans="1:2">
      <c r="A186" s="34" t="s">
        <v>1222</v>
      </c>
      <c r="B186" s="33" t="s">
        <v>1223</v>
      </c>
    </row>
    <row r="187" ht="13.1" customHeight="1" spans="1:2">
      <c r="A187" s="34" t="s">
        <v>1208</v>
      </c>
      <c r="B187" s="33" t="s">
        <v>1224</v>
      </c>
    </row>
    <row r="188" ht="13.1" customHeight="1" spans="1:2">
      <c r="A188" s="34" t="s">
        <v>1209</v>
      </c>
      <c r="B188" s="33" t="s">
        <v>1225</v>
      </c>
    </row>
    <row r="189" ht="13.1" customHeight="1" spans="1:2">
      <c r="A189" s="34" t="s">
        <v>1210</v>
      </c>
      <c r="B189" s="33" t="s">
        <v>1226</v>
      </c>
    </row>
    <row r="190" ht="13.1" customHeight="1" spans="1:2">
      <c r="A190" s="34" t="s">
        <v>1211</v>
      </c>
      <c r="B190" s="33" t="s">
        <v>1227</v>
      </c>
    </row>
    <row r="191" ht="13.1" customHeight="1" spans="1:2">
      <c r="A191" s="34" t="s">
        <v>1228</v>
      </c>
      <c r="B191" s="33" t="s">
        <v>1229</v>
      </c>
    </row>
    <row r="192" ht="13.1" customHeight="1" spans="1:2">
      <c r="A192" s="34" t="s">
        <v>1212</v>
      </c>
      <c r="B192" s="33" t="s">
        <v>1230</v>
      </c>
    </row>
    <row r="193" ht="13.1" customHeight="1" spans="1:2">
      <c r="A193" s="34" t="s">
        <v>1231</v>
      </c>
      <c r="B193" s="33" t="s">
        <v>1232</v>
      </c>
    </row>
    <row r="194" ht="13.1" customHeight="1" spans="1:2">
      <c r="A194" s="34" t="s">
        <v>1214</v>
      </c>
      <c r="B194" s="33" t="s">
        <v>1233</v>
      </c>
    </row>
    <row r="195" ht="13.1" customHeight="1" spans="1:2">
      <c r="A195" s="34" t="s">
        <v>1215</v>
      </c>
      <c r="B195" s="33" t="s">
        <v>859</v>
      </c>
    </row>
    <row r="196" ht="13.1" customHeight="1" spans="1:2">
      <c r="A196" s="34" t="s">
        <v>1234</v>
      </c>
      <c r="B196" s="33" t="s">
        <v>1235</v>
      </c>
    </row>
    <row r="197" ht="13.1" customHeight="1" spans="1:2">
      <c r="A197" s="34" t="s">
        <v>1236</v>
      </c>
      <c r="B197" s="33" t="s">
        <v>1062</v>
      </c>
    </row>
    <row r="198" ht="13.1" customHeight="1" spans="1:2">
      <c r="A198" s="34" t="s">
        <v>1218</v>
      </c>
      <c r="B198" s="33" t="s">
        <v>1237</v>
      </c>
    </row>
    <row r="199" ht="13.1" customHeight="1" spans="1:2">
      <c r="A199" s="34" t="s">
        <v>1219</v>
      </c>
      <c r="B199" s="33" t="s">
        <v>1238</v>
      </c>
    </row>
    <row r="200" ht="13.1" customHeight="1" spans="1:2">
      <c r="A200" s="34" t="s">
        <v>1220</v>
      </c>
      <c r="B200" s="33" t="s">
        <v>1239</v>
      </c>
    </row>
    <row r="201" ht="13.1" customHeight="1" spans="1:2">
      <c r="A201" s="34" t="s">
        <v>1240</v>
      </c>
      <c r="B201" s="33" t="s">
        <v>1241</v>
      </c>
    </row>
    <row r="202" ht="13.1" customHeight="1" spans="1:2">
      <c r="A202" s="34" t="s">
        <v>1223</v>
      </c>
      <c r="B202" s="33" t="s">
        <v>1242</v>
      </c>
    </row>
    <row r="203" ht="13.1" customHeight="1" spans="1:2">
      <c r="A203" s="34" t="s">
        <v>1243</v>
      </c>
      <c r="B203" s="33" t="s">
        <v>1244</v>
      </c>
    </row>
    <row r="204" ht="13.1" customHeight="1" spans="1:2">
      <c r="A204" s="34" t="s">
        <v>1225</v>
      </c>
      <c r="B204" s="33" t="s">
        <v>1245</v>
      </c>
    </row>
    <row r="205" ht="13.1" customHeight="1" spans="1:2">
      <c r="A205" s="34" t="s">
        <v>1226</v>
      </c>
      <c r="B205" s="33" t="s">
        <v>1246</v>
      </c>
    </row>
    <row r="206" ht="13.1" customHeight="1" spans="1:2">
      <c r="A206" s="34" t="s">
        <v>1227</v>
      </c>
      <c r="B206" s="33" t="s">
        <v>1247</v>
      </c>
    </row>
    <row r="207" ht="13.1" customHeight="1" spans="1:2">
      <c r="A207" s="34" t="s">
        <v>1229</v>
      </c>
      <c r="B207" s="33" t="s">
        <v>1248</v>
      </c>
    </row>
    <row r="208" ht="13.1" customHeight="1" spans="1:2">
      <c r="A208" s="34" t="s">
        <v>1230</v>
      </c>
      <c r="B208" s="33" t="s">
        <v>1249</v>
      </c>
    </row>
    <row r="209" ht="13.1" customHeight="1" spans="1:2">
      <c r="A209" s="34" t="s">
        <v>1232</v>
      </c>
      <c r="B209" s="33" t="s">
        <v>1250</v>
      </c>
    </row>
    <row r="210" ht="13.1" customHeight="1" spans="1:2">
      <c r="A210" s="34" t="s">
        <v>1233</v>
      </c>
      <c r="B210" s="33" t="s">
        <v>1251</v>
      </c>
    </row>
    <row r="211" ht="13.1" customHeight="1" spans="1:2">
      <c r="A211" s="34" t="s">
        <v>859</v>
      </c>
      <c r="B211" s="33" t="s">
        <v>1252</v>
      </c>
    </row>
    <row r="212" ht="13.1" customHeight="1" spans="1:2">
      <c r="A212" s="34" t="s">
        <v>1235</v>
      </c>
      <c r="B212" s="33" t="s">
        <v>1253</v>
      </c>
    </row>
    <row r="213" ht="13.1" customHeight="1" spans="1:2">
      <c r="A213" s="34" t="s">
        <v>1062</v>
      </c>
      <c r="B213" s="33" t="s">
        <v>1254</v>
      </c>
    </row>
    <row r="214" ht="13.1" customHeight="1" spans="1:2">
      <c r="A214" s="34" t="s">
        <v>1237</v>
      </c>
      <c r="B214" s="33" t="s">
        <v>1255</v>
      </c>
    </row>
    <row r="215" ht="13.1" customHeight="1" spans="1:2">
      <c r="A215" s="34" t="s">
        <v>1238</v>
      </c>
      <c r="B215" s="33" t="s">
        <v>1256</v>
      </c>
    </row>
    <row r="216" ht="13.1" customHeight="1" spans="1:2">
      <c r="A216" s="34" t="s">
        <v>1239</v>
      </c>
      <c r="B216" s="33" t="s">
        <v>1257</v>
      </c>
    </row>
    <row r="217" ht="13.1" customHeight="1" spans="1:2">
      <c r="A217" s="34" t="s">
        <v>1241</v>
      </c>
      <c r="B217" s="33" t="s">
        <v>891</v>
      </c>
    </row>
    <row r="218" ht="13.1" customHeight="1" spans="1:2">
      <c r="A218" s="34" t="s">
        <v>1242</v>
      </c>
      <c r="B218" s="33" t="s">
        <v>1258</v>
      </c>
    </row>
    <row r="219" ht="13.1" customHeight="1" spans="1:2">
      <c r="A219" s="34" t="s">
        <v>1244</v>
      </c>
      <c r="B219" s="33" t="s">
        <v>1118</v>
      </c>
    </row>
    <row r="220" ht="13.1" customHeight="1" spans="1:2">
      <c r="A220" s="34" t="s">
        <v>1246</v>
      </c>
      <c r="B220" s="33" t="s">
        <v>1259</v>
      </c>
    </row>
    <row r="221" ht="13.1" customHeight="1" spans="1:2">
      <c r="A221" s="34" t="s">
        <v>1247</v>
      </c>
      <c r="B221" s="33" t="s">
        <v>1257</v>
      </c>
    </row>
    <row r="222" ht="13.1" customHeight="1" spans="1:2">
      <c r="A222" s="34" t="s">
        <v>1248</v>
      </c>
      <c r="B222" s="33" t="s">
        <v>798</v>
      </c>
    </row>
    <row r="223" ht="13.1" customHeight="1" spans="1:2">
      <c r="A223" s="34" t="s">
        <v>1249</v>
      </c>
      <c r="B223" s="33" t="s">
        <v>1260</v>
      </c>
    </row>
    <row r="224" ht="13.1" customHeight="1" spans="1:2">
      <c r="A224" s="34" t="s">
        <v>1250</v>
      </c>
      <c r="B224" s="33" t="s">
        <v>796</v>
      </c>
    </row>
    <row r="225" ht="13.1" customHeight="1" spans="1:2">
      <c r="A225" s="34" t="s">
        <v>1251</v>
      </c>
      <c r="B225" s="33" t="s">
        <v>1261</v>
      </c>
    </row>
    <row r="226" ht="13.1" customHeight="1" spans="1:2">
      <c r="A226" s="34" t="s">
        <v>1252</v>
      </c>
      <c r="B226" s="33" t="s">
        <v>1262</v>
      </c>
    </row>
    <row r="227" ht="13.1" customHeight="1" spans="1:2">
      <c r="A227" s="34" t="s">
        <v>1253</v>
      </c>
      <c r="B227" s="33" t="s">
        <v>1263</v>
      </c>
    </row>
    <row r="228" ht="13.1" customHeight="1" spans="1:2">
      <c r="A228" s="34" t="s">
        <v>1254</v>
      </c>
      <c r="B228" s="33" t="s">
        <v>1264</v>
      </c>
    </row>
    <row r="229" ht="13.1" customHeight="1" spans="1:2">
      <c r="A229" s="34" t="s">
        <v>1265</v>
      </c>
    </row>
    <row r="230" ht="13.1" customHeight="1" spans="1:2">
      <c r="A230" s="34" t="s">
        <v>1256</v>
      </c>
    </row>
    <row r="231" ht="13.1" customHeight="1" spans="1:2">
      <c r="A231" s="34" t="s">
        <v>1266</v>
      </c>
    </row>
    <row r="232" ht="13.1" customHeight="1" spans="1:2">
      <c r="A232" s="34" t="s">
        <v>891</v>
      </c>
    </row>
    <row r="233" ht="13.1" customHeight="1" spans="1:2">
      <c r="A233" s="34" t="s">
        <v>1258</v>
      </c>
    </row>
    <row r="234" ht="13.1" customHeight="1" spans="1:2">
      <c r="A234" s="34" t="s">
        <v>1267</v>
      </c>
    </row>
    <row r="235" ht="13.1" customHeight="1" spans="1:2">
      <c r="A235" s="34" t="s">
        <v>1259</v>
      </c>
    </row>
    <row r="236" ht="13.1" customHeight="1" spans="1:2">
      <c r="A236" s="34" t="s">
        <v>1268</v>
      </c>
    </row>
    <row r="237" ht="13.1" customHeight="1" spans="1:2">
      <c r="A237" s="34" t="s">
        <v>1269</v>
      </c>
    </row>
    <row r="238" ht="13.1" customHeight="1" spans="1:2">
      <c r="A238" s="34" t="s">
        <v>1270</v>
      </c>
    </row>
    <row r="239" ht="13.1" customHeight="1" spans="1:2">
      <c r="A239" s="34" t="s">
        <v>796</v>
      </c>
    </row>
    <row r="240" ht="13.1" customHeight="1" spans="1:2">
      <c r="A240" s="34" t="s">
        <v>1271</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202"/>
  <sheetViews>
    <sheetView workbookViewId="0">
      <selection activeCell="A1" sqref="A1"/>
    </sheetView>
  </sheetViews>
  <sheetFormatPr defaultColWidth="9" defaultRowHeight="15.75"/>
  <cols>
    <col min="3" max="3" width="17.4083333333333" customWidth="1"/>
    <col min="10" max="10" width="17.4083333333333" customWidth="1"/>
    <col min="11" max="11" width="14.8166666666667" customWidth="1"/>
  </cols>
  <sheetData>
    <row r="1" spans="1:11">
      <c r="A1" s="22" t="s">
        <v>1272</v>
      </c>
      <c r="B1" s="22" t="s">
        <v>346</v>
      </c>
      <c r="C1" s="23" t="s">
        <v>1273</v>
      </c>
      <c r="D1" s="24" t="s">
        <v>1274</v>
      </c>
      <c r="E1" s="24" t="s">
        <v>1275</v>
      </c>
      <c r="F1" s="24" t="s">
        <v>1276</v>
      </c>
      <c r="G1" s="24" t="s">
        <v>1277</v>
      </c>
      <c r="H1" s="24" t="s">
        <v>1278</v>
      </c>
      <c r="I1" s="24" t="s">
        <v>1279</v>
      </c>
      <c r="J1" s="25" t="s">
        <v>1280</v>
      </c>
      <c r="K1" s="4"/>
    </row>
    <row r="2" spans="1:11">
      <c r="A2" s="4"/>
      <c r="B2" s="4" t="s">
        <v>1281</v>
      </c>
      <c r="C2" s="26">
        <f t="shared" ref="C2:C5" si="0">(D2+F2+G2+H2)/I2</f>
        <v>0.7</v>
      </c>
      <c r="D2" s="5">
        <v>210</v>
      </c>
      <c r="E2" s="5">
        <v>500</v>
      </c>
      <c r="F2" s="4"/>
      <c r="G2" s="4"/>
      <c r="H2" s="4"/>
      <c r="I2" s="5">
        <v>300</v>
      </c>
      <c r="J2" s="26">
        <f t="shared" ref="J2:J5" si="1">(D2+E2+F2+G2+H2)/I2</f>
        <v>2.36666666666667</v>
      </c>
      <c r="K2" s="4"/>
    </row>
    <row r="3" spans="1:11">
      <c r="A3" s="4"/>
      <c r="B3" s="4" t="s">
        <v>1282</v>
      </c>
      <c r="C3" s="26">
        <f t="shared" si="0"/>
        <v>0</v>
      </c>
      <c r="D3" s="4"/>
      <c r="E3" s="4"/>
      <c r="F3" s="4"/>
      <c r="G3" s="4"/>
      <c r="H3" s="4"/>
      <c r="I3" s="4">
        <v>500</v>
      </c>
      <c r="J3" s="26">
        <f t="shared" si="1"/>
        <v>0</v>
      </c>
      <c r="K3" s="4"/>
    </row>
    <row r="4" spans="1:11">
      <c r="A4" s="4"/>
      <c r="B4" s="4" t="s">
        <v>1283</v>
      </c>
      <c r="C4" s="26">
        <f t="shared" si="0"/>
        <v>0</v>
      </c>
      <c r="D4" s="4"/>
      <c r="E4" s="4"/>
      <c r="F4" s="4"/>
      <c r="G4" s="4"/>
      <c r="H4" s="4"/>
      <c r="I4" s="4">
        <v>600</v>
      </c>
      <c r="J4" s="26">
        <f t="shared" si="1"/>
        <v>0</v>
      </c>
      <c r="K4" s="4"/>
    </row>
    <row r="5" spans="1:11">
      <c r="A5" s="4"/>
      <c r="B5" s="4" t="s">
        <v>1284</v>
      </c>
      <c r="C5" s="26">
        <f t="shared" si="0"/>
        <v>0</v>
      </c>
      <c r="D5" s="4"/>
      <c r="E5" s="4"/>
      <c r="F5" s="4"/>
      <c r="G5" s="4"/>
      <c r="H5" s="4"/>
      <c r="I5" s="4">
        <v>800</v>
      </c>
      <c r="J5" s="26">
        <f t="shared" si="1"/>
        <v>0</v>
      </c>
      <c r="K5" s="4"/>
    </row>
    <row r="6" spans="1:11">
      <c r="A6" s="4"/>
      <c r="B6" s="4"/>
      <c r="C6" s="26"/>
      <c r="D6" s="4"/>
      <c r="E6" s="4"/>
      <c r="F6" s="4"/>
      <c r="G6" s="4"/>
      <c r="H6" s="4"/>
      <c r="I6" s="4"/>
      <c r="J6" s="26"/>
      <c r="K6" s="4"/>
    </row>
    <row r="7" spans="1:11">
      <c r="A7" s="4"/>
      <c r="B7" s="4"/>
      <c r="C7" s="26"/>
      <c r="D7" s="4"/>
      <c r="E7" s="4"/>
      <c r="F7" s="4"/>
      <c r="G7" s="4"/>
      <c r="H7" s="4"/>
      <c r="I7" s="4"/>
      <c r="J7" s="26"/>
      <c r="K7" s="4"/>
    </row>
    <row r="8" spans="1:11">
      <c r="A8" s="4"/>
      <c r="B8" s="4"/>
      <c r="C8" s="26"/>
      <c r="D8" s="4"/>
      <c r="E8" s="4"/>
      <c r="F8" s="4"/>
      <c r="G8" s="4"/>
      <c r="H8" s="4"/>
      <c r="I8" s="4"/>
      <c r="J8" s="26"/>
      <c r="K8" s="4"/>
    </row>
    <row r="9" spans="1:11">
      <c r="A9" s="22" t="s">
        <v>1285</v>
      </c>
      <c r="B9" s="22" t="s">
        <v>346</v>
      </c>
      <c r="C9" s="25" t="s">
        <v>1286</v>
      </c>
      <c r="D9" s="24" t="s">
        <v>1274</v>
      </c>
      <c r="E9" s="24" t="s">
        <v>1275</v>
      </c>
      <c r="F9" s="24" t="s">
        <v>1276</v>
      </c>
      <c r="G9" s="24" t="s">
        <v>1277</v>
      </c>
      <c r="H9" s="24" t="s">
        <v>1278</v>
      </c>
      <c r="I9" s="24" t="s">
        <v>1279</v>
      </c>
      <c r="J9" s="25" t="s">
        <v>1287</v>
      </c>
      <c r="K9" s="4"/>
    </row>
    <row r="10" spans="1:11">
      <c r="A10" s="4"/>
      <c r="B10" s="4" t="s">
        <v>1281</v>
      </c>
      <c r="C10" s="26">
        <f t="shared" ref="C10:C13" si="2">(D10+F10+G10+H10)/I10</f>
        <v>0.7</v>
      </c>
      <c r="D10" s="4">
        <v>210</v>
      </c>
      <c r="E10" s="4">
        <v>500</v>
      </c>
      <c r="F10" s="4"/>
      <c r="G10" s="4"/>
      <c r="H10" s="4"/>
      <c r="I10" s="4">
        <v>300</v>
      </c>
      <c r="J10" s="26">
        <f t="shared" ref="J10:J13" si="3">(D10+E10+F10+G10+H10)/I10</f>
        <v>2.36666666666667</v>
      </c>
      <c r="K10" s="4"/>
    </row>
    <row r="11" spans="1:11">
      <c r="A11" s="4"/>
      <c r="B11" s="4" t="s">
        <v>1282</v>
      </c>
      <c r="C11" s="26">
        <f t="shared" si="2"/>
        <v>0</v>
      </c>
      <c r="D11" s="4"/>
      <c r="E11" s="4"/>
      <c r="F11" s="4"/>
      <c r="G11" s="4"/>
      <c r="H11" s="4"/>
      <c r="I11" s="4">
        <v>500</v>
      </c>
      <c r="J11" s="26">
        <f t="shared" si="3"/>
        <v>0</v>
      </c>
      <c r="K11" s="4"/>
    </row>
    <row r="12" ht="16.05" customHeight="1" spans="1:11">
      <c r="A12" s="4"/>
      <c r="B12" s="4" t="s">
        <v>1283</v>
      </c>
      <c r="C12" s="26">
        <f t="shared" si="2"/>
        <v>0</v>
      </c>
      <c r="D12" s="4"/>
      <c r="E12" s="4"/>
      <c r="F12" s="4"/>
      <c r="G12" s="4"/>
      <c r="H12" s="4"/>
      <c r="I12" s="4">
        <v>600</v>
      </c>
      <c r="J12" s="26">
        <f t="shared" si="3"/>
        <v>0</v>
      </c>
      <c r="K12" s="4"/>
    </row>
    <row r="13" ht="16.05" customHeight="1" spans="1:11">
      <c r="A13" s="4"/>
      <c r="B13" s="4" t="s">
        <v>1284</v>
      </c>
      <c r="C13" s="26">
        <f t="shared" si="2"/>
        <v>0</v>
      </c>
      <c r="D13" s="4"/>
      <c r="E13" s="4"/>
      <c r="F13" s="4"/>
      <c r="G13" s="4"/>
      <c r="H13" s="4"/>
      <c r="I13" s="4">
        <v>800</v>
      </c>
      <c r="J13" s="26">
        <f t="shared" si="3"/>
        <v>0</v>
      </c>
      <c r="K13" s="4"/>
    </row>
    <row r="14" spans="1:11">
      <c r="A14" s="4"/>
      <c r="B14" s="4"/>
      <c r="C14" s="1"/>
      <c r="D14" s="4"/>
      <c r="E14" s="4"/>
      <c r="F14" s="4"/>
      <c r="G14" s="4"/>
      <c r="H14" s="4"/>
      <c r="I14" s="4"/>
      <c r="J14" s="26"/>
      <c r="K14" s="4"/>
    </row>
    <row r="15" spans="1:11">
      <c r="A15" s="27" t="s">
        <v>1288</v>
      </c>
      <c r="B15" s="27"/>
      <c r="C15" s="27"/>
      <c r="D15" s="27"/>
      <c r="E15" s="27"/>
      <c r="F15" s="27"/>
      <c r="G15" s="27"/>
      <c r="H15" s="27"/>
      <c r="I15" s="27"/>
      <c r="J15" s="27"/>
      <c r="K15" s="28" t="s">
        <v>1289</v>
      </c>
    </row>
    <row r="16" spans="1:11">
      <c r="A16" s="4" t="s">
        <v>1290</v>
      </c>
      <c r="B16" s="4" t="s">
        <v>1291</v>
      </c>
      <c r="C16" s="1" t="s">
        <v>529</v>
      </c>
      <c r="D16" s="4" t="s">
        <v>1292</v>
      </c>
      <c r="E16" s="4" t="s">
        <v>1293</v>
      </c>
      <c r="F16" s="4" t="s">
        <v>1294</v>
      </c>
      <c r="G16" s="4" t="s">
        <v>1295</v>
      </c>
      <c r="H16" s="4" t="s">
        <v>1296</v>
      </c>
      <c r="I16" s="4" t="s">
        <v>1297</v>
      </c>
      <c r="J16" s="29" t="s">
        <v>1298</v>
      </c>
      <c r="K16" s="2" t="s">
        <v>1299</v>
      </c>
    </row>
    <row r="17" spans="1:11">
      <c r="A17" s="4"/>
      <c r="B17" s="4"/>
      <c r="C17" s="1"/>
      <c r="D17" s="4"/>
      <c r="E17" s="4"/>
      <c r="F17" s="4" t="s">
        <v>1300</v>
      </c>
      <c r="G17" s="4"/>
      <c r="H17" s="4"/>
      <c r="I17" s="4"/>
      <c r="J17" s="26"/>
      <c r="K17" s="4"/>
    </row>
    <row r="18" spans="1:11">
      <c r="A18" s="4"/>
      <c r="B18" s="4"/>
      <c r="C18" s="1"/>
      <c r="D18" s="4"/>
      <c r="E18" s="4"/>
      <c r="F18" s="4"/>
      <c r="G18" s="4"/>
      <c r="H18" s="4"/>
      <c r="I18" s="4"/>
      <c r="J18" s="26"/>
      <c r="K18" s="4"/>
    </row>
    <row r="19" spans="1:11">
      <c r="A19" s="4"/>
      <c r="B19" s="4"/>
      <c r="C19" s="1"/>
      <c r="D19" s="4"/>
      <c r="E19" s="4"/>
      <c r="F19" s="4"/>
      <c r="G19" s="4"/>
      <c r="H19" s="4"/>
      <c r="I19" s="4"/>
      <c r="J19" s="26"/>
      <c r="K19" s="4"/>
    </row>
    <row r="20" spans="1:11">
      <c r="J20" s="30"/>
    </row>
    <row r="21" spans="1:11">
      <c r="J21" s="30"/>
    </row>
    <row r="22" spans="1:11">
      <c r="J22" s="30"/>
    </row>
    <row r="23" spans="1:11">
      <c r="J23" s="30"/>
    </row>
    <row r="24" spans="1:11">
      <c r="J24" s="30"/>
    </row>
    <row r="25" spans="1:11">
      <c r="J25" s="30"/>
    </row>
    <row r="26" spans="1:11">
      <c r="J26" s="30"/>
    </row>
    <row r="27" spans="1:11">
      <c r="J27" s="30"/>
    </row>
    <row r="28" spans="1:11">
      <c r="J28" s="30"/>
    </row>
    <row r="29" spans="1:11">
      <c r="J29" s="30"/>
    </row>
    <row r="30" spans="1:11">
      <c r="J30" s="30"/>
    </row>
    <row r="31" spans="1:11">
      <c r="J31" s="30"/>
    </row>
    <row r="32" spans="1:11">
      <c r="J32" s="30"/>
    </row>
    <row r="33" spans="10:10">
      <c r="J33" s="30"/>
    </row>
    <row r="34" spans="10:10">
      <c r="J34" s="30"/>
    </row>
    <row r="35" spans="10:10">
      <c r="J35" s="30"/>
    </row>
    <row r="36" spans="10:10">
      <c r="J36" s="30"/>
    </row>
    <row r="37" spans="10:10">
      <c r="J37" s="30"/>
    </row>
    <row r="38" spans="10:10">
      <c r="J38" s="30"/>
    </row>
    <row r="39" spans="10:10">
      <c r="J39" s="30"/>
    </row>
    <row r="40" spans="10:10">
      <c r="J40" s="30"/>
    </row>
    <row r="41" spans="10:10">
      <c r="J41" s="30"/>
    </row>
    <row r="42" spans="10:10">
      <c r="J42" s="30"/>
    </row>
    <row r="43" spans="10:10">
      <c r="J43" s="30"/>
    </row>
    <row r="44" spans="10:10">
      <c r="J44" s="30"/>
    </row>
    <row r="45" spans="10:10">
      <c r="J45" s="30"/>
    </row>
    <row r="46" spans="10:10">
      <c r="J46" s="30"/>
    </row>
    <row r="47" spans="10:10">
      <c r="J47" s="30"/>
    </row>
    <row r="48" spans="10:10">
      <c r="J48" s="30"/>
    </row>
    <row r="49" spans="10:10">
      <c r="J49" s="30"/>
    </row>
    <row r="50" spans="10:10">
      <c r="J50" s="30"/>
    </row>
    <row r="51" spans="10:10">
      <c r="J51" s="30"/>
    </row>
    <row r="52" spans="10:10">
      <c r="J52" s="30"/>
    </row>
    <row r="53" spans="10:10">
      <c r="J53" s="30"/>
    </row>
    <row r="54" spans="10:10">
      <c r="J54" s="30"/>
    </row>
    <row r="55" spans="10:10">
      <c r="J55" s="30"/>
    </row>
    <row r="56" spans="10:10">
      <c r="J56" s="30"/>
    </row>
    <row r="57" spans="10:10">
      <c r="J57" s="30"/>
    </row>
    <row r="58" spans="10:10">
      <c r="J58" s="30"/>
    </row>
    <row r="59" spans="10:10">
      <c r="J59" s="30"/>
    </row>
    <row r="60" spans="10:10">
      <c r="J60" s="30"/>
    </row>
    <row r="61" spans="10:10">
      <c r="J61" s="30"/>
    </row>
    <row r="62" spans="10:10">
      <c r="J62" s="30"/>
    </row>
    <row r="63" spans="10:10">
      <c r="J63" s="30"/>
    </row>
    <row r="64" spans="10:10">
      <c r="J64" s="30"/>
    </row>
    <row r="65" spans="10:10">
      <c r="J65" s="30"/>
    </row>
    <row r="66" spans="10:10">
      <c r="J66" s="30"/>
    </row>
    <row r="67" spans="10:10">
      <c r="J67" s="30"/>
    </row>
    <row r="68" spans="10:10">
      <c r="J68" s="30"/>
    </row>
    <row r="69" spans="10:10">
      <c r="J69" s="30"/>
    </row>
    <row r="70" spans="10:10">
      <c r="J70" s="30"/>
    </row>
    <row r="71" spans="10:10">
      <c r="J71" s="30"/>
    </row>
    <row r="72" spans="10:10">
      <c r="J72" s="30"/>
    </row>
    <row r="73" spans="10:10">
      <c r="J73" s="30"/>
    </row>
    <row r="74" spans="10:10">
      <c r="J74" s="30"/>
    </row>
    <row r="75" spans="10:10">
      <c r="J75" s="30"/>
    </row>
    <row r="76" spans="10:10">
      <c r="J76" s="30"/>
    </row>
    <row r="77" spans="10:10">
      <c r="J77" s="30"/>
    </row>
    <row r="78" spans="10:10">
      <c r="J78" s="30"/>
    </row>
    <row r="79" spans="10:10">
      <c r="J79" s="30"/>
    </row>
    <row r="80" spans="10:10">
      <c r="J80" s="30"/>
    </row>
    <row r="81" spans="10:10">
      <c r="J81" s="30"/>
    </row>
    <row r="82" spans="10:10">
      <c r="J82" s="30"/>
    </row>
    <row r="83" spans="10:10">
      <c r="J83" s="30"/>
    </row>
    <row r="84" spans="10:10">
      <c r="J84" s="30"/>
    </row>
    <row r="85" spans="10:10">
      <c r="J85" s="30"/>
    </row>
    <row r="86" spans="10:10">
      <c r="J86" s="30"/>
    </row>
    <row r="87" spans="10:10">
      <c r="J87" s="30"/>
    </row>
    <row r="88" spans="10:10">
      <c r="J88" s="30"/>
    </row>
    <row r="89" spans="10:10">
      <c r="J89" s="30"/>
    </row>
    <row r="90" spans="10:10">
      <c r="J90" s="30"/>
    </row>
    <row r="91" spans="10:10">
      <c r="J91" s="30"/>
    </row>
    <row r="92" spans="10:10">
      <c r="J92" s="30"/>
    </row>
    <row r="93" spans="10:10">
      <c r="J93" s="30"/>
    </row>
    <row r="94" spans="10:10">
      <c r="J94" s="30"/>
    </row>
    <row r="95" spans="10:10">
      <c r="J95" s="30"/>
    </row>
    <row r="96" spans="10:10">
      <c r="J96" s="30"/>
    </row>
    <row r="97" spans="10:10">
      <c r="J97" s="30"/>
    </row>
    <row r="98" spans="10:10">
      <c r="J98" s="30"/>
    </row>
    <row r="99" spans="10:10">
      <c r="J99" s="30"/>
    </row>
    <row r="100" spans="10:10">
      <c r="J100" s="30"/>
    </row>
    <row r="101" spans="10:10">
      <c r="J101" s="30"/>
    </row>
    <row r="102" spans="10:10">
      <c r="J102" s="30"/>
    </row>
    <row r="103" spans="10:10">
      <c r="J103" s="30"/>
    </row>
    <row r="104" spans="10:10">
      <c r="J104" s="30"/>
    </row>
    <row r="105" spans="10:10">
      <c r="J105" s="30"/>
    </row>
    <row r="106" spans="10:10">
      <c r="J106" s="30"/>
    </row>
    <row r="107" spans="10:10">
      <c r="J107" s="30"/>
    </row>
    <row r="108" spans="10:10">
      <c r="J108" s="30"/>
    </row>
    <row r="109" spans="10:10">
      <c r="J109" s="30"/>
    </row>
    <row r="110" spans="10:10">
      <c r="J110" s="30"/>
    </row>
    <row r="111" spans="10:10">
      <c r="J111" s="30"/>
    </row>
    <row r="112" spans="10:10">
      <c r="J112" s="30"/>
    </row>
    <row r="113" spans="10:10">
      <c r="J113" s="30"/>
    </row>
    <row r="114" spans="10:10">
      <c r="J114" s="30"/>
    </row>
    <row r="115" spans="10:10">
      <c r="J115" s="30"/>
    </row>
    <row r="116" spans="10:10">
      <c r="J116" s="30"/>
    </row>
    <row r="117" spans="10:10">
      <c r="J117" s="30"/>
    </row>
    <row r="118" spans="10:10">
      <c r="J118" s="30"/>
    </row>
    <row r="119" spans="10:10">
      <c r="J119" s="30"/>
    </row>
    <row r="120" spans="10:10">
      <c r="J120" s="30"/>
    </row>
    <row r="121" spans="10:10">
      <c r="J121" s="30"/>
    </row>
    <row r="122" spans="10:10">
      <c r="J122" s="30"/>
    </row>
    <row r="123" spans="10:10">
      <c r="J123" s="30"/>
    </row>
    <row r="124" spans="10:10">
      <c r="J124" s="30"/>
    </row>
    <row r="125" spans="10:10">
      <c r="J125" s="30"/>
    </row>
    <row r="126" spans="10:10">
      <c r="J126" s="30"/>
    </row>
    <row r="127" spans="10:10">
      <c r="J127" s="30"/>
    </row>
    <row r="128" spans="10:10">
      <c r="J128" s="30"/>
    </row>
    <row r="129" spans="10:10">
      <c r="J129" s="30"/>
    </row>
    <row r="130" spans="10:10">
      <c r="J130" s="30"/>
    </row>
    <row r="131" spans="10:10">
      <c r="J131" s="30"/>
    </row>
    <row r="132" spans="10:10">
      <c r="J132" s="30"/>
    </row>
    <row r="133" spans="10:10">
      <c r="J133" s="30"/>
    </row>
    <row r="134" spans="10:10">
      <c r="J134" s="30"/>
    </row>
    <row r="135" spans="10:10">
      <c r="J135" s="30"/>
    </row>
    <row r="136" spans="10:10">
      <c r="J136" s="30"/>
    </row>
    <row r="137" spans="10:10">
      <c r="J137" s="30"/>
    </row>
    <row r="138" spans="10:10">
      <c r="J138" s="30"/>
    </row>
    <row r="139" spans="10:10">
      <c r="J139" s="30"/>
    </row>
    <row r="140" spans="10:10">
      <c r="J140" s="30"/>
    </row>
    <row r="141" spans="10:10">
      <c r="J141" s="30"/>
    </row>
    <row r="142" spans="10:10">
      <c r="J142" s="30"/>
    </row>
    <row r="143" spans="10:10">
      <c r="J143" s="30"/>
    </row>
    <row r="144" spans="10:10">
      <c r="J144" s="30"/>
    </row>
    <row r="145" spans="10:10">
      <c r="J145" s="30"/>
    </row>
    <row r="146" spans="10:10">
      <c r="J146" s="30"/>
    </row>
    <row r="147" spans="10:10">
      <c r="J147" s="30"/>
    </row>
    <row r="148" spans="10:10">
      <c r="J148" s="30"/>
    </row>
    <row r="149" spans="10:10">
      <c r="J149" s="30"/>
    </row>
    <row r="150" spans="10:10">
      <c r="J150" s="30"/>
    </row>
    <row r="151" spans="10:10">
      <c r="J151" s="30"/>
    </row>
    <row r="152" spans="10:10">
      <c r="J152" s="30"/>
    </row>
    <row r="153" spans="10:10">
      <c r="J153" s="30"/>
    </row>
    <row r="154" spans="10:10">
      <c r="J154" s="30"/>
    </row>
    <row r="155" spans="10:10">
      <c r="J155" s="30"/>
    </row>
    <row r="156" spans="10:10">
      <c r="J156" s="30"/>
    </row>
    <row r="157" spans="10:10">
      <c r="J157" s="30"/>
    </row>
    <row r="158" spans="10:10">
      <c r="J158" s="30"/>
    </row>
    <row r="159" spans="10:10">
      <c r="J159" s="30"/>
    </row>
    <row r="160" spans="10:10">
      <c r="J160" s="30"/>
    </row>
    <row r="161" spans="10:10">
      <c r="J161" s="30"/>
    </row>
    <row r="162" spans="10:10">
      <c r="J162" s="30"/>
    </row>
    <row r="163" spans="10:10">
      <c r="J163" s="30"/>
    </row>
    <row r="164" spans="10:10">
      <c r="J164" s="30"/>
    </row>
    <row r="165" spans="10:10">
      <c r="J165" s="30"/>
    </row>
    <row r="166" spans="10:10">
      <c r="J166" s="30"/>
    </row>
    <row r="167" spans="10:10">
      <c r="J167" s="30"/>
    </row>
    <row r="168" spans="10:10">
      <c r="J168" s="30"/>
    </row>
    <row r="169" spans="10:10">
      <c r="J169" s="30"/>
    </row>
    <row r="170" spans="10:10">
      <c r="J170" s="30"/>
    </row>
    <row r="171" spans="10:10">
      <c r="J171" s="30"/>
    </row>
    <row r="172" spans="10:10">
      <c r="J172" s="30"/>
    </row>
    <row r="173" spans="10:10">
      <c r="J173" s="30"/>
    </row>
    <row r="174" spans="10:10">
      <c r="J174" s="30"/>
    </row>
    <row r="175" spans="10:10">
      <c r="J175" s="30"/>
    </row>
    <row r="176" spans="10:10">
      <c r="J176" s="30"/>
    </row>
    <row r="177" spans="10:10">
      <c r="J177" s="30"/>
    </row>
    <row r="178" spans="10:10">
      <c r="J178" s="30"/>
    </row>
    <row r="179" spans="10:10">
      <c r="J179" s="30"/>
    </row>
    <row r="180" spans="10:10">
      <c r="J180" s="30"/>
    </row>
    <row r="181" spans="10:10">
      <c r="J181" s="30"/>
    </row>
    <row r="182" spans="10:10">
      <c r="J182" s="30"/>
    </row>
    <row r="183" spans="10:10">
      <c r="J183" s="30"/>
    </row>
    <row r="184" spans="10:10">
      <c r="J184" s="30"/>
    </row>
    <row r="185" spans="10:10">
      <c r="J185" s="30"/>
    </row>
    <row r="186" spans="10:10">
      <c r="J186" s="30"/>
    </row>
    <row r="187" spans="10:10">
      <c r="J187" s="30"/>
    </row>
    <row r="188" spans="10:10">
      <c r="J188" s="30"/>
    </row>
    <row r="189" spans="10:10">
      <c r="J189" s="30"/>
    </row>
    <row r="190" spans="10:10">
      <c r="J190" s="30"/>
    </row>
    <row r="191" spans="10:10">
      <c r="J191" s="30"/>
    </row>
    <row r="192" spans="10:10">
      <c r="J192" s="30"/>
    </row>
    <row r="193" spans="10:10">
      <c r="J193" s="30"/>
    </row>
    <row r="194" spans="10:10">
      <c r="J194" s="30"/>
    </row>
    <row r="195" spans="10:10">
      <c r="J195" s="30"/>
    </row>
    <row r="196" spans="10:10">
      <c r="J196" s="30"/>
    </row>
    <row r="197" spans="10:10">
      <c r="J197" s="30"/>
    </row>
    <row r="198" spans="10:10">
      <c r="J198" s="30"/>
    </row>
    <row r="199" spans="10:10">
      <c r="J199" s="30"/>
    </row>
    <row r="200" spans="10:10">
      <c r="J200" s="30"/>
    </row>
    <row r="201" spans="10:10">
      <c r="J201" s="30"/>
    </row>
    <row r="202" spans="10:10">
      <c r="J202" s="30"/>
    </row>
  </sheetData>
  <mergeCells count="1">
    <mergeCell ref="A15:J15"/>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L200"/>
  <sheetViews>
    <sheetView topLeftCell="A28" workbookViewId="0">
      <selection activeCell="A1" sqref="A1"/>
    </sheetView>
  </sheetViews>
  <sheetFormatPr defaultColWidth="9" defaultRowHeight="15.75"/>
  <cols>
    <col min="2" max="2" width="18.2" customWidth="1"/>
    <col min="3" max="33" width="9.85833333333333" customWidth="1"/>
  </cols>
  <sheetData>
    <row r="1" spans="1:38">
      <c r="A1" s="14" t="s">
        <v>1301</v>
      </c>
      <c r="B1" s="15"/>
      <c r="C1" s="16">
        <v>46095</v>
      </c>
      <c r="D1" s="16"/>
      <c r="E1" s="16">
        <v>46096</v>
      </c>
      <c r="F1" s="16"/>
      <c r="G1" s="16">
        <v>46097</v>
      </c>
      <c r="H1" s="16"/>
      <c r="I1" s="16">
        <v>46098</v>
      </c>
      <c r="J1" s="16"/>
      <c r="K1" s="16">
        <v>46099</v>
      </c>
      <c r="L1" s="16"/>
      <c r="M1" s="16">
        <v>46100</v>
      </c>
      <c r="N1" s="16"/>
      <c r="O1" s="16">
        <v>46101</v>
      </c>
      <c r="P1" s="16"/>
      <c r="Q1" s="16">
        <v>46102</v>
      </c>
      <c r="R1" s="16"/>
      <c r="S1" s="16">
        <v>46103</v>
      </c>
      <c r="T1" s="16"/>
      <c r="U1" s="16">
        <v>46104</v>
      </c>
      <c r="V1" s="16"/>
      <c r="W1" s="16">
        <v>46105</v>
      </c>
      <c r="X1" s="16"/>
      <c r="Y1" s="16">
        <v>46106</v>
      </c>
      <c r="Z1" s="16"/>
      <c r="AA1" s="16">
        <v>46107</v>
      </c>
      <c r="AB1" s="16"/>
      <c r="AC1" s="16">
        <v>46108</v>
      </c>
      <c r="AD1" s="16"/>
      <c r="AE1" s="16">
        <v>46109</v>
      </c>
      <c r="AF1" s="16"/>
      <c r="AG1" s="16">
        <v>46110</v>
      </c>
      <c r="AH1" s="16"/>
      <c r="AI1" s="16">
        <v>46111</v>
      </c>
      <c r="AJ1" s="16"/>
      <c r="AK1" s="16">
        <v>46112</v>
      </c>
      <c r="AL1" s="16"/>
    </row>
    <row r="2" spans="1:38">
      <c r="A2" s="17" t="s">
        <v>1302</v>
      </c>
      <c r="B2" s="17" t="s">
        <v>1303</v>
      </c>
      <c r="C2" s="15" t="s">
        <v>1304</v>
      </c>
      <c r="D2" s="15" t="s">
        <v>1305</v>
      </c>
      <c r="E2" s="15" t="s">
        <v>1304</v>
      </c>
      <c r="F2" s="15" t="s">
        <v>1305</v>
      </c>
      <c r="G2" s="15" t="s">
        <v>1304</v>
      </c>
      <c r="H2" s="15" t="s">
        <v>1305</v>
      </c>
      <c r="I2" s="15" t="s">
        <v>1304</v>
      </c>
      <c r="J2" s="15" t="s">
        <v>1305</v>
      </c>
      <c r="K2" s="15" t="s">
        <v>1304</v>
      </c>
      <c r="L2" s="15" t="s">
        <v>1305</v>
      </c>
      <c r="M2" s="15" t="s">
        <v>1304</v>
      </c>
      <c r="N2" s="15" t="s">
        <v>1305</v>
      </c>
      <c r="O2" s="15" t="s">
        <v>1304</v>
      </c>
      <c r="P2" s="15" t="s">
        <v>1305</v>
      </c>
      <c r="Q2" s="15" t="s">
        <v>1304</v>
      </c>
      <c r="R2" s="15" t="s">
        <v>1305</v>
      </c>
      <c r="S2" s="15" t="s">
        <v>1304</v>
      </c>
      <c r="T2" s="15" t="s">
        <v>1305</v>
      </c>
      <c r="U2" s="15" t="s">
        <v>1304</v>
      </c>
      <c r="V2" s="15" t="s">
        <v>1305</v>
      </c>
      <c r="W2" s="15" t="s">
        <v>1306</v>
      </c>
      <c r="X2" s="15" t="s">
        <v>1307</v>
      </c>
      <c r="Y2" s="15" t="s">
        <v>1306</v>
      </c>
      <c r="Z2" s="15" t="s">
        <v>1307</v>
      </c>
      <c r="AA2" s="15" t="s">
        <v>1306</v>
      </c>
      <c r="AB2" s="15" t="s">
        <v>1307</v>
      </c>
      <c r="AC2" s="15" t="s">
        <v>1306</v>
      </c>
      <c r="AD2" s="15" t="s">
        <v>1307</v>
      </c>
      <c r="AE2" s="15" t="s">
        <v>1306</v>
      </c>
      <c r="AF2" s="15" t="s">
        <v>1307</v>
      </c>
      <c r="AG2" s="15" t="s">
        <v>1306</v>
      </c>
      <c r="AH2" s="15" t="s">
        <v>1307</v>
      </c>
      <c r="AI2" s="15" t="s">
        <v>1306</v>
      </c>
      <c r="AJ2" s="15" t="s">
        <v>1307</v>
      </c>
      <c r="AK2" s="15" t="s">
        <v>1306</v>
      </c>
      <c r="AL2" s="15" t="s">
        <v>1307</v>
      </c>
    </row>
    <row r="3" spans="1:38">
      <c r="A3" s="18">
        <v>1</v>
      </c>
      <c r="B3" s="19"/>
      <c r="C3" s="19"/>
      <c r="D3" s="18"/>
      <c r="E3" s="18"/>
      <c r="F3" s="18"/>
      <c r="G3" s="18"/>
      <c r="H3" s="18"/>
      <c r="I3" s="18"/>
      <c r="J3" s="18"/>
      <c r="K3" s="18"/>
      <c r="L3" s="18"/>
      <c r="M3" s="20"/>
      <c r="N3" s="20"/>
      <c r="O3" s="20"/>
      <c r="P3" s="20"/>
      <c r="Q3" s="20"/>
      <c r="R3" s="20"/>
      <c r="S3" s="20"/>
      <c r="T3" s="20"/>
      <c r="U3" s="20"/>
      <c r="V3" s="20"/>
      <c r="W3" s="20"/>
      <c r="X3" s="20"/>
      <c r="Y3" s="20"/>
      <c r="Z3" s="20"/>
      <c r="AA3" s="20"/>
      <c r="AB3" s="20"/>
      <c r="AC3" s="20"/>
      <c r="AD3" s="20"/>
      <c r="AE3" s="20"/>
      <c r="AF3" s="20"/>
      <c r="AG3" s="20"/>
      <c r="AH3" s="20"/>
      <c r="AI3" s="20"/>
      <c r="AJ3" s="20"/>
      <c r="AK3" s="20"/>
      <c r="AL3" s="20"/>
    </row>
    <row r="4" spans="1:38">
      <c r="A4" s="18">
        <v>2</v>
      </c>
      <c r="B4" s="19"/>
      <c r="C4" s="19"/>
      <c r="D4" s="19"/>
      <c r="E4" s="20"/>
      <c r="F4" s="20"/>
      <c r="G4" s="15"/>
      <c r="H4" s="15"/>
      <c r="I4" s="18"/>
      <c r="J4" s="18"/>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row>
    <row r="5" spans="1:38">
      <c r="A5" s="18">
        <v>3</v>
      </c>
      <c r="B5" s="19"/>
      <c r="C5" s="19"/>
      <c r="D5" s="19"/>
      <c r="E5" s="20"/>
      <c r="F5" s="20"/>
      <c r="G5" s="15"/>
      <c r="H5" s="20"/>
      <c r="I5" s="18"/>
      <c r="J5" s="18"/>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row>
    <row r="6" spans="1:38">
      <c r="A6" s="18">
        <v>4</v>
      </c>
      <c r="B6" s="19"/>
      <c r="C6" s="19"/>
      <c r="D6" s="19"/>
      <c r="E6" s="20"/>
      <c r="F6" s="20"/>
      <c r="G6" s="15"/>
      <c r="H6" s="20"/>
      <c r="I6" s="18"/>
      <c r="J6" s="18"/>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c r="A7" s="18">
        <v>5</v>
      </c>
      <c r="B7" s="19"/>
      <c r="C7" s="19"/>
      <c r="D7" s="19"/>
      <c r="E7" s="20"/>
      <c r="F7" s="20"/>
      <c r="G7" s="15"/>
      <c r="H7" s="20"/>
      <c r="I7" s="18"/>
      <c r="J7" s="18"/>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c r="A8" s="18">
        <v>6</v>
      </c>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c r="A9" s="18">
        <v>7</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c r="A10" s="18">
        <v>8</v>
      </c>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c r="A11" s="18">
        <v>9</v>
      </c>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c r="A12" s="18">
        <v>10</v>
      </c>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c r="A13" s="18"/>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c r="A14" s="14" t="s">
        <v>1301</v>
      </c>
      <c r="B14" s="15"/>
      <c r="C14" s="16">
        <v>46095</v>
      </c>
      <c r="D14" s="16"/>
      <c r="E14" s="16">
        <v>46096</v>
      </c>
      <c r="F14" s="16"/>
      <c r="G14" s="16">
        <v>46097</v>
      </c>
      <c r="H14" s="16"/>
      <c r="I14" s="16">
        <v>46098</v>
      </c>
      <c r="J14" s="16"/>
      <c r="K14" s="16">
        <v>46099</v>
      </c>
      <c r="L14" s="16"/>
      <c r="M14" s="16">
        <v>46100</v>
      </c>
      <c r="N14" s="16"/>
      <c r="O14" s="16">
        <v>46101</v>
      </c>
      <c r="P14" s="16"/>
      <c r="Q14" s="16">
        <v>46102</v>
      </c>
      <c r="R14" s="16"/>
      <c r="S14" s="16">
        <v>46103</v>
      </c>
      <c r="T14" s="16"/>
      <c r="U14" s="16">
        <v>46104</v>
      </c>
      <c r="V14" s="16"/>
      <c r="W14" s="16">
        <v>46105</v>
      </c>
      <c r="X14" s="16"/>
      <c r="Y14" s="16">
        <v>46106</v>
      </c>
      <c r="Z14" s="16"/>
      <c r="AA14" s="16">
        <v>46107</v>
      </c>
      <c r="AB14" s="16"/>
      <c r="AC14" s="16">
        <v>46108</v>
      </c>
      <c r="AD14" s="16"/>
      <c r="AE14" s="16">
        <v>46109</v>
      </c>
      <c r="AF14" s="16"/>
      <c r="AG14" s="16">
        <v>46110</v>
      </c>
      <c r="AH14" s="16"/>
      <c r="AI14" s="16">
        <v>46111</v>
      </c>
      <c r="AJ14" s="16"/>
      <c r="AK14" s="16">
        <v>46112</v>
      </c>
      <c r="AL14" s="16"/>
    </row>
    <row r="15" spans="1:38">
      <c r="A15" s="17" t="s">
        <v>1302</v>
      </c>
      <c r="B15" s="17" t="s">
        <v>1303</v>
      </c>
      <c r="C15" s="15" t="s">
        <v>1304</v>
      </c>
      <c r="D15" s="15" t="s">
        <v>1305</v>
      </c>
      <c r="E15" s="15" t="s">
        <v>1304</v>
      </c>
      <c r="F15" s="15" t="s">
        <v>1305</v>
      </c>
      <c r="G15" s="15" t="s">
        <v>1304</v>
      </c>
      <c r="H15" s="15" t="s">
        <v>1305</v>
      </c>
      <c r="I15" s="15" t="s">
        <v>1304</v>
      </c>
      <c r="J15" s="15" t="s">
        <v>1305</v>
      </c>
      <c r="K15" s="15" t="s">
        <v>1304</v>
      </c>
      <c r="L15" s="15" t="s">
        <v>1305</v>
      </c>
      <c r="M15" s="15" t="s">
        <v>1304</v>
      </c>
      <c r="N15" s="15" t="s">
        <v>1305</v>
      </c>
      <c r="O15" s="15" t="s">
        <v>1304</v>
      </c>
      <c r="P15" s="15" t="s">
        <v>1305</v>
      </c>
      <c r="Q15" s="15" t="s">
        <v>1304</v>
      </c>
      <c r="R15" s="15" t="s">
        <v>1305</v>
      </c>
      <c r="S15" s="15" t="s">
        <v>1304</v>
      </c>
      <c r="T15" s="15" t="s">
        <v>1305</v>
      </c>
      <c r="U15" s="15" t="s">
        <v>1304</v>
      </c>
      <c r="V15" s="15" t="s">
        <v>1305</v>
      </c>
      <c r="W15" s="15" t="s">
        <v>1306</v>
      </c>
      <c r="X15" s="15" t="s">
        <v>1307</v>
      </c>
      <c r="Y15" s="15" t="s">
        <v>1306</v>
      </c>
      <c r="Z15" s="15" t="s">
        <v>1307</v>
      </c>
      <c r="AA15" s="15" t="s">
        <v>1306</v>
      </c>
      <c r="AB15" s="15" t="s">
        <v>1307</v>
      </c>
      <c r="AC15" s="15" t="s">
        <v>1306</v>
      </c>
      <c r="AD15" s="15" t="s">
        <v>1307</v>
      </c>
      <c r="AE15" s="15" t="s">
        <v>1306</v>
      </c>
      <c r="AF15" s="15" t="s">
        <v>1307</v>
      </c>
      <c r="AG15" s="15" t="s">
        <v>1306</v>
      </c>
      <c r="AH15" s="15" t="s">
        <v>1307</v>
      </c>
      <c r="AI15" s="15" t="s">
        <v>1306</v>
      </c>
      <c r="AJ15" s="15" t="s">
        <v>1307</v>
      </c>
      <c r="AK15" s="15" t="s">
        <v>1306</v>
      </c>
      <c r="AL15" s="15" t="s">
        <v>1307</v>
      </c>
    </row>
    <row r="16" spans="1:38">
      <c r="A16" s="18">
        <v>1</v>
      </c>
      <c r="B16" s="19"/>
      <c r="C16" s="18"/>
      <c r="D16" s="18"/>
      <c r="E16" s="18"/>
      <c r="F16" s="18"/>
      <c r="G16" s="18"/>
      <c r="H16" s="18"/>
      <c r="I16" s="18"/>
      <c r="J16" s="18"/>
      <c r="K16" s="18"/>
      <c r="L16" s="18"/>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1:38">
      <c r="A17" s="18">
        <v>2</v>
      </c>
      <c r="B17" s="19"/>
      <c r="C17" s="20"/>
      <c r="D17" s="20"/>
      <c r="E17" s="20"/>
      <c r="F17" s="20"/>
      <c r="G17" s="20"/>
      <c r="H17" s="20"/>
      <c r="I17" s="18"/>
      <c r="J17" s="18"/>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c r="A18" s="18">
        <v>3</v>
      </c>
      <c r="B18" s="19"/>
      <c r="C18" s="20"/>
      <c r="D18" s="20"/>
      <c r="E18" s="20"/>
      <c r="F18" s="20"/>
      <c r="G18" s="20"/>
      <c r="H18" s="20"/>
      <c r="I18" s="18"/>
      <c r="J18" s="18"/>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1:38">
      <c r="A19" s="18">
        <v>4</v>
      </c>
      <c r="B19" s="19"/>
      <c r="C19" s="20"/>
      <c r="D19" s="20"/>
      <c r="E19" s="20"/>
      <c r="F19" s="20"/>
      <c r="G19" s="20"/>
      <c r="H19" s="20"/>
      <c r="I19" s="18"/>
      <c r="J19" s="18"/>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1:38">
      <c r="A20" s="18">
        <v>5</v>
      </c>
      <c r="B20" s="19"/>
      <c r="C20" s="20"/>
      <c r="D20" s="20"/>
      <c r="E20" s="20"/>
      <c r="F20" s="20"/>
      <c r="G20" s="20"/>
      <c r="H20" s="20"/>
      <c r="I20" s="18"/>
      <c r="J20" s="18"/>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1:38">
      <c r="A21" s="18">
        <v>6</v>
      </c>
      <c r="B21" s="20"/>
      <c r="C21" s="20"/>
      <c r="D21" s="20"/>
      <c r="E21" s="20"/>
      <c r="F21" s="20"/>
      <c r="G21" s="20"/>
      <c r="H21" s="20"/>
      <c r="I21" s="18"/>
      <c r="J21" s="18"/>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1:38">
      <c r="A22" s="18">
        <v>7</v>
      </c>
      <c r="B22" s="20"/>
      <c r="C22" s="20"/>
      <c r="D22" s="20"/>
      <c r="E22" s="20"/>
      <c r="F22" s="20"/>
      <c r="G22" s="20"/>
      <c r="H22" s="20"/>
      <c r="I22" s="18"/>
      <c r="J22" s="18"/>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1:38">
      <c r="A23" s="18">
        <v>8</v>
      </c>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1:38">
      <c r="A24" s="18">
        <v>9</v>
      </c>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1:38">
      <c r="A25" s="18">
        <v>10</v>
      </c>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1:38">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1:38">
      <c r="A27" s="14" t="s">
        <v>1301</v>
      </c>
      <c r="B27" s="15"/>
      <c r="C27" s="16">
        <v>46059</v>
      </c>
      <c r="D27" s="16"/>
      <c r="E27" s="16">
        <v>46060</v>
      </c>
      <c r="F27" s="16"/>
      <c r="G27" s="16">
        <v>46061</v>
      </c>
      <c r="H27" s="16"/>
      <c r="I27" s="16">
        <v>46062</v>
      </c>
      <c r="J27" s="16"/>
      <c r="K27" s="16">
        <v>46063</v>
      </c>
      <c r="L27" s="16"/>
      <c r="M27" s="16">
        <v>46064</v>
      </c>
      <c r="N27" s="16"/>
      <c r="O27" s="16">
        <v>46065</v>
      </c>
      <c r="P27" s="16"/>
      <c r="Q27" s="16">
        <v>46066</v>
      </c>
      <c r="R27" s="16"/>
      <c r="S27" s="16">
        <v>46067</v>
      </c>
      <c r="T27" s="16"/>
      <c r="U27" s="16">
        <v>46068</v>
      </c>
      <c r="V27" s="16"/>
      <c r="W27" s="16">
        <v>46069</v>
      </c>
      <c r="X27" s="16"/>
      <c r="Y27" s="16">
        <v>46070</v>
      </c>
      <c r="Z27" s="16"/>
      <c r="AA27" s="16">
        <v>46071</v>
      </c>
      <c r="AB27" s="16"/>
      <c r="AC27" s="16">
        <v>46072</v>
      </c>
      <c r="AD27" s="16"/>
      <c r="AE27" s="16">
        <v>46073</v>
      </c>
      <c r="AF27" s="16"/>
      <c r="AG27" s="16">
        <v>46074</v>
      </c>
      <c r="AH27" s="16"/>
      <c r="AI27" s="20"/>
      <c r="AJ27" s="20"/>
      <c r="AK27" s="20"/>
      <c r="AL27" s="20"/>
    </row>
    <row r="28" spans="1:38">
      <c r="A28" s="17" t="s">
        <v>1302</v>
      </c>
      <c r="B28" s="17" t="s">
        <v>1303</v>
      </c>
      <c r="C28" s="15" t="s">
        <v>1304</v>
      </c>
      <c r="D28" s="15" t="s">
        <v>1305</v>
      </c>
      <c r="E28" s="15" t="s">
        <v>1304</v>
      </c>
      <c r="F28" s="15" t="s">
        <v>1305</v>
      </c>
      <c r="G28" s="15" t="s">
        <v>1304</v>
      </c>
      <c r="H28" s="15" t="s">
        <v>1305</v>
      </c>
      <c r="I28" s="15" t="s">
        <v>1304</v>
      </c>
      <c r="J28" s="15" t="s">
        <v>1305</v>
      </c>
      <c r="K28" s="15" t="s">
        <v>1304</v>
      </c>
      <c r="L28" s="15" t="s">
        <v>1305</v>
      </c>
      <c r="M28" s="15" t="s">
        <v>1304</v>
      </c>
      <c r="N28" s="15" t="s">
        <v>1305</v>
      </c>
      <c r="O28" s="15" t="s">
        <v>1304</v>
      </c>
      <c r="P28" s="15" t="s">
        <v>1305</v>
      </c>
      <c r="Q28" s="15" t="s">
        <v>1304</v>
      </c>
      <c r="R28" s="15" t="s">
        <v>1305</v>
      </c>
      <c r="S28" s="15" t="s">
        <v>1304</v>
      </c>
      <c r="T28" s="15" t="s">
        <v>1305</v>
      </c>
      <c r="U28" s="15" t="s">
        <v>1304</v>
      </c>
      <c r="V28" s="15" t="s">
        <v>1305</v>
      </c>
      <c r="W28" s="15" t="s">
        <v>1306</v>
      </c>
      <c r="X28" s="15" t="s">
        <v>1307</v>
      </c>
      <c r="Y28" s="15" t="s">
        <v>1306</v>
      </c>
      <c r="Z28" s="15" t="s">
        <v>1307</v>
      </c>
      <c r="AA28" s="15" t="s">
        <v>1306</v>
      </c>
      <c r="AB28" s="15" t="s">
        <v>1307</v>
      </c>
      <c r="AC28" s="15" t="s">
        <v>1306</v>
      </c>
      <c r="AD28" s="15" t="s">
        <v>1307</v>
      </c>
      <c r="AE28" s="15" t="s">
        <v>1306</v>
      </c>
      <c r="AF28" s="15" t="s">
        <v>1307</v>
      </c>
      <c r="AG28" s="15" t="s">
        <v>1306</v>
      </c>
      <c r="AH28" s="15" t="s">
        <v>1307</v>
      </c>
      <c r="AI28" s="15" t="s">
        <v>1306</v>
      </c>
      <c r="AJ28" s="15" t="s">
        <v>1307</v>
      </c>
      <c r="AK28" s="15" t="s">
        <v>1306</v>
      </c>
      <c r="AL28" s="15" t="s">
        <v>1307</v>
      </c>
    </row>
    <row r="29" spans="1:38">
      <c r="A29" s="18">
        <v>1</v>
      </c>
      <c r="B29" s="21"/>
      <c r="C29" s="18"/>
      <c r="D29" s="18"/>
      <c r="E29" s="18"/>
      <c r="F29" s="18"/>
      <c r="G29" s="18"/>
      <c r="H29" s="18"/>
      <c r="I29" s="18"/>
      <c r="J29" s="18"/>
      <c r="K29" s="18"/>
      <c r="L29" s="18"/>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row>
    <row r="30" spans="1:38">
      <c r="A30" s="18">
        <v>2</v>
      </c>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row>
    <row r="31" spans="1:38">
      <c r="A31" s="18">
        <v>3</v>
      </c>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row>
    <row r="32" spans="1:38">
      <c r="A32" s="18">
        <v>4</v>
      </c>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row>
    <row r="33" spans="1:38">
      <c r="A33" s="18">
        <v>5</v>
      </c>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row>
    <row r="34" spans="1:38">
      <c r="A34" s="18">
        <v>6</v>
      </c>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row>
    <row r="35" spans="1:38">
      <c r="A35" s="18">
        <v>7</v>
      </c>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row>
    <row r="36" spans="1:38">
      <c r="A36" s="18">
        <v>8</v>
      </c>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row>
    <row r="37" spans="1:38">
      <c r="A37" s="18">
        <v>9</v>
      </c>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row>
    <row r="38" spans="1:38">
      <c r="A38" s="18">
        <v>10</v>
      </c>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row>
    <row r="39" spans="1:38">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row>
    <row r="40" spans="1:38">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row>
    <row r="41" spans="1:38">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row>
    <row r="42" spans="1:38">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row>
    <row r="43" spans="1:38">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row>
    <row r="44" spans="1:38">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row>
    <row r="45" spans="1:38">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row>
    <row r="46" spans="1:38">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row>
    <row r="47" spans="1:38">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row>
    <row r="48" spans="1:3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row>
    <row r="49" spans="1:38">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row>
    <row r="50" spans="1:38">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row>
    <row r="51" spans="1:38">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row>
    <row r="52" spans="1:38">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row>
    <row r="53" spans="1:38">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row>
    <row r="54" spans="1:38">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row>
    <row r="55" spans="1:38">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row>
    <row r="56" spans="1:38">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row>
    <row r="57" spans="1:38">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row>
    <row r="58" spans="1:3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row>
    <row r="59" spans="1:38">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row>
    <row r="60" spans="1:38">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row>
    <row r="61" spans="1:38">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row>
    <row r="62" spans="1:38">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row>
    <row r="63" spans="1:38">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row>
    <row r="64" spans="1:38">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row>
    <row r="65" spans="1:38">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row>
    <row r="66" spans="1:38">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row>
    <row r="67" spans="1:38">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row>
    <row r="68" spans="1:3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row>
    <row r="69" spans="1:38">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row>
    <row r="70" spans="1:38">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row>
    <row r="71" spans="1:38">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row>
    <row r="72" spans="1:38">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row>
    <row r="73" spans="1:38">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row>
    <row r="74" spans="1:38">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row>
    <row r="75" spans="1:38">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row>
    <row r="76" spans="1:38">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row>
    <row r="77" spans="1:38">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row>
    <row r="78" spans="1:3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row>
    <row r="79" spans="1:38">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row>
    <row r="80" spans="1:38">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row>
    <row r="81" spans="1:38">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row>
    <row r="82" spans="1:38">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row>
    <row r="83" spans="1:38">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row>
    <row r="84" spans="1:38">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row>
    <row r="85" spans="1:38">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row>
    <row r="86" spans="1:38">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row>
    <row r="87" spans="1:38">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row>
    <row r="88" spans="1:3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row>
    <row r="89" spans="1:38">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row>
    <row r="90" spans="1:38">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row>
    <row r="91" spans="1:38">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row>
    <row r="92" spans="1:38">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row>
    <row r="93" spans="1:38">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row>
    <row r="94" spans="1:38">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row>
    <row r="95" spans="1:38">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row>
    <row r="96" spans="1:38">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row>
    <row r="97" spans="1:38">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row>
    <row r="98" spans="1:3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row>
    <row r="99" spans="1:38">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row>
    <row r="100" spans="1:38">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row>
    <row r="101" spans="1:38">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row>
    <row r="102" spans="1:38">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row>
    <row r="103" spans="1:38">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row>
    <row r="104" spans="1:38">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row>
    <row r="105" spans="1:38">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row>
    <row r="106" spans="1:38">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row>
    <row r="107" spans="1:38">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row>
    <row r="108" spans="1:3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row>
    <row r="109" spans="1:38">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row>
    <row r="110" spans="1:38">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row>
    <row r="111" spans="1:38">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row>
    <row r="112" spans="1:38">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row>
    <row r="113" spans="1:38">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row>
    <row r="114" spans="1:38">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row>
    <row r="115" spans="1:38">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row>
    <row r="116" spans="1:38">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row>
    <row r="117" spans="1:38">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row>
    <row r="118" spans="1:3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row>
    <row r="119" spans="1:38">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row>
    <row r="120" spans="1:38">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row>
    <row r="121" spans="1:38">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row>
    <row r="122" spans="1:38">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row>
    <row r="123" spans="1:38">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row>
    <row r="124" spans="1:38">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row>
    <row r="125" spans="1:38">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row>
    <row r="126" spans="1:38">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row>
    <row r="127" spans="1:38">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row>
    <row r="128" spans="1:3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row>
    <row r="129" spans="1:38">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row>
    <row r="130" spans="1:38">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row>
    <row r="131" spans="1:38">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row>
    <row r="132" spans="1:38">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row>
    <row r="133" spans="1:38">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row>
    <row r="134" spans="1:38">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row>
    <row r="135" spans="1:38">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row>
    <row r="136" spans="1:38">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row>
    <row r="137" spans="1:38">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row>
    <row r="138" spans="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row>
    <row r="139" spans="1:38">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row>
    <row r="140" spans="1:38">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row>
    <row r="141" spans="1:38">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row>
    <row r="142" spans="1:38">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row>
    <row r="143" spans="1:38">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row>
    <row r="144" spans="1:38">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row>
    <row r="145" spans="1:38">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row>
    <row r="146" spans="1:38">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row>
    <row r="147" spans="1:38">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row>
    <row r="148" spans="1:3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row>
    <row r="149" spans="1:38">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row>
    <row r="150" spans="1:38">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row>
    <row r="151" spans="1:38">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row>
    <row r="152" spans="1:38">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row>
    <row r="153" spans="1:38">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row>
    <row r="154" spans="1:38">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row>
    <row r="155" spans="1:38">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row>
    <row r="156" spans="1:38">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row>
    <row r="157" spans="1:38">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row>
    <row r="158" spans="1:3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row>
    <row r="159" spans="1:38">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row>
    <row r="160" spans="1:38">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row>
    <row r="161" spans="1:38">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row>
    <row r="162" spans="1:38">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row>
    <row r="163" spans="1:38">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row>
    <row r="164" spans="1:38">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row>
    <row r="165" spans="1:38">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row>
    <row r="166" spans="1:38">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row>
    <row r="167" spans="1:38">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row>
    <row r="168" spans="1:3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row>
    <row r="169" spans="1:38">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row>
    <row r="170" spans="1:38">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row>
    <row r="171" spans="1:38">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row>
    <row r="172" spans="1:38">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row>
    <row r="173" spans="1:38">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row>
    <row r="174" spans="1:38">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row>
    <row r="175" spans="1:38">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row>
    <row r="176" spans="1:38">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row>
    <row r="177" spans="1:38">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row>
    <row r="178" spans="1:3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row>
    <row r="179" spans="1:38">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row>
    <row r="180" spans="1:38">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row>
    <row r="181" spans="1:38">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row>
    <row r="182" spans="1:38">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row>
    <row r="183" spans="1:38">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row>
    <row r="184" spans="1:38">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row>
    <row r="185" spans="1:38">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row>
    <row r="186" spans="1:38">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row>
    <row r="187" spans="1:38">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row>
    <row r="188" spans="1:3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row>
    <row r="189" spans="1:38">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row>
    <row r="190" spans="1:38">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row>
    <row r="191" spans="1:38">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row>
    <row r="192" spans="1:38">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row>
    <row r="193" spans="1:38">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row>
    <row r="194" spans="1:38">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row>
    <row r="195" spans="1:38">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row>
    <row r="196" spans="1:38">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row>
    <row r="197" spans="1:38">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row>
    <row r="198" spans="1:3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row>
    <row r="199" spans="1:38">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row>
    <row r="200" spans="1:38">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row>
  </sheetData>
  <mergeCells count="52">
    <mergeCell ref="C1:D1"/>
    <mergeCell ref="E1:F1"/>
    <mergeCell ref="G1:H1"/>
    <mergeCell ref="I1:J1"/>
    <mergeCell ref="K1:L1"/>
    <mergeCell ref="M1:N1"/>
    <mergeCell ref="O1:P1"/>
    <mergeCell ref="Q1:R1"/>
    <mergeCell ref="S1:T1"/>
    <mergeCell ref="U1:V1"/>
    <mergeCell ref="W1:X1"/>
    <mergeCell ref="Y1:Z1"/>
    <mergeCell ref="AA1:AB1"/>
    <mergeCell ref="AC1:AD1"/>
    <mergeCell ref="AE1:AF1"/>
    <mergeCell ref="AG1:AH1"/>
    <mergeCell ref="AI1:AJ1"/>
    <mergeCell ref="AK1:AL1"/>
    <mergeCell ref="C14:D14"/>
    <mergeCell ref="E14:F14"/>
    <mergeCell ref="G14:H14"/>
    <mergeCell ref="I14:J14"/>
    <mergeCell ref="K14:L14"/>
    <mergeCell ref="M14:N14"/>
    <mergeCell ref="O14:P14"/>
    <mergeCell ref="Q14:R14"/>
    <mergeCell ref="S14:T14"/>
    <mergeCell ref="U14:V14"/>
    <mergeCell ref="W14:X14"/>
    <mergeCell ref="Y14:Z14"/>
    <mergeCell ref="AA14:AB14"/>
    <mergeCell ref="AC14:AD14"/>
    <mergeCell ref="AE14:AF14"/>
    <mergeCell ref="AG14:AH14"/>
    <mergeCell ref="AI14:AJ14"/>
    <mergeCell ref="AK14:AL14"/>
    <mergeCell ref="C27:D27"/>
    <mergeCell ref="E27:F27"/>
    <mergeCell ref="G27:H27"/>
    <mergeCell ref="I27:J27"/>
    <mergeCell ref="K27:L27"/>
    <mergeCell ref="M27:N27"/>
    <mergeCell ref="O27:P27"/>
    <mergeCell ref="Q27:R27"/>
    <mergeCell ref="S27:T27"/>
    <mergeCell ref="U27:V27"/>
    <mergeCell ref="W27:X27"/>
    <mergeCell ref="Y27:Z27"/>
    <mergeCell ref="AA27:AB27"/>
    <mergeCell ref="AC27:AD27"/>
    <mergeCell ref="AE27:AF27"/>
    <mergeCell ref="AG27:AH27"/>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202"/>
  <sheetViews>
    <sheetView workbookViewId="0">
      <selection activeCell="O1" sqref="O$1:O$1048576"/>
    </sheetView>
  </sheetViews>
  <sheetFormatPr defaultColWidth="9" defaultRowHeight="15.75"/>
  <sheetData>
    <row r="1" spans="1:27">
      <c r="A1" s="1" t="s">
        <v>1308</v>
      </c>
      <c r="B1" s="2" t="s">
        <v>1309</v>
      </c>
      <c r="C1" s="2" t="s">
        <v>529</v>
      </c>
      <c r="D1" s="2" t="s">
        <v>1310</v>
      </c>
      <c r="E1" s="3">
        <v>46093</v>
      </c>
      <c r="F1" s="3">
        <v>46094</v>
      </c>
      <c r="G1" s="2">
        <v>46095</v>
      </c>
      <c r="H1" s="3">
        <v>46096</v>
      </c>
      <c r="I1" s="3">
        <v>46097</v>
      </c>
      <c r="J1" s="3">
        <v>46098</v>
      </c>
      <c r="K1" s="3">
        <v>46099</v>
      </c>
      <c r="L1" s="3">
        <v>46100</v>
      </c>
      <c r="M1" s="3">
        <v>46101</v>
      </c>
      <c r="N1" s="3">
        <v>46102</v>
      </c>
      <c r="O1" s="3">
        <v>46103</v>
      </c>
      <c r="P1" s="3">
        <v>46104</v>
      </c>
      <c r="Q1" s="3">
        <v>46105</v>
      </c>
      <c r="R1" s="3">
        <v>46106</v>
      </c>
      <c r="S1" s="3">
        <v>46107</v>
      </c>
      <c r="T1" s="3">
        <v>46108</v>
      </c>
      <c r="U1" s="3">
        <v>46109</v>
      </c>
      <c r="V1" s="3">
        <v>46110</v>
      </c>
      <c r="W1" s="3">
        <v>46111</v>
      </c>
      <c r="X1" s="3">
        <v>46112</v>
      </c>
      <c r="Y1" s="4"/>
      <c r="Z1" s="4"/>
      <c r="AA1" s="4"/>
    </row>
    <row r="2" spans="1:27">
      <c r="A2" s="1">
        <v>1</v>
      </c>
      <c r="B2" s="4"/>
      <c r="C2" s="2"/>
      <c r="D2" s="2" t="s">
        <v>1311</v>
      </c>
      <c r="E2" s="2"/>
      <c r="F2" s="2"/>
      <c r="G2" s="2"/>
      <c r="H2" s="5"/>
      <c r="I2" s="5"/>
      <c r="J2" s="4"/>
      <c r="K2" s="5"/>
      <c r="L2" s="5"/>
      <c r="M2" s="5"/>
      <c r="N2" s="5"/>
      <c r="O2" s="5"/>
      <c r="P2" s="4"/>
      <c r="Q2" s="4"/>
      <c r="R2" s="4"/>
      <c r="S2" s="4"/>
      <c r="T2" s="4"/>
      <c r="U2" s="4"/>
      <c r="V2" s="4"/>
      <c r="W2" s="4"/>
      <c r="X2" s="4"/>
      <c r="Y2" s="4"/>
      <c r="Z2" s="4"/>
      <c r="AA2" s="4"/>
    </row>
    <row r="3" spans="1:27">
      <c r="A3" s="1"/>
      <c r="B3" s="4"/>
      <c r="C3" s="2"/>
      <c r="D3" s="2" t="s">
        <v>1312</v>
      </c>
      <c r="E3" s="2"/>
      <c r="F3" s="2"/>
      <c r="G3" s="2"/>
      <c r="H3" s="5"/>
      <c r="I3" s="5"/>
      <c r="J3" s="4"/>
      <c r="K3" s="5"/>
      <c r="L3" s="5"/>
      <c r="M3" s="5"/>
      <c r="N3" s="5"/>
      <c r="O3" s="5"/>
      <c r="P3" s="4"/>
      <c r="Q3" s="4"/>
      <c r="R3" s="4"/>
      <c r="S3" s="4"/>
      <c r="T3" s="4"/>
      <c r="U3" s="4"/>
      <c r="V3" s="4"/>
      <c r="W3" s="4"/>
      <c r="X3" s="4"/>
      <c r="Y3" s="4"/>
      <c r="Z3" s="4"/>
      <c r="AA3" s="4"/>
    </row>
    <row r="4" spans="1:27">
      <c r="A4" s="1"/>
      <c r="B4" s="4"/>
      <c r="C4" s="2"/>
      <c r="D4" s="2" t="s">
        <v>1313</v>
      </c>
      <c r="E4" s="2"/>
      <c r="F4" s="2"/>
      <c r="G4" s="2"/>
      <c r="H4" s="5"/>
      <c r="I4" s="5"/>
      <c r="J4" s="4"/>
      <c r="K4" s="5"/>
      <c r="L4" s="5"/>
      <c r="M4" s="5"/>
      <c r="N4" s="5"/>
      <c r="O4" s="5"/>
      <c r="P4" s="4"/>
      <c r="Q4" s="4"/>
      <c r="R4" s="4"/>
      <c r="S4" s="4"/>
      <c r="T4" s="4"/>
      <c r="U4" s="4"/>
      <c r="V4" s="4"/>
      <c r="W4" s="4"/>
      <c r="X4" s="4"/>
      <c r="Y4" s="4"/>
      <c r="Z4" s="4"/>
      <c r="AA4" s="4"/>
    </row>
    <row r="5" spans="1:27">
      <c r="A5" s="1"/>
      <c r="B5" s="4"/>
      <c r="C5" s="2"/>
      <c r="D5" s="2" t="s">
        <v>1314</v>
      </c>
      <c r="E5" s="2"/>
      <c r="F5" s="2"/>
      <c r="G5" s="2"/>
      <c r="H5" s="5"/>
      <c r="I5" s="5"/>
      <c r="J5" s="4"/>
      <c r="K5" s="5"/>
      <c r="L5" s="5"/>
      <c r="M5" s="5"/>
      <c r="N5" s="5"/>
      <c r="O5" s="5"/>
      <c r="P5" s="4"/>
      <c r="Q5" s="4"/>
      <c r="R5" s="4"/>
      <c r="S5" s="4"/>
      <c r="T5" s="4"/>
      <c r="U5" s="4"/>
      <c r="V5" s="4"/>
      <c r="W5" s="4"/>
      <c r="X5" s="4"/>
      <c r="Y5" s="4"/>
      <c r="Z5" s="4"/>
      <c r="AA5" s="4"/>
    </row>
    <row r="6" spans="1:27">
      <c r="A6" s="1"/>
      <c r="B6" s="4"/>
      <c r="C6" s="2"/>
      <c r="D6" s="2" t="s">
        <v>347</v>
      </c>
      <c r="E6" s="2"/>
      <c r="F6" s="2"/>
      <c r="G6" s="2"/>
      <c r="H6" s="2"/>
      <c r="I6" s="5"/>
      <c r="J6" s="4"/>
      <c r="K6" s="5"/>
      <c r="L6" s="5"/>
      <c r="M6" s="5"/>
      <c r="N6" s="5"/>
      <c r="O6" s="5"/>
      <c r="P6" s="4"/>
      <c r="Q6" s="4"/>
      <c r="R6" s="4"/>
      <c r="S6" s="4"/>
      <c r="T6" s="4"/>
      <c r="U6" s="4"/>
      <c r="V6" s="4"/>
      <c r="W6" s="4"/>
      <c r="X6" s="4"/>
      <c r="Y6" s="4"/>
      <c r="Z6" s="4"/>
      <c r="AA6" s="4"/>
    </row>
    <row r="7" ht="25.5" spans="1:27">
      <c r="A7" s="6"/>
      <c r="B7" s="7"/>
      <c r="C7" s="7"/>
      <c r="D7" s="8" t="s">
        <v>1315</v>
      </c>
      <c r="E7" s="7"/>
      <c r="F7" s="7"/>
      <c r="G7" s="9"/>
      <c r="H7" s="9"/>
      <c r="I7" s="9"/>
      <c r="J7" s="7"/>
      <c r="K7" s="9"/>
      <c r="L7" s="9"/>
      <c r="M7" s="9"/>
      <c r="N7" s="9"/>
      <c r="O7" s="9"/>
      <c r="P7" s="4"/>
      <c r="Q7" s="4"/>
      <c r="R7" s="4"/>
      <c r="S7" s="4"/>
      <c r="T7" s="4"/>
      <c r="U7" s="4"/>
      <c r="V7" s="4"/>
      <c r="W7" s="4"/>
      <c r="X7" s="4"/>
      <c r="Y7" s="4"/>
      <c r="Z7" s="4"/>
      <c r="AA7" s="4"/>
    </row>
    <row r="8" spans="1:27">
      <c r="A8" s="1"/>
      <c r="B8" s="4"/>
      <c r="C8" s="4"/>
      <c r="D8" s="10" t="s">
        <v>1316</v>
      </c>
      <c r="E8" s="4"/>
      <c r="F8" s="4"/>
      <c r="G8" s="4"/>
      <c r="H8" s="2"/>
      <c r="I8" s="2"/>
      <c r="J8" s="4"/>
      <c r="K8" s="2"/>
      <c r="L8" s="2"/>
      <c r="M8" s="2"/>
      <c r="N8" s="2"/>
      <c r="O8" s="2"/>
      <c r="P8" s="4"/>
      <c r="Q8" s="4"/>
      <c r="R8" s="4"/>
      <c r="S8" s="4"/>
      <c r="T8" s="4"/>
      <c r="U8" s="4"/>
      <c r="V8" s="4"/>
      <c r="W8" s="4"/>
      <c r="X8" s="4"/>
      <c r="Y8" s="4"/>
      <c r="Z8" s="4"/>
      <c r="AA8" s="4"/>
    </row>
    <row r="9" spans="1:27">
      <c r="A9" s="11"/>
      <c r="B9" s="12"/>
      <c r="C9" s="12"/>
      <c r="D9" s="12"/>
      <c r="E9" s="12"/>
      <c r="F9" s="12"/>
      <c r="G9" s="12"/>
      <c r="H9" s="12"/>
      <c r="I9" s="12"/>
      <c r="J9" s="12"/>
      <c r="K9" s="12"/>
      <c r="L9" s="12"/>
      <c r="M9" s="12"/>
      <c r="N9" s="12"/>
      <c r="O9" s="12"/>
      <c r="P9" s="12"/>
      <c r="Q9" s="12"/>
      <c r="R9" s="12"/>
      <c r="S9" s="12"/>
      <c r="T9" s="12"/>
      <c r="U9" s="12"/>
      <c r="V9" s="12"/>
      <c r="W9" s="12"/>
      <c r="X9" s="12"/>
      <c r="Y9" s="12"/>
      <c r="Z9" s="12"/>
      <c r="AA9" s="12"/>
    </row>
    <row r="10" spans="1:27">
      <c r="A10" s="1">
        <v>3</v>
      </c>
      <c r="B10" s="4"/>
      <c r="C10" s="2"/>
      <c r="D10" s="2" t="s">
        <v>1311</v>
      </c>
      <c r="E10" s="2"/>
      <c r="F10" s="2"/>
      <c r="G10" s="2"/>
      <c r="H10" s="5"/>
      <c r="I10" s="5"/>
      <c r="J10" s="5"/>
      <c r="K10" s="5"/>
      <c r="L10" s="5"/>
      <c r="M10" s="5"/>
      <c r="N10" s="5"/>
      <c r="O10" s="5"/>
      <c r="P10" s="4"/>
      <c r="Q10" s="4"/>
      <c r="R10" s="4"/>
      <c r="S10" s="4"/>
      <c r="T10" s="4"/>
      <c r="U10" s="4"/>
      <c r="V10" s="4"/>
      <c r="W10" s="4"/>
      <c r="X10" s="4"/>
      <c r="Y10" s="4"/>
      <c r="Z10" s="4"/>
      <c r="AA10" s="4"/>
    </row>
    <row r="11" spans="1:27">
      <c r="A11" s="1"/>
      <c r="B11" s="4"/>
      <c r="C11" s="2"/>
      <c r="D11" s="2" t="s">
        <v>1312</v>
      </c>
      <c r="E11" s="2"/>
      <c r="F11" s="2"/>
      <c r="G11" s="2"/>
      <c r="H11" s="5"/>
      <c r="I11" s="5"/>
      <c r="J11" s="5"/>
      <c r="K11" s="5"/>
      <c r="L11" s="5"/>
      <c r="M11" s="5"/>
      <c r="N11" s="5"/>
      <c r="O11" s="5"/>
      <c r="P11" s="4"/>
      <c r="Q11" s="4"/>
      <c r="R11" s="4"/>
      <c r="S11" s="4"/>
      <c r="T11" s="4"/>
      <c r="U11" s="4"/>
      <c r="V11" s="4"/>
      <c r="W11" s="4"/>
      <c r="X11" s="4"/>
      <c r="Y11" s="4"/>
      <c r="Z11" s="4"/>
      <c r="AA11" s="4"/>
    </row>
    <row r="12" spans="1:27">
      <c r="A12" s="1"/>
      <c r="B12" s="4"/>
      <c r="C12" s="2"/>
      <c r="D12" s="2" t="s">
        <v>1313</v>
      </c>
      <c r="E12" s="2"/>
      <c r="F12" s="2"/>
      <c r="G12" s="2"/>
      <c r="H12" s="5"/>
      <c r="I12" s="5"/>
      <c r="J12" s="5"/>
      <c r="K12" s="5"/>
      <c r="L12" s="5"/>
      <c r="M12" s="5"/>
      <c r="N12" s="5"/>
      <c r="O12" s="5"/>
      <c r="P12" s="4"/>
      <c r="Q12" s="4"/>
      <c r="R12" s="4"/>
      <c r="S12" s="4"/>
      <c r="T12" s="4"/>
      <c r="U12" s="4"/>
      <c r="V12" s="4"/>
      <c r="W12" s="4"/>
      <c r="X12" s="4"/>
      <c r="Y12" s="4"/>
      <c r="Z12" s="4"/>
      <c r="AA12" s="4"/>
    </row>
    <row r="13" spans="1:27">
      <c r="A13" s="1"/>
      <c r="B13" s="4"/>
      <c r="C13" s="2"/>
      <c r="D13" s="2" t="s">
        <v>1314</v>
      </c>
      <c r="E13" s="2"/>
      <c r="F13" s="2"/>
      <c r="G13" s="2"/>
      <c r="H13" s="5"/>
      <c r="I13" s="5"/>
      <c r="J13" s="5"/>
      <c r="K13" s="5"/>
      <c r="L13" s="5"/>
      <c r="M13" s="5"/>
      <c r="N13" s="5"/>
      <c r="O13" s="5"/>
      <c r="P13" s="4"/>
      <c r="Q13" s="4"/>
      <c r="R13" s="4"/>
      <c r="S13" s="4"/>
      <c r="T13" s="4"/>
      <c r="U13" s="4"/>
      <c r="V13" s="4"/>
      <c r="W13" s="4"/>
      <c r="X13" s="4"/>
      <c r="Y13" s="4"/>
      <c r="Z13" s="4"/>
      <c r="AA13" s="4"/>
    </row>
    <row r="14" spans="1:27">
      <c r="A14" s="1"/>
      <c r="B14" s="4"/>
      <c r="C14" s="2"/>
      <c r="D14" s="2" t="s">
        <v>347</v>
      </c>
      <c r="E14" s="13"/>
      <c r="F14" s="13"/>
      <c r="G14" s="13"/>
      <c r="H14" s="13"/>
      <c r="I14" s="13"/>
      <c r="J14" s="13"/>
      <c r="K14" s="4"/>
      <c r="L14" s="4"/>
      <c r="M14" s="4"/>
      <c r="N14" s="4"/>
      <c r="O14" s="4"/>
      <c r="P14" s="4"/>
      <c r="Q14" s="4"/>
      <c r="R14" s="4"/>
      <c r="S14" s="4"/>
      <c r="T14" s="4"/>
      <c r="U14" s="4"/>
      <c r="V14" s="4"/>
      <c r="W14" s="4"/>
      <c r="X14" s="4"/>
      <c r="Y14" s="4"/>
      <c r="Z14" s="4"/>
      <c r="AA14" s="4"/>
    </row>
    <row r="15" ht="25.5" spans="1:27">
      <c r="A15" s="6"/>
      <c r="B15" s="7"/>
      <c r="C15" s="7"/>
      <c r="D15" s="8" t="s">
        <v>1315</v>
      </c>
      <c r="E15" s="7"/>
      <c r="F15" s="7"/>
      <c r="G15" s="2"/>
      <c r="H15" s="4"/>
      <c r="I15" s="4"/>
      <c r="J15" s="2"/>
      <c r="K15" s="4"/>
      <c r="L15" s="4"/>
      <c r="M15" s="4"/>
      <c r="N15" s="4"/>
      <c r="O15" s="4"/>
      <c r="P15" s="4"/>
      <c r="Q15" s="4"/>
      <c r="R15" s="4"/>
      <c r="S15" s="4"/>
      <c r="T15" s="4"/>
      <c r="U15" s="4"/>
      <c r="V15" s="4"/>
      <c r="W15" s="4"/>
      <c r="X15" s="4"/>
      <c r="Y15" s="4"/>
      <c r="Z15" s="4"/>
      <c r="AA15" s="4"/>
    </row>
    <row r="16" spans="1:27">
      <c r="A16" s="1"/>
      <c r="B16" s="4"/>
      <c r="C16" s="4"/>
      <c r="D16" s="10" t="s">
        <v>1316</v>
      </c>
      <c r="E16" s="4"/>
      <c r="F16" s="7"/>
      <c r="G16" s="4"/>
      <c r="H16" s="4"/>
      <c r="I16" s="4"/>
      <c r="J16" s="2"/>
      <c r="K16" s="4"/>
      <c r="L16" s="4"/>
      <c r="M16" s="4"/>
      <c r="N16" s="4"/>
      <c r="O16" s="4"/>
      <c r="P16" s="4"/>
      <c r="Q16" s="4"/>
      <c r="R16" s="4"/>
      <c r="S16" s="4"/>
      <c r="T16" s="4"/>
      <c r="U16" s="4"/>
      <c r="V16" s="4"/>
      <c r="W16" s="4"/>
      <c r="X16" s="4"/>
      <c r="Y16" s="4"/>
      <c r="Z16" s="4"/>
      <c r="AA16" s="4"/>
    </row>
    <row r="17" spans="1:27">
      <c r="A17" s="11"/>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spans="1:27">
      <c r="A18" s="1">
        <v>4</v>
      </c>
      <c r="B18" s="4"/>
      <c r="C18" s="4"/>
      <c r="D18" s="2" t="s">
        <v>1311</v>
      </c>
      <c r="E18" s="2"/>
      <c r="F18" s="2"/>
      <c r="G18" s="2"/>
      <c r="H18" s="4"/>
      <c r="I18" s="4"/>
      <c r="J18" s="4"/>
      <c r="K18" s="4"/>
      <c r="L18" s="4"/>
      <c r="M18" s="4"/>
      <c r="N18" s="4"/>
      <c r="O18" s="4"/>
      <c r="P18" s="4"/>
      <c r="Q18" s="4"/>
      <c r="R18" s="4"/>
      <c r="S18" s="4"/>
      <c r="T18" s="4"/>
      <c r="U18" s="4"/>
      <c r="V18" s="4"/>
      <c r="W18" s="4"/>
      <c r="X18" s="4"/>
      <c r="Y18" s="4"/>
      <c r="Z18" s="4"/>
      <c r="AA18" s="4"/>
    </row>
    <row r="19" spans="1:27">
      <c r="A19" s="1"/>
      <c r="B19" s="4"/>
      <c r="C19" s="4"/>
      <c r="D19" s="2" t="s">
        <v>1312</v>
      </c>
      <c r="E19" s="2"/>
      <c r="F19" s="2"/>
      <c r="G19" s="2"/>
      <c r="H19" s="4"/>
      <c r="I19" s="4"/>
      <c r="J19" s="4"/>
      <c r="K19" s="4"/>
      <c r="L19" s="4"/>
      <c r="M19" s="4"/>
      <c r="N19" s="4"/>
      <c r="O19" s="4"/>
      <c r="P19" s="4"/>
      <c r="Q19" s="4"/>
      <c r="R19" s="4"/>
      <c r="S19" s="4"/>
      <c r="T19" s="4"/>
      <c r="U19" s="4"/>
      <c r="V19" s="4"/>
      <c r="W19" s="4"/>
      <c r="X19" s="4"/>
      <c r="Y19" s="4"/>
      <c r="Z19" s="4"/>
      <c r="AA19" s="4"/>
    </row>
    <row r="20" spans="1:27">
      <c r="A20" s="1"/>
      <c r="B20" s="4"/>
      <c r="C20" s="4"/>
      <c r="D20" s="2" t="s">
        <v>1313</v>
      </c>
      <c r="E20" s="2"/>
      <c r="F20" s="2"/>
      <c r="G20" s="2"/>
      <c r="H20" s="4"/>
      <c r="I20" s="4"/>
      <c r="J20" s="4"/>
      <c r="K20" s="4"/>
      <c r="L20" s="4"/>
      <c r="M20" s="4"/>
      <c r="N20" s="4"/>
      <c r="O20" s="4"/>
      <c r="P20" s="4"/>
      <c r="Q20" s="4"/>
      <c r="R20" s="4"/>
      <c r="S20" s="4"/>
      <c r="T20" s="4"/>
      <c r="U20" s="4"/>
      <c r="V20" s="4"/>
      <c r="W20" s="4"/>
      <c r="X20" s="4"/>
      <c r="Y20" s="4"/>
      <c r="Z20" s="4"/>
      <c r="AA20" s="4"/>
    </row>
    <row r="21" spans="1:27">
      <c r="A21" s="1"/>
      <c r="B21" s="4"/>
      <c r="C21" s="4"/>
      <c r="D21" s="2" t="s">
        <v>1314</v>
      </c>
      <c r="E21" s="2"/>
      <c r="F21" s="2"/>
      <c r="G21" s="2"/>
      <c r="H21" s="4"/>
      <c r="I21" s="4"/>
      <c r="J21" s="4"/>
      <c r="K21" s="4"/>
      <c r="L21" s="4"/>
      <c r="M21" s="4"/>
      <c r="N21" s="4"/>
      <c r="O21" s="4"/>
      <c r="P21" s="4"/>
      <c r="Q21" s="4"/>
      <c r="R21" s="4"/>
      <c r="S21" s="4"/>
      <c r="T21" s="4"/>
      <c r="U21" s="4"/>
      <c r="V21" s="4"/>
      <c r="W21" s="4"/>
      <c r="X21" s="4"/>
      <c r="Y21" s="4"/>
      <c r="Z21" s="4"/>
      <c r="AA21" s="4"/>
    </row>
    <row r="22" spans="1:27">
      <c r="A22" s="1"/>
      <c r="B22" s="4"/>
      <c r="C22" s="4"/>
      <c r="D22" s="2" t="s">
        <v>347</v>
      </c>
      <c r="E22" s="13"/>
      <c r="F22" s="13"/>
      <c r="G22" s="13"/>
      <c r="H22" s="13"/>
      <c r="I22" s="13"/>
      <c r="J22" s="13"/>
      <c r="K22" s="4"/>
      <c r="L22" s="4"/>
      <c r="M22" s="4"/>
      <c r="N22" s="4"/>
      <c r="O22" s="4"/>
      <c r="P22" s="4"/>
      <c r="Q22" s="4"/>
      <c r="R22" s="4"/>
      <c r="S22" s="4"/>
      <c r="T22" s="4"/>
      <c r="U22" s="4"/>
      <c r="V22" s="4"/>
      <c r="W22" s="4"/>
      <c r="X22" s="4"/>
      <c r="Y22" s="4"/>
      <c r="Z22" s="4"/>
      <c r="AA22" s="4"/>
    </row>
    <row r="23" ht="25.5" spans="1:27">
      <c r="A23" s="6"/>
      <c r="B23" s="7"/>
      <c r="C23" s="7"/>
      <c r="D23" s="8" t="s">
        <v>1315</v>
      </c>
      <c r="E23" s="7"/>
      <c r="F23" s="7"/>
      <c r="G23" s="4"/>
      <c r="H23" s="4"/>
      <c r="I23" s="4"/>
      <c r="J23" s="4"/>
      <c r="K23" s="4"/>
      <c r="L23" s="4"/>
      <c r="M23" s="4"/>
      <c r="N23" s="4"/>
      <c r="O23" s="4"/>
      <c r="P23" s="4"/>
      <c r="Q23" s="4"/>
      <c r="R23" s="4"/>
      <c r="S23" s="4"/>
      <c r="T23" s="4"/>
      <c r="U23" s="4"/>
      <c r="V23" s="4"/>
      <c r="W23" s="4"/>
      <c r="X23" s="4"/>
      <c r="Y23" s="4"/>
      <c r="Z23" s="4"/>
      <c r="AA23" s="4"/>
    </row>
    <row r="24" spans="1:27">
      <c r="A24" s="1"/>
      <c r="B24" s="4"/>
      <c r="C24" s="4"/>
      <c r="D24" s="10" t="s">
        <v>1316</v>
      </c>
      <c r="E24" s="4"/>
      <c r="F24" s="4"/>
      <c r="G24" s="4"/>
      <c r="H24" s="4"/>
      <c r="I24" s="4"/>
      <c r="J24" s="4"/>
      <c r="K24" s="4"/>
      <c r="L24" s="4"/>
      <c r="M24" s="4"/>
      <c r="N24" s="4"/>
      <c r="O24" s="4"/>
      <c r="P24" s="4"/>
      <c r="Q24" s="4"/>
      <c r="R24" s="4"/>
      <c r="S24" s="4"/>
      <c r="T24" s="4"/>
      <c r="U24" s="4"/>
      <c r="V24" s="4"/>
      <c r="W24" s="4"/>
      <c r="X24" s="4"/>
      <c r="Y24" s="4"/>
      <c r="Z24" s="4"/>
      <c r="AA24" s="4"/>
    </row>
    <row r="25" spans="1:27">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spans="1:27">
      <c r="A26" s="1">
        <v>5</v>
      </c>
      <c r="B26" s="4"/>
      <c r="C26" s="2"/>
      <c r="D26" s="2" t="s">
        <v>1311</v>
      </c>
      <c r="E26" s="13"/>
      <c r="F26" s="13"/>
      <c r="G26" s="13"/>
      <c r="H26" s="4"/>
      <c r="I26" s="4"/>
      <c r="J26" s="4"/>
      <c r="K26" s="4"/>
      <c r="L26" s="4"/>
      <c r="M26" s="4"/>
      <c r="N26" s="4"/>
      <c r="O26" s="4"/>
      <c r="P26" s="4"/>
      <c r="Q26" s="4"/>
      <c r="R26" s="4"/>
      <c r="S26" s="4"/>
      <c r="T26" s="4"/>
      <c r="U26" s="4"/>
      <c r="V26" s="4"/>
      <c r="W26" s="4"/>
      <c r="X26" s="4"/>
      <c r="Y26" s="4"/>
      <c r="Z26" s="4"/>
      <c r="AA26" s="4"/>
    </row>
    <row r="27" spans="1:27">
      <c r="A27" s="1"/>
      <c r="B27" s="4"/>
      <c r="C27" s="2"/>
      <c r="D27" s="2" t="s">
        <v>1312</v>
      </c>
      <c r="E27" s="13"/>
      <c r="F27" s="13"/>
      <c r="G27" s="13"/>
      <c r="H27" s="4"/>
      <c r="I27" s="4"/>
      <c r="J27" s="4"/>
      <c r="K27" s="4"/>
      <c r="L27" s="4"/>
      <c r="M27" s="4"/>
      <c r="N27" s="4"/>
      <c r="O27" s="4"/>
      <c r="P27" s="4"/>
      <c r="Q27" s="4"/>
      <c r="R27" s="4"/>
      <c r="S27" s="4"/>
      <c r="T27" s="4"/>
      <c r="U27" s="4"/>
      <c r="V27" s="4"/>
      <c r="W27" s="4"/>
      <c r="X27" s="4"/>
      <c r="Y27" s="4"/>
      <c r="Z27" s="4"/>
      <c r="AA27" s="4"/>
    </row>
    <row r="28" spans="1:27">
      <c r="A28" s="1"/>
      <c r="B28" s="4"/>
      <c r="C28" s="2"/>
      <c r="D28" s="2" t="s">
        <v>1313</v>
      </c>
      <c r="E28" s="13"/>
      <c r="F28" s="13"/>
      <c r="G28" s="13"/>
      <c r="H28" s="4"/>
      <c r="I28" s="4"/>
      <c r="J28" s="4"/>
      <c r="K28" s="4"/>
      <c r="L28" s="4"/>
      <c r="M28" s="4"/>
      <c r="N28" s="4"/>
      <c r="O28" s="4"/>
      <c r="P28" s="4"/>
      <c r="Q28" s="4"/>
      <c r="R28" s="4"/>
      <c r="S28" s="4"/>
      <c r="T28" s="4"/>
      <c r="U28" s="4"/>
      <c r="V28" s="4"/>
      <c r="W28" s="4"/>
      <c r="X28" s="4"/>
      <c r="Y28" s="4"/>
      <c r="Z28" s="4"/>
      <c r="AA28" s="4"/>
    </row>
    <row r="29" spans="1:27">
      <c r="A29" s="1"/>
      <c r="B29" s="4"/>
      <c r="C29" s="2"/>
      <c r="D29" s="2" t="s">
        <v>1314</v>
      </c>
      <c r="E29" s="13"/>
      <c r="F29" s="13"/>
      <c r="G29" s="13"/>
      <c r="H29" s="4"/>
      <c r="I29" s="4"/>
      <c r="J29" s="4"/>
      <c r="K29" s="4"/>
      <c r="L29" s="4"/>
      <c r="M29" s="4"/>
      <c r="N29" s="4"/>
      <c r="O29" s="4"/>
      <c r="P29" s="4"/>
      <c r="Q29" s="4"/>
      <c r="R29" s="4"/>
      <c r="S29" s="4"/>
      <c r="T29" s="4"/>
      <c r="U29" s="4"/>
      <c r="V29" s="4"/>
      <c r="W29" s="4"/>
      <c r="X29" s="4"/>
      <c r="Y29" s="4"/>
      <c r="Z29" s="4"/>
      <c r="AA29" s="4"/>
    </row>
    <row r="30" spans="1:27">
      <c r="A30" s="1"/>
      <c r="B30" s="4"/>
      <c r="C30" s="2"/>
      <c r="D30" s="2" t="s">
        <v>347</v>
      </c>
      <c r="E30" s="13"/>
      <c r="F30" s="13"/>
      <c r="G30" s="13"/>
      <c r="H30" s="4"/>
      <c r="I30" s="4"/>
      <c r="J30" s="4"/>
      <c r="K30" s="4"/>
      <c r="L30" s="4"/>
      <c r="M30" s="4"/>
      <c r="N30" s="4"/>
      <c r="O30" s="4"/>
      <c r="P30" s="4"/>
      <c r="Q30" s="4"/>
      <c r="R30" s="4"/>
      <c r="S30" s="4"/>
      <c r="T30" s="4"/>
      <c r="U30" s="4"/>
      <c r="V30" s="4"/>
      <c r="W30" s="4"/>
      <c r="X30" s="4"/>
      <c r="Y30" s="4"/>
      <c r="Z30" s="4"/>
      <c r="AA30" s="4"/>
    </row>
    <row r="31" ht="25.5" spans="1:27">
      <c r="A31" s="6"/>
      <c r="B31" s="7"/>
      <c r="C31" s="7"/>
      <c r="D31" s="8" t="s">
        <v>1315</v>
      </c>
      <c r="E31" s="7"/>
      <c r="F31" s="7"/>
      <c r="G31" s="4"/>
      <c r="H31" s="4"/>
      <c r="I31" s="4"/>
      <c r="J31" s="4"/>
      <c r="K31" s="4"/>
      <c r="L31" s="4"/>
      <c r="M31" s="4"/>
      <c r="N31" s="4"/>
      <c r="O31" s="4"/>
      <c r="P31" s="4"/>
      <c r="Q31" s="4"/>
      <c r="R31" s="4"/>
      <c r="S31" s="4"/>
      <c r="T31" s="4"/>
      <c r="U31" s="4"/>
      <c r="V31" s="4"/>
      <c r="W31" s="4"/>
      <c r="X31" s="4"/>
      <c r="Y31" s="4"/>
      <c r="Z31" s="4"/>
      <c r="AA31" s="4"/>
    </row>
    <row r="32" spans="1:27">
      <c r="A32" s="1"/>
      <c r="B32" s="4"/>
      <c r="C32" s="4"/>
      <c r="D32" s="10" t="s">
        <v>1316</v>
      </c>
      <c r="E32" s="4"/>
      <c r="F32" s="4"/>
      <c r="G32" s="4"/>
      <c r="H32" s="4"/>
      <c r="I32" s="4"/>
      <c r="J32" s="4"/>
      <c r="K32" s="4"/>
      <c r="L32" s="4"/>
      <c r="M32" s="4"/>
      <c r="N32" s="4"/>
      <c r="O32" s="4"/>
      <c r="P32" s="4"/>
      <c r="Q32" s="4"/>
      <c r="R32" s="4"/>
      <c r="S32" s="4"/>
      <c r="T32" s="4"/>
      <c r="U32" s="4"/>
      <c r="V32" s="4"/>
      <c r="W32" s="4"/>
      <c r="X32" s="4"/>
      <c r="Y32" s="4"/>
      <c r="Z32" s="4"/>
      <c r="AA32" s="4"/>
    </row>
    <row r="33" spans="1:27">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spans="1:27">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spans="1:2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spans="1:27">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spans="1:27">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spans="1:27">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spans="1:27">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spans="1:27">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spans="1:2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spans="1:27">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spans="1:27">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spans="1:27">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spans="1:27">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sheetData>
  <mergeCells count="12">
    <mergeCell ref="A2:A6"/>
    <mergeCell ref="A10:A14"/>
    <mergeCell ref="A18:A22"/>
    <mergeCell ref="A26:A30"/>
    <mergeCell ref="B2:B6"/>
    <mergeCell ref="B10:B14"/>
    <mergeCell ref="B18:B22"/>
    <mergeCell ref="B26:B30"/>
    <mergeCell ref="C2:C6"/>
    <mergeCell ref="C10:C14"/>
    <mergeCell ref="C18:C22"/>
    <mergeCell ref="C26:C3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16</vt:i4>
      </vt:variant>
    </vt:vector>
  </HeadingPairs>
  <TitlesOfParts>
    <vt:vector size="16" baseType="lpstr">
      <vt:lpstr>阶段实际盈亏</vt:lpstr>
      <vt:lpstr>价格策略模拟</vt:lpstr>
      <vt:lpstr>总表（阶段盈亏）</vt:lpstr>
      <vt:lpstr>毛利盈亏</vt:lpstr>
      <vt:lpstr>总表（阶段盈亏） (调整后)</vt:lpstr>
      <vt:lpstr>CPC表格</vt:lpstr>
      <vt:lpstr>推广目标</vt:lpstr>
      <vt:lpstr>推广计划</vt:lpstr>
      <vt:lpstr>广告计划</vt:lpstr>
      <vt:lpstr>利润&amp;ROI测算</vt:lpstr>
      <vt:lpstr>2</vt:lpstr>
      <vt:lpstr>逮虾户上贴费用详情</vt:lpstr>
      <vt:lpstr>西柚找词垃圾词</vt:lpstr>
      <vt:lpstr>发补货模型</vt:lpstr>
      <vt:lpstr>关键词追踪表</vt:lpstr>
      <vt:lpstr>每日竞品追踪</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WPS_1778554845</cp:lastModifiedBy>
  <dcterms:created xsi:type="dcterms:W3CDTF">2026-09-08T10:23:53Z</dcterms:created>
  <dcterms:modified xsi:type="dcterms:W3CDTF">2026-09-08T13:53:02Z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D92D683F11D149D4BBDFC1F5AA9B0877_12</vt:lpwstr>
  </property>
  <property fmtid="{D5CDD505-2E9C-101B-9397-08002B2CF9AE}" pid="3" name="KSOProductBuildVer">
    <vt:lpwstr>2052-12.1.0.28505</vt:lpwstr>
  </property>
  <property fmtid="{D5CDD505-2E9C-101B-9397-08002B2CF9AE}" pid="4" name="CalculationRule">
    <vt:i4>0</vt:i4>
  </property>
</Properties>
</file>