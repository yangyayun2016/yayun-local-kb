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worksheets/sheet6.xml" ContentType="application/vnd.openxmlformats-officedocument.spreadsheetml.worksheet+xml"/>
  <Default Extension="rels" ContentType="application/vnd.openxmlformats-package.relationships+xml"/>
  <Default Extension="xml" ContentType="application/xml"/>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推广目标" sheetId="2" r:id="rId5"/>
    <sheet name="推广计划" sheetId="3" r:id="rId6"/>
    <sheet name="广告计划" sheetId="4" r:id="rId7"/>
    <sheet name="利润&amp;ROI测算" sheetId="5" r:id="rId8"/>
    <sheet name="账号&amp;备货规划" sheetId="6" r:id="rId9"/>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55e15e8d-8cbf-45b2-88c6-74123618ff3b}">
      <text>
        <r>
          <rPr>
            <b val="true"/>
            <i val="false"/>
            <strike val="false"/>
            <sz val="9"/>
            <color rgb="FF000000"/>
          </rPr>
          <t xml:space="preserve">作者:
Return退款率</t>
        </r>
      </text>
    </comment>
    <comment ref="H2" authorId="0" shapeId="0" xr:uid="{f6a8a762-6d40-4e8a-8a54-0ce738841504}">
      <text>
        <r>
          <rPr>
            <b val="true"/>
            <i val="false"/>
            <strike val="false"/>
            <sz val="9"/>
            <color rgb="FF000000"/>
          </rPr>
          <t>作者:</t>
        </r>
        <r>
          <rPr>
            <b val="false"/>
            <i val="false"/>
            <strike val="false"/>
            <sz val="9"/>
            <color rgb="FF000000"/>
          </rPr>
          <t xml:space="preserve">
币种： 
采购成本</t>
        </r>
      </text>
    </comment>
    <comment ref="V2" authorId="0" shapeId="0" xr:uid="{a3f59f26-67f0-4179-a833-86a6dd3673cf}">
      <text>
        <r>
          <rPr>
            <b val="true"/>
            <i val="false"/>
            <strike val="false"/>
            <sz val="9"/>
            <color rgb="FF000000"/>
          </rPr>
          <t>作者:</t>
        </r>
        <r>
          <rPr>
            <b val="false"/>
            <i val="false"/>
            <strike val="false"/>
            <sz val="9"/>
            <color rgb="FF000000"/>
          </rPr>
          <t xml:space="preserve">
按照10% coupon计算</t>
        </r>
      </text>
    </comment>
    <comment ref="BB2" authorId="0" shapeId="0" xr:uid="{c3a2f1f4-c4ee-49db-aa20-2e732c2729a0}">
      <text>
        <r>
          <rPr>
            <b val="true"/>
            <i val="false"/>
            <strike val="false"/>
            <sz val="9"/>
            <color rgb="FF000000"/>
          </rPr>
          <t>作者:</t>
        </r>
        <r>
          <rPr>
            <b val="false"/>
            <i val="false"/>
            <strike val="false"/>
            <sz val="9"/>
            <color rgb="FF000000"/>
          </rPr>
          <t xml:space="preserve">
增加礼品卡测评费
预计400*$8</t>
        </r>
      </text>
    </comment>
    <comment ref="BR2" authorId="0" shapeId="0" xr:uid="{58a6d451-3848-4c32-a791-7bc581f364c1}">
      <text>
        <r>
          <rPr>
            <b val="true"/>
            <i val="false"/>
            <strike val="false"/>
            <sz val="9"/>
            <color rgb="FF000000"/>
          </rPr>
          <t>作者:</t>
        </r>
        <r>
          <rPr>
            <b val="false"/>
            <i val="false"/>
            <strike val="false"/>
            <sz val="9"/>
            <color rgb="FF000000"/>
          </rPr>
          <t xml:space="preserve">
增加礼品卡测评费用400*$8</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<sst xmlns="http://schemas.openxmlformats.org/spreadsheetml/2006/main" count="274" uniqueCount="274">
  <si>
    <t xml:space="preserve">  </t>
  </si>
  <si>
    <t xml:space="preserve">SKU：                     ASIN：</t>
  </si>
  <si>
    <t xml:space="preserve">上架销售时间：</t>
  </si>
  <si>
    <t xml:space="preserve">推广周期：</t>
  </si>
  <si>
    <t xml:space="preserve">2月28日-5月31日</t>
  </si>
  <si>
    <t xml:space="preserve">排名目标：</t>
  </si>
  <si>
    <t xml:space="preserve">Portable Power Banks #20</t>
  </si>
  <si>
    <t xml:space="preserve">目标销量：</t>
  </si>
  <si>
    <t xml:space="preserve">50pcs/天</t>
  </si>
  <si>
    <t xml:space="preserve">目标管理</t>
  </si>
  <si>
    <t xml:space="preserve">目标</t>
  </si>
  <si>
    <t xml:space="preserve">ASIN 1</t>
  </si>
  <si>
    <t xml:space="preserve">对标竞品</t>
  </si>
  <si>
    <t xml:space="preserve">目标排名</t>
  </si>
  <si>
    <t xml:space="preserve">目标日销</t>
  </si>
  <si>
    <t xml:space="preserve">价格</t>
  </si>
  <si>
    <t xml:space="preserve">rating</t>
  </si>
  <si>
    <t xml:space="preserve">评分</t>
  </si>
  <si>
    <t xml:space="preserve">主推词</t>
  </si>
  <si>
    <t xml:space="preserve">WEEK</t>
  </si>
  <si>
    <t xml:space="preserve">Date</t>
  </si>
  <si>
    <t xml:space="preserve">SKU</t>
  </si>
  <si>
    <t xml:space="preserve">售价</t>
  </si>
  <si>
    <t xml:space="preserve">COUPON</t>
  </si>
  <si>
    <t xml:space="preserve">Action</t>
  </si>
  <si>
    <t xml:space="preserve">目标平均日销</t>
  </si>
  <si>
    <t xml:space="preserve">周销</t>
  </si>
  <si>
    <t xml:space="preserve">目标排名</t>
  </si>
  <si>
    <t xml:space="preserve">Review星级/数量</t>
  </si>
  <si>
    <t xml:space="preserve">REVIEW计划</t>
  </si>
  <si>
    <t xml:space="preserve">周消耗库存</t>
  </si>
  <si>
    <t xml:space="preserve">销售额</t>
  </si>
  <si>
    <t xml:space="preserve">日均流量</t>
  </si>
  <si>
    <t xml:space="preserve">转化率</t>
  </si>
  <si>
    <t xml:space="preserve">主关键词自然搜索排名</t>
  </si>
  <si>
    <t xml:space="preserve">广告计划</t>
  </si>
  <si>
    <t xml:space="preserve">库存计划</t>
  </si>
  <si>
    <t xml:space="preserve">送出数量</t>
  </si>
  <si>
    <t xml:space="preserve">措施</t>
  </si>
  <si>
    <t xml:space="preserve">广告日预算</t>
  </si>
  <si>
    <t xml:space="preserve">每日点击</t>
  </si>
  <si>
    <t xml:space="preserve">CPC</t>
  </si>
  <si>
    <t xml:space="preserve">CVR</t>
  </si>
  <si>
    <t xml:space="preserve">广告日订单</t>
  </si>
  <si>
    <t xml:space="preserve">广告订单占比</t>
  </si>
  <si>
    <t xml:space="preserve">LBS库存</t>
  </si>
  <si>
    <t xml:space="preserve">SZ</t>
  </si>
  <si>
    <t xml:space="preserve">LBS在途</t>
  </si>
  <si>
    <t xml:space="preserve">LBS发货</t>
  </si>
  <si>
    <t xml:space="preserve">采购计划</t>
  </si>
  <si>
    <t xml:space="preserve">WEEK1</t>
  </si>
  <si>
    <t xml:space="preserve">
2.28-3.6</t>
  </si>
  <si>
    <t xml:space="preserve">coupon+广告</t>
  </si>
  <si>
    <t xml:space="preserve">主推关键词：power bank, portable charger
目标：第5页</t>
  </si>
  <si>
    <t xml:space="preserve">2490海运</t>
  </si>
  <si>
    <t xml:space="preserve">WEEK2</t>
  </si>
  <si>
    <t xml:space="preserve">
3.7-3.13</t>
  </si>
  <si>
    <t xml:space="preserve">主推关键词：power bank, portable charger
目标：第4页</t>
  </si>
  <si>
    <t xml:space="preserve">WEEK3</t>
  </si>
  <si>
    <t xml:space="preserve">
3.14-3.20</t>
  </si>
  <si>
    <t xml:space="preserve">主推关键词：power bank, portable charger
目标：第3页</t>
  </si>
  <si>
    <t xml:space="preserve">1310卡派</t>
  </si>
  <si>
    <t xml:space="preserve">720至TT
600至RUI备用</t>
  </si>
  <si>
    <t xml:space="preserve">WEEK4</t>
  </si>
  <si>
    <t xml:space="preserve">
3.21-3.27</t>
  </si>
  <si>
    <t xml:space="preserve">7DD+加大广告投放</t>
  </si>
  <si>
    <t xml:space="preserve">WEEK5</t>
  </si>
  <si>
    <t xml:space="preserve">
3.28-4.3</t>
  </si>
  <si>
    <t xml:space="preserve">主推关键词：power bank, portable charger
目标：第2页</t>
  </si>
  <si>
    <t xml:space="preserve">WEEK6</t>
  </si>
  <si>
    <t xml:space="preserve">4.4-4.10</t>
  </si>
  <si>
    <t xml:space="preserve">900至TT
</t>
  </si>
  <si>
    <t xml:space="preserve">WEEK7</t>
  </si>
  <si>
    <t xml:space="preserve">4.11-4.17</t>
  </si>
  <si>
    <t xml:space="preserve">1980(PD)</t>
  </si>
  <si>
    <t xml:space="preserve">WEEK8</t>
  </si>
  <si>
    <t xml:space="preserve">4.18-4.24</t>
  </si>
  <si>
    <t xml:space="preserve">主推关键词：power bank, portable charger
目标：第1页</t>
  </si>
  <si>
    <t xml:space="preserve">900至TT</t>
  </si>
  <si>
    <t xml:space="preserve">WEEK9</t>
  </si>
  <si>
    <t xml:space="preserve">4.25-5.1</t>
  </si>
  <si>
    <t xml:space="preserve">1500卡派</t>
  </si>
  <si>
    <t xml:space="preserve">WEEK10</t>
  </si>
  <si>
    <t xml:space="preserve">5.2-5.8</t>
  </si>
  <si>
    <t xml:space="preserve">680至TT</t>
  </si>
  <si>
    <t xml:space="preserve">WEEK11</t>
  </si>
  <si>
    <t xml:space="preserve">5.9-5.15</t>
  </si>
  <si>
    <t xml:space="preserve">WEEK12</t>
  </si>
  <si>
    <t xml:space="preserve">5.16-5.22</t>
  </si>
  <si>
    <t xml:space="preserve">1980卡派</t>
  </si>
  <si>
    <t xml:space="preserve">切换到RUI卖</t>
  </si>
  <si>
    <t xml:space="preserve">WEEK13</t>
  </si>
  <si>
    <t xml:space="preserve">5.23-5.29</t>
  </si>
  <si>
    <t/>
    <r>
      <rPr>
        <b val="true"/>
        <i val="true"/>
        <strike val="false"/>
        <sz val="11"/>
        <color rgb="FFFF0000"/>
      </rPr>
      <t>预估量说明：</t>
    </r>
    <r>
      <rPr>
        <b val="false"/>
        <i val="false"/>
        <strike val="false"/>
        <sz val="11"/>
        <color rgb="FF000000"/>
      </rPr>
      <t xml:space="preserve">
</t>
    </r>
    <r>
      <rPr>
        <b val="true"/>
        <i val="false"/>
        <strike val="false"/>
        <sz val="11"/>
        <color rgb="FF000000"/>
      </rPr>
      <t>平均cpc和转化率的值的预估方法：</t>
    </r>
    <r>
      <rPr>
        <b val="false"/>
        <i val="false"/>
        <strike val="false"/>
        <sz val="11"/>
        <color rgb="FF000000"/>
      </rPr>
      <t xml:space="preserve">
1.市场调研得到同行平均cpc的基础上适当上调；
2.正在做的同品类商品的历史cpc基础上适当上调；
</t>
    </r>
    <r>
      <rPr>
        <b val="true"/>
        <i val="false"/>
        <strike val="false"/>
        <sz val="11"/>
        <color rgb="FF000000"/>
      </rPr>
      <t>平均cpc和转化率计划制定的说明：</t>
    </r>
    <r>
      <rPr>
        <b val="false"/>
        <i val="false"/>
        <strike val="false"/>
        <sz val="11"/>
        <color rgb="FF000000"/>
      </rPr>
      <t xml:space="preserve">
新品期间波动大，采用梯度预估
eg:当cpc为2.5$,转化率为5%的时候，完成日销目标对应的广告费为105$/天；
    当cpc为2.3$.转化率为7%的时候，完成日销目标对应的广告费为69$/天</t>
    </r>
  </si>
  <si>
    <t xml:space="preserve">WEEK</t>
  </si>
  <si>
    <t xml:space="preserve">Date</t>
  </si>
  <si>
    <t xml:space="preserve">售价</t>
  </si>
  <si>
    <t xml:space="preserve">目标平均日销</t>
  </si>
  <si>
    <t xml:space="preserve">销售额</t>
  </si>
  <si>
    <t xml:space="preserve">转化率</t>
  </si>
  <si>
    <t xml:space="preserve">日均流量</t>
  </si>
  <si>
    <t xml:space="preserve">广告销量</t>
  </si>
  <si>
    <t xml:space="preserve">广告销售额</t>
  </si>
  <si>
    <t xml:space="preserve">广告订单占比</t>
  </si>
  <si>
    <t xml:space="preserve">广告费</t>
  </si>
  <si>
    <t xml:space="preserve">点击量</t>
  </si>
  <si>
    <t xml:space="preserve">预估量</t>
  </si>
  <si>
    <t xml:space="preserve">广告结构</t>
  </si>
  <si>
    <t xml:space="preserve">广告目标及关注指标</t>
  </si>
  <si>
    <t xml:space="preserve">广告关键词</t>
  </si>
  <si>
    <t xml:space="preserve">不同广告类型预算分配</t>
  </si>
  <si>
    <t xml:space="preserve">平均cpc</t>
  </si>
  <si>
    <t xml:space="preserve">广告转化率</t>
  </si>
  <si>
    <t xml:space="preserve">WEEK1</t>
  </si>
  <si>
    <t xml:space="preserve">
2.28-3.6</t>
  </si>
  <si>
    <t xml:space="preserve">campaign1：自动广告
campaign2：手动广告测试组B
campaign3：SD-categories
campaign4：PT
campaign5：手动广告核心关键词E</t>
  </si>
  <si>
    <t/>
    <r>
      <rPr>
        <b val="false"/>
        <i val="false"/>
        <strike val="false"/>
        <sz val="11"/>
        <color rgb="FF000000"/>
      </rPr>
      <t xml:space="preserve">有效流量引入
</t>
    </r>
    <r>
      <rPr>
        <b val="true"/>
        <i val="false"/>
        <strike val="false"/>
        <sz val="9"/>
        <color rgb="FF000000"/>
      </rPr>
      <t>点击率；转化率；订单量</t>
    </r>
  </si>
  <si>
    <t xml:space="preserve">power bank（主推）
powerbank
power bank fast charging
phone charger power bank
power bank iphone
usb power bank
phone power bank
usb c power bank
power bank fast charge
portable power bank
fast charge power bank
power bank 10000mah
phone battery power bank
iphone battery power bank
samsung power bank
iphone power bank charger
slim power bank
power bank charger
10000 mah power bank
portable battery power bank
quick charge 3.0 power bank
usb c pd power bank
portable charger（主推）
portable charger iphone
portable phone charger
iphone portable charger battery
usb c portable charger
mobile phone charger portable
portable phone charger power bank
portable charger usb c
portable charger samsung
long lasting portable charger
portable charger 10000mah
portable phone charger samsung
battery bank
usb battery pack
iphone battery pack
usb c battery pack
phone charger pack
battery pack phone charger
iphone power pack</t>
  </si>
  <si>
    <t xml:space="preserve">WEEK2</t>
  </si>
  <si>
    <t xml:space="preserve">
3.7-3.13</t>
  </si>
  <si>
    <t xml:space="preserve">campaign1：自动广告
campaign2：手动广告测试组B
campaign3：SD-categories
campaign4：PT
campaign5：手动广告核心关键词E
campaign6：SBV-PT / SBV-KT</t>
  </si>
  <si>
    <t xml:space="preserve">SP:70%
SD:15%
SB:15%</t>
  </si>
  <si>
    <t xml:space="preserve">WEEK3</t>
  </si>
  <si>
    <t xml:space="preserve">
3.14-3.20</t>
  </si>
  <si>
    <t xml:space="preserve">WEEK4</t>
  </si>
  <si>
    <t xml:space="preserve">
3.21-3.27</t>
  </si>
  <si>
    <t xml:space="preserve">WEEK5</t>
  </si>
  <si>
    <t xml:space="preserve">
3.28-4.3</t>
  </si>
  <si>
    <t xml:space="preserve">campaign1：自动广告
campaign2：手动广告主推词BP
campaign3：SD-categories
campaign4：PT
campaign5：手动广告核心关键词E
campaign6：SBV-PT / SBV-KT</t>
  </si>
  <si>
    <t/>
    <r>
      <rPr>
        <b val="false"/>
        <i val="false"/>
        <strike val="false"/>
        <sz val="11"/>
        <color rgb="FF000000"/>
      </rPr>
      <t xml:space="preserve">推动销售
</t>
    </r>
    <r>
      <rPr>
        <b val="true"/>
        <i val="false"/>
        <strike val="false"/>
        <sz val="9"/>
        <color rgb="FF000000"/>
      </rPr>
      <t>点击率；转化率；订单量；Acos</t>
    </r>
  </si>
  <si>
    <t xml:space="preserve">WEEK6</t>
  </si>
  <si>
    <t xml:space="preserve">4.4-4.10</t>
  </si>
  <si>
    <t xml:space="preserve">WEEK7</t>
  </si>
  <si>
    <t xml:space="preserve">4.11-4.17</t>
  </si>
  <si>
    <t xml:space="preserve">WEEK8</t>
  </si>
  <si>
    <t xml:space="preserve">4.18-4.24</t>
  </si>
  <si>
    <t xml:space="preserve">WEEK9</t>
  </si>
  <si>
    <t xml:space="preserve">4.25-5.1</t>
  </si>
  <si>
    <t xml:space="preserve">WEEK10</t>
  </si>
  <si>
    <t xml:space="preserve">5.2-5.8</t>
  </si>
  <si>
    <t xml:space="preserve">WEEK11</t>
  </si>
  <si>
    <t xml:space="preserve">5.9-5.15</t>
  </si>
  <si>
    <t xml:space="preserve">WEEK12</t>
  </si>
  <si>
    <t xml:space="preserve">5.16-5.22</t>
  </si>
  <si>
    <t xml:space="preserve">campaign1：自动广告
campaign2：手动广告主推词PE
campaign3：SD-categories
campaign4：PT
campaign5：手动广告核心关键词E
campaign6：SBV-PT / SBV-KT</t>
  </si>
  <si>
    <t/>
    <r>
      <rPr>
        <b val="false"/>
        <i val="false"/>
        <strike val="false"/>
        <sz val="11"/>
        <color rgb="FF000000"/>
      </rPr>
      <t xml:space="preserve">防守&amp;进攻
</t>
    </r>
    <r>
      <rPr>
        <b val="true"/>
        <i val="false"/>
        <strike val="false"/>
        <sz val="9"/>
        <color rgb="FF000000"/>
      </rPr>
      <t>转化率；订单量；Acos/Roas</t>
    </r>
  </si>
  <si>
    <t xml:space="preserve">SP:60%
SD:20%
SB:20%</t>
  </si>
  <si>
    <t xml:space="preserve">WEEK13</t>
  </si>
  <si>
    <t xml:space="preserve">5.23-5.31</t>
  </si>
  <si>
    <t xml:space="preserve">细分项</t>
  </si>
  <si>
    <t xml:space="preserve">3月</t>
  </si>
  <si>
    <t xml:space="preserve">4月</t>
  </si>
  <si>
    <t xml:space="preserve">5月</t>
  </si>
  <si>
    <t xml:space="preserve">达标后每月销售</t>
  </si>
  <si>
    <t xml:space="preserve">状态</t>
  </si>
  <si>
    <t xml:space="preserve">Asin</t>
  </si>
  <si>
    <t xml:space="preserve">Model#</t>
  </si>
  <si>
    <t xml:space="preserve">国家</t>
  </si>
  <si>
    <t xml:space="preserve">佣金比例</t>
  </si>
  <si>
    <t/>
    <r>
      <rPr>
        <b val="true"/>
        <i val="false"/>
        <strike val="false"/>
        <sz val="12"/>
        <color rgb="FFFF0000"/>
      </rPr>
      <t>RMA</t>
    </r>
    <r>
      <rPr>
        <b val="true"/>
        <i val="false"/>
        <strike val="false"/>
        <sz val="12"/>
        <color rgb="FFFF0000"/>
      </rPr>
      <t>比例</t>
    </r>
  </si>
  <si>
    <t xml:space="preserve">广告费占比</t>
  </si>
  <si>
    <t/>
    <r>
      <rPr>
        <b val="true"/>
        <i val="false"/>
        <strike val="false"/>
        <sz val="12"/>
        <color rgb="FFFF0000"/>
      </rPr>
      <t>MC/</t>
    </r>
    <r>
      <rPr>
        <b val="true"/>
        <i val="false"/>
        <strike val="false"/>
        <sz val="12"/>
        <color rgb="FFFF0000"/>
      </rPr>
      <t>个</t>
    </r>
  </si>
  <si>
    <t/>
    <r>
      <rPr>
        <b val="true"/>
        <i val="false"/>
        <strike val="false"/>
        <sz val="12"/>
        <color rgb="FFFF0000"/>
      </rPr>
      <t>FBA</t>
    </r>
    <r>
      <rPr>
        <b val="true"/>
        <i val="false"/>
        <strike val="false"/>
        <sz val="12"/>
        <color rgb="FFFF0000"/>
      </rPr>
      <t>配送费</t>
    </r>
  </si>
  <si>
    <t/>
    <r>
      <rPr>
        <b val="true"/>
        <i val="false"/>
        <strike val="false"/>
        <sz val="12"/>
        <color rgb="FF000000"/>
      </rPr>
      <t>退换货分摊</t>
    </r>
    <r>
      <rPr>
        <b val="true"/>
        <i val="false"/>
        <strike val="false"/>
        <sz val="12"/>
        <color rgb="FF000000"/>
      </rPr>
      <t xml:space="preserve">
/</t>
    </r>
    <r>
      <rPr>
        <b val="true"/>
        <i val="false"/>
        <strike val="false"/>
        <sz val="12"/>
        <color rgb="FF000000"/>
      </rPr>
      <t>个</t>
    </r>
  </si>
  <si>
    <t xml:space="preserve">VAT</t>
  </si>
  <si>
    <t xml:space="preserve">待办操作</t>
  </si>
  <si>
    <t xml:space="preserve">售价</t>
  </si>
  <si>
    <t xml:space="preserve">月销量</t>
  </si>
  <si>
    <t xml:space="preserve">销售总额</t>
  </si>
  <si>
    <t xml:space="preserve">MC</t>
  </si>
  <si>
    <t xml:space="preserve">佣金</t>
  </si>
  <si>
    <t xml:space="preserve">配送费</t>
  </si>
  <si>
    <t/>
    <r>
      <rPr>
        <b val="true"/>
        <i val="false"/>
        <strike val="false"/>
        <sz val="12"/>
        <color rgb="FF000000"/>
      </rPr>
      <t>RMA</t>
    </r>
    <r>
      <rPr>
        <b val="true"/>
        <i val="false"/>
        <strike val="false"/>
        <sz val="12"/>
        <color rgb="FF000000"/>
      </rPr>
      <t>扣减</t>
    </r>
  </si>
  <si>
    <t xml:space="preserve">广告费</t>
  </si>
  <si>
    <t xml:space="preserve">促销费</t>
  </si>
  <si>
    <t xml:space="preserve">成本总计</t>
  </si>
  <si>
    <t xml:space="preserve">回款额
UK</t>
  </si>
  <si>
    <t xml:space="preserve">回款率</t>
  </si>
  <si>
    <t/>
    <r>
      <rPr>
        <b val="true"/>
        <i val="false"/>
        <strike val="false"/>
        <sz val="12"/>
        <color rgb="FF000000"/>
      </rPr>
      <t xml:space="preserve">净毛利 </t>
    </r>
    <r>
      <rPr>
        <b val="true"/>
        <i val="false"/>
        <strike val="false"/>
        <sz val="12"/>
        <color rgb="FF000000"/>
      </rPr>
      <t>US</t>
    </r>
  </si>
  <si>
    <t xml:space="preserve">净毛利率</t>
  </si>
  <si>
    <t xml:space="preserve">操作</t>
  </si>
  <si>
    <t xml:space="preserve">VAT
</t>
  </si>
  <si>
    <t/>
    <r>
      <rPr>
        <b val="true"/>
        <i val="false"/>
        <strike val="false"/>
        <sz val="12"/>
        <color rgb="FF000000"/>
      </rPr>
      <t xml:space="preserve">回款额
U</t>
    </r>
    <r>
      <rPr>
        <b val="true"/>
        <i val="false"/>
        <strike val="false"/>
        <sz val="12"/>
        <color rgb="FF000000"/>
      </rPr>
      <t>S</t>
    </r>
  </si>
  <si>
    <t xml:space="preserve">净毛利 US</t>
  </si>
  <si>
    <t xml:space="preserve">产品成本</t>
  </si>
  <si>
    <t xml:space="preserve">回款额
EU</t>
  </si>
  <si>
    <t xml:space="preserve">净毛利 EU</t>
  </si>
  <si>
    <t xml:space="preserve">空运</t>
  </si>
  <si>
    <t xml:space="preserve">XX</t>
  </si>
  <si>
    <t xml:space="preserve">X</t>
  </si>
  <si>
    <t xml:space="preserve">UK</t>
  </si>
  <si>
    <t xml:space="preserve">海运</t>
  </si>
  <si>
    <t xml:space="preserve">价格利润测算</t>
  </si>
  <si>
    <t xml:space="preserve">Model</t>
  </si>
  <si>
    <t xml:space="preserve">Price</t>
  </si>
  <si>
    <t xml:space="preserve">All cost</t>
  </si>
  <si>
    <t xml:space="preserve">Profit</t>
  </si>
  <si>
    <t xml:space="preserve">Profit%</t>
  </si>
  <si>
    <t xml:space="preserve">退货均摊</t>
  </si>
  <si>
    <t xml:space="preserve">VAT税率</t>
  </si>
  <si>
    <t xml:space="preserve">佣金率</t>
  </si>
  <si>
    <t xml:space="preserve">退货率</t>
  </si>
  <si>
    <t xml:space="preserve">折扣% off</t>
  </si>
  <si>
    <t xml:space="preserve">底价</t>
  </si>
  <si>
    <t xml:space="preserve">xxxxx-001</t>
  </si>
  <si>
    <t xml:space="preserve">XX-001</t>
  </si>
  <si>
    <t xml:space="preserve">xxxxx-002</t>
  </si>
  <si>
    <t xml:space="preserve">XX-002</t>
  </si>
  <si>
    <t xml:space="preserve">xxxxx-003</t>
  </si>
  <si>
    <t xml:space="preserve">XX-003</t>
  </si>
  <si>
    <t xml:space="preserve">xxxxx-004</t>
  </si>
  <si>
    <t xml:space="preserve">XX-004</t>
  </si>
  <si>
    <t xml:space="preserve">xxxxx-005</t>
  </si>
  <si>
    <t xml:space="preserve">XX-005</t>
  </si>
  <si>
    <t xml:space="preserve">xxxxx-006</t>
  </si>
  <si>
    <t xml:space="preserve">XX-006</t>
  </si>
  <si>
    <t xml:space="preserve">xxxxx-007</t>
  </si>
  <si>
    <t xml:space="preserve">XX-007</t>
  </si>
  <si>
    <t xml:space="preserve">ROI测算</t>
  </si>
  <si>
    <t xml:space="preserve">月份</t>
  </si>
  <si>
    <t xml:space="preserve">总销售额</t>
  </si>
  <si>
    <t xml:space="preserve">累计净毛利</t>
  </si>
  <si>
    <t xml:space="preserve">6月</t>
  </si>
  <si>
    <t xml:space="preserve">7月</t>
  </si>
  <si>
    <t xml:space="preserve">8月</t>
  </si>
  <si>
    <t xml:space="preserve">采购单</t>
  </si>
  <si>
    <t xml:space="preserve">中仓</t>
  </si>
  <si>
    <t xml:space="preserve">FBA调拨</t>
  </si>
  <si>
    <t xml:space="preserve">采购单类型</t>
  </si>
  <si>
    <t xml:space="preserve">下采购购单日期</t>
  </si>
  <si>
    <t xml:space="preserve">采购数量</t>
  </si>
  <si>
    <t xml:space="preserve">入中仓时间</t>
  </si>
  <si>
    <t xml:space="preserve">入仓数量</t>
  </si>
  <si>
    <t xml:space="preserve">是否备安全库存</t>
  </si>
  <si>
    <t xml:space="preserve">安全库存数量</t>
  </si>
  <si>
    <t xml:space="preserve">调拨时间</t>
  </si>
  <si>
    <t xml:space="preserve">物流方式</t>
  </si>
  <si>
    <t xml:space="preserve">调拨数量</t>
  </si>
  <si>
    <t xml:space="preserve">调拨账号</t>
  </si>
  <si>
    <t xml:space="preserve">首单</t>
  </si>
  <si>
    <t xml:space="preserve">2021.12.7</t>
  </si>
  <si>
    <t xml:space="preserve">2022.1.16</t>
  </si>
  <si>
    <t xml:space="preserve">是</t>
  </si>
  <si>
    <t xml:space="preserve">2022.1.19</t>
  </si>
  <si>
    <t xml:space="preserve">海运</t>
  </si>
  <si>
    <t xml:space="preserve">LBS</t>
  </si>
  <si>
    <t xml:space="preserve">2022.2.11</t>
  </si>
  <si>
    <t xml:space="preserve">空派</t>
  </si>
  <si>
    <t xml:space="preserve">TT</t>
  </si>
  <si>
    <t xml:space="preserve">2022.3.18</t>
  </si>
  <si>
    <t xml:space="preserve">卡派</t>
  </si>
  <si>
    <t xml:space="preserve">翻单1</t>
  </si>
  <si>
    <t xml:space="preserve">2022.3.22</t>
  </si>
  <si>
    <t xml:space="preserve">2022.4.22</t>
  </si>
  <si>
    <t xml:space="preserve">否</t>
  </si>
  <si>
    <t xml:space="preserve">2022.4.23</t>
  </si>
  <si>
    <t xml:space="preserve">翻单2</t>
  </si>
  <si>
    <t xml:space="preserve">2022.4.12</t>
  </si>
  <si>
    <t xml:space="preserve">2022.5.12</t>
  </si>
  <si>
    <t xml:space="preserve">2022.5.13</t>
  </si>
  <si>
    <t xml:space="preserve">翻单3</t>
  </si>
  <si>
    <t xml:space="preserve">2022.4.28</t>
  </si>
  <si>
    <t xml:space="preserve">2022.5.28</t>
  </si>
  <si>
    <t xml:space="preserve">2022.5.29</t>
  </si>
  <si>
    <t xml:space="preserve">翻单4</t>
  </si>
  <si>
    <t xml:space="preserve">2022.5.19</t>
  </si>
  <si>
    <t xml:space="preserve">2022.7.1</t>
  </si>
  <si>
    <t xml:space="preserve">2022.7.2</t>
  </si>
  <si>
    <t xml:space="preserve">采购交期45天，翻单1，2，3由于时间关系需要催单30天交付，若无法提前交付时间，则需提前下单或走部分空运</t>
  </si>
  <si>
    <t xml:space="preserve">FBA详细备货见推广计划</t>
  </si>
  <si>
    <t xml:space="preserve">安全库存</t>
  </si>
  <si>
    <t xml:space="preserve">1. 备货数量较保守，可能会有销量上涨，此部分库存用来避免断货</t>
  </si>
  <si>
    <t xml:space="preserve">2. 防止主要销售账号出现异常时，其他账号无货可售的情况</t>
  </si>
  <si>
    <t xml:space="preserve">3. 安全库存遵循先进先出原则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</si>
</sst>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164" formatCode="yyyy&quot;年&quot;m&quot;月&quot;d&quot;日&quot;"/>
    <numFmt numFmtId="165" formatCode="0.00%"/>
    <numFmt numFmtId="166" formatCode="0%"/>
    <numFmt numFmtId="167" formatCode="0_ "/>
    <numFmt numFmtId="168" formatCode="0"/>
    <numFmt numFmtId="169" formatCode="0.00_);[Red]\(0.00\)"/>
    <numFmt numFmtId="170" formatCode="0_);[Red]\(0\)"/>
    <numFmt numFmtId="171" formatCode="0_ "/>
    <numFmt numFmtId="172" formatCode="0.0%"/>
    <numFmt numFmtId="173" formatCode="0%"/>
    <numFmt numFmtId="174" formatCode="0"/>
    <numFmt numFmtId="175" formatCode="0.00_ "/>
    <numFmt numFmtId="176" formatCode="0_);[Red]\(0\)"/>
    <numFmt numFmtId="177" formatCode="0.00_);[Red]\(0.00\)"/>
    <numFmt numFmtId="178" formatCode="0.00%"/>
    <numFmt numFmtId="179" formatCode="0%"/>
    <numFmt numFmtId="180" formatCode="0.00"/>
    <numFmt numFmtId="181" formatCode="0"/>
    <numFmt numFmtId="182" formatCode="0_);\(0\)"/>
    <numFmt numFmtId="183" formatCode="m&quot;月&quot;d&quot;日&quot;;@"/>
  </numFmts>
  <fonts count="23">
    <font>
      <sz val="12"/>
      <color theme="1"/>
      <name val="Calibri"/>
      <family val="2"/>
      <scheme val="minor"/>
    </font>
    <font>
      <b val="true"/>
      <sz val="11"/>
      <color rgb="FF000000"/>
      <name val="Calibri"/>
      <family val="2"/>
      <scheme val="minor"/>
    </font>
    <font>
      <b val="true"/>
      <sz val="11"/>
      <color rgb="FFFF0000"/>
      <name val="Calibri"/>
      <family val="2"/>
      <scheme val="minor"/>
    </font>
    <font>
      <sz val="11"/>
      <color rgb="FF000000"/>
      <name val="Calibri"/>
      <family val="2"/>
      <scheme val="minor"/>
    </font>
    <font>
      <b val="true"/>
      <sz val="10"/>
      <color rgb="FF000000"/>
      <name val="Calibri"/>
      <family val="2"/>
      <scheme val="minor"/>
    </font>
    <font>
      <b val="true"/>
      <sz val="10"/>
      <color rgb="FFFF0000"/>
      <name val="Calibri"/>
      <family val="2"/>
      <scheme val="minor"/>
    </font>
    <font>
      <sz val="9"/>
      <color rgb="FF000000"/>
      <name val="Calibri"/>
      <family val="2"/>
      <scheme val="minor"/>
    </font>
    <font>
      <sz val="9"/>
      <color rgb="FFFF0000"/>
      <name val="Calibri"/>
      <family val="2"/>
      <scheme val="minor"/>
    </font>
    <font>
      <sz val="12"/>
      <color rgb="FF000000"/>
      <name val="Calibri"/>
      <family val="2"/>
      <scheme val="minor"/>
    </font>
    <font>
      <b val="true"/>
      <i val="true"/>
      <sz val="11"/>
      <color rgb="FFFF0000"/>
      <name val="Calibri"/>
      <family val="2"/>
      <scheme val="minor"/>
    </font>
    <font>
      <sz val="11"/>
      <color rgb="FF000000"/>
      <name val="Calibri"/>
      <family val="2"/>
      <scheme val="minor"/>
    </font>
    <font>
      <b val="true"/>
      <sz val="11"/>
      <color rgb="FF000000"/>
      <name val="Calibri"/>
      <family val="2"/>
      <scheme val="minor"/>
    </font>
    <font>
      <b val="true"/>
      <i val="true"/>
      <sz val="11"/>
      <color rgb="FF000000"/>
      <name val="Calibri"/>
      <family val="2"/>
      <scheme val="minor"/>
    </font>
    <font>
      <i val="true"/>
      <sz val="11"/>
      <color rgb="FF000000"/>
      <name val="Calibri"/>
      <family val="2"/>
      <scheme val="minor"/>
    </font>
    <font>
      <b val="true"/>
      <sz val="9"/>
      <color rgb="FF000000"/>
      <name val="Calibri"/>
      <family val="2"/>
      <scheme val="minor"/>
    </font>
    <font>
      <b val="true"/>
      <sz val="12"/>
      <color rgb="FF000000"/>
      <name val="Calibri"/>
      <family val="2"/>
      <scheme val="minor"/>
    </font>
    <font>
      <b val="true"/>
      <sz val="12"/>
      <color rgb="FFFF0000"/>
      <name val="Calibri"/>
      <family val="2"/>
      <scheme val="minor"/>
    </font>
    <font>
      <sz val="9"/>
      <color rgb="FF000000"/>
      <name val="Calibri"/>
      <family val="2"/>
      <scheme val="minor"/>
    </font>
    <font>
      <b val="true"/>
      <sz val="12"/>
      <color rgb="FF000000"/>
      <name val="Calibri"/>
      <family val="2"/>
      <scheme val="minor"/>
    </font>
    <font>
      <sz val="10"/>
      <color rgb="FF000000"/>
      <name val="Calibri"/>
      <family val="2"/>
      <scheme val="minor"/>
    </font>
    <font>
      <sz val="10"/>
      <color rgb="FFFF0000"/>
      <name val="Calibri"/>
      <family val="2"/>
      <scheme val="minor"/>
    </font>
    <font>
      <sz val="8"/>
      <color rgb="FF000000"/>
      <name val="Calibri"/>
      <family val="2"/>
      <scheme val="minor"/>
    </font>
    <font>
      <sz val="18"/>
      <color rgb="FFFF0000"/>
      <name val="Calibri"/>
      <family val="2"/>
      <scheme val="minor"/>
    </font>
  </fonts>
  <fills count="17">
    <fill>
      <patternFill patternType="none">
        <fgColor/>
        <bgColor/>
      </patternFill>
    </fill>
    <fill>
      <patternFill patternType="gray125">
        <fgColor/>
        <bgColor/>
      </patternFill>
    </fill>
    <fill>
      <patternFill patternType="solid">
        <fgColor rgb="FFFBE4D5"/>
        <bgColor/>
      </patternFill>
    </fill>
    <fill>
      <patternFill patternType="solid">
        <fgColor rgb="FF00B0F0"/>
        <bgColor/>
      </patternFill>
    </fill>
    <fill>
      <patternFill patternType="solid">
        <fgColor rgb="FF99CCFF"/>
        <bgColor/>
      </patternFill>
    </fill>
    <fill>
      <patternFill patternType="solid">
        <fgColor rgb="FFFFF2CB"/>
        <bgColor/>
      </patternFill>
    </fill>
    <fill>
      <patternFill patternType="solid">
        <fgColor rgb="FF99CCFF"/>
        <bgColor/>
      </patternFill>
    </fill>
    <fill>
      <patternFill patternType="solid">
        <fgColor rgb="FFFFC000"/>
        <bgColor/>
      </patternFill>
    </fill>
    <fill>
      <patternFill patternType="solid">
        <fgColor rgb="FFFFFF00"/>
        <bgColor/>
      </patternFill>
    </fill>
    <fill>
      <patternFill patternType="solid">
        <fgColor rgb="FFACB9CA"/>
        <bgColor/>
      </patternFill>
    </fill>
    <fill>
      <patternFill patternType="solid">
        <fgColor rgb="FFFFC000"/>
        <bgColor/>
      </patternFill>
    </fill>
    <fill>
      <patternFill patternType="solid">
        <fgColor rgb="FFC5DEB5"/>
        <bgColor/>
      </patternFill>
    </fill>
    <fill>
      <patternFill patternType="solid">
        <fgColor rgb="FF92D050"/>
        <bgColor/>
      </patternFill>
    </fill>
    <fill>
      <patternFill patternType="solid">
        <fgColor rgb="FFFFF2CB"/>
        <bgColor/>
      </patternFill>
    </fill>
    <fill>
      <patternFill patternType="solid">
        <fgColor rgb="FF92D050"/>
        <bgColor/>
      </patternFill>
    </fill>
    <fill>
      <patternFill patternType="solid">
        <fgColor rgb="FFF7CAAC"/>
        <bgColor/>
      </patternFill>
    </fill>
    <fill>
      <patternFill patternType="solid">
        <fgColor rgb="FFFFE598"/>
        <bgColor/>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style="double">
        <color rgb="FF000000"/>
      </top>
      <bottom style="double">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double">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double">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applyAlignment="true" applyBorder="false" applyFill="false" applyFont="false" applyNumberFormat="false" applyProtection="false" borderId="0" fillId="0" fontId="0" numFmtId="0"/>
  </cellStyleXfs>
  <cellXfs count="204">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horizontal="left" vertical="center"/>
    </xf>
    <xf applyAlignment="true" applyBorder="false" applyFill="false" applyFont="true" applyNumberFormat="false" applyProtection="false" borderId="0" fillId="0" fontId="1" numFmtId="0" xfId="0">
      <alignment vertical="bottom"/>
    </xf>
    <xf applyAlignment="true" applyBorder="false" applyFill="false" applyFont="true" applyNumberFormat="true" applyProtection="false" borderId="0" fillId="0" fontId="2" numFmtId="164" xfId="0">
      <alignment horizontal="right" vertical="bottom"/>
    </xf>
    <xf applyAlignment="true" applyBorder="false" applyFill="false" applyFont="true" applyNumberFormat="false" applyProtection="false" borderId="0" fillId="0" fontId="2" numFmtId="0" xfId="0">
      <alignment horizontal="right" vertical="bottom"/>
    </xf>
    <xf applyAlignment="true" applyBorder="false" applyFill="true" applyFont="true" applyNumberFormat="false" applyProtection="false" borderId="1" fillId="3" fontId="1" numFmtId="0" xfId="0">
      <alignment horizontal="left" vertical="center"/>
    </xf>
    <xf applyAlignment="true" applyBorder="false" applyFill="true" applyFont="true" applyNumberFormat="false" applyProtection="false" borderId="1" fillId="2" fontId="1" numFmtId="0" xfId="0">
      <alignment horizontal="left" vertical="center"/>
    </xf>
    <xf applyAlignment="true" applyBorder="false" applyFill="false" applyFont="true" applyNumberFormat="false" applyProtection="false" borderId="1" fillId="0" fontId="3" numFmtId="0" xfId="0">
      <alignment horizontal="left" vertical="center"/>
    </xf>
    <xf applyAlignment="true" applyBorder="false" applyFill="false" applyFont="true" applyNumberFormat="false" applyProtection="false" borderId="1" fillId="0" fontId="3" numFmtId="0" xfId="0">
      <alignment horizontal="left" vertical="center" wrapText="true"/>
    </xf>
    <xf applyAlignment="true" applyBorder="false" applyFill="true" applyFont="true" applyNumberFormat="false" applyProtection="false" borderId="2" fillId="4" fontId="4" numFmtId="0" xfId="0">
      <alignment horizontal="center" vertical="center" wrapText="true"/>
    </xf>
    <xf applyAlignment="true" applyBorder="false" applyFill="true" applyFont="true" applyNumberFormat="false" applyProtection="false" borderId="2" fillId="4" fontId="5" numFmtId="0" xfId="0">
      <alignment horizontal="center" vertical="center" wrapText="true"/>
    </xf>
    <xf applyAlignment="true" applyBorder="false" applyFill="true" applyFont="true" applyNumberFormat="false" applyProtection="false" borderId="3" fillId="4" fontId="5" numFmtId="0" xfId="0">
      <alignment horizontal="center" vertical="center" wrapText="true"/>
    </xf>
    <xf applyAlignment="true" applyBorder="false" applyFill="true" applyFont="true" applyNumberFormat="false" applyProtection="false" borderId="4" fillId="4" fontId="4" numFmtId="0" xfId="0">
      <alignment horizontal="center" vertical="center" wrapText="true"/>
    </xf>
    <xf applyAlignment="true" applyBorder="false" applyFill="true" applyFont="true" applyNumberFormat="false" applyProtection="false" borderId="3" fillId="4" fontId="4" numFmtId="0" xfId="0">
      <alignment horizontal="center" vertical="center" wrapText="true"/>
    </xf>
    <xf applyAlignment="true" applyBorder="false" applyFill="true" applyFont="true" applyNumberFormat="false" applyProtection="false" borderId="5" fillId="4" fontId="5" numFmtId="0" xfId="0">
      <alignment horizontal="center" vertical="center" wrapText="true"/>
    </xf>
    <xf applyAlignment="true" applyBorder="false" applyFill="true" applyFont="true" applyNumberFormat="false" applyProtection="false" borderId="6" fillId="4" fontId="5" numFmtId="0" xfId="0">
      <alignment horizontal="center" vertical="center" wrapText="true"/>
    </xf>
    <xf applyAlignment="true" applyBorder="false" applyFill="true" applyFont="true" applyNumberFormat="false" applyProtection="false" borderId="7" fillId="4" fontId="4" numFmtId="0" xfId="0">
      <alignment horizontal="center" vertical="center" wrapText="true"/>
    </xf>
    <xf applyAlignment="true" applyBorder="false" applyFill="true" applyFont="true" applyNumberFormat="false" applyProtection="false" borderId="7" fillId="4" fontId="5" numFmtId="0" xfId="0">
      <alignment horizontal="center" vertical="center" wrapText="true"/>
    </xf>
    <xf applyAlignment="true" applyBorder="false" applyFill="true" applyFont="true" applyNumberFormat="true" applyProtection="false" borderId="3" fillId="4" fontId="5" numFmtId="165" xfId="0">
      <alignment horizontal="center" vertical="center" wrapText="true"/>
    </xf>
    <xf applyAlignment="true" applyBorder="false" applyFill="true" applyFont="true" applyNumberFormat="true" applyProtection="false" borderId="3" fillId="4" fontId="5" numFmtId="166" xfId="0">
      <alignment horizontal="center" vertical="center" wrapText="true"/>
    </xf>
    <xf applyAlignment="true" applyBorder="false" applyFill="false" applyFont="true" applyNumberFormat="false" applyProtection="false" borderId="3" fillId="0" fontId="6" numFmtId="0" xfId="0">
      <alignment horizontal="center" vertical="center" wrapText="true"/>
    </xf>
    <xf applyAlignment="true" applyBorder="false" applyFill="false" applyFont="true" applyNumberFormat="false" applyProtection="false" borderId="3" fillId="0" fontId="6" numFmtId="0" xfId="0">
      <alignment vertical="center" wrapText="true"/>
    </xf>
    <xf applyAlignment="true" applyBorder="false" applyFill="false" applyFont="true" applyNumberFormat="true" applyProtection="false" borderId="3" fillId="0" fontId="6" numFmtId="167" xfId="0">
      <alignment vertical="center" wrapText="true"/>
    </xf>
    <xf applyAlignment="true" applyBorder="false" applyFill="false" applyFont="true" applyNumberFormat="false" applyProtection="false" borderId="3" fillId="0" fontId="6" numFmtId="0" xfId="0">
      <alignment horizontal="left" vertical="center" wrapText="true"/>
    </xf>
    <xf applyAlignment="true" applyBorder="false" applyFill="false" applyFont="true" applyNumberFormat="true" applyProtection="false" borderId="3" fillId="0" fontId="6" numFmtId="168" xfId="0">
      <alignment horizontal="center" vertical="center" wrapText="true"/>
    </xf>
    <xf applyAlignment="true" applyBorder="false" applyFill="false" applyFont="true" applyNumberFormat="true" applyProtection="false" borderId="3" fillId="0" fontId="6" numFmtId="166" xfId="0">
      <alignment horizontal="center" vertical="center" wrapText="true"/>
    </xf>
    <xf applyAlignment="true" applyBorder="false" applyFill="false" applyFont="true" applyNumberFormat="true" applyProtection="false" borderId="3" fillId="0" fontId="6" numFmtId="169" xfId="0">
      <alignment horizontal="center" vertical="center" wrapText="true"/>
    </xf>
    <xf applyAlignment="true" applyBorder="false" applyFill="false" applyFont="true" applyNumberFormat="true" applyProtection="false" borderId="3" fillId="0" fontId="6" numFmtId="167" xfId="0">
      <alignment horizontal="center" vertical="center" wrapText="true"/>
    </xf>
    <xf applyAlignment="true" applyBorder="false" applyFill="false" applyFont="true" applyNumberFormat="true" applyProtection="false" borderId="3" fillId="0" fontId="6" numFmtId="165" xfId="0">
      <alignment horizontal="center" vertical="center" wrapText="true"/>
    </xf>
    <xf applyAlignment="true" applyBorder="false" applyFill="false" applyFont="true" applyNumberFormat="true" applyProtection="false" borderId="3" fillId="0" fontId="3" numFmtId="166" xfId="0">
      <alignment vertical="center"/>
    </xf>
    <xf applyAlignment="true" applyBorder="false" applyFill="false" applyFont="true" applyNumberFormat="false" applyProtection="false" borderId="0" fillId="0" fontId="6" numFmtId="0" xfId="0">
      <alignment horizontal="center" vertical="center" wrapText="true"/>
    </xf>
    <xf applyAlignment="true" applyBorder="false" applyFill="false" applyFont="true" applyNumberFormat="false" applyProtection="false" borderId="3" fillId="0" fontId="7" numFmtId="0" xfId="0">
      <alignment vertical="center" wrapText="true"/>
    </xf>
    <xf applyAlignment="true" applyBorder="false" applyFill="false" applyFont="true" applyNumberFormat="true" applyProtection="false" borderId="3" fillId="0" fontId="6" numFmtId="166"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3" fillId="0" fontId="8" numFmtId="170" xfId="0">
      <alignment horizontal="center" vertical="center" wrapText="true"/>
    </xf>
    <xf applyAlignment="true" applyBorder="false" applyFill="true" applyFont="true" applyNumberFormat="false" applyProtection="false" borderId="0" fillId="5" fontId="3" numFmtId="0" xfId="0">
      <alignment horizontal="left" vertical="top" wrapText="true"/>
    </xf>
    <xf applyAlignment="true" applyBorder="false" applyFill="false" applyFont="true" applyNumberFormat="false" applyProtection="false" borderId="0" fillId="0" fontId="3" numFmtId="0" xfId="0">
      <alignment vertical="top" wrapText="true"/>
    </xf>
    <xf applyAlignment="true" applyBorder="false" applyFill="true" applyFont="true" applyNumberFormat="false" applyProtection="false" borderId="8" fillId="5" fontId="3" numFmtId="0" xfId="0">
      <alignment horizontal="left" vertical="top" wrapText="true"/>
    </xf>
    <xf applyAlignment="true" applyBorder="false" applyFill="false" applyFont="true" applyNumberFormat="false" applyProtection="false" borderId="8" fillId="0" fontId="3" numFmtId="0" xfId="0">
      <alignment vertical="top" wrapText="true"/>
    </xf>
    <xf applyAlignment="true" applyBorder="false" applyFill="true" applyFont="true" applyNumberFormat="false" applyProtection="false" borderId="9" fillId="6" fontId="4" numFmtId="0" xfId="0">
      <alignment horizontal="center" vertical="center" wrapText="true"/>
    </xf>
    <xf applyAlignment="true" applyBorder="false" applyFill="true" applyFont="true" applyNumberFormat="false" applyProtection="false" borderId="9" fillId="5" fontId="4" numFmtId="0" xfId="0">
      <alignment horizontal="center" vertical="center" wrapText="true"/>
    </xf>
    <xf applyAlignment="true" applyBorder="false" applyFill="true" applyFont="true" applyNumberFormat="true" applyProtection="false" borderId="9" fillId="5" fontId="4" numFmtId="171" xfId="0">
      <alignment horizontal="center" vertical="center" wrapText="true"/>
    </xf>
    <xf applyAlignment="true" applyBorder="false" applyFill="true" applyFont="true" applyNumberFormat="false" applyProtection="false" borderId="9" fillId="7" fontId="1" numFmtId="0" xfId="0">
      <alignment horizontal="center" vertical="center" wrapText="true"/>
    </xf>
    <xf applyAlignment="true" applyBorder="false" applyFill="true" applyFont="true" applyNumberFormat="false" applyProtection="false" borderId="9" fillId="5" fontId="5" numFmtId="0" xfId="0">
      <alignment horizontal="center" vertical="center" wrapText="true"/>
    </xf>
    <xf applyAlignment="true" applyBorder="false" applyFill="true" applyFont="true" applyNumberFormat="false" applyProtection="false" borderId="10" fillId="5" fontId="5" numFmtId="0" xfId="0">
      <alignment horizontal="center" vertical="center" wrapText="true"/>
    </xf>
    <xf applyAlignment="true" applyBorder="false" applyFill="true" applyFont="true" applyNumberFormat="false" applyProtection="false" borderId="10" fillId="6" fontId="4" numFmtId="0" xfId="0">
      <alignment horizontal="center" vertical="center" wrapText="true"/>
    </xf>
    <xf applyAlignment="true" applyBorder="false" applyFill="true" applyFont="true" applyNumberFormat="false" applyProtection="false" borderId="10" fillId="5" fontId="4" numFmtId="0" xfId="0">
      <alignment horizontal="center" vertical="center" wrapText="true"/>
    </xf>
    <xf applyAlignment="true" applyBorder="false" applyFill="true" applyFont="true" applyNumberFormat="true" applyProtection="false" borderId="10" fillId="5" fontId="4" numFmtId="171" xfId="0">
      <alignment horizontal="center" vertical="center" wrapText="true"/>
    </xf>
    <xf applyAlignment="true" applyBorder="false" applyFill="true" applyFont="true" applyNumberFormat="false" applyProtection="false" borderId="10" fillId="5" fontId="12" numFmtId="0" xfId="0">
      <alignment horizontal="center" vertical="center" wrapText="true"/>
    </xf>
    <xf applyAlignment="true" applyBorder="false" applyFill="true" applyFont="true" applyNumberFormat="true" applyProtection="false" borderId="10" fillId="5" fontId="12" numFmtId="172" xfId="0">
      <alignment horizontal="center" vertical="center" wrapText="true"/>
    </xf>
    <xf applyAlignment="true" applyBorder="false" applyFill="true" applyFont="true" applyNumberFormat="false" applyProtection="false" borderId="11" fillId="5" fontId="5" numFmtId="0" xfId="0">
      <alignment horizontal="center" vertical="center" wrapText="true"/>
    </xf>
    <xf applyAlignment="true" applyBorder="false" applyFill="false" applyFont="true" applyNumberFormat="false" applyProtection="false" borderId="12" fillId="0" fontId="6" numFmtId="0" xfId="0">
      <alignment horizontal="center" vertical="center" wrapText="true"/>
    </xf>
    <xf applyAlignment="true" applyBorder="false" applyFill="false" applyFont="true" applyNumberFormat="false" applyProtection="false" borderId="13" fillId="0" fontId="6" numFmtId="0" xfId="0">
      <alignment horizontal="center" vertical="center" wrapText="true"/>
    </xf>
    <xf applyAlignment="true" applyBorder="false" applyFill="false" applyFont="true" applyNumberFormat="false" applyProtection="false" borderId="14" fillId="0" fontId="6" numFmtId="0" xfId="0">
      <alignment horizontal="center" vertical="center" wrapText="true"/>
    </xf>
    <xf applyAlignment="true" applyBorder="false" applyFill="false" applyFont="true" applyNumberFormat="true" applyProtection="false" borderId="14" fillId="0" fontId="6" numFmtId="173" xfId="0">
      <alignment horizontal="center" vertical="center" wrapText="true"/>
    </xf>
    <xf applyAlignment="true" applyBorder="false" applyFill="false" applyFont="true" applyNumberFormat="true" applyProtection="false" borderId="14" fillId="0" fontId="6" numFmtId="174" xfId="0">
      <alignment horizontal="center" vertical="center" wrapText="true"/>
    </xf>
    <xf applyAlignment="true" applyBorder="false" applyFill="false" applyFont="true" applyNumberFormat="true" applyProtection="false" borderId="13" fillId="0" fontId="3" numFmtId="171" xfId="0">
      <alignment horizontal="center" vertical="center"/>
    </xf>
    <xf applyAlignment="true" applyBorder="false" applyFill="false" applyFont="true" applyNumberFormat="true" applyProtection="false" borderId="13" fillId="0" fontId="3" numFmtId="175" xfId="0">
      <alignment horizontal="center" vertical="center"/>
    </xf>
    <xf applyAlignment="true" applyBorder="false" applyFill="false" applyFont="true" applyNumberFormat="true" applyProtection="false" borderId="13" fillId="0" fontId="3" numFmtId="173" xfId="0">
      <alignment horizontal="center" vertical="center"/>
    </xf>
    <xf applyAlignment="true" applyBorder="false" applyFill="false" applyFont="true" applyNumberFormat="true" applyProtection="false" borderId="13" fillId="0" fontId="3" numFmtId="175" xfId="0">
      <alignment vertical="bottom"/>
    </xf>
    <xf applyAlignment="true" applyBorder="false" applyFill="false" applyFont="true" applyNumberFormat="true" applyProtection="false" borderId="13" fillId="0" fontId="3" numFmtId="171" xfId="0">
      <alignment vertical="bottom"/>
    </xf>
    <xf applyAlignment="true" applyBorder="false" applyFill="true" applyFont="true" applyNumberFormat="false" applyProtection="false" borderId="14" fillId="5" fontId="13" numFmtId="0" xfId="0">
      <alignment vertical="bottom"/>
    </xf>
    <xf applyAlignment="true" applyBorder="false" applyFill="true" applyFont="true" applyNumberFormat="true" applyProtection="false" borderId="14" fillId="5" fontId="13" numFmtId="172" xfId="0">
      <alignment vertical="bottom"/>
    </xf>
    <xf applyAlignment="true" applyBorder="false" applyFill="false" applyFont="true" applyNumberFormat="false" applyProtection="false" borderId="15" fillId="0" fontId="3" numFmtId="0" xfId="0">
      <alignment horizontal="left" vertical="center" wrapText="true"/>
    </xf>
    <xf applyAlignment="true" applyBorder="false" applyFill="false" applyFont="true" applyNumberFormat="false" applyProtection="false" borderId="16" fillId="0" fontId="3" numFmtId="0" xfId="0">
      <alignment horizontal="center" vertical="center" wrapText="true"/>
    </xf>
    <xf applyAlignment="true" applyBorder="false" applyFill="false" applyFont="true" applyNumberFormat="false" applyProtection="false" borderId="17" fillId="0" fontId="3" numFmtId="0" xfId="0">
      <alignment horizontal="left" vertical="top" wrapText="true"/>
    </xf>
    <xf applyAlignment="true" applyBorder="false" applyFill="false" applyFont="true" applyNumberFormat="false" applyProtection="false" borderId="17" fillId="0" fontId="3" numFmtId="0" xfId="0">
      <alignment horizontal="center" vertical="center"/>
    </xf>
    <xf applyAlignment="true" applyBorder="false" applyFill="false" applyFont="true" applyNumberFormat="false" applyProtection="false" borderId="18" fillId="0" fontId="6" numFmtId="0" xfId="0">
      <alignment horizontal="center" vertical="center" wrapText="true"/>
    </xf>
    <xf applyAlignment="true" applyBorder="false" applyFill="false" applyFont="true" applyNumberFormat="false" applyProtection="false" borderId="9" fillId="0" fontId="6" numFmtId="0" xfId="0">
      <alignment horizontal="center" vertical="center" wrapText="true"/>
    </xf>
    <xf applyAlignment="true" applyBorder="false" applyFill="false" applyFont="true" applyNumberFormat="true" applyProtection="false" borderId="9" fillId="0" fontId="6" numFmtId="173" xfId="0">
      <alignment horizontal="center" vertical="center" wrapText="true"/>
    </xf>
    <xf applyAlignment="true" applyBorder="false" applyFill="false" applyFont="true" applyNumberFormat="true" applyProtection="false" borderId="9" fillId="0" fontId="6" numFmtId="174" xfId="0">
      <alignment horizontal="center" vertical="center" wrapText="true"/>
    </xf>
    <xf applyAlignment="true" applyBorder="false" applyFill="false" applyFont="true" applyNumberFormat="true" applyProtection="false" borderId="9" fillId="0" fontId="3" numFmtId="171" xfId="0">
      <alignment horizontal="center" vertical="center"/>
    </xf>
    <xf applyAlignment="true" applyBorder="false" applyFill="false" applyFont="true" applyNumberFormat="true" applyProtection="false" borderId="9" fillId="0" fontId="3" numFmtId="175" xfId="0">
      <alignment horizontal="center" vertical="center"/>
    </xf>
    <xf applyAlignment="true" applyBorder="false" applyFill="false" applyFont="true" applyNumberFormat="true" applyProtection="false" borderId="9" fillId="0" fontId="3" numFmtId="173" xfId="0">
      <alignment horizontal="center" vertical="center"/>
    </xf>
    <xf applyAlignment="true" applyBorder="false" applyFill="false" applyFont="true" applyNumberFormat="true" applyProtection="false" borderId="9" fillId="0" fontId="3" numFmtId="175" xfId="0">
      <alignment vertical="bottom"/>
    </xf>
    <xf applyAlignment="true" applyBorder="false" applyFill="false" applyFont="true" applyNumberFormat="true" applyProtection="false" borderId="9" fillId="0" fontId="3" numFmtId="171" xfId="0">
      <alignment vertical="bottom"/>
    </xf>
    <xf applyAlignment="true" applyBorder="false" applyFill="false" applyFont="true" applyNumberFormat="false" applyProtection="false" borderId="19" fillId="0" fontId="3" numFmtId="0" xfId="0">
      <alignment horizontal="left" vertical="center" wrapText="true"/>
    </xf>
    <xf applyAlignment="true" applyBorder="false" applyFill="false" applyFont="true" applyNumberFormat="false" applyProtection="false" borderId="20" fillId="0" fontId="6" numFmtId="0" xfId="0">
      <alignment horizontal="center" vertical="center" wrapText="true"/>
    </xf>
    <xf applyAlignment="true" applyBorder="false" applyFill="false" applyFont="true" applyNumberFormat="false" applyProtection="false" borderId="21" fillId="0" fontId="6" numFmtId="0" xfId="0">
      <alignment horizontal="center" vertical="center" wrapText="true"/>
    </xf>
    <xf applyAlignment="true" applyBorder="false" applyFill="false" applyFont="true" applyNumberFormat="true" applyProtection="false" borderId="21" fillId="0" fontId="6" numFmtId="173" xfId="0">
      <alignment horizontal="center" vertical="center" wrapText="true"/>
    </xf>
    <xf applyAlignment="true" applyBorder="false" applyFill="false" applyFont="true" applyNumberFormat="true" applyProtection="false" borderId="21" fillId="0" fontId="6" numFmtId="174" xfId="0">
      <alignment horizontal="center" vertical="center" wrapText="true"/>
    </xf>
    <xf applyAlignment="true" applyBorder="false" applyFill="false" applyFont="true" applyNumberFormat="true" applyProtection="false" borderId="21" fillId="0" fontId="3" numFmtId="171" xfId="0">
      <alignment horizontal="center" vertical="center"/>
    </xf>
    <xf applyAlignment="true" applyBorder="false" applyFill="false" applyFont="true" applyNumberFormat="true" applyProtection="false" borderId="21" fillId="0" fontId="3" numFmtId="175" xfId="0">
      <alignment horizontal="center" vertical="center"/>
    </xf>
    <xf applyAlignment="true" applyBorder="false" applyFill="false" applyFont="true" applyNumberFormat="true" applyProtection="false" borderId="21" fillId="0" fontId="3" numFmtId="173" xfId="0">
      <alignment horizontal="center" vertical="center"/>
    </xf>
    <xf applyAlignment="true" applyBorder="false" applyFill="false" applyFont="true" applyNumberFormat="true" applyProtection="false" borderId="21" fillId="0" fontId="3" numFmtId="175" xfId="0">
      <alignment vertical="bottom"/>
    </xf>
    <xf applyAlignment="true" applyBorder="false" applyFill="false" applyFont="true" applyNumberFormat="true" applyProtection="false" borderId="21" fillId="0" fontId="3" numFmtId="171" xfId="0">
      <alignment vertical="bottom"/>
    </xf>
    <xf applyAlignment="true" applyBorder="false" applyFill="false" applyFont="true" applyNumberFormat="false" applyProtection="false" borderId="22" fillId="0" fontId="3" numFmtId="0" xfId="0">
      <alignment horizontal="left" vertical="center" wrapText="true"/>
    </xf>
    <xf applyAlignment="true" applyBorder="false" applyFill="false" applyFont="true" applyNumberFormat="false" applyProtection="false" borderId="23" fillId="0" fontId="3" numFmtId="0" xfId="0">
      <alignment horizontal="center" vertical="center"/>
    </xf>
    <xf applyAlignment="true" applyBorder="false" applyFill="false" applyFont="true" applyNumberFormat="false" applyProtection="false" borderId="24" fillId="0" fontId="6" numFmtId="0" xfId="0">
      <alignment horizontal="center" vertical="center" wrapText="true"/>
    </xf>
    <xf applyAlignment="true" applyBorder="false" applyFill="false" applyFont="true" applyNumberFormat="false" applyProtection="false" borderId="25" fillId="0" fontId="6" numFmtId="0" xfId="0">
      <alignment horizontal="center" vertical="center" wrapText="true"/>
    </xf>
    <xf applyAlignment="true" applyBorder="false" applyFill="false" applyFont="true" applyNumberFormat="true" applyProtection="false" borderId="14" fillId="0" fontId="3" numFmtId="171" xfId="0">
      <alignment horizontal="center" vertical="center"/>
    </xf>
    <xf applyAlignment="true" applyBorder="false" applyFill="false" applyFont="true" applyNumberFormat="true" applyProtection="false" borderId="14" fillId="0" fontId="3" numFmtId="175" xfId="0">
      <alignment horizontal="center" vertical="center"/>
    </xf>
    <xf applyAlignment="true" applyBorder="false" applyFill="false" applyFont="true" applyNumberFormat="true" applyProtection="false" borderId="14" fillId="0" fontId="3" numFmtId="173" xfId="0">
      <alignment horizontal="center" vertical="center"/>
    </xf>
    <xf applyAlignment="true" applyBorder="false" applyFill="false" applyFont="true" applyNumberFormat="true" applyProtection="false" borderId="14" fillId="0" fontId="3" numFmtId="175" xfId="0">
      <alignment vertical="bottom"/>
    </xf>
    <xf applyAlignment="true" applyBorder="false" applyFill="false" applyFont="true" applyNumberFormat="true" applyProtection="false" borderId="14" fillId="0" fontId="3" numFmtId="171" xfId="0">
      <alignment vertical="bottom"/>
    </xf>
    <xf applyAlignment="true" applyBorder="false" applyFill="false" applyFont="true" applyNumberFormat="false" applyProtection="false" borderId="26" fillId="0" fontId="3" numFmtId="0" xfId="0">
      <alignment horizontal="left" vertical="center" wrapText="true"/>
    </xf>
    <xf applyAlignment="true" applyBorder="false" applyFill="false" applyFont="true" applyNumberFormat="false" applyProtection="false" borderId="27" fillId="0" fontId="3" numFmtId="0" xfId="0">
      <alignment horizontal="center" vertical="center" wrapText="true"/>
    </xf>
    <xf applyAlignment="true" applyBorder="false" applyFill="false" applyFont="true" applyNumberFormat="false" applyProtection="false" borderId="11" fillId="0" fontId="6" numFmtId="0" xfId="0">
      <alignment horizontal="center" vertical="center" wrapText="true"/>
    </xf>
    <xf applyAlignment="true" applyBorder="false" applyFill="false" applyFont="true" applyNumberFormat="false" applyProtection="false" borderId="28" fillId="0" fontId="6" numFmtId="0" xfId="0">
      <alignment horizontal="center" vertical="center" wrapText="true"/>
    </xf>
    <xf applyAlignment="true" applyBorder="false" applyFill="false" applyFont="true" applyNumberFormat="false" applyProtection="false" borderId="29" fillId="0" fontId="3" numFmtId="0" xfId="0">
      <alignment horizontal="center" vertical="center" wrapText="true"/>
    </xf>
    <xf applyAlignment="true" applyBorder="false" applyFill="false" applyFont="true" applyNumberFormat="false" applyProtection="false" borderId="30" fillId="0" fontId="3" numFmtId="0" xfId="0">
      <alignment horizontal="center" vertical="center" wrapText="true"/>
    </xf>
    <xf applyAlignment="true" applyBorder="false" applyFill="false" applyFont="true" applyNumberFormat="false" applyProtection="false" borderId="23" fillId="0" fontId="3" numFmtId="0" xfId="0">
      <alignment horizontal="left" vertical="top" wrapText="true"/>
    </xf>
    <xf applyAlignment="true" applyBorder="false" applyFill="true" applyFont="true" applyNumberFormat="false" applyProtection="false" borderId="31" fillId="8" fontId="15" numFmtId="0" xfId="0">
      <alignment horizontal="left" vertical="center" wrapText="true"/>
    </xf>
    <xf applyAlignment="true" applyBorder="false" applyFill="true" applyFont="true" applyNumberFormat="false" applyProtection="false" borderId="32" fillId="9" fontId="15" numFmtId="0" xfId="0">
      <alignment horizontal="center" vertical="center" wrapText="true"/>
    </xf>
    <xf applyAlignment="true" applyBorder="false" applyFill="true" applyFont="true" applyNumberFormat="false" applyProtection="false" borderId="31" fillId="9" fontId="15" numFmtId="0" xfId="0">
      <alignment horizontal="center" vertical="center" wrapText="true"/>
    </xf>
    <xf applyAlignment="true" applyBorder="false" applyFill="true" applyFont="true" applyNumberFormat="true" applyProtection="false" borderId="33" fillId="9" fontId="15" numFmtId="176" xfId="0">
      <alignment horizontal="center" vertical="center" wrapText="true"/>
    </xf>
    <xf applyAlignment="true" applyBorder="false" applyFill="true" applyFont="true" applyNumberFormat="true" applyProtection="false" borderId="33" fillId="9" fontId="15" numFmtId="177" xfId="0">
      <alignment horizontal="center" vertical="center" wrapText="true"/>
    </xf>
    <xf applyAlignment="true" applyBorder="false" applyFill="true" applyFont="true" applyNumberFormat="true" applyProtection="false" borderId="34" fillId="10" fontId="15" numFmtId="177" xfId="0">
      <alignment horizontal="center" vertical="center" wrapText="true"/>
    </xf>
    <xf applyAlignment="true" applyBorder="false" applyFill="true" applyFont="true" applyNumberFormat="true" applyProtection="false" borderId="33" fillId="10" fontId="15" numFmtId="177" xfId="0">
      <alignment horizontal="center" vertical="center" wrapText="true"/>
    </xf>
    <xf applyAlignment="true" applyBorder="false" applyFill="true" applyFont="true" applyNumberFormat="true" applyProtection="false" borderId="33" fillId="10" fontId="15" numFmtId="177" xfId="0">
      <alignment vertical="center" wrapText="true"/>
    </xf>
    <xf applyAlignment="true" applyBorder="false" applyFill="true" applyFont="true" applyNumberFormat="true" applyProtection="false" borderId="34" fillId="8" fontId="15" numFmtId="177" xfId="0">
      <alignment horizontal="center" vertical="center" wrapText="true"/>
    </xf>
    <xf applyAlignment="true" applyBorder="false" applyFill="true" applyFont="true" applyNumberFormat="true" applyProtection="false" borderId="33" fillId="8" fontId="15" numFmtId="177" xfId="0">
      <alignment horizontal="center" vertical="center" wrapText="true"/>
    </xf>
    <xf applyAlignment="true" applyBorder="false" applyFill="true" applyFont="true" applyNumberFormat="true" applyProtection="false" borderId="33" fillId="8" fontId="15" numFmtId="177" xfId="0">
      <alignment vertical="center" wrapText="true"/>
    </xf>
    <xf applyAlignment="true" applyBorder="false" applyFill="true" applyFont="true" applyNumberFormat="true" applyProtection="false" borderId="34" fillId="11" fontId="15" numFmtId="177" xfId="0">
      <alignment horizontal="center" vertical="center" wrapText="true"/>
    </xf>
    <xf applyAlignment="true" applyBorder="false" applyFill="true" applyFont="true" applyNumberFormat="true" applyProtection="false" borderId="33" fillId="11" fontId="15" numFmtId="177" xfId="0">
      <alignment horizontal="center" vertical="center" wrapText="true"/>
    </xf>
    <xf applyAlignment="true" applyBorder="false" applyFill="true" applyFont="true" applyNumberFormat="true" applyProtection="false" borderId="33" fillId="11" fontId="15" numFmtId="177" xfId="0">
      <alignment vertical="center" wrapText="true"/>
    </xf>
    <xf applyAlignment="true" applyBorder="false" applyFill="true" applyFont="true" applyNumberFormat="false" applyProtection="false" borderId="35" fillId="8" fontId="16" numFmtId="0" xfId="0">
      <alignment horizontal="center" vertical="center" wrapText="true"/>
    </xf>
    <xf applyAlignment="true" applyBorder="false" applyFill="true" applyFont="true" applyNumberFormat="true" applyProtection="false" borderId="35" fillId="8" fontId="16" numFmtId="178" xfId="0">
      <alignment horizontal="center" vertical="center" wrapText="true"/>
    </xf>
    <xf applyAlignment="true" applyBorder="false" applyFill="true" applyFont="true" applyNumberFormat="false" applyProtection="false" borderId="35" fillId="8" fontId="15" numFmtId="0" xfId="0">
      <alignment horizontal="center" vertical="center" wrapText="true"/>
    </xf>
    <xf applyAlignment="true" applyBorder="false" applyFill="true" applyFont="true" applyNumberFormat="true" applyProtection="false" borderId="35" fillId="9" fontId="15" numFmtId="177" xfId="0">
      <alignment horizontal="center" vertical="center" wrapText="true"/>
    </xf>
    <xf applyAlignment="true" applyBorder="false" applyFill="true" applyFont="true" applyNumberFormat="true" applyProtection="false" borderId="35" fillId="9" fontId="16" numFmtId="177" xfId="0">
      <alignment horizontal="center" vertical="center" wrapText="true"/>
    </xf>
    <xf applyAlignment="true" applyBorder="false" applyFill="true" applyFont="true" applyNumberFormat="true" applyProtection="false" borderId="35" fillId="9" fontId="15" numFmtId="176" xfId="0">
      <alignment horizontal="center" vertical="center" wrapText="true"/>
    </xf>
    <xf applyAlignment="true" applyBorder="false" applyFill="true" applyFont="true" applyNumberFormat="true" applyProtection="false" borderId="35" fillId="10" fontId="15" numFmtId="177" xfId="0">
      <alignment horizontal="center" vertical="center" wrapText="true"/>
    </xf>
    <xf applyAlignment="true" applyBorder="false" applyFill="true" applyFont="true" applyNumberFormat="true" applyProtection="false" borderId="35" fillId="8" fontId="15" numFmtId="177" xfId="0">
      <alignment horizontal="center" vertical="center" wrapText="true"/>
    </xf>
    <xf applyAlignment="true" applyBorder="false" applyFill="true" applyFont="true" applyNumberFormat="true" applyProtection="false" borderId="35" fillId="11" fontId="15" numFmtId="177" xfId="0">
      <alignment horizontal="center" vertical="center" wrapText="true"/>
    </xf>
    <xf applyAlignment="true" applyBorder="false" applyFill="false" applyFont="true" applyNumberFormat="false" applyProtection="false" borderId="35" fillId="0" fontId="8" numFmtId="0" xfId="0">
      <alignment horizontal="left" vertical="center"/>
    </xf>
    <xf applyAlignment="true" applyBorder="false" applyFill="false" applyFont="true" applyNumberFormat="false" applyProtection="false" borderId="35" fillId="0" fontId="3" numFmtId="0" xfId="0">
      <alignment horizontal="left" vertical="center"/>
    </xf>
    <xf applyAlignment="true" applyBorder="false" applyFill="false" applyFont="true" applyNumberFormat="false" applyProtection="false" borderId="35" fillId="0" fontId="8" numFmtId="0" xfId="0">
      <alignment horizontal="center" vertical="center"/>
    </xf>
    <xf applyAlignment="true" applyBorder="false" applyFill="false" applyFont="true" applyNumberFormat="true" applyProtection="false" borderId="35" fillId="0" fontId="8" numFmtId="179" xfId="0">
      <alignment vertical="center" wrapText="true"/>
    </xf>
    <xf applyAlignment="true" applyBorder="false" applyFill="false" applyFont="true" applyNumberFormat="true" applyProtection="false" borderId="35" fillId="0" fontId="8" numFmtId="179" xfId="0">
      <alignment horizontal="center" vertical="center" wrapText="true"/>
    </xf>
    <xf applyAlignment="true" applyBorder="false" applyFill="false" applyFont="true" applyNumberFormat="true" applyProtection="false" borderId="35" fillId="0" fontId="8" numFmtId="180" xfId="0">
      <alignment horizontal="center" vertical="center" wrapText="true"/>
    </xf>
    <xf applyAlignment="true" applyBorder="false" applyFill="true" applyFont="true" applyNumberFormat="true" applyProtection="false" borderId="35" fillId="12" fontId="8" numFmtId="177" xfId="0">
      <alignment horizontal="center" vertical="center" wrapText="true"/>
    </xf>
    <xf applyAlignment="true" applyBorder="false" applyFill="true" applyFont="true" applyNumberFormat="true" applyProtection="false" borderId="35" fillId="12" fontId="8" numFmtId="176" xfId="0">
      <alignment horizontal="center" vertical="center" wrapText="true"/>
    </xf>
    <xf applyAlignment="true" applyBorder="false" applyFill="false" applyFont="true" applyNumberFormat="true" applyProtection="false" borderId="35" fillId="0" fontId="8" numFmtId="176" xfId="0">
      <alignment horizontal="center" vertical="center" wrapText="true"/>
    </xf>
    <xf applyAlignment="true" applyBorder="false" applyFill="false" applyFont="true" applyNumberFormat="true" applyProtection="false" borderId="35" fillId="0" fontId="8" numFmtId="181" xfId="0">
      <alignment horizontal="center" vertical="center" wrapText="true"/>
    </xf>
    <xf applyAlignment="true" applyBorder="false" applyFill="false" applyFont="true" applyNumberFormat="false" applyProtection="false" borderId="35" fillId="0" fontId="8" numFmtId="0" xfId="0">
      <alignment horizontal="center" vertical="center" wrapText="true"/>
    </xf>
    <xf applyAlignment="true" applyBorder="false" applyFill="false" applyFont="true" applyNumberFormat="true" applyProtection="false" borderId="35" fillId="0" fontId="8" numFmtId="177" xfId="0">
      <alignment horizontal="center" vertical="center" wrapText="true"/>
    </xf>
    <xf applyAlignment="true" applyBorder="false" applyFill="false" applyFont="true" applyNumberFormat="true" applyProtection="false" borderId="35" fillId="0" fontId="8" numFmtId="182" xfId="0">
      <alignment horizontal="center" vertical="center" wrapText="true"/>
    </xf>
    <xf applyAlignment="true" applyBorder="false" applyFill="true" applyFont="true" applyNumberFormat="false" applyProtection="false" borderId="0" fillId="10" fontId="8" numFmtId="0" xfId="0">
      <alignment horizontal="left" vertical="center"/>
    </xf>
    <xf applyAlignment="true" applyBorder="false" applyFill="true" applyFont="true" applyNumberFormat="false" applyProtection="false" borderId="0" fillId="10" fontId="8" numFmtId="0" xfId="0">
      <alignment horizontal="center" vertical="center"/>
    </xf>
    <xf applyAlignment="true" applyBorder="false" applyFill="true" applyFont="true" applyNumberFormat="true" applyProtection="false" borderId="0" fillId="10" fontId="8" numFmtId="179" xfId="0">
      <alignment vertical="center" wrapText="true"/>
    </xf>
    <xf applyAlignment="true" applyBorder="false" applyFill="true" applyFont="true" applyNumberFormat="true" applyProtection="false" borderId="0" fillId="10" fontId="8" numFmtId="179" xfId="0">
      <alignment horizontal="center" vertical="center" wrapText="true"/>
    </xf>
    <xf applyAlignment="true" applyBorder="false" applyFill="true" applyFont="true" applyNumberFormat="true" applyProtection="false" borderId="0" fillId="10" fontId="8" numFmtId="180" xfId="0">
      <alignment horizontal="center" vertical="center" wrapText="true"/>
    </xf>
    <xf applyAlignment="true" applyBorder="false" applyFill="true" applyFont="true" applyNumberFormat="true" applyProtection="false" borderId="0" fillId="10" fontId="8" numFmtId="177" xfId="0">
      <alignment horizontal="center" vertical="center" wrapText="true"/>
    </xf>
    <xf applyAlignment="true" applyBorder="false" applyFill="true" applyFont="true" applyNumberFormat="true" applyProtection="false" borderId="0" fillId="10" fontId="8" numFmtId="176" xfId="0">
      <alignment horizontal="center" vertical="center" wrapText="true"/>
    </xf>
    <xf applyAlignment="true" applyBorder="false" applyFill="true" applyFont="true" applyNumberFormat="false" applyProtection="false" borderId="0" fillId="10" fontId="8" numFmtId="0" xfId="0">
      <alignment horizontal="center" vertical="center" wrapText="true"/>
    </xf>
    <xf applyAlignment="true" applyBorder="false" applyFill="false" applyFont="true" applyNumberFormat="false" applyProtection="false" borderId="0" fillId="0" fontId="8" numFmtId="0" xfId="0">
      <alignment horizontal="left" vertical="center"/>
    </xf>
    <xf applyAlignment="true" applyBorder="false" applyFill="false" applyFont="true" applyNumberFormat="false" applyProtection="false" borderId="0" fillId="0" fontId="8" numFmtId="0" xfId="0">
      <alignment horizontal="center" vertical="center"/>
    </xf>
    <xf applyAlignment="true" applyBorder="false" applyFill="false" applyFont="true" applyNumberFormat="true" applyProtection="false" borderId="0" fillId="0" fontId="8" numFmtId="179" xfId="0">
      <alignment vertical="center" wrapText="true"/>
    </xf>
    <xf applyAlignment="true" applyBorder="false" applyFill="false" applyFont="true" applyNumberFormat="true" applyProtection="false" borderId="0" fillId="0" fontId="8" numFmtId="179" xfId="0">
      <alignment horizontal="center" vertical="center" wrapText="true"/>
    </xf>
    <xf applyAlignment="true" applyBorder="false" applyFill="false" applyFont="true" applyNumberFormat="true" applyProtection="false" borderId="0" fillId="0" fontId="8" numFmtId="180" xfId="0">
      <alignment horizontal="center" vertical="center" wrapText="true"/>
    </xf>
    <xf applyAlignment="true" applyBorder="false" applyFill="false" applyFont="true" applyNumberFormat="true" applyProtection="false" borderId="0" fillId="0" fontId="8" numFmtId="177" xfId="0">
      <alignment horizontal="center" vertical="center" wrapText="true"/>
    </xf>
    <xf applyAlignment="true" applyBorder="false" applyFill="false" applyFont="true" applyNumberFormat="true" applyProtection="false" borderId="0" fillId="0" fontId="8" numFmtId="176" xfId="0">
      <alignment horizontal="center" vertical="center" wrapText="true"/>
    </xf>
    <xf applyAlignment="true" applyBorder="false" applyFill="false" applyFont="true" applyNumberFormat="true" applyProtection="false" borderId="0" fillId="0" fontId="8" numFmtId="181" xfId="0">
      <alignment horizontal="center" vertical="center" wrapText="true"/>
    </xf>
    <xf applyAlignment="true" applyBorder="false" applyFill="false" applyFont="true" applyNumberFormat="false" applyProtection="false" borderId="0" fillId="0" fontId="8" numFmtId="0" xfId="0">
      <alignment horizontal="center" vertical="center" wrapText="true"/>
    </xf>
    <xf applyAlignment="true" applyBorder="false" applyFill="false" applyFont="true" applyNumberFormat="true" applyProtection="false" borderId="0" fillId="0" fontId="15" numFmtId="176" xfId="0">
      <alignment horizontal="center" vertical="center" wrapText="true"/>
    </xf>
    <xf applyAlignment="true" applyBorder="false" applyFill="true" applyFont="true" applyNumberFormat="false" applyProtection="false" borderId="35" fillId="12" fontId="1" numFmtId="0" xfId="0">
      <alignment horizontal="left" vertical="center" wrapText="true"/>
    </xf>
    <xf applyAlignment="true" applyBorder="false" applyFill="true" applyFont="true" applyNumberFormat="true" applyProtection="false" borderId="35" fillId="12" fontId="1" numFmtId="178" xfId="0">
      <alignment horizontal="left" vertical="center" wrapText="true"/>
    </xf>
    <xf applyAlignment="true" applyBorder="false" applyFill="true" applyFont="true" applyNumberFormat="true" applyProtection="false" borderId="35" fillId="12" fontId="1" numFmtId="177" xfId="0">
      <alignment horizontal="left" vertical="center" wrapText="true"/>
    </xf>
    <xf applyAlignment="true" applyBorder="false" applyFill="true" applyFont="true" applyNumberFormat="false" applyProtection="false" borderId="35" fillId="12" fontId="2" numFmtId="0" xfId="0">
      <alignment horizontal="left" vertical="center" wrapText="true"/>
    </xf>
    <xf applyAlignment="true" applyBorder="false" applyFill="true" applyFont="true" applyNumberFormat="false" applyProtection="false" borderId="35" fillId="12" fontId="6" numFmtId="0" xfId="0">
      <alignment horizontal="left" vertical="center"/>
    </xf>
    <xf applyAlignment="true" applyBorder="false" applyFill="true" applyFont="true" applyNumberFormat="false" applyProtection="false" borderId="35" fillId="12" fontId="3" numFmtId="0" xfId="0">
      <alignment horizontal="left" vertical="center"/>
    </xf>
    <xf applyAlignment="true" applyBorder="false" applyFill="true" applyFont="true" applyNumberFormat="true" applyProtection="false" borderId="35" fillId="12" fontId="3" numFmtId="177" xfId="0">
      <alignment horizontal="left" vertical="center"/>
    </xf>
    <xf applyAlignment="true" applyBorder="false" applyFill="true" applyFont="true" applyNumberFormat="true" applyProtection="false" borderId="35" fillId="12" fontId="2" numFmtId="177" xfId="0">
      <alignment horizontal="left" vertical="center"/>
    </xf>
    <xf applyAlignment="true" applyBorder="false" applyFill="true" applyFont="true" applyNumberFormat="true" applyProtection="false" borderId="35" fillId="12" fontId="3" numFmtId="178" xfId="0">
      <alignment horizontal="left" vertical="center" wrapText="true"/>
    </xf>
    <xf applyAlignment="true" applyBorder="false" applyFill="true" applyFont="true" applyNumberFormat="true" applyProtection="false" borderId="35" fillId="12" fontId="3" numFmtId="179" xfId="0">
      <alignment horizontal="left" vertical="center"/>
    </xf>
    <xf applyAlignment="true" applyBorder="false" applyFill="true" applyFont="true" applyNumberFormat="true" applyProtection="false" borderId="35" fillId="12" fontId="3" numFmtId="178" xfId="0">
      <alignment horizontal="left" vertical="center"/>
    </xf>
    <xf applyAlignment="true" applyBorder="false" applyFill="true" applyFont="true" applyNumberFormat="false" applyProtection="false" borderId="0" fillId="12" fontId="6" numFmtId="0" xfId="0">
      <alignment horizontal="left" vertical="center"/>
    </xf>
    <xf applyAlignment="true" applyBorder="false" applyFill="true" applyFont="true" applyNumberFormat="false" applyProtection="false" borderId="0" fillId="12" fontId="3" numFmtId="0" xfId="0">
      <alignment horizontal="left" vertical="center"/>
    </xf>
    <xf applyAlignment="true" applyBorder="false" applyFill="true" applyFont="true" applyNumberFormat="true" applyProtection="false" borderId="0" fillId="12" fontId="3" numFmtId="177" xfId="0">
      <alignment horizontal="left" vertical="center"/>
    </xf>
    <xf applyAlignment="true" applyBorder="false" applyFill="true" applyFont="true" applyNumberFormat="true" applyProtection="false" borderId="0" fillId="12" fontId="2" numFmtId="177" xfId="0">
      <alignment horizontal="left" vertical="center"/>
    </xf>
    <xf applyAlignment="true" applyBorder="false" applyFill="true" applyFont="true" applyNumberFormat="true" applyProtection="false" borderId="0" fillId="12" fontId="3" numFmtId="178" xfId="0">
      <alignment horizontal="left" vertical="center" wrapText="true"/>
    </xf>
    <xf applyAlignment="true" applyBorder="false" applyFill="true" applyFont="true" applyNumberFormat="true" applyProtection="false" borderId="0" fillId="12" fontId="3" numFmtId="179" xfId="0">
      <alignment horizontal="left" vertical="center"/>
    </xf>
    <xf applyAlignment="true" applyBorder="false" applyFill="true" applyFont="true" applyNumberFormat="true" applyProtection="false" borderId="0" fillId="12" fontId="3" numFmtId="178" xfId="0">
      <alignment horizontal="left" vertical="center"/>
    </xf>
    <xf applyAlignment="true" applyBorder="false" applyFill="false" applyFont="true" applyNumberFormat="false" applyProtection="false" borderId="0" fillId="0" fontId="3" numFmtId="0" xfId="0">
      <alignment vertical="bottom"/>
    </xf>
    <xf applyAlignment="true" applyBorder="false" applyFill="true" applyFont="true" applyNumberFormat="false" applyProtection="false" borderId="35" fillId="8" fontId="6" numFmtId="0" xfId="0">
      <alignment horizontal="center" vertical="center"/>
    </xf>
    <xf applyAlignment="true" applyBorder="false" applyFill="false" applyFont="true" applyNumberFormat="true" applyProtection="false" borderId="0" fillId="0" fontId="15" numFmtId="177" xfId="0">
      <alignment horizontal="center" vertical="center" wrapText="true"/>
    </xf>
    <xf applyAlignment="true" applyBorder="false" applyFill="true" applyFont="true" applyNumberFormat="false" applyProtection="false" borderId="35" fillId="13" fontId="6" numFmtId="0" xfId="0">
      <alignment horizontal="center" vertical="center"/>
    </xf>
    <xf applyAlignment="true" applyBorder="false" applyFill="true" applyFont="true" applyNumberFormat="false" applyProtection="false" borderId="35" fillId="13" fontId="6" numFmtId="0" xfId="0">
      <alignment horizontal="left" vertical="center"/>
    </xf>
    <xf applyAlignment="true" applyBorder="false" applyFill="true" applyFont="true" applyNumberFormat="true" applyProtection="false" borderId="35" fillId="13" fontId="6" numFmtId="176" xfId="0">
      <alignment horizontal="left" vertical="center"/>
    </xf>
    <xf applyAlignment="true" applyBorder="false" applyFill="true" applyFont="true" applyNumberFormat="true" applyProtection="false" borderId="35" fillId="13" fontId="6" numFmtId="181" xfId="0">
      <alignment horizontal="left" vertical="center"/>
    </xf>
    <xf applyAlignment="true" applyBorder="false" applyFill="true" applyFont="true" applyNumberFormat="true" applyProtection="false" borderId="35" fillId="13" fontId="6" numFmtId="177" xfId="0">
      <alignment horizontal="left" vertical="center"/>
    </xf>
    <xf applyAlignment="true" applyBorder="false" applyFill="true" applyFont="true" applyNumberFormat="true" applyProtection="false" borderId="35" fillId="13" fontId="6" numFmtId="179" xfId="0">
      <alignment horizontal="left" vertical="center"/>
    </xf>
    <xf applyAlignment="true" applyBorder="false" applyFill="true" applyFont="true" applyNumberFormat="true" applyProtection="false" borderId="34" fillId="13" fontId="6" numFmtId="179" xfId="0">
      <alignment horizontal="left" vertical="center"/>
    </xf>
    <xf applyAlignment="true" applyBorder="false" applyFill="false" applyFont="true" applyNumberFormat="true" applyProtection="false" borderId="35" fillId="0" fontId="3" numFmtId="176" xfId="0">
      <alignment vertical="bottom"/>
    </xf>
    <xf applyAlignment="true" applyBorder="false" applyFill="false" applyFont="true" applyNumberFormat="true" applyProtection="false" borderId="0" fillId="0" fontId="6" numFmtId="176" xfId="0">
      <alignment horizontal="left" vertical="center"/>
    </xf>
    <xf applyAlignment="true" applyBorder="false" applyFill="false" applyFont="true" applyNumberFormat="true" applyProtection="false" borderId="0" fillId="0" fontId="3" numFmtId="176" xfId="0">
      <alignment vertical="bottom"/>
    </xf>
    <xf applyAlignment="true" applyBorder="false" applyFill="false" applyFont="true" applyNumberFormat="false" applyProtection="false" borderId="0" fillId="0" fontId="6" numFmtId="0" xfId="0">
      <alignment horizontal="left" vertical="center"/>
    </xf>
    <xf applyAlignment="true" applyBorder="false" applyFill="true" applyFont="true" applyNumberFormat="false" applyProtection="false" borderId="36" fillId="13" fontId="6" numFmtId="0" xfId="0">
      <alignment horizontal="center" vertical="center"/>
    </xf>
    <xf applyAlignment="true" applyBorder="false" applyFill="false" applyFont="true" applyNumberFormat="false" applyProtection="false" borderId="0" fillId="0" fontId="19" numFmtId="0" xfId="0">
      <alignment horizontal="center" vertical="bottom"/>
    </xf>
    <xf applyAlignment="true" applyBorder="false" applyFill="false" applyFont="true" applyNumberFormat="false" applyProtection="false" borderId="0" fillId="0" fontId="19" numFmtId="0" xfId="0">
      <alignment vertical="bottom"/>
    </xf>
    <xf applyAlignment="true" applyBorder="false" applyFill="false" applyFont="true" applyNumberFormat="false" applyProtection="false" borderId="0" fillId="0" fontId="19" numFmtId="0" xfId="0">
      <alignment horizontal="center" vertical="center"/>
    </xf>
    <xf applyAlignment="true" applyBorder="false" applyFill="true" applyFont="true" applyNumberFormat="false" applyProtection="false" borderId="0" fillId="14" fontId="19" numFmtId="0" xfId="0">
      <alignment vertical="bottom"/>
    </xf>
    <xf applyAlignment="true" applyBorder="false" applyFill="true" applyFont="true" applyNumberFormat="false" applyProtection="false" borderId="0" fillId="15" fontId="19" numFmtId="0" xfId="0">
      <alignment vertical="bottom"/>
    </xf>
    <xf applyAlignment="true" applyBorder="false" applyFill="true" applyFont="true" applyNumberFormat="false" applyProtection="false" borderId="0" fillId="16" fontId="19" numFmtId="0" xfId="0">
      <alignment vertical="bottom"/>
    </xf>
    <xf applyAlignment="true" applyBorder="false" applyFill="true" applyFont="true" applyNumberFormat="false" applyProtection="false" borderId="0" fillId="16" fontId="19" numFmtId="0" xfId="0">
      <alignment horizontal="left" vertical="bottom"/>
    </xf>
    <xf applyAlignment="true" applyBorder="false" applyFill="true" applyFont="true" applyNumberFormat="false" applyProtection="false" borderId="0" fillId="16" fontId="19" numFmtId="0" xfId="0">
      <alignment horizontal="right" vertical="bottom"/>
    </xf>
    <xf applyAlignment="true" applyBorder="false" applyFill="false" applyFont="true" applyNumberFormat="false" applyProtection="false" borderId="0" fillId="0" fontId="19" numFmtId="0" xfId="0">
      <alignment horizontal="left" vertical="center"/>
    </xf>
    <xf applyAlignment="true" applyBorder="false" applyFill="true" applyFont="true" applyNumberFormat="false" applyProtection="false" borderId="0" fillId="14" fontId="19" numFmtId="0" xfId="0">
      <alignment horizontal="left" vertical="center"/>
    </xf>
    <xf applyAlignment="true" applyBorder="false" applyFill="true" applyFont="true" applyNumberFormat="false" applyProtection="false" borderId="0" fillId="14" fontId="19" numFmtId="0" xfId="0">
      <alignment horizontal="right" vertical="center"/>
    </xf>
    <xf applyAlignment="true" applyBorder="false" applyFill="false" applyFont="true" applyNumberFormat="false" applyProtection="false" borderId="0" fillId="0" fontId="20" numFmtId="0" xfId="0">
      <alignment vertical="bottom"/>
    </xf>
    <xf applyAlignment="true" applyBorder="false" applyFill="false" applyFont="true" applyNumberFormat="false" applyProtection="false" borderId="0" fillId="0" fontId="21" numFmtId="0" xfId="0">
      <alignment horizontal="left" vertical="center" wrapText="true"/>
    </xf>
    <xf applyAlignment="true" applyBorder="false" applyFill="false" applyFont="true" applyNumberFormat="false" applyProtection="false" borderId="0" fillId="0" fontId="22" numFmtId="0" xfId="0">
      <alignment vertical="bottom"/>
    </xf>
    <xf applyAlignment="true" applyBorder="false" applyFill="false" applyFont="true" applyNumberFormat="true" applyProtection="false" borderId="0" fillId="0" fontId="21" numFmtId="183" xfId="0">
      <alignment horizontal="lef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2" defaultRowHeight="18"/>
  <cols>
    <col collapsed="false" customWidth="true" hidden="false" max="16" min="16" style="0" width="9"/>
    <col collapsed="false" customWidth="true" hidden="false" max="20" min="20" style="0" width="9"/>
    <col collapsed="false" customWidth="true" hidden="false" max="3" min="3" style="0" width="12"/>
    <col collapsed="false" customWidth="true" hidden="false" max="7" min="7" style="0" width="9"/>
    <col collapsed="false" customWidth="true" hidden="false" max="12" min="12" style="0" width="9"/>
    <col collapsed="false" customWidth="true" hidden="false" max="14" min="14" style="0" width="9"/>
    <col collapsed="false" customWidth="true" hidden="false" max="15" min="15" style="0" width="9"/>
    <col collapsed="false" customWidth="true" hidden="false" max="19" min="19" style="0" width="9"/>
    <col collapsed="false" customWidth="true" hidden="false" max="2" min="2" style="0" width="23"/>
    <col collapsed="false" customWidth="true" hidden="false" max="6" min="6" style="0" width="9"/>
    <col collapsed="false" customWidth="true" hidden="false" max="11" min="11" style="0" width="9"/>
    <col collapsed="false" customWidth="true" hidden="false" max="13" min="13" style="0" width="9"/>
    <col collapsed="false" customWidth="true" hidden="false" max="18" min="18" style="0" width="9"/>
    <col collapsed="false" customWidth="true" hidden="false" max="1" min="1" style="0" width="15"/>
    <col collapsed="false" customWidth="true" hidden="false" max="5" min="5" style="0" width="9"/>
    <col collapsed="false" customWidth="true" hidden="false" max="10" min="10" style="0" width="9"/>
    <col collapsed="false" customWidth="true" hidden="false" max="17" min="17" style="0" width="9"/>
    <col collapsed="false" customWidth="true" hidden="false" max="4" min="4" style="0" width="13"/>
    <col collapsed="false" customWidth="true" hidden="false" max="8" min="8" style="0" width="9"/>
    <col collapsed="false" customWidth="true" hidden="false" max="9" min="9" style="0" width="9"/>
  </cols>
  <sheetData>
    <row customHeight="true" ht="14" r="1">
      <c r="A1" s="1" t="s">
        <v>1</v>
      </c>
      <c r="B1" s="1"/>
      <c r="C1" s="1"/>
      <c r="D1" s="1"/>
      <c r="E1" s="1"/>
    </row>
    <row customHeight="true" ht="14" r="2"/>
    <row customHeight="true" ht="21" r="3">
      <c r="A3" s="2" t="s">
        <v>2</v>
      </c>
      <c r="B3" s="3">
        <v>44620</v>
      </c>
    </row>
    <row customHeight="true" ht="21" r="4">
      <c r="A4" s="2" t="s">
        <v>3</v>
      </c>
      <c r="B4" s="4" t="s">
        <v>4</v>
      </c>
    </row>
    <row customHeight="true" ht="21" r="5">
      <c r="A5" s="2" t="s">
        <v>5</v>
      </c>
      <c r="B5" s="4" t="s">
        <v>6</v>
      </c>
    </row>
    <row customHeight="true" ht="21" r="6">
      <c r="A6" s="2" t="s">
        <v>7</v>
      </c>
      <c r="B6" s="4" t="s">
        <v>8</v>
      </c>
    </row>
    <row customHeight="true" ht="14" r="7"/>
    <row customHeight="true" ht="14" r="8"/>
    <row customHeight="true" ht="14" r="9"/>
    <row customHeight="true" ht="14" r="10">
      <c r="A10" s="5" t="s">
        <v>9</v>
      </c>
      <c r="B10" s="5" t="s">
        <v>10</v>
      </c>
      <c r="C10" s="5" t="s">
        <v>11</v>
      </c>
    </row>
    <row customHeight="true" ht="14" r="11">
      <c r="A11" s="6" t="s">
        <v>12</v>
      </c>
      <c r="B11" s="7"/>
      <c r="C11" s="7"/>
    </row>
    <row customHeight="true" ht="14" r="12">
      <c r="A12" s="6" t="s">
        <v>13</v>
      </c>
      <c r="B12" s="7"/>
      <c r="C12" s="7"/>
    </row>
    <row customHeight="true" ht="14" r="13">
      <c r="A13" s="6" t="s">
        <v>14</v>
      </c>
      <c r="B13" s="7"/>
      <c r="C13" s="7"/>
    </row>
    <row customHeight="true" ht="14" r="14">
      <c r="A14" s="6" t="s">
        <v>15</v>
      </c>
      <c r="B14" s="7"/>
      <c r="C14" s="7"/>
    </row>
    <row customHeight="true" ht="14" r="15">
      <c r="A15" s="6" t="s">
        <v>16</v>
      </c>
      <c r="B15" s="7"/>
      <c r="C15" s="7"/>
    </row>
    <row customHeight="true" ht="14" r="16">
      <c r="A16" s="6" t="s">
        <v>17</v>
      </c>
      <c r="B16" s="7"/>
      <c r="C16" s="7"/>
    </row>
    <row customHeight="true" ht="14" r="17">
      <c r="A17" s="6" t="s">
        <v>18</v>
      </c>
      <c r="B17" s="8"/>
      <c r="C17" s="8"/>
    </row>
    <row customHeight="true" ht="14" r="18"/>
    <row customHeight="true" ht="14" r="19"/>
    <row customHeight="true" ht="14" r="20"/>
  </sheetData>
  <mergeCells>
    <mergeCell ref="A1:E1"/>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3" xSplit="2" ySplit="2"/>
    </sheetView>
  </sheetViews>
  <sheetFormatPr defaultColWidth="12" defaultRowHeight="18"/>
  <cols>
    <col collapsed="false" customWidth="true" hidden="false" max="3" min="3" style="0" width="11"/>
    <col collapsed="false" customWidth="true" hidden="false" max="11" min="11" style="0" width="9"/>
    <col collapsed="false" customWidth="true" hidden="false" max="20" min="20" style="0" width="9"/>
    <col collapsed="false" customWidth="true" hidden="false" max="28" min="28" style="0" width="8"/>
    <col collapsed="false" customWidth="true" hidden="false" max="14" min="14" style="0" width="8"/>
    <col collapsed="false" customWidth="true" hidden="false" max="19" min="19" style="0" width="9"/>
    <col collapsed="false" customWidth="true" hidden="false" max="27" min="27" style="0" width="8"/>
    <col collapsed="false" customWidth="true" hidden="false" max="6" min="6" style="0" width="12"/>
    <col collapsed="false" customWidth="true" hidden="false" max="13" min="13" style="0" width="9"/>
    <col collapsed="false" customWidth="true" hidden="false" max="22" min="22" style="0" width="9"/>
    <col collapsed="false" customWidth="true" hidden="false" max="30" min="30" style="0" width="9"/>
    <col collapsed="false" customWidth="true" hidden="false" max="29" min="29" style="0" width="9"/>
    <col collapsed="false" customWidth="true" hidden="false" max="5" min="5" style="0" width="9"/>
    <col collapsed="false" customWidth="true" hidden="false" max="8" min="8" style="0" width="9"/>
    <col collapsed="false" customWidth="true" hidden="false" max="16" min="16" style="0" width="8"/>
    <col collapsed="false" customWidth="true" hidden="false" max="21" min="21" style="0" width="9"/>
    <col collapsed="false" customWidth="true" hidden="false" max="7" min="7" style="0" width="9"/>
    <col collapsed="false" customWidth="true" hidden="false" max="15" min="15" style="0" width="8"/>
    <col collapsed="false" customWidth="true" hidden="false" max="24" min="24" style="0" width="9"/>
    <col collapsed="false" customWidth="true" hidden="false" max="2" min="2" style="0" width="9"/>
    <col collapsed="false" customWidth="true" hidden="false" max="10" min="10" style="0" width="9"/>
    <col collapsed="false" customWidth="true" hidden="false" max="23" min="23" style="0" width="11"/>
    <col collapsed="false" customWidth="true" hidden="false" max="31" min="31" style="0" width="9"/>
    <col collapsed="false" customWidth="true" hidden="false" max="1" min="1" style="0" width="9"/>
    <col collapsed="false" customWidth="true" hidden="false" max="9" min="9" style="0" width="9"/>
    <col collapsed="false" customWidth="true" hidden="false" max="18" min="18" style="0" width="9"/>
    <col collapsed="false" customWidth="true" hidden="false" max="26" min="26" style="0" width="9"/>
    <col collapsed="false" customWidth="true" hidden="false" max="4" min="4" style="0" width="9"/>
    <col collapsed="false" customWidth="true" hidden="false" max="12" min="12" style="0" width="13"/>
    <col collapsed="false" customWidth="true" hidden="false" max="17" min="17" style="0" width="21"/>
    <col collapsed="false" customWidth="true" hidden="false" max="25" min="25" style="0" width="9"/>
  </cols>
  <sheetData>
    <row customHeight="true" ht="14" r="1">
      <c r="A1" s="9" t="s">
        <v>19</v>
      </c>
      <c r="B1" s="9" t="s">
        <v>20</v>
      </c>
      <c r="C1" s="10" t="s">
        <v>21</v>
      </c>
      <c r="D1" s="10" t="s">
        <v>22</v>
      </c>
      <c r="E1" s="10" t="s">
        <v>23</v>
      </c>
      <c r="F1" s="10" t="s">
        <v>24</v>
      </c>
      <c r="G1" s="10" t="s">
        <v>25</v>
      </c>
      <c r="H1" s="9" t="s">
        <v>26</v>
      </c>
      <c r="I1" s="10" t="s">
        <v>27</v>
      </c>
      <c r="J1" s="10" t="s">
        <v>28</v>
      </c>
      <c r="K1" s="11" t="s">
        <v>29</v>
      </c>
      <c r="L1" s="11"/>
      <c r="M1" s="12" t="s">
        <v>30</v>
      </c>
      <c r="N1" s="9" t="s">
        <v>31</v>
      </c>
      <c r="O1" s="9" t="s">
        <v>32</v>
      </c>
      <c r="P1" s="10" t="s">
        <v>33</v>
      </c>
      <c r="Q1" s="10" t="s">
        <v>34</v>
      </c>
      <c r="R1" s="13" t="s">
        <v>35</v>
      </c>
      <c r="S1" s="13"/>
      <c r="T1" s="13"/>
      <c r="U1" s="13"/>
      <c r="V1" s="13"/>
      <c r="W1" s="13"/>
      <c r="X1" s="14" t="s">
        <v>36</v>
      </c>
      <c r="Y1" s="15"/>
      <c r="Z1" s="15"/>
      <c r="AA1" s="15"/>
      <c r="AB1" s="15"/>
      <c r="AC1" s="15"/>
      <c r="AD1" s="15"/>
    </row>
    <row customHeight="true" ht="14" r="2">
      <c r="A2" s="16"/>
      <c r="B2" s="16"/>
      <c r="C2" s="17"/>
      <c r="D2" s="17"/>
      <c r="E2" s="17"/>
      <c r="F2" s="17"/>
      <c r="G2" s="17"/>
      <c r="H2" s="16"/>
      <c r="I2" s="17"/>
      <c r="J2" s="17"/>
      <c r="K2" s="11" t="s">
        <v>37</v>
      </c>
      <c r="L2" s="11" t="s">
        <v>38</v>
      </c>
      <c r="M2" s="16"/>
      <c r="N2" s="16"/>
      <c r="O2" s="16"/>
      <c r="P2" s="17"/>
      <c r="Q2" s="17"/>
      <c r="R2" s="13" t="s">
        <v>39</v>
      </c>
      <c r="S2" s="13" t="s">
        <v>40</v>
      </c>
      <c r="T2" s="11" t="s">
        <v>41</v>
      </c>
      <c r="U2" s="18" t="s">
        <v>42</v>
      </c>
      <c r="V2" s="13" t="s">
        <v>43</v>
      </c>
      <c r="W2" s="19" t="s">
        <v>44</v>
      </c>
      <c r="X2" s="19"/>
      <c r="Y2" s="19"/>
      <c r="Z2" s="19" t="s">
        <v>45</v>
      </c>
      <c r="AA2" s="19" t="s">
        <v>46</v>
      </c>
      <c r="AB2" s="19" t="s">
        <v>47</v>
      </c>
      <c r="AC2" s="19" t="s">
        <v>48</v>
      </c>
      <c r="AD2" s="19" t="s">
        <v>49</v>
      </c>
    </row>
    <row customHeight="true" ht="41" r="3">
      <c r="A3" s="20" t="s">
        <v>50</v>
      </c>
      <c r="B3" s="20" t="s">
        <v>51</v>
      </c>
      <c r="C3" s="21"/>
      <c r="D3" s="21">
        <v>15.99</v>
      </c>
      <c r="E3" s="22">
        <v>5</v>
      </c>
      <c r="F3" s="21" t="s">
        <v>52</v>
      </c>
      <c r="G3" s="20">
        <v>18</v>
      </c>
      <c r="H3" s="20">
        <f t="shared" ref="H3:H15" si="6">G3*7</f>
      </c>
      <c r="I3" s="20">
        <v>60</v>
      </c>
      <c r="J3" s="20">
        <v>4.6</v>
      </c>
      <c r="K3" s="20"/>
      <c r="L3" s="23"/>
      <c r="M3" s="20"/>
      <c r="N3" s="20">
        <f t="shared" ref="N3:N15" si="1">D3*H3</f>
      </c>
      <c r="O3" s="24">
        <f t="shared" ref="O3:O15" si="7">G3/P3</f>
      </c>
      <c r="P3" s="25">
        <v>0.18</v>
      </c>
      <c r="Q3" s="21" t="s">
        <v>53</v>
      </c>
      <c r="R3" s="26">
        <f t="shared" ref="R3:R15" si="2">T3*S3</f>
      </c>
      <c r="S3" s="27">
        <f t="shared" ref="S3:S15" si="3">V3/U3</f>
      </c>
      <c r="T3" s="26">
        <v>0.7</v>
      </c>
      <c r="U3" s="28">
        <v>0.11</v>
      </c>
      <c r="V3" s="24">
        <f t="shared" ref="V3:V15" si="0">G3*W3</f>
      </c>
      <c r="W3" s="29">
        <v>0.7</v>
      </c>
      <c r="X3" s="20">
        <v>1200</v>
      </c>
      <c r="Y3" s="20">
        <v>0</v>
      </c>
      <c r="Z3" s="20">
        <v>0</v>
      </c>
      <c r="AA3" s="20">
        <v>1310</v>
      </c>
      <c r="AB3" s="20" t="s">
        <v>54</v>
      </c>
      <c r="AC3" s="20"/>
      <c r="AD3" s="20"/>
    </row>
    <row customHeight="true" ht="41" r="4">
      <c r="A4" s="20" t="s">
        <v>55</v>
      </c>
      <c r="B4" s="20" t="s">
        <v>56</v>
      </c>
      <c r="C4" s="21"/>
      <c r="D4" s="21">
        <v>15.99</v>
      </c>
      <c r="E4" s="22">
        <v>5</v>
      </c>
      <c r="F4" s="21" t="s">
        <v>52</v>
      </c>
      <c r="G4" s="20">
        <v>28</v>
      </c>
      <c r="H4" s="20">
        <f t="shared" si="6"/>
      </c>
      <c r="I4" s="20">
        <v>40</v>
      </c>
      <c r="J4" s="20">
        <v>4.6</v>
      </c>
      <c r="K4" s="20"/>
      <c r="L4" s="23"/>
      <c r="M4" s="20"/>
      <c r="N4" s="20">
        <f t="shared" si="1"/>
      </c>
      <c r="O4" s="24">
        <f t="shared" si="7"/>
      </c>
      <c r="P4" s="25">
        <v>0.2</v>
      </c>
      <c r="Q4" s="21" t="s">
        <v>57</v>
      </c>
      <c r="R4" s="26">
        <f t="shared" si="2"/>
      </c>
      <c r="S4" s="27">
        <f t="shared" si="3"/>
      </c>
      <c r="T4" s="26">
        <v>0.65</v>
      </c>
      <c r="U4" s="28">
        <v>0.12</v>
      </c>
      <c r="V4" s="24">
        <f t="shared" si="0"/>
      </c>
      <c r="W4" s="29">
        <v>0.65</v>
      </c>
      <c r="X4" s="20">
        <f t="shared" ref="X4:X5" si="4">X3-H3</f>
      </c>
      <c r="Y4" s="20">
        <v>0</v>
      </c>
      <c r="Z4" s="20">
        <v>0</v>
      </c>
      <c r="AA4" s="20">
        <v>1310</v>
      </c>
      <c r="AB4" s="20">
        <v>2490</v>
      </c>
      <c r="AC4" s="20"/>
      <c r="AD4" s="20"/>
    </row>
    <row customHeight="true" ht="41" r="5">
      <c r="A5" s="20" t="s">
        <v>58</v>
      </c>
      <c r="B5" s="20" t="s">
        <v>59</v>
      </c>
      <c r="C5" s="21"/>
      <c r="D5" s="21">
        <v>15.99</v>
      </c>
      <c r="E5" s="22">
        <v>3</v>
      </c>
      <c r="F5" s="21" t="s">
        <v>52</v>
      </c>
      <c r="G5" s="20">
        <v>33</v>
      </c>
      <c r="H5" s="20">
        <f t="shared" si="6"/>
      </c>
      <c r="I5" s="30">
        <v>30</v>
      </c>
      <c r="J5" s="20">
        <v>4.6</v>
      </c>
      <c r="K5" s="20"/>
      <c r="L5" s="23"/>
      <c r="M5" s="20"/>
      <c r="N5" s="20">
        <f t="shared" si="1"/>
      </c>
      <c r="O5" s="24">
        <f t="shared" si="7"/>
      </c>
      <c r="P5" s="25">
        <v>0.22</v>
      </c>
      <c r="Q5" s="21" t="s">
        <v>60</v>
      </c>
      <c r="R5" s="26">
        <f t="shared" si="2"/>
      </c>
      <c r="S5" s="27">
        <f t="shared" si="3"/>
      </c>
      <c r="T5" s="26">
        <v>0.6</v>
      </c>
      <c r="U5" s="28">
        <v>0.13</v>
      </c>
      <c r="V5" s="24">
        <f t="shared" si="0"/>
      </c>
      <c r="W5" s="29">
        <v>0.6</v>
      </c>
      <c r="X5" s="20">
        <f t="shared" si="4"/>
      </c>
      <c r="Y5" s="20">
        <v>0</v>
      </c>
      <c r="Z5" s="20">
        <v>2490</v>
      </c>
      <c r="AA5" s="20">
        <v>0</v>
      </c>
      <c r="AB5" s="20" t="s">
        <v>61</v>
      </c>
      <c r="AC5" s="20" t="s">
        <v>62</v>
      </c>
      <c r="AD5" s="20"/>
    </row>
    <row customHeight="true" ht="41" r="6">
      <c r="A6" s="20" t="s">
        <v>63</v>
      </c>
      <c r="B6" s="20" t="s">
        <v>64</v>
      </c>
      <c r="C6" s="21"/>
      <c r="D6" s="21">
        <v>13.59</v>
      </c>
      <c r="E6" s="22"/>
      <c r="F6" s="31" t="s">
        <v>65</v>
      </c>
      <c r="G6" s="20">
        <v>52</v>
      </c>
      <c r="H6" s="20">
        <f t="shared" si="6"/>
      </c>
      <c r="I6" s="20">
        <v>20</v>
      </c>
      <c r="J6" s="20">
        <v>4.6</v>
      </c>
      <c r="K6" s="20"/>
      <c r="L6" s="23"/>
      <c r="M6" s="20"/>
      <c r="N6" s="20">
        <f t="shared" si="1"/>
      </c>
      <c r="O6" s="24">
        <f t="shared" si="7"/>
      </c>
      <c r="P6" s="25">
        <v>0.28</v>
      </c>
      <c r="Q6" s="21" t="s">
        <v>60</v>
      </c>
      <c r="R6" s="26">
        <f t="shared" si="2"/>
      </c>
      <c r="S6" s="27">
        <f t="shared" si="3"/>
      </c>
      <c r="T6" s="26">
        <v>0.55</v>
      </c>
      <c r="U6" s="28">
        <v>0.15</v>
      </c>
      <c r="V6" s="24">
        <f t="shared" si="0"/>
      </c>
      <c r="W6" s="29">
        <v>0.5</v>
      </c>
      <c r="X6" s="20">
        <f>X5-H5+720</f>
      </c>
      <c r="Y6" s="20">
        <v>600</v>
      </c>
      <c r="Z6" s="20">
        <v>1170</v>
      </c>
      <c r="AA6" s="20">
        <v>0</v>
      </c>
      <c r="AB6" s="20">
        <v>1310</v>
      </c>
      <c r="AC6" s="20"/>
      <c r="AD6" s="20">
        <v>1500</v>
      </c>
    </row>
    <row customHeight="true" ht="41" r="7">
      <c r="A7" s="20" t="s">
        <v>66</v>
      </c>
      <c r="B7" s="20" t="s">
        <v>67</v>
      </c>
      <c r="C7" s="21"/>
      <c r="D7" s="21">
        <v>15.99</v>
      </c>
      <c r="E7" s="22">
        <v>2</v>
      </c>
      <c r="F7" s="21" t="s">
        <v>52</v>
      </c>
      <c r="G7" s="20">
        <v>38</v>
      </c>
      <c r="H7" s="20">
        <f t="shared" si="6"/>
      </c>
      <c r="I7" s="20">
        <v>28</v>
      </c>
      <c r="J7" s="20">
        <v>4.6</v>
      </c>
      <c r="K7" s="20"/>
      <c r="L7" s="23"/>
      <c r="M7" s="20"/>
      <c r="N7" s="20">
        <f t="shared" si="1"/>
      </c>
      <c r="O7" s="24">
        <f t="shared" si="7"/>
      </c>
      <c r="P7" s="25">
        <v>0.23</v>
      </c>
      <c r="Q7" s="21" t="s">
        <v>68</v>
      </c>
      <c r="R7" s="26">
        <f t="shared" si="2"/>
      </c>
      <c r="S7" s="27">
        <f t="shared" si="3"/>
      </c>
      <c r="T7" s="26">
        <v>0.55</v>
      </c>
      <c r="U7" s="28">
        <v>0.15</v>
      </c>
      <c r="V7" s="24">
        <f t="shared" si="0"/>
      </c>
      <c r="W7" s="29">
        <v>0.55</v>
      </c>
      <c r="X7" s="20">
        <f t="shared" ref="X7:X8" si="5">X6-H6</f>
      </c>
      <c r="Y7" s="20">
        <v>600</v>
      </c>
      <c r="Z7" s="20">
        <v>1170</v>
      </c>
      <c r="AA7" s="20">
        <v>0</v>
      </c>
      <c r="AB7" s="20">
        <v>1310</v>
      </c>
      <c r="AC7" s="20"/>
      <c r="AD7" s="20"/>
    </row>
    <row customHeight="true" ht="41" r="8">
      <c r="A8" s="20" t="s">
        <v>69</v>
      </c>
      <c r="B8" s="20" t="s">
        <v>70</v>
      </c>
      <c r="C8" s="21"/>
      <c r="D8" s="21">
        <v>15.99</v>
      </c>
      <c r="E8" s="32">
        <v>0.1</v>
      </c>
      <c r="F8" s="21" t="s">
        <v>52</v>
      </c>
      <c r="G8" s="20">
        <v>41</v>
      </c>
      <c r="H8" s="20">
        <f t="shared" si="6"/>
      </c>
      <c r="I8" s="20">
        <v>26</v>
      </c>
      <c r="J8" s="20">
        <v>4.6</v>
      </c>
      <c r="K8" s="20"/>
      <c r="L8" s="23"/>
      <c r="M8" s="20"/>
      <c r="N8" s="20">
        <f t="shared" si="1"/>
      </c>
      <c r="O8" s="24">
        <f t="shared" si="7"/>
      </c>
      <c r="P8" s="25">
        <v>0.24</v>
      </c>
      <c r="Q8" s="21" t="s">
        <v>68</v>
      </c>
      <c r="R8" s="26">
        <f t="shared" si="2"/>
      </c>
      <c r="S8" s="27">
        <f t="shared" si="3"/>
      </c>
      <c r="T8" s="26">
        <v>0.55</v>
      </c>
      <c r="U8" s="28">
        <v>0.15</v>
      </c>
      <c r="V8" s="24">
        <f t="shared" si="0"/>
      </c>
      <c r="W8" s="29">
        <v>0.5</v>
      </c>
      <c r="X8" s="20">
        <f t="shared" si="5"/>
      </c>
      <c r="Y8" s="20">
        <v>600</v>
      </c>
      <c r="Z8" s="20">
        <v>1170</v>
      </c>
      <c r="AA8" s="20">
        <v>0</v>
      </c>
      <c r="AB8" s="20">
        <v>1310</v>
      </c>
      <c r="AC8" s="20" t="s">
        <v>71</v>
      </c>
      <c r="AD8" s="20"/>
    </row>
    <row customHeight="true" ht="41" r="9">
      <c r="A9" s="20" t="s">
        <v>72</v>
      </c>
      <c r="B9" s="20" t="s">
        <v>73</v>
      </c>
      <c r="C9" s="21"/>
      <c r="D9" s="21">
        <v>13.59</v>
      </c>
      <c r="E9" s="22"/>
      <c r="F9" s="31" t="s">
        <v>65</v>
      </c>
      <c r="G9" s="20">
        <v>65</v>
      </c>
      <c r="H9" s="20">
        <f t="shared" si="6"/>
      </c>
      <c r="I9" s="20">
        <v>20</v>
      </c>
      <c r="J9" s="20">
        <v>4.6</v>
      </c>
      <c r="K9" s="20"/>
      <c r="L9" s="23"/>
      <c r="M9" s="20"/>
      <c r="N9" s="20">
        <f t="shared" si="1"/>
      </c>
      <c r="O9" s="24">
        <f t="shared" si="7"/>
      </c>
      <c r="P9" s="25">
        <v>0.3</v>
      </c>
      <c r="Q9" s="21" t="s">
        <v>68</v>
      </c>
      <c r="R9" s="26">
        <f t="shared" si="2"/>
      </c>
      <c r="S9" s="27">
        <f t="shared" si="3"/>
      </c>
      <c r="T9" s="26">
        <v>0.5</v>
      </c>
      <c r="U9" s="28">
        <v>0.16</v>
      </c>
      <c r="V9" s="24">
        <f t="shared" si="0"/>
      </c>
      <c r="W9" s="29">
        <v>0.4</v>
      </c>
      <c r="X9" s="20">
        <f>X8-H8+900</f>
      </c>
      <c r="Y9" s="20">
        <v>600</v>
      </c>
      <c r="Z9" s="20">
        <f>Z8-900</f>
      </c>
      <c r="AA9" s="20">
        <v>0</v>
      </c>
      <c r="AB9" s="20">
        <v>1310</v>
      </c>
      <c r="AC9" s="20"/>
      <c r="AD9" s="20" t="s">
        <v>74</v>
      </c>
    </row>
    <row customHeight="true" ht="41" r="10">
      <c r="A10" s="20" t="s">
        <v>75</v>
      </c>
      <c r="B10" s="20" t="s">
        <v>76</v>
      </c>
      <c r="C10" s="21"/>
      <c r="D10" s="21">
        <v>15.99</v>
      </c>
      <c r="E10" s="32">
        <v>0.1</v>
      </c>
      <c r="F10" s="21" t="s">
        <v>52</v>
      </c>
      <c r="G10" s="20">
        <v>44</v>
      </c>
      <c r="H10" s="20">
        <f t="shared" si="6"/>
      </c>
      <c r="I10" s="20">
        <v>25</v>
      </c>
      <c r="J10" s="20">
        <v>4.6</v>
      </c>
      <c r="K10" s="20"/>
      <c r="L10" s="23"/>
      <c r="M10" s="20"/>
      <c r="N10" s="20">
        <f t="shared" si="1"/>
      </c>
      <c r="O10" s="24">
        <f t="shared" si="7"/>
      </c>
      <c r="P10" s="25">
        <v>0.25</v>
      </c>
      <c r="Q10" s="21" t="s">
        <v>77</v>
      </c>
      <c r="R10" s="26">
        <f t="shared" si="2"/>
      </c>
      <c r="S10" s="27">
        <f t="shared" si="3"/>
      </c>
      <c r="T10" s="26">
        <v>0.5</v>
      </c>
      <c r="U10" s="28">
        <v>0.16</v>
      </c>
      <c r="V10" s="24">
        <f t="shared" si="0"/>
      </c>
      <c r="W10" s="29">
        <v>0.45</v>
      </c>
      <c r="X10" s="20">
        <f>X9-H9</f>
      </c>
      <c r="Y10" s="20">
        <v>600</v>
      </c>
      <c r="Z10" s="20">
        <v>1580</v>
      </c>
      <c r="AA10" s="20">
        <v>1500</v>
      </c>
      <c r="AB10" s="20">
        <v>0</v>
      </c>
      <c r="AC10" s="20" t="s">
        <v>78</v>
      </c>
      <c r="AD10" s="20"/>
    </row>
    <row customHeight="true" ht="41" r="11">
      <c r="A11" s="20" t="s">
        <v>79</v>
      </c>
      <c r="B11" s="20" t="s">
        <v>80</v>
      </c>
      <c r="C11" s="21"/>
      <c r="D11" s="21">
        <v>15.99</v>
      </c>
      <c r="E11" s="32">
        <v>0.1</v>
      </c>
      <c r="F11" s="21" t="s">
        <v>52</v>
      </c>
      <c r="G11" s="20">
        <v>46</v>
      </c>
      <c r="H11" s="20">
        <f t="shared" si="6"/>
      </c>
      <c r="I11" s="20">
        <v>24</v>
      </c>
      <c r="J11" s="20">
        <v>4.6</v>
      </c>
      <c r="K11" s="20"/>
      <c r="L11" s="23"/>
      <c r="M11" s="20"/>
      <c r="N11" s="20">
        <f t="shared" si="1"/>
      </c>
      <c r="O11" s="24">
        <f t="shared" si="7"/>
      </c>
      <c r="P11" s="25">
        <v>0.26</v>
      </c>
      <c r="Q11" s="21" t="s">
        <v>77</v>
      </c>
      <c r="R11" s="26">
        <f t="shared" si="2"/>
      </c>
      <c r="S11" s="27">
        <f t="shared" si="3"/>
      </c>
      <c r="T11" s="26">
        <v>0.5</v>
      </c>
      <c r="U11" s="28">
        <v>0.16</v>
      </c>
      <c r="V11" s="24">
        <f t="shared" si="0"/>
      </c>
      <c r="W11" s="29">
        <v>0.4</v>
      </c>
      <c r="X11" s="20">
        <f>X10-H10+900</f>
      </c>
      <c r="Y11" s="20">
        <v>600</v>
      </c>
      <c r="Z11" s="20">
        <v>680</v>
      </c>
      <c r="AA11" s="20">
        <v>0</v>
      </c>
      <c r="AB11" s="20" t="s">
        <v>81</v>
      </c>
      <c r="AC11" s="20"/>
      <c r="AD11" s="20">
        <v>2100</v>
      </c>
    </row>
    <row customHeight="true" ht="41" r="12">
      <c r="A12" s="20" t="s">
        <v>82</v>
      </c>
      <c r="B12" s="20" t="s">
        <v>83</v>
      </c>
      <c r="C12" s="21"/>
      <c r="D12" s="21">
        <v>13.59</v>
      </c>
      <c r="E12" s="22"/>
      <c r="F12" s="31" t="s">
        <v>65</v>
      </c>
      <c r="G12" s="20">
        <v>70</v>
      </c>
      <c r="H12" s="20">
        <f t="shared" si="6"/>
      </c>
      <c r="I12" s="20">
        <v>20</v>
      </c>
      <c r="J12" s="20">
        <v>4.6</v>
      </c>
      <c r="K12" s="20"/>
      <c r="L12" s="23"/>
      <c r="N12" s="20">
        <f t="shared" si="1"/>
      </c>
      <c r="O12" s="24">
        <f t="shared" si="7"/>
      </c>
      <c r="P12" s="25">
        <v>0.31</v>
      </c>
      <c r="Q12" s="21" t="s">
        <v>77</v>
      </c>
      <c r="R12" s="26">
        <f t="shared" si="2"/>
      </c>
      <c r="S12" s="27">
        <f t="shared" si="3"/>
      </c>
      <c r="T12" s="26">
        <v>0.5</v>
      </c>
      <c r="U12" s="28">
        <v>0.16</v>
      </c>
      <c r="V12" s="24">
        <f t="shared" si="0"/>
      </c>
      <c r="W12" s="29">
        <v>0.35</v>
      </c>
      <c r="X12" s="20">
        <f>X11-H11</f>
      </c>
      <c r="Y12" s="20">
        <v>600</v>
      </c>
      <c r="Z12" s="20">
        <v>680</v>
      </c>
      <c r="AA12" s="20">
        <v>0</v>
      </c>
      <c r="AB12" s="20">
        <v>1500</v>
      </c>
      <c r="AC12" s="20" t="s">
        <v>84</v>
      </c>
      <c r="AD12" s="20"/>
    </row>
    <row customHeight="true" ht="41" r="13">
      <c r="A13" s="20" t="s">
        <v>85</v>
      </c>
      <c r="B13" s="20" t="s">
        <v>86</v>
      </c>
      <c r="C13" s="21"/>
      <c r="D13" s="21">
        <v>16.99</v>
      </c>
      <c r="E13" s="22">
        <v>2</v>
      </c>
      <c r="F13" s="21" t="s">
        <v>52</v>
      </c>
      <c r="G13" s="20">
        <v>48</v>
      </c>
      <c r="H13" s="20">
        <f t="shared" si="6"/>
      </c>
      <c r="I13" s="20">
        <v>22</v>
      </c>
      <c r="J13" s="20">
        <v>4.6</v>
      </c>
      <c r="K13" s="20"/>
      <c r="L13" s="23"/>
      <c r="N13" s="20">
        <f t="shared" si="1"/>
      </c>
      <c r="O13" s="24">
        <f t="shared" si="7"/>
      </c>
      <c r="P13" s="25">
        <v>0.27</v>
      </c>
      <c r="Q13" s="21" t="s">
        <v>77</v>
      </c>
      <c r="R13" s="26">
        <f t="shared" si="2"/>
      </c>
      <c r="S13" s="27">
        <f t="shared" si="3"/>
      </c>
      <c r="T13" s="26">
        <v>0.5</v>
      </c>
      <c r="U13" s="28">
        <v>0.16</v>
      </c>
      <c r="V13" s="24">
        <f t="shared" si="0"/>
      </c>
      <c r="W13" s="29">
        <v>0.35</v>
      </c>
      <c r="X13" s="20">
        <f>X12-H12+680</f>
      </c>
      <c r="Y13" s="20">
        <v>600</v>
      </c>
      <c r="Z13" s="20">
        <v>0</v>
      </c>
      <c r="AA13" s="20">
        <v>1980</v>
      </c>
      <c r="AB13" s="20">
        <v>1500</v>
      </c>
      <c r="AC13" s="20"/>
      <c r="AD13" s="20"/>
    </row>
    <row customHeight="true" ht="41" r="14">
      <c r="A14" s="20" t="s">
        <v>87</v>
      </c>
      <c r="B14" s="20" t="s">
        <v>88</v>
      </c>
      <c r="C14" s="21"/>
      <c r="D14" s="21">
        <v>16.99</v>
      </c>
      <c r="E14" s="32">
        <v>0.1</v>
      </c>
      <c r="F14" s="21" t="s">
        <v>52</v>
      </c>
      <c r="G14" s="20">
        <v>50</v>
      </c>
      <c r="H14" s="20">
        <f t="shared" si="6"/>
      </c>
      <c r="I14" s="20">
        <v>21</v>
      </c>
      <c r="J14" s="20">
        <v>4.6</v>
      </c>
      <c r="K14" s="20"/>
      <c r="L14" s="23"/>
      <c r="N14" s="20">
        <f t="shared" si="1"/>
      </c>
      <c r="O14" s="24">
        <f t="shared" si="7"/>
      </c>
      <c r="P14" s="25">
        <v>0.28</v>
      </c>
      <c r="Q14" s="21" t="s">
        <v>77</v>
      </c>
      <c r="R14" s="26">
        <f t="shared" si="2"/>
      </c>
      <c r="S14" s="27">
        <f t="shared" si="3"/>
      </c>
      <c r="T14" s="26">
        <v>0.5</v>
      </c>
      <c r="U14" s="28">
        <v>0.16</v>
      </c>
      <c r="V14" s="24">
        <f t="shared" si="0"/>
      </c>
      <c r="W14" s="29">
        <v>0.3</v>
      </c>
      <c r="X14" s="20">
        <v>1355</v>
      </c>
      <c r="Y14" s="20">
        <f>Y13-H13</f>
      </c>
      <c r="Z14" s="20">
        <v>1500</v>
      </c>
      <c r="AA14" s="20">
        <v>0</v>
      </c>
      <c r="AB14" s="20" t="s">
        <v>89</v>
      </c>
      <c r="AC14" s="20"/>
      <c r="AD14" s="20"/>
      <c r="AE14" s="33" t="s">
        <v>90</v>
      </c>
    </row>
    <row customHeight="true" ht="41" r="15">
      <c r="A15" s="20" t="s">
        <v>91</v>
      </c>
      <c r="B15" s="20" t="s">
        <v>92</v>
      </c>
      <c r="C15" s="21"/>
      <c r="D15" s="21">
        <v>13.59</v>
      </c>
      <c r="E15" s="32">
        <v>0.1</v>
      </c>
      <c r="F15" s="31" t="s">
        <v>65</v>
      </c>
      <c r="G15" s="20">
        <v>75</v>
      </c>
      <c r="H15" s="20">
        <f t="shared" si="6"/>
      </c>
      <c r="I15" s="20">
        <v>20</v>
      </c>
      <c r="J15" s="20">
        <v>4.6</v>
      </c>
      <c r="K15" s="20"/>
      <c r="L15" s="23"/>
      <c r="N15" s="20">
        <f t="shared" si="1"/>
      </c>
      <c r="O15" s="24">
        <f t="shared" si="7"/>
      </c>
      <c r="P15" s="25">
        <v>0.32</v>
      </c>
      <c r="Q15" s="21" t="s">
        <v>77</v>
      </c>
      <c r="R15" s="26">
        <f t="shared" si="2"/>
      </c>
      <c r="S15" s="27">
        <f t="shared" si="3"/>
      </c>
      <c r="T15" s="26">
        <v>0.5</v>
      </c>
      <c r="U15" s="28">
        <v>0.17</v>
      </c>
      <c r="V15" s="24">
        <f t="shared" si="0"/>
      </c>
      <c r="W15" s="29">
        <v>0.3</v>
      </c>
      <c r="X15" s="20">
        <f>X14-H14</f>
      </c>
      <c r="Y15" s="20">
        <v>264</v>
      </c>
      <c r="Z15" s="20">
        <v>1500</v>
      </c>
      <c r="AA15" s="20">
        <v>2100</v>
      </c>
      <c r="AB15" s="20">
        <v>1980</v>
      </c>
      <c r="AC15" s="20"/>
      <c r="AD15" s="20"/>
    </row>
    <row customHeight="true" ht="14" r="16">
      <c r="A16" s="30"/>
    </row>
    <row customHeight="true" ht="14" r="17"/>
    <row customHeight="true" ht="16" r="18">
      <c r="N18" s="34"/>
    </row>
    <row customHeight="true" ht="14" r="19"/>
    <row customHeight="true" ht="14" r="20"/>
  </sheetData>
  <mergeCells>
    <mergeCell ref="K1:L1"/>
    <mergeCell ref="R1:W1"/>
    <mergeCell ref="X1:AD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4B083"/>
    <outlinePr summaryBelow="false" summaryRight="false"/>
  </sheetPr>
  <dimension ref="A1"/>
  <sheetViews>
    <sheetView showGridLines="true" workbookViewId="0">
      <pane state="frozen" topLeftCell="K12" xSplit="10" ySplit="11"/>
    </sheetView>
  </sheetViews>
  <sheetFormatPr defaultColWidth="12" defaultRowHeight="18"/>
  <cols>
    <col collapsed="false" customWidth="true" hidden="false" max="1" min="1" style="0" width="8"/>
    <col collapsed="false" customWidth="true" hidden="false" max="5" min="5" style="0" width="8"/>
    <col collapsed="false" customWidth="true" hidden="false" max="9" min="9" style="0" width="7"/>
    <col collapsed="false" customWidth="true" hidden="false" max="13" min="13" style="0" width="7"/>
    <col collapsed="false" customWidth="true" hidden="false" max="17" min="17" style="0" width="35"/>
    <col collapsed="false" customWidth="true" hidden="false" max="2" min="2" style="0" width="11"/>
    <col collapsed="false" customWidth="true" hidden="false" max="6" min="6" style="0" width="7"/>
    <col collapsed="false" customWidth="true" hidden="false" max="10" min="10" style="0" width="8"/>
    <col collapsed="false" customWidth="true" hidden="false" max="14" min="14" style="0" width="11"/>
    <col collapsed="false" customWidth="true" hidden="false" max="18" min="18" style="0" width="12"/>
    <col collapsed="false" customWidth="true" hidden="false" max="3" min="3" style="0" width="7"/>
    <col collapsed="false" customWidth="true" hidden="false" max="7" min="7" style="0" width="5"/>
    <col collapsed="false" customWidth="true" hidden="false" max="11" min="11" style="0" width="8"/>
    <col collapsed="false" customWidth="true" hidden="false" max="15" min="15" style="0" width="30"/>
    <col collapsed="false" customWidth="true" hidden="false" max="19" min="19" style="0" width="7"/>
    <col collapsed="false" customWidth="true" hidden="false" max="4" min="4" style="0" width="7"/>
    <col collapsed="false" customWidth="true" hidden="false" max="8" min="8" style="0" width="5"/>
    <col collapsed="false" customWidth="true" hidden="false" max="12" min="12" style="0" width="7"/>
    <col collapsed="false" customWidth="true" hidden="false" max="16" min="16" style="0" width="20"/>
    <col collapsed="false" customWidth="true" hidden="false" max="20" min="20" style="0" width="7"/>
  </cols>
  <sheetData>
    <row customHeight="true" ht="14" r="1">
      <c r="A1" s="35" t="s">
        <v>93</v>
      </c>
      <c r="B1" s="35"/>
      <c r="C1" s="35"/>
      <c r="D1" s="35"/>
      <c r="E1" s="35"/>
      <c r="F1" s="35"/>
      <c r="G1" s="35"/>
      <c r="H1" s="35"/>
      <c r="I1" s="35"/>
      <c r="J1" s="35"/>
      <c r="K1" s="36"/>
      <c r="L1" s="36"/>
    </row>
    <row customHeight="true" ht="14" r="2">
      <c r="A2" s="35"/>
      <c r="B2" s="35"/>
      <c r="C2" s="35"/>
      <c r="D2" s="35"/>
      <c r="E2" s="35"/>
      <c r="F2" s="35"/>
      <c r="G2" s="35"/>
      <c r="H2" s="35"/>
      <c r="I2" s="35"/>
      <c r="J2" s="35"/>
      <c r="K2" s="36"/>
      <c r="L2" s="36"/>
    </row>
    <row customHeight="true" ht="14" r="3">
      <c r="A3" s="35"/>
      <c r="B3" s="35"/>
      <c r="C3" s="35"/>
      <c r="D3" s="35"/>
      <c r="E3" s="35"/>
      <c r="F3" s="35"/>
      <c r="G3" s="35"/>
      <c r="H3" s="35"/>
      <c r="I3" s="35"/>
      <c r="J3" s="35"/>
      <c r="K3" s="36"/>
      <c r="L3" s="36"/>
    </row>
    <row customHeight="true" ht="14" r="4">
      <c r="A4" s="35"/>
      <c r="B4" s="35"/>
      <c r="C4" s="35"/>
      <c r="D4" s="35"/>
      <c r="E4" s="35"/>
      <c r="F4" s="35"/>
      <c r="G4" s="35"/>
      <c r="H4" s="35"/>
      <c r="I4" s="35"/>
      <c r="J4" s="35"/>
      <c r="K4" s="36"/>
      <c r="L4" s="36"/>
    </row>
    <row customHeight="true" ht="14" r="5">
      <c r="A5" s="35"/>
      <c r="B5" s="35"/>
      <c r="C5" s="35"/>
      <c r="D5" s="35"/>
      <c r="E5" s="35"/>
      <c r="F5" s="35"/>
      <c r="G5" s="35"/>
      <c r="H5" s="35"/>
      <c r="I5" s="35"/>
      <c r="J5" s="35"/>
      <c r="K5" s="36"/>
      <c r="L5" s="36"/>
    </row>
    <row customHeight="true" ht="14" r="6">
      <c r="A6" s="35"/>
      <c r="B6" s="35"/>
      <c r="C6" s="35"/>
      <c r="D6" s="35"/>
      <c r="E6" s="35"/>
      <c r="F6" s="35"/>
      <c r="G6" s="35"/>
      <c r="H6" s="35"/>
      <c r="I6" s="35"/>
      <c r="J6" s="35"/>
      <c r="K6" s="36"/>
      <c r="L6" s="36"/>
    </row>
    <row customHeight="true" ht="14" r="7">
      <c r="A7" s="35"/>
      <c r="B7" s="35"/>
      <c r="C7" s="35"/>
      <c r="D7" s="35"/>
      <c r="E7" s="35"/>
      <c r="F7" s="35"/>
      <c r="G7" s="35"/>
      <c r="H7" s="35"/>
      <c r="I7" s="35"/>
      <c r="J7" s="35"/>
      <c r="K7" s="36"/>
      <c r="L7" s="36"/>
    </row>
    <row customHeight="true" ht="14" r="8">
      <c r="A8" s="35"/>
      <c r="B8" s="35"/>
      <c r="C8" s="35"/>
      <c r="D8" s="35"/>
      <c r="E8" s="35"/>
      <c r="F8" s="35"/>
      <c r="G8" s="35"/>
      <c r="H8" s="35"/>
      <c r="I8" s="35"/>
      <c r="J8" s="35"/>
      <c r="K8" s="36"/>
      <c r="L8" s="36"/>
    </row>
    <row customHeight="true" ht="14" r="9">
      <c r="A9" s="37"/>
      <c r="B9" s="37"/>
      <c r="C9" s="37"/>
      <c r="D9" s="37"/>
      <c r="E9" s="37"/>
      <c r="F9" s="37"/>
      <c r="G9" s="37"/>
      <c r="H9" s="37"/>
      <c r="I9" s="37"/>
      <c r="J9" s="37"/>
      <c r="K9" s="38"/>
      <c r="L9" s="38"/>
    </row>
    <row customHeight="true" ht="18" r="10">
      <c r="A10" s="39" t="s">
        <v>94</v>
      </c>
      <c r="B10" s="39" t="s">
        <v>95</v>
      </c>
      <c r="C10" s="39" t="s">
        <v>96</v>
      </c>
      <c r="D10" s="39" t="s">
        <v>97</v>
      </c>
      <c r="E10" s="39" t="s">
        <v>98</v>
      </c>
      <c r="F10" s="39" t="s">
        <v>99</v>
      </c>
      <c r="G10" s="39" t="s">
        <v>100</v>
      </c>
      <c r="H10" s="40" t="s">
        <v>101</v>
      </c>
      <c r="I10" s="40" t="s">
        <v>102</v>
      </c>
      <c r="J10" s="40" t="s">
        <v>103</v>
      </c>
      <c r="K10" s="40" t="s">
        <v>104</v>
      </c>
      <c r="L10" s="41" t="s">
        <v>105</v>
      </c>
      <c r="M10" s="42" t="s">
        <v>106</v>
      </c>
      <c r="N10" s="42"/>
      <c r="O10" s="43" t="s">
        <v>107</v>
      </c>
      <c r="P10" s="44" t="s">
        <v>108</v>
      </c>
      <c r="Q10" s="43" t="s">
        <v>109</v>
      </c>
      <c r="R10" s="43" t="s">
        <v>110</v>
      </c>
    </row>
    <row customHeight="true" ht="18" r="11">
      <c r="A11" s="45"/>
      <c r="B11" s="45"/>
      <c r="C11" s="45"/>
      <c r="D11" s="45"/>
      <c r="E11" s="45"/>
      <c r="F11" s="45"/>
      <c r="G11" s="45"/>
      <c r="H11" s="46"/>
      <c r="I11" s="46"/>
      <c r="J11" s="46"/>
      <c r="K11" s="46"/>
      <c r="L11" s="47" t="s">
        <v>105</v>
      </c>
      <c r="M11" s="48" t="s">
        <v>111</v>
      </c>
      <c r="N11" s="49" t="s">
        <v>112</v>
      </c>
      <c r="O11" s="44"/>
      <c r="P11" s="50"/>
      <c r="Q11" s="44"/>
      <c r="R11" s="44"/>
    </row>
    <row customHeight="true" ht="18" r="12">
      <c r="A12" s="51" t="s">
        <v>113</v>
      </c>
      <c r="B12" s="52" t="s">
        <v>114</v>
      </c>
      <c r="C12" s="53">
        <f>'推广计划'!D3</f>
      </c>
      <c r="D12" s="53">
        <f>'推广计划'!G3</f>
      </c>
      <c r="E12" s="53">
        <f>C12*D12*7</f>
      </c>
      <c r="F12" s="54">
        <f>'推广计划'!P3</f>
      </c>
      <c r="G12" s="55">
        <f>D12/F12</f>
      </c>
      <c r="H12" s="56">
        <f>D12*J12</f>
      </c>
      <c r="I12" s="57">
        <f>H12*C12</f>
      </c>
      <c r="J12" s="58">
        <v>0.7</v>
      </c>
      <c r="K12" s="59">
        <f t="shared" ref="K12:K63" si="5">L12*M12</f>
      </c>
      <c r="L12" s="60">
        <f t="shared" ref="L12:L15" si="3">$H$12/N12</f>
      </c>
      <c r="M12" s="61">
        <f>'推广计划'!T3</f>
      </c>
      <c r="N12" s="62">
        <f>'推广计划'!U3</f>
      </c>
      <c r="O12" s="63" t="s">
        <v>115</v>
      </c>
      <c r="P12" s="64" t="s">
        <v>116</v>
      </c>
      <c r="Q12" s="65" t="s">
        <v>117</v>
      </c>
      <c r="R12" s="66"/>
    </row>
    <row customHeight="true" ht="18" r="13">
      <c r="A13" s="67"/>
      <c r="B13" s="68"/>
      <c r="C13" s="68"/>
      <c r="D13" s="68"/>
      <c r="E13" s="68"/>
      <c r="F13" s="69"/>
      <c r="G13" s="70"/>
      <c r="H13" s="71"/>
      <c r="I13" s="72"/>
      <c r="J13" s="73"/>
      <c r="K13" s="74">
        <f t="shared" si="5"/>
      </c>
      <c r="L13" s="75">
        <f t="shared" si="3"/>
      </c>
      <c r="M13" s="61">
        <f>'推广计划'!T3</f>
      </c>
      <c r="N13" s="62">
        <f>'推广计划'!U3</f>
      </c>
      <c r="O13" s="76"/>
      <c r="P13" s="64"/>
      <c r="Q13" s="65"/>
      <c r="R13" s="66"/>
    </row>
    <row customHeight="true" ht="18" r="14">
      <c r="A14" s="67"/>
      <c r="B14" s="68"/>
      <c r="C14" s="68"/>
      <c r="D14" s="68"/>
      <c r="E14" s="68"/>
      <c r="F14" s="69"/>
      <c r="G14" s="70"/>
      <c r="H14" s="71"/>
      <c r="I14" s="72"/>
      <c r="J14" s="73"/>
      <c r="K14" s="74">
        <f t="shared" si="5"/>
      </c>
      <c r="L14" s="75">
        <f t="shared" si="3"/>
      </c>
      <c r="M14" s="61">
        <f>'推广计划'!T3</f>
      </c>
      <c r="N14" s="62">
        <f>'推广计划'!U3</f>
      </c>
      <c r="O14" s="76"/>
      <c r="P14" s="64"/>
      <c r="Q14" s="65"/>
      <c r="R14" s="66"/>
    </row>
    <row customHeight="true" ht="44" r="15">
      <c r="A15" s="77"/>
      <c r="B15" s="78"/>
      <c r="C15" s="78"/>
      <c r="D15" s="78"/>
      <c r="E15" s="78"/>
      <c r="F15" s="79"/>
      <c r="G15" s="80"/>
      <c r="H15" s="81"/>
      <c r="I15" s="82"/>
      <c r="J15" s="83"/>
      <c r="K15" s="84">
        <f t="shared" si="5"/>
      </c>
      <c r="L15" s="85">
        <f t="shared" si="3"/>
      </c>
      <c r="M15" s="61">
        <f>'推广计划'!T3</f>
      </c>
      <c r="N15" s="62">
        <f>'推广计划'!U3</f>
      </c>
      <c r="O15" s="86"/>
      <c r="P15" s="64"/>
      <c r="Q15" s="65"/>
      <c r="R15" s="87"/>
    </row>
    <row customHeight="true" ht="21" r="16">
      <c r="A16" s="88" t="s">
        <v>118</v>
      </c>
      <c r="B16" s="89" t="s">
        <v>119</v>
      </c>
      <c r="C16" s="53">
        <f>'推广计划'!D4</f>
      </c>
      <c r="D16" s="53">
        <f>'推广计划'!G4</f>
      </c>
      <c r="E16" s="53">
        <f>C16*D16*7</f>
      </c>
      <c r="F16" s="54">
        <f>'推广计划'!P4</f>
      </c>
      <c r="G16" s="55">
        <f>D16/F16</f>
      </c>
      <c r="H16" s="90">
        <f>D16*J16</f>
      </c>
      <c r="I16" s="91">
        <f>H16*C16</f>
      </c>
      <c r="J16" s="92">
        <v>0.65</v>
      </c>
      <c r="K16" s="93">
        <f t="shared" si="5"/>
      </c>
      <c r="L16" s="94">
        <f t="shared" ref="L16:L19" si="9">$H$16/N16</f>
      </c>
      <c r="M16" s="61">
        <f>'推广计划'!T4</f>
      </c>
      <c r="N16" s="62">
        <f>'推广计划'!U4</f>
      </c>
      <c r="O16" s="95" t="s">
        <v>120</v>
      </c>
      <c r="P16" s="64"/>
      <c r="Q16" s="65"/>
      <c r="R16" s="96" t="s">
        <v>121</v>
      </c>
    </row>
    <row customHeight="true" ht="21" r="17">
      <c r="A17" s="67"/>
      <c r="B17" s="97"/>
      <c r="C17" s="68"/>
      <c r="D17" s="68"/>
      <c r="E17" s="68"/>
      <c r="F17" s="69"/>
      <c r="G17" s="70"/>
      <c r="H17" s="71"/>
      <c r="I17" s="72"/>
      <c r="J17" s="73"/>
      <c r="K17" s="74">
        <f t="shared" si="5"/>
      </c>
      <c r="L17" s="75">
        <f t="shared" si="9"/>
      </c>
      <c r="M17" s="61">
        <f>'推广计划'!T4</f>
      </c>
      <c r="N17" s="62">
        <f>'推广计划'!U4</f>
      </c>
      <c r="O17" s="76"/>
      <c r="P17" s="64"/>
      <c r="Q17" s="65"/>
      <c r="R17" s="66"/>
    </row>
    <row customHeight="true" ht="21" r="18">
      <c r="A18" s="67"/>
      <c r="B18" s="97"/>
      <c r="C18" s="68"/>
      <c r="D18" s="68"/>
      <c r="E18" s="68"/>
      <c r="F18" s="69"/>
      <c r="G18" s="70"/>
      <c r="H18" s="71"/>
      <c r="I18" s="72"/>
      <c r="J18" s="73"/>
      <c r="K18" s="74">
        <f t="shared" si="5"/>
      </c>
      <c r="L18" s="75">
        <f t="shared" si="9"/>
      </c>
      <c r="M18" s="61">
        <f>'推广计划'!T4</f>
      </c>
      <c r="N18" s="62">
        <f>'推广计划'!U4</f>
      </c>
      <c r="O18" s="76"/>
      <c r="P18" s="64"/>
      <c r="Q18" s="65"/>
      <c r="R18" s="66"/>
    </row>
    <row customHeight="true" ht="21" r="19">
      <c r="A19" s="77"/>
      <c r="B19" s="98"/>
      <c r="C19" s="78"/>
      <c r="D19" s="78"/>
      <c r="E19" s="78"/>
      <c r="F19" s="79"/>
      <c r="G19" s="80"/>
      <c r="H19" s="81"/>
      <c r="I19" s="82"/>
      <c r="J19" s="83"/>
      <c r="K19" s="84">
        <f t="shared" si="5"/>
      </c>
      <c r="L19" s="85">
        <f t="shared" si="9"/>
      </c>
      <c r="M19" s="61">
        <f>'推广计划'!T4</f>
      </c>
      <c r="N19" s="62">
        <f>'推广计划'!U4</f>
      </c>
      <c r="O19" s="86"/>
      <c r="P19" s="64"/>
      <c r="Q19" s="65"/>
      <c r="R19" s="66"/>
    </row>
    <row customHeight="true" ht="22" r="20">
      <c r="A20" s="51" t="s">
        <v>122</v>
      </c>
      <c r="B20" s="89" t="s">
        <v>123</v>
      </c>
      <c r="C20" s="53">
        <f>'推广计划'!D5</f>
      </c>
      <c r="D20" s="53">
        <f>'推广计划'!G5</f>
      </c>
      <c r="E20" s="53">
        <f>C20*D20*7</f>
      </c>
      <c r="F20" s="54">
        <f>'推广计划'!P5</f>
      </c>
      <c r="G20" s="55">
        <f>D20/F20</f>
      </c>
      <c r="H20" s="90">
        <f>D20*J20</f>
      </c>
      <c r="I20" s="91">
        <f>H20*C20</f>
      </c>
      <c r="J20" s="92">
        <v>0.6</v>
      </c>
      <c r="K20" s="93">
        <f t="shared" si="5"/>
      </c>
      <c r="L20" s="94">
        <f t="shared" ref="L20:L23" si="4">$H$20/N20</f>
      </c>
      <c r="M20" s="61">
        <f>'推广计划'!T5</f>
      </c>
      <c r="N20" s="62">
        <f>'推广计划'!U5</f>
      </c>
      <c r="O20" s="95" t="s">
        <v>120</v>
      </c>
      <c r="P20" s="64"/>
      <c r="Q20" s="65"/>
      <c r="R20" s="66"/>
    </row>
    <row customHeight="true" ht="22" r="21">
      <c r="A21" s="67"/>
      <c r="B21" s="97"/>
      <c r="C21" s="68"/>
      <c r="D21" s="68"/>
      <c r="E21" s="68"/>
      <c r="F21" s="69"/>
      <c r="G21" s="70"/>
      <c r="H21" s="71"/>
      <c r="I21" s="72"/>
      <c r="J21" s="73"/>
      <c r="K21" s="74">
        <f t="shared" si="5"/>
      </c>
      <c r="L21" s="75">
        <f t="shared" si="4"/>
      </c>
      <c r="M21" s="61">
        <f>'推广计划'!T5</f>
      </c>
      <c r="N21" s="62">
        <f>'推广计划'!U5</f>
      </c>
      <c r="O21" s="76"/>
      <c r="P21" s="64"/>
      <c r="Q21" s="65"/>
      <c r="R21" s="66"/>
    </row>
    <row customHeight="true" ht="22" r="22">
      <c r="A22" s="67"/>
      <c r="B22" s="97"/>
      <c r="C22" s="68"/>
      <c r="D22" s="68"/>
      <c r="E22" s="68"/>
      <c r="F22" s="69"/>
      <c r="G22" s="70"/>
      <c r="H22" s="71"/>
      <c r="I22" s="72"/>
      <c r="J22" s="73"/>
      <c r="K22" s="74">
        <f t="shared" si="5"/>
      </c>
      <c r="L22" s="75">
        <f t="shared" si="4"/>
      </c>
      <c r="M22" s="61">
        <f>'推广计划'!T5</f>
      </c>
      <c r="N22" s="62">
        <f>'推广计划'!U5</f>
      </c>
      <c r="O22" s="76"/>
      <c r="P22" s="64"/>
      <c r="Q22" s="65"/>
      <c r="R22" s="66"/>
    </row>
    <row customHeight="true" ht="22" r="23">
      <c r="A23" s="77"/>
      <c r="B23" s="98"/>
      <c r="C23" s="78"/>
      <c r="D23" s="78"/>
      <c r="E23" s="78"/>
      <c r="F23" s="79"/>
      <c r="G23" s="80"/>
      <c r="H23" s="81"/>
      <c r="I23" s="82"/>
      <c r="J23" s="83"/>
      <c r="K23" s="84">
        <f t="shared" si="5"/>
      </c>
      <c r="L23" s="85">
        <f t="shared" si="4"/>
      </c>
      <c r="M23" s="61">
        <f>'推广计划'!T5</f>
      </c>
      <c r="N23" s="62">
        <f>'推广计划'!U5</f>
      </c>
      <c r="O23" s="86"/>
      <c r="P23" s="64"/>
      <c r="Q23" s="65"/>
      <c r="R23" s="87"/>
    </row>
    <row customHeight="true" ht="24" r="24">
      <c r="A24" s="88" t="s">
        <v>124</v>
      </c>
      <c r="B24" s="89" t="s">
        <v>125</v>
      </c>
      <c r="C24" s="53">
        <f>'推广计划'!D6</f>
      </c>
      <c r="D24" s="53">
        <f>'推广计划'!G6</f>
      </c>
      <c r="E24" s="53">
        <f>C24*D24*7</f>
      </c>
      <c r="F24" s="54">
        <f>'推广计划'!P6</f>
      </c>
      <c r="G24" s="55">
        <f>D24/F24</f>
      </c>
      <c r="H24" s="90">
        <f>D24*J24</f>
      </c>
      <c r="I24" s="91">
        <f>H24*C24</f>
      </c>
      <c r="J24" s="92">
        <v>0.55</v>
      </c>
      <c r="K24" s="93">
        <f t="shared" si="5"/>
      </c>
      <c r="L24" s="94">
        <f t="shared" ref="L24:L27" si="12">$H$24/N24</f>
      </c>
      <c r="M24" s="61">
        <f>'推广计划'!T6</f>
      </c>
      <c r="N24" s="62">
        <f>'推广计划'!U6</f>
      </c>
      <c r="O24" s="95" t="s">
        <v>120</v>
      </c>
      <c r="P24" s="64"/>
      <c r="Q24" s="65"/>
      <c r="R24" s="96" t="s">
        <v>121</v>
      </c>
    </row>
    <row customHeight="true" ht="24" r="25">
      <c r="A25" s="67"/>
      <c r="B25" s="97"/>
      <c r="C25" s="68"/>
      <c r="D25" s="68"/>
      <c r="E25" s="68"/>
      <c r="F25" s="69"/>
      <c r="G25" s="70"/>
      <c r="H25" s="71"/>
      <c r="I25" s="72"/>
      <c r="J25" s="73"/>
      <c r="K25" s="74">
        <f t="shared" si="5"/>
      </c>
      <c r="L25" s="75">
        <f t="shared" si="12"/>
      </c>
      <c r="M25" s="61">
        <f>'推广计划'!T6</f>
      </c>
      <c r="N25" s="62">
        <f>'推广计划'!U6</f>
      </c>
      <c r="O25" s="76"/>
      <c r="P25" s="64"/>
      <c r="Q25" s="65"/>
      <c r="R25" s="66"/>
    </row>
    <row customHeight="true" ht="24" r="26">
      <c r="A26" s="67"/>
      <c r="B26" s="97"/>
      <c r="C26" s="68"/>
      <c r="D26" s="68"/>
      <c r="E26" s="68"/>
      <c r="F26" s="69"/>
      <c r="G26" s="70"/>
      <c r="H26" s="71"/>
      <c r="I26" s="72"/>
      <c r="J26" s="73"/>
      <c r="K26" s="74">
        <f t="shared" si="5"/>
      </c>
      <c r="L26" s="75">
        <f t="shared" si="12"/>
      </c>
      <c r="M26" s="61">
        <f>'推广计划'!T6</f>
      </c>
      <c r="N26" s="62">
        <f>'推广计划'!U6</f>
      </c>
      <c r="O26" s="76"/>
      <c r="P26" s="64"/>
      <c r="Q26" s="65"/>
      <c r="R26" s="66"/>
    </row>
    <row customHeight="true" ht="24" r="27">
      <c r="A27" s="77"/>
      <c r="B27" s="98"/>
      <c r="C27" s="78"/>
      <c r="D27" s="78"/>
      <c r="E27" s="78"/>
      <c r="F27" s="79"/>
      <c r="G27" s="80"/>
      <c r="H27" s="81"/>
      <c r="I27" s="82"/>
      <c r="J27" s="83"/>
      <c r="K27" s="84">
        <f t="shared" si="5"/>
      </c>
      <c r="L27" s="85">
        <f t="shared" si="12"/>
      </c>
      <c r="M27" s="61">
        <f>'推广计划'!T6</f>
      </c>
      <c r="N27" s="62">
        <f>'推广计划'!U6</f>
      </c>
      <c r="O27" s="86"/>
      <c r="P27" s="99"/>
      <c r="Q27" s="65"/>
      <c r="R27" s="66"/>
    </row>
    <row customHeight="true" ht="25" r="28">
      <c r="A28" s="51" t="s">
        <v>126</v>
      </c>
      <c r="B28" s="89" t="s">
        <v>127</v>
      </c>
      <c r="C28" s="53">
        <f>'推广计划'!D7</f>
      </c>
      <c r="D28" s="53">
        <f>'推广计划'!G7</f>
      </c>
      <c r="E28" s="53">
        <f>C28*D28*7</f>
      </c>
      <c r="F28" s="54">
        <f>'推广计划'!P7</f>
      </c>
      <c r="G28" s="55">
        <f>D28/F28</f>
      </c>
      <c r="H28" s="90">
        <f>D28*J28</f>
      </c>
      <c r="I28" s="91">
        <f>H28*C28</f>
      </c>
      <c r="J28" s="92">
        <v>0.5</v>
      </c>
      <c r="K28" s="93">
        <f t="shared" si="5"/>
      </c>
      <c r="L28" s="94">
        <f t="shared" ref="L28:L31" si="6">$H$28/N28</f>
      </c>
      <c r="M28" s="61">
        <f>'推广计划'!T7</f>
      </c>
      <c r="N28" s="62">
        <f>'推广计划'!U7</f>
      </c>
      <c r="O28" s="95" t="s">
        <v>128</v>
      </c>
      <c r="P28" s="100" t="s">
        <v>129</v>
      </c>
      <c r="Q28" s="65"/>
      <c r="R28" s="66"/>
    </row>
    <row customHeight="true" ht="25" r="29">
      <c r="A29" s="67"/>
      <c r="B29" s="97"/>
      <c r="C29" s="68"/>
      <c r="D29" s="68"/>
      <c r="E29" s="68"/>
      <c r="F29" s="69"/>
      <c r="G29" s="70"/>
      <c r="H29" s="71"/>
      <c r="I29" s="72"/>
      <c r="J29" s="73"/>
      <c r="K29" s="74">
        <f t="shared" si="5"/>
      </c>
      <c r="L29" s="75">
        <f t="shared" si="6"/>
      </c>
      <c r="M29" s="61">
        <f>'推广计划'!T7</f>
      </c>
      <c r="N29" s="62">
        <f>'推广计划'!U7</f>
      </c>
      <c r="O29" s="76"/>
      <c r="P29" s="64"/>
      <c r="Q29" s="65"/>
      <c r="R29" s="66"/>
    </row>
    <row customHeight="true" ht="25" r="30">
      <c r="A30" s="67"/>
      <c r="B30" s="97"/>
      <c r="C30" s="68"/>
      <c r="D30" s="68"/>
      <c r="E30" s="68"/>
      <c r="F30" s="69"/>
      <c r="G30" s="70"/>
      <c r="H30" s="71"/>
      <c r="I30" s="72"/>
      <c r="J30" s="73"/>
      <c r="K30" s="74">
        <f t="shared" si="5"/>
      </c>
      <c r="L30" s="75">
        <f t="shared" si="6"/>
      </c>
      <c r="M30" s="61">
        <f>'推广计划'!T7</f>
      </c>
      <c r="N30" s="62">
        <f>'推广计划'!U7</f>
      </c>
      <c r="O30" s="76"/>
      <c r="P30" s="64"/>
      <c r="Q30" s="65"/>
      <c r="R30" s="66"/>
    </row>
    <row customHeight="true" ht="25" r="31">
      <c r="A31" s="77"/>
      <c r="B31" s="98"/>
      <c r="C31" s="78"/>
      <c r="D31" s="78"/>
      <c r="E31" s="78"/>
      <c r="F31" s="79"/>
      <c r="G31" s="80"/>
      <c r="H31" s="81"/>
      <c r="I31" s="82"/>
      <c r="J31" s="83"/>
      <c r="K31" s="84">
        <f t="shared" si="5"/>
      </c>
      <c r="L31" s="85">
        <f t="shared" si="6"/>
      </c>
      <c r="M31" s="61">
        <f>'推广计划'!T7</f>
      </c>
      <c r="N31" s="62">
        <f>'推广计划'!U7</f>
      </c>
      <c r="O31" s="86"/>
      <c r="P31" s="64"/>
      <c r="Q31" s="65"/>
      <c r="R31" s="87"/>
    </row>
    <row customHeight="true" ht="25" r="32">
      <c r="A32" s="88" t="s">
        <v>130</v>
      </c>
      <c r="B32" s="89" t="s">
        <v>131</v>
      </c>
      <c r="C32" s="53">
        <f>'推广计划'!D8</f>
      </c>
      <c r="D32" s="53">
        <f>'推广计划'!G8</f>
      </c>
      <c r="E32" s="53">
        <f>C32*D32*7</f>
      </c>
      <c r="F32" s="54">
        <f>'推广计划'!P8</f>
      </c>
      <c r="G32" s="55">
        <f>D32/F32</f>
      </c>
      <c r="H32" s="90">
        <f>D32*J32</f>
      </c>
      <c r="I32" s="91">
        <f>H32*C32</f>
      </c>
      <c r="J32" s="92">
        <v>0.5</v>
      </c>
      <c r="K32" s="93">
        <f t="shared" si="5"/>
      </c>
      <c r="L32" s="94">
        <f t="shared" ref="L32:L35" si="13">$H$32/N32</f>
      </c>
      <c r="M32" s="61">
        <f>'推广计划'!T8</f>
      </c>
      <c r="N32" s="62">
        <f>'推广计划'!U8</f>
      </c>
      <c r="O32" s="95" t="s">
        <v>128</v>
      </c>
      <c r="P32" s="64"/>
      <c r="Q32" s="65"/>
      <c r="R32" s="96" t="s">
        <v>121</v>
      </c>
    </row>
    <row customHeight="true" ht="25" r="33">
      <c r="A33" s="67"/>
      <c r="B33" s="97"/>
      <c r="C33" s="68"/>
      <c r="D33" s="68"/>
      <c r="E33" s="68"/>
      <c r="F33" s="69"/>
      <c r="G33" s="70"/>
      <c r="H33" s="71"/>
      <c r="I33" s="72"/>
      <c r="J33" s="73"/>
      <c r="K33" s="74">
        <f t="shared" si="5"/>
      </c>
      <c r="L33" s="75">
        <f t="shared" si="13"/>
      </c>
      <c r="M33" s="61">
        <f>'推广计划'!T8</f>
      </c>
      <c r="N33" s="62">
        <f>'推广计划'!U8</f>
      </c>
      <c r="O33" s="76"/>
      <c r="P33" s="64"/>
      <c r="Q33" s="65"/>
      <c r="R33" s="66"/>
    </row>
    <row customHeight="true" ht="25" r="34">
      <c r="A34" s="67"/>
      <c r="B34" s="97"/>
      <c r="C34" s="68"/>
      <c r="D34" s="68"/>
      <c r="E34" s="68"/>
      <c r="F34" s="69"/>
      <c r="G34" s="70"/>
      <c r="H34" s="71"/>
      <c r="I34" s="72"/>
      <c r="J34" s="73"/>
      <c r="K34" s="74">
        <f t="shared" si="5"/>
      </c>
      <c r="L34" s="75">
        <f t="shared" si="13"/>
      </c>
      <c r="M34" s="61">
        <f>'推广计划'!T8</f>
      </c>
      <c r="N34" s="62">
        <f>'推广计划'!U8</f>
      </c>
      <c r="O34" s="76"/>
      <c r="P34" s="64"/>
      <c r="Q34" s="65"/>
      <c r="R34" s="66"/>
    </row>
    <row customHeight="true" ht="25" r="35">
      <c r="A35" s="77"/>
      <c r="B35" s="98"/>
      <c r="C35" s="78"/>
      <c r="D35" s="78"/>
      <c r="E35" s="78"/>
      <c r="F35" s="79"/>
      <c r="G35" s="80"/>
      <c r="H35" s="81"/>
      <c r="I35" s="82"/>
      <c r="J35" s="83"/>
      <c r="K35" s="84">
        <f t="shared" si="5"/>
      </c>
      <c r="L35" s="85">
        <f t="shared" si="13"/>
      </c>
      <c r="M35" s="61">
        <f>'推广计划'!T8</f>
      </c>
      <c r="N35" s="62">
        <f>'推广计划'!U8</f>
      </c>
      <c r="O35" s="86"/>
      <c r="P35" s="64"/>
      <c r="Q35" s="65"/>
      <c r="R35" s="66"/>
    </row>
    <row customHeight="true" ht="25" r="36">
      <c r="A36" s="51" t="s">
        <v>132</v>
      </c>
      <c r="B36" s="89" t="s">
        <v>133</v>
      </c>
      <c r="C36" s="53">
        <f>'推广计划'!D9</f>
      </c>
      <c r="D36" s="53">
        <f>'推广计划'!G9</f>
      </c>
      <c r="E36" s="53">
        <f>C36*D36*7</f>
      </c>
      <c r="F36" s="54">
        <f>'推广计划'!P9</f>
      </c>
      <c r="G36" s="55">
        <f>D36/F36</f>
      </c>
      <c r="H36" s="90">
        <f>D36*J36</f>
      </c>
      <c r="I36" s="91">
        <f>H36*C36</f>
      </c>
      <c r="J36" s="92">
        <v>0.5</v>
      </c>
      <c r="K36" s="93">
        <f t="shared" si="5"/>
      </c>
      <c r="L36" s="94">
        <f t="shared" ref="L36:L39" si="7">$H$36/N36</f>
      </c>
      <c r="M36" s="61">
        <f>'推广计划'!T9</f>
      </c>
      <c r="N36" s="62">
        <f>'推广计划'!U9</f>
      </c>
      <c r="O36" s="95" t="s">
        <v>128</v>
      </c>
      <c r="P36" s="64"/>
      <c r="Q36" s="65"/>
      <c r="R36" s="66"/>
    </row>
    <row customHeight="true" ht="25" r="37">
      <c r="A37" s="67"/>
      <c r="B37" s="97"/>
      <c r="C37" s="68"/>
      <c r="D37" s="68"/>
      <c r="E37" s="68"/>
      <c r="F37" s="69"/>
      <c r="G37" s="70"/>
      <c r="H37" s="71"/>
      <c r="I37" s="72"/>
      <c r="J37" s="73"/>
      <c r="K37" s="74">
        <f t="shared" si="5"/>
      </c>
      <c r="L37" s="75">
        <f t="shared" si="7"/>
      </c>
      <c r="M37" s="61">
        <f>'推广计划'!T9</f>
      </c>
      <c r="N37" s="62">
        <f>'推广计划'!U9</f>
      </c>
      <c r="O37" s="76"/>
      <c r="P37" s="64"/>
      <c r="Q37" s="65"/>
      <c r="R37" s="66"/>
    </row>
    <row customHeight="true" ht="25" r="38">
      <c r="A38" s="67"/>
      <c r="B38" s="97"/>
      <c r="C38" s="68"/>
      <c r="D38" s="68"/>
      <c r="E38" s="68"/>
      <c r="F38" s="69"/>
      <c r="G38" s="70"/>
      <c r="H38" s="71"/>
      <c r="I38" s="72"/>
      <c r="J38" s="73"/>
      <c r="K38" s="74">
        <f t="shared" si="5"/>
      </c>
      <c r="L38" s="75">
        <f t="shared" si="7"/>
      </c>
      <c r="M38" s="61">
        <f>'推广计划'!T9</f>
      </c>
      <c r="N38" s="62">
        <f>'推广计划'!U9</f>
      </c>
      <c r="O38" s="76"/>
      <c r="P38" s="64"/>
      <c r="Q38" s="65"/>
      <c r="R38" s="66"/>
    </row>
    <row customHeight="true" ht="25" r="39">
      <c r="A39" s="77"/>
      <c r="B39" s="98"/>
      <c r="C39" s="78"/>
      <c r="D39" s="78"/>
      <c r="E39" s="78"/>
      <c r="F39" s="79"/>
      <c r="G39" s="80"/>
      <c r="H39" s="81"/>
      <c r="I39" s="82"/>
      <c r="J39" s="83"/>
      <c r="K39" s="84">
        <f t="shared" si="5"/>
      </c>
      <c r="L39" s="85">
        <f t="shared" si="7"/>
      </c>
      <c r="M39" s="61">
        <f>'推广计划'!T9</f>
      </c>
      <c r="N39" s="62">
        <f>'推广计划'!U9</f>
      </c>
      <c r="O39" s="86"/>
      <c r="P39" s="64"/>
      <c r="Q39" s="65"/>
      <c r="R39" s="87"/>
    </row>
    <row customHeight="true" ht="25" r="40">
      <c r="A40" s="88" t="s">
        <v>134</v>
      </c>
      <c r="B40" s="89" t="s">
        <v>135</v>
      </c>
      <c r="C40" s="53">
        <f>'推广计划'!D10</f>
      </c>
      <c r="D40" s="53">
        <f>'推广计划'!G10</f>
      </c>
      <c r="E40" s="53">
        <f>C40*D40*7</f>
      </c>
      <c r="F40" s="54">
        <f>'推广计划'!P10</f>
      </c>
      <c r="G40" s="55">
        <f>D40/F40</f>
      </c>
      <c r="H40" s="90">
        <f>D40*J40</f>
      </c>
      <c r="I40" s="91">
        <f>H40*C40</f>
      </c>
      <c r="J40" s="92">
        <v>0.45</v>
      </c>
      <c r="K40" s="93">
        <f t="shared" si="5"/>
      </c>
      <c r="L40" s="94">
        <f t="shared" ref="L40:L43" si="0">$H$40/N40</f>
      </c>
      <c r="M40" s="61">
        <f>'推广计划'!T10</f>
      </c>
      <c r="N40" s="62">
        <f>'推广计划'!U10</f>
      </c>
      <c r="O40" s="95" t="s">
        <v>128</v>
      </c>
      <c r="P40" s="64"/>
      <c r="Q40" s="65"/>
      <c r="R40" s="96" t="s">
        <v>121</v>
      </c>
    </row>
    <row customHeight="true" ht="25" r="41">
      <c r="A41" s="67"/>
      <c r="B41" s="97"/>
      <c r="C41" s="68"/>
      <c r="D41" s="68"/>
      <c r="E41" s="68"/>
      <c r="F41" s="69"/>
      <c r="G41" s="70"/>
      <c r="H41" s="71"/>
      <c r="I41" s="72"/>
      <c r="J41" s="73"/>
      <c r="K41" s="74">
        <f t="shared" si="5"/>
      </c>
      <c r="L41" s="75">
        <f t="shared" si="0"/>
      </c>
      <c r="M41" s="61">
        <f>'推广计划'!T10</f>
      </c>
      <c r="N41" s="62">
        <f>'推广计划'!U10</f>
      </c>
      <c r="O41" s="76"/>
      <c r="P41" s="64"/>
      <c r="Q41" s="65"/>
      <c r="R41" s="66"/>
    </row>
    <row customHeight="true" ht="25" r="42">
      <c r="A42" s="67"/>
      <c r="B42" s="97"/>
      <c r="C42" s="68"/>
      <c r="D42" s="68"/>
      <c r="E42" s="68"/>
      <c r="F42" s="69"/>
      <c r="G42" s="70"/>
      <c r="H42" s="71"/>
      <c r="I42" s="72"/>
      <c r="J42" s="73"/>
      <c r="K42" s="74">
        <f t="shared" si="5"/>
      </c>
      <c r="L42" s="75">
        <f t="shared" si="0"/>
      </c>
      <c r="M42" s="61">
        <f>'推广计划'!T10</f>
      </c>
      <c r="N42" s="62">
        <f>'推广计划'!U10</f>
      </c>
      <c r="O42" s="76"/>
      <c r="P42" s="64"/>
      <c r="Q42" s="65"/>
      <c r="R42" s="66"/>
    </row>
    <row customHeight="true" ht="25" r="43">
      <c r="A43" s="77"/>
      <c r="B43" s="98"/>
      <c r="C43" s="78"/>
      <c r="D43" s="78"/>
      <c r="E43" s="78"/>
      <c r="F43" s="79"/>
      <c r="G43" s="80"/>
      <c r="H43" s="81"/>
      <c r="I43" s="82"/>
      <c r="J43" s="83"/>
      <c r="K43" s="84">
        <f t="shared" si="5"/>
      </c>
      <c r="L43" s="85">
        <f t="shared" si="0"/>
      </c>
      <c r="M43" s="61">
        <f>'推广计划'!T10</f>
      </c>
      <c r="N43" s="62">
        <f>'推广计划'!U10</f>
      </c>
      <c r="O43" s="86"/>
      <c r="P43" s="64"/>
      <c r="Q43" s="65"/>
      <c r="R43" s="66"/>
    </row>
    <row customHeight="true" ht="25" r="44">
      <c r="A44" s="51" t="s">
        <v>136</v>
      </c>
      <c r="B44" s="89" t="s">
        <v>137</v>
      </c>
      <c r="C44" s="53">
        <f>'推广计划'!D11</f>
      </c>
      <c r="D44" s="53">
        <f>'推广计划'!G11</f>
      </c>
      <c r="E44" s="53">
        <f>C44*D44*7</f>
      </c>
      <c r="F44" s="54">
        <f>'推广计划'!P11</f>
      </c>
      <c r="G44" s="55">
        <f>D44/F44</f>
      </c>
      <c r="H44" s="90">
        <f>D44*J44</f>
      </c>
      <c r="I44" s="91">
        <f>H44*C44</f>
      </c>
      <c r="J44" s="92">
        <v>0.45</v>
      </c>
      <c r="K44" s="93">
        <f t="shared" si="5"/>
      </c>
      <c r="L44" s="94">
        <f t="shared" ref="L44:L47" si="8">$H$44/N44</f>
      </c>
      <c r="M44" s="61">
        <f>'推广计划'!T11</f>
      </c>
      <c r="N44" s="62">
        <f>'推广计划'!U11</f>
      </c>
      <c r="O44" s="95" t="s">
        <v>128</v>
      </c>
      <c r="P44" s="64"/>
      <c r="Q44" s="65"/>
      <c r="R44" s="66"/>
    </row>
    <row customHeight="true" ht="25" r="45">
      <c r="A45" s="67"/>
      <c r="B45" s="97"/>
      <c r="C45" s="68"/>
      <c r="D45" s="68"/>
      <c r="E45" s="68"/>
      <c r="F45" s="69"/>
      <c r="G45" s="70"/>
      <c r="H45" s="71"/>
      <c r="I45" s="72"/>
      <c r="J45" s="73"/>
      <c r="K45" s="74">
        <f t="shared" si="5"/>
      </c>
      <c r="L45" s="75">
        <f t="shared" si="8"/>
      </c>
      <c r="M45" s="61">
        <f>'推广计划'!T11</f>
      </c>
      <c r="N45" s="62">
        <f>'推广计划'!U11</f>
      </c>
      <c r="O45" s="76"/>
      <c r="P45" s="64"/>
      <c r="Q45" s="65"/>
      <c r="R45" s="66"/>
    </row>
    <row customHeight="true" ht="25" r="46">
      <c r="A46" s="67"/>
      <c r="B46" s="97"/>
      <c r="C46" s="68"/>
      <c r="D46" s="68"/>
      <c r="E46" s="68"/>
      <c r="F46" s="69"/>
      <c r="G46" s="70"/>
      <c r="H46" s="71"/>
      <c r="I46" s="72"/>
      <c r="J46" s="73"/>
      <c r="K46" s="74">
        <f t="shared" si="5"/>
      </c>
      <c r="L46" s="75">
        <f t="shared" si="8"/>
      </c>
      <c r="M46" s="61">
        <f>'推广计划'!T11</f>
      </c>
      <c r="N46" s="62">
        <f>'推广计划'!U11</f>
      </c>
      <c r="O46" s="76"/>
      <c r="P46" s="64"/>
      <c r="Q46" s="65"/>
      <c r="R46" s="66"/>
    </row>
    <row customHeight="true" ht="25" r="47">
      <c r="A47" s="77"/>
      <c r="B47" s="98"/>
      <c r="C47" s="78"/>
      <c r="D47" s="78"/>
      <c r="E47" s="78"/>
      <c r="F47" s="79"/>
      <c r="G47" s="80"/>
      <c r="H47" s="81"/>
      <c r="I47" s="82"/>
      <c r="J47" s="83"/>
      <c r="K47" s="84">
        <f t="shared" si="5"/>
      </c>
      <c r="L47" s="85">
        <f t="shared" si="8"/>
      </c>
      <c r="M47" s="61">
        <f>'推广计划'!T11</f>
      </c>
      <c r="N47" s="62">
        <f>'推广计划'!U11</f>
      </c>
      <c r="O47" s="86"/>
      <c r="P47" s="64"/>
      <c r="Q47" s="65"/>
      <c r="R47" s="87"/>
    </row>
    <row customHeight="true" ht="25" r="48">
      <c r="A48" s="88" t="s">
        <v>138</v>
      </c>
      <c r="B48" s="89" t="s">
        <v>139</v>
      </c>
      <c r="C48" s="53">
        <f>'推广计划'!D12</f>
      </c>
      <c r="D48" s="53">
        <f>'推广计划'!G12</f>
      </c>
      <c r="E48" s="53">
        <f>C48*D48*7</f>
      </c>
      <c r="F48" s="54">
        <f>'推广计划'!P12</f>
      </c>
      <c r="G48" s="55">
        <f>D48/F48</f>
      </c>
      <c r="H48" s="90">
        <f>D48*J48</f>
      </c>
      <c r="I48" s="91">
        <f>H48*C48</f>
      </c>
      <c r="J48" s="92">
        <v>0.4</v>
      </c>
      <c r="K48" s="93">
        <f t="shared" si="5"/>
      </c>
      <c r="L48" s="94">
        <f t="shared" ref="L48:L51" si="1">$H$48/N48</f>
      </c>
      <c r="M48" s="61">
        <f>'推广计划'!T12</f>
      </c>
      <c r="N48" s="62">
        <f>'推广计划'!U12</f>
      </c>
      <c r="O48" s="95" t="s">
        <v>128</v>
      </c>
      <c r="P48" s="64"/>
      <c r="Q48" s="65"/>
      <c r="R48" s="96" t="s">
        <v>121</v>
      </c>
    </row>
    <row customHeight="true" ht="25" r="49">
      <c r="A49" s="67"/>
      <c r="B49" s="97"/>
      <c r="C49" s="68"/>
      <c r="D49" s="68"/>
      <c r="E49" s="68"/>
      <c r="F49" s="69"/>
      <c r="G49" s="70"/>
      <c r="H49" s="71"/>
      <c r="I49" s="72"/>
      <c r="J49" s="73"/>
      <c r="K49" s="74">
        <f t="shared" si="5"/>
      </c>
      <c r="L49" s="75">
        <f t="shared" si="1"/>
      </c>
      <c r="M49" s="61">
        <f>'推广计划'!T12</f>
      </c>
      <c r="N49" s="62">
        <f>'推广计划'!U12</f>
      </c>
      <c r="O49" s="76"/>
      <c r="P49" s="64"/>
      <c r="Q49" s="65"/>
      <c r="R49" s="66"/>
    </row>
    <row customHeight="true" ht="25" r="50">
      <c r="A50" s="67"/>
      <c r="B50" s="97"/>
      <c r="C50" s="68"/>
      <c r="D50" s="68"/>
      <c r="E50" s="68"/>
      <c r="F50" s="69"/>
      <c r="G50" s="70"/>
      <c r="H50" s="71"/>
      <c r="I50" s="72"/>
      <c r="J50" s="73"/>
      <c r="K50" s="74">
        <f t="shared" si="5"/>
      </c>
      <c r="L50" s="75">
        <f t="shared" si="1"/>
      </c>
      <c r="M50" s="61">
        <f>'推广计划'!T12</f>
      </c>
      <c r="N50" s="62">
        <f>'推广计划'!U12</f>
      </c>
      <c r="O50" s="76"/>
      <c r="P50" s="64"/>
      <c r="Q50" s="65"/>
      <c r="R50" s="66"/>
    </row>
    <row customHeight="true" ht="25" r="51">
      <c r="A51" s="77"/>
      <c r="B51" s="98"/>
      <c r="C51" s="78"/>
      <c r="D51" s="78"/>
      <c r="E51" s="78"/>
      <c r="F51" s="79"/>
      <c r="G51" s="80"/>
      <c r="H51" s="81"/>
      <c r="I51" s="82"/>
      <c r="J51" s="83"/>
      <c r="K51" s="84">
        <f t="shared" si="5"/>
      </c>
      <c r="L51" s="85">
        <f t="shared" si="1"/>
      </c>
      <c r="M51" s="61">
        <f>'推广计划'!T12</f>
      </c>
      <c r="N51" s="62">
        <f>'推广计划'!U12</f>
      </c>
      <c r="O51" s="86"/>
      <c r="P51" s="64"/>
      <c r="Q51" s="65"/>
      <c r="R51" s="66"/>
    </row>
    <row customHeight="true" ht="25" r="52">
      <c r="A52" s="51" t="s">
        <v>140</v>
      </c>
      <c r="B52" s="89" t="s">
        <v>141</v>
      </c>
      <c r="C52" s="53">
        <f>'推广计划'!D13</f>
      </c>
      <c r="D52" s="53">
        <f>'推广计划'!G13</f>
      </c>
      <c r="E52" s="53">
        <f>C52*D52*7</f>
      </c>
      <c r="F52" s="54">
        <f>'推广计划'!P13</f>
      </c>
      <c r="G52" s="55">
        <f>D52/F52</f>
      </c>
      <c r="H52" s="90">
        <f>D52*J52</f>
      </c>
      <c r="I52" s="91">
        <f>H52*C52</f>
      </c>
      <c r="J52" s="92">
        <v>0.35</v>
      </c>
      <c r="K52" s="93">
        <f t="shared" si="5"/>
      </c>
      <c r="L52" s="94">
        <f t="shared" ref="L52:L55" si="10">$H$52/N52</f>
      </c>
      <c r="M52" s="61">
        <f>'推广计划'!T13</f>
      </c>
      <c r="N52" s="62">
        <f>'推广计划'!U13</f>
      </c>
      <c r="O52" s="95" t="s">
        <v>128</v>
      </c>
      <c r="P52" s="64"/>
      <c r="Q52" s="65"/>
      <c r="R52" s="66"/>
    </row>
    <row customHeight="true" ht="25" r="53">
      <c r="A53" s="67"/>
      <c r="B53" s="97"/>
      <c r="C53" s="68"/>
      <c r="D53" s="68"/>
      <c r="E53" s="68"/>
      <c r="F53" s="69"/>
      <c r="G53" s="70"/>
      <c r="H53" s="71"/>
      <c r="I53" s="72"/>
      <c r="J53" s="73"/>
      <c r="K53" s="74">
        <f t="shared" si="5"/>
      </c>
      <c r="L53" s="75">
        <f t="shared" si="10"/>
      </c>
      <c r="M53" s="61">
        <f>'推广计划'!T13</f>
      </c>
      <c r="N53" s="62">
        <f>'推广计划'!U13</f>
      </c>
      <c r="O53" s="76"/>
      <c r="P53" s="64"/>
      <c r="Q53" s="65"/>
      <c r="R53" s="66"/>
    </row>
    <row customHeight="true" ht="25" r="54">
      <c r="A54" s="67"/>
      <c r="B54" s="97"/>
      <c r="C54" s="68"/>
      <c r="D54" s="68"/>
      <c r="E54" s="68"/>
      <c r="F54" s="69"/>
      <c r="G54" s="70"/>
      <c r="H54" s="71"/>
      <c r="I54" s="72"/>
      <c r="J54" s="73"/>
      <c r="K54" s="74">
        <f t="shared" si="5"/>
      </c>
      <c r="L54" s="75">
        <f t="shared" si="10"/>
      </c>
      <c r="M54" s="61">
        <f>'推广计划'!T13</f>
      </c>
      <c r="N54" s="62">
        <f>'推广计划'!U13</f>
      </c>
      <c r="O54" s="76"/>
      <c r="P54" s="64"/>
      <c r="Q54" s="65"/>
      <c r="R54" s="66"/>
    </row>
    <row customHeight="true" ht="25" r="55">
      <c r="A55" s="77"/>
      <c r="B55" s="98"/>
      <c r="C55" s="78"/>
      <c r="D55" s="78"/>
      <c r="E55" s="78"/>
      <c r="F55" s="79"/>
      <c r="G55" s="80"/>
      <c r="H55" s="81"/>
      <c r="I55" s="82"/>
      <c r="J55" s="83"/>
      <c r="K55" s="84">
        <f t="shared" si="5"/>
      </c>
      <c r="L55" s="85">
        <f t="shared" si="10"/>
      </c>
      <c r="M55" s="61">
        <f>'推广计划'!T13</f>
      </c>
      <c r="N55" s="62">
        <f>'推广计划'!U13</f>
      </c>
      <c r="O55" s="86"/>
      <c r="P55" s="99"/>
      <c r="Q55" s="65"/>
      <c r="R55" s="87"/>
    </row>
    <row customHeight="true" ht="25" r="56">
      <c r="A56" s="88" t="s">
        <v>142</v>
      </c>
      <c r="B56" s="89" t="s">
        <v>143</v>
      </c>
      <c r="C56" s="53">
        <f>'推广计划'!D14</f>
      </c>
      <c r="D56" s="53">
        <f>'推广计划'!G14</f>
      </c>
      <c r="E56" s="53">
        <f>C56*D56*7</f>
      </c>
      <c r="F56" s="54">
        <f>'推广计划'!P14</f>
      </c>
      <c r="G56" s="55">
        <f>D56/F56</f>
      </c>
      <c r="H56" s="90">
        <f>D56*J56</f>
      </c>
      <c r="I56" s="91">
        <f>H56*C56</f>
      </c>
      <c r="J56" s="92">
        <v>0.3</v>
      </c>
      <c r="K56" s="93">
        <f t="shared" si="5"/>
      </c>
      <c r="L56" s="94">
        <f t="shared" ref="L56:L59" si="2">$H$56/N56</f>
      </c>
      <c r="M56" s="61">
        <f>'推广计划'!T14</f>
      </c>
      <c r="N56" s="62">
        <f>'推广计划'!U14</f>
      </c>
      <c r="O56" s="95" t="s">
        <v>144</v>
      </c>
      <c r="P56" s="100" t="s">
        <v>145</v>
      </c>
      <c r="Q56" s="65"/>
      <c r="R56" s="96" t="s">
        <v>146</v>
      </c>
    </row>
    <row customHeight="true" ht="25" r="57">
      <c r="A57" s="67"/>
      <c r="B57" s="97"/>
      <c r="C57" s="68"/>
      <c r="D57" s="68"/>
      <c r="E57" s="68"/>
      <c r="F57" s="69"/>
      <c r="G57" s="70"/>
      <c r="H57" s="71"/>
      <c r="I57" s="72"/>
      <c r="J57" s="73"/>
      <c r="K57" s="74">
        <f t="shared" si="5"/>
      </c>
      <c r="L57" s="75">
        <f t="shared" si="2"/>
      </c>
      <c r="M57" s="61">
        <f>'推广计划'!T14</f>
      </c>
      <c r="N57" s="62">
        <f>'推广计划'!U14</f>
      </c>
      <c r="O57" s="76"/>
      <c r="P57" s="64"/>
      <c r="Q57" s="65"/>
      <c r="R57" s="66"/>
    </row>
    <row customHeight="true" ht="25" r="58">
      <c r="A58" s="67"/>
      <c r="B58" s="97"/>
      <c r="C58" s="68"/>
      <c r="D58" s="68"/>
      <c r="E58" s="68"/>
      <c r="F58" s="69"/>
      <c r="G58" s="70"/>
      <c r="H58" s="71"/>
      <c r="I58" s="72"/>
      <c r="J58" s="73"/>
      <c r="K58" s="74">
        <f t="shared" si="5"/>
      </c>
      <c r="L58" s="75">
        <f t="shared" si="2"/>
      </c>
      <c r="M58" s="61">
        <f>'推广计划'!T14</f>
      </c>
      <c r="N58" s="62">
        <f>'推广计划'!U14</f>
      </c>
      <c r="O58" s="76"/>
      <c r="P58" s="64"/>
      <c r="Q58" s="65"/>
      <c r="R58" s="66"/>
    </row>
    <row customHeight="true" ht="25" r="59">
      <c r="A59" s="77"/>
      <c r="B59" s="98"/>
      <c r="C59" s="78"/>
      <c r="D59" s="78"/>
      <c r="E59" s="78"/>
      <c r="F59" s="79"/>
      <c r="G59" s="80"/>
      <c r="H59" s="81"/>
      <c r="I59" s="82"/>
      <c r="J59" s="83"/>
      <c r="K59" s="84">
        <f t="shared" si="5"/>
      </c>
      <c r="L59" s="85">
        <f t="shared" si="2"/>
      </c>
      <c r="M59" s="61">
        <f>'推广计划'!T14</f>
      </c>
      <c r="N59" s="62">
        <f>'推广计划'!U14</f>
      </c>
      <c r="O59" s="86"/>
      <c r="P59" s="64"/>
      <c r="Q59" s="65"/>
      <c r="R59" s="66"/>
    </row>
    <row customHeight="true" ht="25" r="60">
      <c r="A60" s="51" t="s">
        <v>147</v>
      </c>
      <c r="B60" s="89" t="s">
        <v>148</v>
      </c>
      <c r="C60" s="53">
        <f>'推广计划'!D15</f>
      </c>
      <c r="D60" s="53">
        <f>'推广计划'!G15</f>
      </c>
      <c r="E60" s="53">
        <f>C60*D60*7</f>
      </c>
      <c r="F60" s="54">
        <f>'推广计划'!P15</f>
      </c>
      <c r="G60" s="55">
        <f>D60/F60</f>
      </c>
      <c r="H60" s="90">
        <f>D60*J60</f>
      </c>
      <c r="I60" s="91">
        <f>H60*C60</f>
      </c>
      <c r="J60" s="92">
        <v>0.3</v>
      </c>
      <c r="K60" s="93">
        <f t="shared" si="5"/>
      </c>
      <c r="L60" s="94">
        <f t="shared" ref="L60:L63" si="11">$H$60/N60</f>
      </c>
      <c r="M60" s="61">
        <f>'推广计划'!T15</f>
      </c>
      <c r="N60" s="62">
        <f>'推广计划'!U15</f>
      </c>
      <c r="O60" s="95" t="s">
        <v>144</v>
      </c>
      <c r="P60" s="64"/>
      <c r="Q60" s="65"/>
      <c r="R60" s="66"/>
    </row>
    <row customHeight="true" ht="25" r="61">
      <c r="A61" s="67"/>
      <c r="B61" s="97"/>
      <c r="C61" s="68"/>
      <c r="D61" s="68"/>
      <c r="E61" s="68"/>
      <c r="F61" s="69"/>
      <c r="G61" s="70"/>
      <c r="H61" s="71"/>
      <c r="I61" s="72"/>
      <c r="J61" s="73"/>
      <c r="K61" s="74">
        <f t="shared" si="5"/>
      </c>
      <c r="L61" s="75">
        <f t="shared" si="11"/>
      </c>
      <c r="M61" s="61">
        <f>'推广计划'!T15</f>
      </c>
      <c r="N61" s="62">
        <f>'推广计划'!U15</f>
      </c>
      <c r="O61" s="76"/>
      <c r="P61" s="64"/>
      <c r="Q61" s="65"/>
      <c r="R61" s="66"/>
    </row>
    <row customHeight="true" ht="25" r="62">
      <c r="A62" s="67"/>
      <c r="B62" s="97"/>
      <c r="C62" s="68"/>
      <c r="D62" s="68"/>
      <c r="E62" s="68"/>
      <c r="F62" s="69"/>
      <c r="G62" s="70"/>
      <c r="H62" s="71"/>
      <c r="I62" s="72"/>
      <c r="J62" s="73"/>
      <c r="K62" s="74">
        <f t="shared" si="5"/>
      </c>
      <c r="L62" s="75">
        <f t="shared" si="11"/>
      </c>
      <c r="M62" s="61">
        <f>'推广计划'!T15</f>
      </c>
      <c r="N62" s="62">
        <f>'推广计划'!U15</f>
      </c>
      <c r="O62" s="76"/>
      <c r="P62" s="64"/>
      <c r="Q62" s="65"/>
      <c r="R62" s="66"/>
    </row>
    <row customHeight="true" ht="25" r="63">
      <c r="A63" s="77"/>
      <c r="B63" s="98"/>
      <c r="C63" s="78"/>
      <c r="D63" s="78"/>
      <c r="E63" s="78"/>
      <c r="F63" s="79"/>
      <c r="G63" s="80"/>
      <c r="H63" s="81"/>
      <c r="I63" s="82"/>
      <c r="J63" s="83"/>
      <c r="K63" s="84">
        <f t="shared" si="5"/>
      </c>
      <c r="L63" s="85">
        <f t="shared" si="11"/>
      </c>
      <c r="M63" s="61">
        <f>'推广计划'!T15</f>
      </c>
      <c r="N63" s="62">
        <f>'推广计划'!U15</f>
      </c>
      <c r="O63" s="86"/>
      <c r="P63" s="99"/>
      <c r="Q63" s="101"/>
      <c r="R63" s="87"/>
    </row>
  </sheetData>
  <mergeCells>
    <mergeCell ref="M10:N10"/>
    <mergeCell ref="A10:A11"/>
    <mergeCell ref="A12:A15"/>
    <mergeCell ref="A16:A19"/>
    <mergeCell ref="A20:A23"/>
    <mergeCell ref="A24:A27"/>
    <mergeCell ref="A28:A31"/>
    <mergeCell ref="A32:A35"/>
    <mergeCell ref="A36:A39"/>
    <mergeCell ref="A40:A43"/>
    <mergeCell ref="A44:A47"/>
    <mergeCell ref="A48:A51"/>
    <mergeCell ref="A52:A55"/>
    <mergeCell ref="A56:A59"/>
    <mergeCell ref="A60:A63"/>
    <mergeCell ref="B10:B11"/>
    <mergeCell ref="B12:B15"/>
    <mergeCell ref="B16:B19"/>
    <mergeCell ref="B20:B23"/>
    <mergeCell ref="B24:B27"/>
    <mergeCell ref="B28:B31"/>
    <mergeCell ref="B32:B35"/>
    <mergeCell ref="B36:B39"/>
    <mergeCell ref="B40:B43"/>
    <mergeCell ref="B44:B47"/>
    <mergeCell ref="B48:B51"/>
    <mergeCell ref="B52:B55"/>
    <mergeCell ref="B56:B59"/>
    <mergeCell ref="B60:B63"/>
    <mergeCell ref="C10:C11"/>
    <mergeCell ref="C12:C15"/>
    <mergeCell ref="C16:C19"/>
    <mergeCell ref="C20:C23"/>
    <mergeCell ref="C24:C27"/>
    <mergeCell ref="C28:C31"/>
    <mergeCell ref="C32:C35"/>
    <mergeCell ref="C36:C39"/>
    <mergeCell ref="C40:C43"/>
    <mergeCell ref="C44:C47"/>
    <mergeCell ref="C48:C51"/>
    <mergeCell ref="C52:C55"/>
    <mergeCell ref="C56:C59"/>
    <mergeCell ref="C60:C63"/>
    <mergeCell ref="D10:D11"/>
    <mergeCell ref="D12:D15"/>
    <mergeCell ref="D16:D19"/>
    <mergeCell ref="D20:D23"/>
    <mergeCell ref="D24:D27"/>
    <mergeCell ref="D28:D31"/>
    <mergeCell ref="D32:D35"/>
    <mergeCell ref="D36:D39"/>
    <mergeCell ref="D40:D43"/>
    <mergeCell ref="D44:D47"/>
    <mergeCell ref="D48:D51"/>
    <mergeCell ref="D52:D55"/>
    <mergeCell ref="D56:D59"/>
    <mergeCell ref="D60:D63"/>
    <mergeCell ref="E10:E11"/>
    <mergeCell ref="E12:E15"/>
    <mergeCell ref="E16:E19"/>
    <mergeCell ref="E20:E23"/>
    <mergeCell ref="E24:E27"/>
    <mergeCell ref="E28:E31"/>
    <mergeCell ref="E32:E35"/>
    <mergeCell ref="E36:E39"/>
    <mergeCell ref="E40:E43"/>
    <mergeCell ref="E44:E47"/>
    <mergeCell ref="E48:E51"/>
    <mergeCell ref="E52:E55"/>
    <mergeCell ref="E56:E59"/>
    <mergeCell ref="E60:E63"/>
    <mergeCell ref="F10:F11"/>
    <mergeCell ref="F12:F15"/>
    <mergeCell ref="F16:F19"/>
    <mergeCell ref="F20:F23"/>
    <mergeCell ref="F24:F27"/>
    <mergeCell ref="F28:F31"/>
    <mergeCell ref="F32:F35"/>
    <mergeCell ref="F36:F39"/>
    <mergeCell ref="F40:F43"/>
    <mergeCell ref="F44:F47"/>
    <mergeCell ref="F48:F51"/>
    <mergeCell ref="F52:F55"/>
    <mergeCell ref="F56:F59"/>
    <mergeCell ref="F60:F63"/>
    <mergeCell ref="G10:G11"/>
    <mergeCell ref="G12:G15"/>
    <mergeCell ref="G16:G19"/>
    <mergeCell ref="G20:G23"/>
    <mergeCell ref="G24:G27"/>
    <mergeCell ref="G28:G31"/>
    <mergeCell ref="G32:G35"/>
    <mergeCell ref="G36:G39"/>
    <mergeCell ref="G40:G43"/>
    <mergeCell ref="G44:G47"/>
    <mergeCell ref="G48:G51"/>
    <mergeCell ref="G52:G55"/>
    <mergeCell ref="G56:G59"/>
    <mergeCell ref="G60:G63"/>
    <mergeCell ref="H10:H11"/>
    <mergeCell ref="H12:H15"/>
    <mergeCell ref="H16:H19"/>
    <mergeCell ref="H20:H23"/>
    <mergeCell ref="H24:H27"/>
    <mergeCell ref="H28:H31"/>
    <mergeCell ref="H32:H35"/>
    <mergeCell ref="H36:H39"/>
    <mergeCell ref="H40:H43"/>
    <mergeCell ref="H44:H47"/>
    <mergeCell ref="H48:H51"/>
    <mergeCell ref="H52:H55"/>
    <mergeCell ref="H56:H59"/>
    <mergeCell ref="H60:H63"/>
    <mergeCell ref="I10:I11"/>
    <mergeCell ref="I12:I15"/>
    <mergeCell ref="I16:I19"/>
    <mergeCell ref="I20:I23"/>
    <mergeCell ref="I24:I27"/>
    <mergeCell ref="I28:I31"/>
    <mergeCell ref="I32:I35"/>
    <mergeCell ref="I36:I39"/>
    <mergeCell ref="I40:I43"/>
    <mergeCell ref="I44:I47"/>
    <mergeCell ref="I48:I51"/>
    <mergeCell ref="I52:I55"/>
    <mergeCell ref="I56:I59"/>
    <mergeCell ref="I60:I63"/>
    <mergeCell ref="J10:J11"/>
    <mergeCell ref="J12:J15"/>
    <mergeCell ref="J16:J19"/>
    <mergeCell ref="J20:J23"/>
    <mergeCell ref="J24:J27"/>
    <mergeCell ref="J28:J31"/>
    <mergeCell ref="J32:J35"/>
    <mergeCell ref="J36:J39"/>
    <mergeCell ref="J40:J43"/>
    <mergeCell ref="J44:J47"/>
    <mergeCell ref="J48:J51"/>
    <mergeCell ref="J52:J55"/>
    <mergeCell ref="J56:J59"/>
    <mergeCell ref="J60:J63"/>
    <mergeCell ref="K10:K11"/>
    <mergeCell ref="L10:L11"/>
    <mergeCell ref="O10:O11"/>
    <mergeCell ref="O12:O15"/>
    <mergeCell ref="O16:O19"/>
    <mergeCell ref="O20:O23"/>
    <mergeCell ref="O24:O27"/>
    <mergeCell ref="O28:O31"/>
    <mergeCell ref="O32:O35"/>
    <mergeCell ref="O36:O39"/>
    <mergeCell ref="O40:O43"/>
    <mergeCell ref="O44:O47"/>
    <mergeCell ref="O48:O51"/>
    <mergeCell ref="O52:O55"/>
    <mergeCell ref="O56:O59"/>
    <mergeCell ref="O60:O63"/>
    <mergeCell ref="P10:P11"/>
    <mergeCell ref="P12:P27"/>
    <mergeCell ref="P28:P55"/>
    <mergeCell ref="P56:P63"/>
    <mergeCell ref="Q10:Q11"/>
    <mergeCell ref="Q12:Q63"/>
    <mergeCell ref="R10:R11"/>
    <mergeCell ref="R12:R15"/>
    <mergeCell ref="R16:R23"/>
    <mergeCell ref="R24:R31"/>
    <mergeCell ref="R32:R39"/>
    <mergeCell ref="R40:R47"/>
    <mergeCell ref="R48:R55"/>
    <mergeCell ref="R56:R63"/>
    <mergeCell ref="A1:J9"/>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0" min="10" style="0" width="9"/>
    <col collapsed="false" customWidth="true" hidden="false" max="27" min="27" style="0" width="9"/>
    <col collapsed="false" customWidth="true" hidden="false" max="42" min="42" style="0" width="9"/>
    <col collapsed="false" customWidth="true" hidden="false" max="58" min="58" style="0" width="9"/>
    <col collapsed="false" customWidth="true" hidden="false" max="75" min="75" style="0" width="9"/>
    <col collapsed="false" customWidth="true" hidden="false" max="11" min="11" style="0" width="9"/>
    <col collapsed="false" customWidth="true" hidden="false" max="28" min="28" style="0" width="9"/>
    <col collapsed="false" customWidth="true" hidden="false" max="43" min="43" style="0" width="9"/>
    <col collapsed="false" customWidth="true" hidden="false" max="59" min="59" style="0" width="9"/>
    <col collapsed="false" customWidth="true" hidden="false" max="12" min="12" style="0" width="12"/>
    <col collapsed="false" customWidth="true" hidden="false" max="29" min="29" style="0" width="9"/>
    <col collapsed="false" customWidth="true" hidden="false" max="44" min="44" style="0" width="9"/>
    <col collapsed="false" customWidth="true" hidden="false" max="60" min="60" style="0" width="9"/>
    <col collapsed="false" customWidth="true" hidden="false" max="13" min="13" style="0" width="13"/>
    <col collapsed="false" customWidth="true" hidden="false" max="30" min="30" style="0" width="9"/>
    <col collapsed="false" customWidth="true" hidden="false" max="45" min="45" style="0" width="9"/>
    <col collapsed="false" customWidth="true" hidden="false" max="61" min="61" style="0" width="9"/>
    <col collapsed="false" customWidth="true" hidden="false" max="14" min="14" style="0" width="13"/>
    <col collapsed="false" customWidth="true" hidden="false" max="31" min="31" style="0" width="9"/>
    <col collapsed="false" customWidth="true" hidden="false" max="46" min="46" style="0" width="9"/>
    <col collapsed="false" customWidth="true" hidden="false" max="62" min="62" style="0" width="9"/>
    <col collapsed="false" customWidth="true" hidden="false" max="15" min="15" style="0" width="9"/>
    <col collapsed="false" customWidth="true" hidden="false" max="32" min="32" style="0" width="9"/>
    <col collapsed="false" customWidth="true" hidden="false" max="47" min="47" style="0" width="9"/>
    <col collapsed="false" customWidth="true" hidden="false" max="63" min="63" style="0" width="9"/>
    <col collapsed="false" customWidth="true" hidden="false" max="16" min="16" style="0" width="9"/>
    <col collapsed="false" customWidth="true" hidden="false" max="48" min="48" style="0" width="9"/>
    <col collapsed="false" customWidth="true" hidden="false" max="64" min="64" style="0" width="9"/>
    <col collapsed="false" customWidth="true" hidden="false" max="65" min="65" style="0" width="9"/>
    <col collapsed="false" customWidth="true" hidden="false" max="1" min="1" style="0" width="11"/>
    <col collapsed="false" customWidth="true" hidden="false" max="17" min="17" style="0" width="9"/>
    <col collapsed="false" customWidth="true" hidden="false" max="33" min="33" style="0" width="9"/>
    <col collapsed="false" customWidth="true" hidden="false" max="49" min="49" style="0" width="9"/>
    <col collapsed="false" customWidth="true" hidden="false" max="66" min="66" style="0" width="9"/>
    <col collapsed="false" customWidth="true" hidden="false" max="2" min="2" style="0" width="15"/>
    <col collapsed="false" customWidth="true" hidden="false" max="18" min="18" style="0" width="12"/>
    <col collapsed="false" customWidth="true" hidden="false" max="34" min="34" style="0" width="9"/>
    <col collapsed="false" customWidth="true" hidden="false" max="50" min="50" style="0" width="9"/>
    <col collapsed="false" customWidth="true" hidden="false" max="67" min="67" style="0" width="9"/>
    <col collapsed="false" customWidth="true" hidden="false" max="3" min="3" style="0" width="10"/>
    <col collapsed="false" customWidth="true" hidden="false" max="19" min="19" style="0" width="9"/>
    <col collapsed="false" customWidth="true" hidden="false" max="35" min="35" style="0" width="9"/>
    <col collapsed="false" customWidth="true" hidden="false" max="51" min="51" style="0" width="9"/>
    <col collapsed="false" customWidth="true" hidden="false" max="68" min="68" style="0" width="9"/>
    <col collapsed="false" customWidth="true" hidden="false" max="4" min="4" style="0" width="13"/>
    <col collapsed="false" customWidth="true" hidden="false" max="20" min="20" style="0" width="9"/>
    <col collapsed="false" customWidth="true" hidden="false" max="36" min="36" style="0" width="9"/>
    <col collapsed="false" customWidth="true" hidden="false" max="52" min="52" style="0" width="9"/>
    <col collapsed="false" customWidth="true" hidden="false" max="69" min="69" style="0" width="9"/>
    <col collapsed="false" customWidth="true" hidden="false" max="5" min="5" style="0" width="10"/>
    <col collapsed="false" customWidth="true" hidden="false" max="21" min="21" style="0" width="13"/>
    <col collapsed="false" customWidth="true" hidden="false" max="22" min="22" style="0" width="9"/>
    <col collapsed="false" customWidth="true" hidden="false" max="37" min="37" style="0" width="12"/>
    <col collapsed="false" customWidth="true" hidden="false" max="53" min="53" style="0" width="9"/>
    <col collapsed="false" customWidth="true" hidden="false" max="70" min="70" style="0" width="9"/>
    <col collapsed="false" customWidth="true" hidden="false" max="6" min="6" style="0" width="9"/>
    <col collapsed="false" customWidth="true" hidden="false" max="23" min="23" style="0" width="9"/>
    <col collapsed="false" customWidth="true" hidden="false" max="38" min="38" style="0" width="9"/>
    <col collapsed="false" customWidth="true" hidden="false" max="54" min="54" style="0" width="12"/>
    <col collapsed="false" customWidth="true" hidden="false" max="71" min="71" style="0" width="9"/>
    <col collapsed="false" customWidth="true" hidden="false" max="7" min="7" style="0" width="9"/>
    <col collapsed="false" customWidth="true" hidden="false" max="24" min="24" style="0" width="10"/>
    <col collapsed="false" customWidth="true" hidden="false" max="39" min="39" style="0" width="9"/>
    <col collapsed="false" customWidth="true" hidden="false" max="55" min="55" style="0" width="9"/>
    <col collapsed="false" customWidth="true" hidden="false" max="72" min="72" style="0" width="9"/>
    <col collapsed="false" customWidth="true" hidden="false" max="8" min="8" style="0" width="9"/>
    <col collapsed="false" customWidth="true" hidden="false" max="25" min="25" style="0" width="9"/>
    <col collapsed="false" customWidth="true" hidden="false" max="40" min="40" style="0" width="11"/>
    <col collapsed="false" customWidth="true" hidden="false" max="56" min="56" style="0" width="11"/>
    <col collapsed="false" customWidth="true" hidden="false" max="73" min="73" style="0" width="9"/>
    <col collapsed="false" customWidth="true" hidden="false" max="9" min="9" style="0" width="9"/>
    <col collapsed="false" customWidth="true" hidden="false" max="26" min="26" style="0" width="9"/>
    <col collapsed="false" customWidth="true" hidden="false" max="41" min="41" style="0" width="9"/>
    <col collapsed="false" customWidth="true" hidden="false" max="57" min="57" style="0" width="9"/>
    <col collapsed="false" customWidth="true" hidden="false" max="74" min="74" style="0" width="9"/>
  </cols>
  <sheetData>
    <row customHeight="true" ht="16" r="1">
      <c r="A1" s="102" t="s">
        <v>149</v>
      </c>
      <c r="B1" s="102"/>
      <c r="C1" s="102"/>
      <c r="D1" s="102"/>
      <c r="E1" s="102"/>
      <c r="F1" s="102"/>
      <c r="G1" s="102"/>
      <c r="H1" s="102"/>
      <c r="I1" s="102"/>
      <c r="J1" s="102"/>
      <c r="K1" s="102"/>
      <c r="L1" s="103" t="s">
        <v>150</v>
      </c>
      <c r="M1" s="104"/>
      <c r="N1" s="104"/>
      <c r="O1" s="105"/>
      <c r="P1" s="105"/>
      <c r="Q1" s="105"/>
      <c r="R1" s="105"/>
      <c r="S1" s="106"/>
      <c r="T1" s="106"/>
      <c r="U1" s="106"/>
      <c r="V1" s="106"/>
      <c r="W1" s="105"/>
      <c r="X1" s="106"/>
      <c r="Y1" s="106"/>
      <c r="Z1" s="106"/>
      <c r="AA1" s="106"/>
      <c r="AB1" s="107" t="s">
        <v>151</v>
      </c>
      <c r="AC1" s="108"/>
      <c r="AD1" s="108"/>
      <c r="AE1" s="109"/>
      <c r="AF1" s="109"/>
      <c r="AG1" s="109"/>
      <c r="AH1" s="109"/>
      <c r="AI1" s="109"/>
      <c r="AJ1" s="109"/>
      <c r="AK1" s="109"/>
      <c r="AL1" s="109"/>
      <c r="AM1" s="109"/>
      <c r="AN1" s="109"/>
      <c r="AO1" s="109"/>
      <c r="AP1" s="109"/>
      <c r="AQ1" s="109"/>
      <c r="AR1" s="110" t="s">
        <v>152</v>
      </c>
      <c r="AS1" s="111"/>
      <c r="AT1" s="112"/>
      <c r="AU1" s="112"/>
      <c r="AV1" s="112"/>
      <c r="AW1" s="112"/>
      <c r="AX1" s="112"/>
      <c r="AY1" s="112"/>
      <c r="AZ1" s="112"/>
      <c r="BA1" s="112"/>
      <c r="BB1" s="112"/>
      <c r="BC1" s="112"/>
      <c r="BD1" s="112"/>
      <c r="BE1" s="112"/>
      <c r="BF1" s="112"/>
      <c r="BG1" s="112"/>
      <c r="BH1" s="113" t="s">
        <v>153</v>
      </c>
      <c r="BI1" s="114"/>
      <c r="BJ1" s="115"/>
      <c r="BK1" s="115"/>
      <c r="BL1" s="115"/>
      <c r="BM1" s="115"/>
      <c r="BN1" s="115"/>
      <c r="BO1" s="115"/>
      <c r="BP1" s="115"/>
      <c r="BQ1" s="115"/>
      <c r="BR1" s="115"/>
      <c r="BS1" s="115"/>
      <c r="BT1" s="115"/>
      <c r="BU1" s="115"/>
      <c r="BV1" s="115"/>
      <c r="BW1" s="115"/>
    </row>
    <row customHeight="true" ht="46" r="2">
      <c r="A2" s="116" t="s">
        <v>154</v>
      </c>
      <c r="B2" s="116" t="s">
        <v>155</v>
      </c>
      <c r="C2" s="116" t="s">
        <v>156</v>
      </c>
      <c r="D2" s="116" t="s">
        <v>157</v>
      </c>
      <c r="E2" s="116" t="s">
        <v>158</v>
      </c>
      <c r="F2" s="117" t="s">
        <v>159</v>
      </c>
      <c r="G2" s="117" t="s">
        <v>160</v>
      </c>
      <c r="H2" s="116" t="s">
        <v>161</v>
      </c>
      <c r="I2" s="116" t="s">
        <v>162</v>
      </c>
      <c r="J2" s="118" t="s">
        <v>163</v>
      </c>
      <c r="K2" s="118" t="s">
        <v>164</v>
      </c>
      <c r="L2" s="119" t="s">
        <v>165</v>
      </c>
      <c r="M2" s="119" t="s">
        <v>166</v>
      </c>
      <c r="N2" s="120" t="s">
        <v>167</v>
      </c>
      <c r="O2" s="121" t="s">
        <v>168</v>
      </c>
      <c r="P2" s="121" t="s">
        <v>169</v>
      </c>
      <c r="Q2" s="121" t="s">
        <v>170</v>
      </c>
      <c r="R2" s="121" t="s">
        <v>171</v>
      </c>
      <c r="S2" s="119" t="s">
        <v>172</v>
      </c>
      <c r="T2" s="119" t="s">
        <v>173</v>
      </c>
      <c r="U2" s="119" t="s">
        <v>174</v>
      </c>
      <c r="V2" s="119" t="s">
        <v>164</v>
      </c>
      <c r="W2" s="121" t="s">
        <v>175</v>
      </c>
      <c r="X2" s="119" t="s">
        <v>176</v>
      </c>
      <c r="Y2" s="119" t="s">
        <v>177</v>
      </c>
      <c r="Z2" s="119" t="s">
        <v>178</v>
      </c>
      <c r="AA2" s="106" t="s">
        <v>179</v>
      </c>
      <c r="AB2" s="122" t="s">
        <v>180</v>
      </c>
      <c r="AC2" s="122" t="s">
        <v>166</v>
      </c>
      <c r="AD2" s="122" t="s">
        <v>167</v>
      </c>
      <c r="AE2" s="122" t="s">
        <v>168</v>
      </c>
      <c r="AF2" s="122" t="s">
        <v>169</v>
      </c>
      <c r="AG2" s="122" t="s">
        <v>170</v>
      </c>
      <c r="AH2" s="122" t="s">
        <v>171</v>
      </c>
      <c r="AI2" s="122" t="s">
        <v>172</v>
      </c>
      <c r="AJ2" s="122" t="s">
        <v>173</v>
      </c>
      <c r="AK2" s="122" t="s">
        <v>174</v>
      </c>
      <c r="AL2" s="122" t="s">
        <v>181</v>
      </c>
      <c r="AM2" s="122" t="s">
        <v>175</v>
      </c>
      <c r="AN2" s="122" t="s">
        <v>182</v>
      </c>
      <c r="AO2" s="122" t="s">
        <v>177</v>
      </c>
      <c r="AP2" s="122" t="s">
        <v>178</v>
      </c>
      <c r="AQ2" s="122" t="s">
        <v>179</v>
      </c>
      <c r="AR2" s="123" t="s">
        <v>180</v>
      </c>
      <c r="AS2" s="123" t="s">
        <v>166</v>
      </c>
      <c r="AT2" s="123" t="s">
        <v>167</v>
      </c>
      <c r="AU2" s="123" t="s">
        <v>168</v>
      </c>
      <c r="AV2" s="123" t="s">
        <v>169</v>
      </c>
      <c r="AW2" s="123" t="s">
        <v>170</v>
      </c>
      <c r="AX2" s="123" t="s">
        <v>171</v>
      </c>
      <c r="AY2" s="123" t="s">
        <v>172</v>
      </c>
      <c r="AZ2" s="123" t="s">
        <v>173</v>
      </c>
      <c r="BA2" s="123" t="s">
        <v>174</v>
      </c>
      <c r="BB2" s="123" t="s">
        <v>164</v>
      </c>
      <c r="BC2" s="123" t="s">
        <v>175</v>
      </c>
      <c r="BD2" s="123" t="s">
        <v>182</v>
      </c>
      <c r="BE2" s="123" t="s">
        <v>177</v>
      </c>
      <c r="BF2" s="123" t="s">
        <v>183</v>
      </c>
      <c r="BG2" s="123" t="s">
        <v>179</v>
      </c>
      <c r="BH2" s="124" t="s">
        <v>180</v>
      </c>
      <c r="BI2" s="124" t="s">
        <v>166</v>
      </c>
      <c r="BJ2" s="124" t="s">
        <v>167</v>
      </c>
      <c r="BK2" s="124" t="s">
        <v>168</v>
      </c>
      <c r="BL2" s="124" t="s">
        <v>184</v>
      </c>
      <c r="BM2" s="124" t="s">
        <v>170</v>
      </c>
      <c r="BN2" s="124" t="s">
        <v>171</v>
      </c>
      <c r="BO2" s="124" t="s">
        <v>172</v>
      </c>
      <c r="BP2" s="124" t="s">
        <v>173</v>
      </c>
      <c r="BQ2" s="124" t="s">
        <v>174</v>
      </c>
      <c r="BR2" s="124" t="s">
        <v>164</v>
      </c>
      <c r="BS2" s="124" t="s">
        <v>175</v>
      </c>
      <c r="BT2" s="124" t="s">
        <v>185</v>
      </c>
      <c r="BU2" s="124" t="s">
        <v>177</v>
      </c>
      <c r="BV2" s="124" t="s">
        <v>186</v>
      </c>
      <c r="BW2" s="124" t="s">
        <v>179</v>
      </c>
    </row>
    <row customHeight="true" ht="16" r="3">
      <c r="A3" s="125" t="s">
        <v>187</v>
      </c>
      <c r="B3" s="125" t="s">
        <v>188</v>
      </c>
      <c r="C3" s="126" t="s">
        <v>189</v>
      </c>
      <c r="D3" s="127" t="s">
        <v>190</v>
      </c>
      <c r="E3" s="128">
        <v>0.15</v>
      </c>
      <c r="F3" s="128">
        <v>0.05</v>
      </c>
      <c r="G3" s="129">
        <v>0.15</v>
      </c>
      <c r="H3" s="130">
        <v>7.08</v>
      </c>
      <c r="I3" s="130">
        <v>1.87</v>
      </c>
      <c r="J3" s="130">
        <f t="shared" ref="J3:J4" si="45">(H3+I3)*F3</f>
      </c>
      <c r="K3" s="130">
        <v>0.166666666666667</v>
      </c>
      <c r="L3" s="130"/>
      <c r="M3" s="131">
        <f>'推广计划'!D3</f>
      </c>
      <c r="N3" s="132">
        <v>1100</v>
      </c>
      <c r="O3" s="133">
        <f t="shared" ref="O3:O4" si="28">M3*N3</f>
      </c>
      <c r="P3" s="133">
        <f t="shared" ref="P3:P4" si="18">$H3*N3</f>
      </c>
      <c r="Q3" s="133">
        <f t="shared" ref="Q3:Q4" si="8">M3*$E3*N3</f>
      </c>
      <c r="R3" s="133">
        <f t="shared" ref="R3:R4" si="1">I3*N3</f>
      </c>
      <c r="S3" s="133">
        <f t="shared" ref="S3:S4" si="55">$J3*N3</f>
      </c>
      <c r="T3" s="134">
        <f t="shared" ref="T3:T4" si="50">O3*18%</f>
      </c>
      <c r="U3" s="135">
        <f t="shared" ref="U3:U4" si="46">O3*12%</f>
      </c>
      <c r="V3" s="134">
        <f t="shared" ref="V3:V4" si="39">O3*K3</f>
      </c>
      <c r="W3" s="133">
        <f t="shared" ref="W3:W4" si="32">P3+Q3+R3+S3+T3+U3+V3</f>
      </c>
      <c r="X3" s="136">
        <f t="shared" ref="X3:X4" si="22">O3-Q3-R3-T3-U3-V3</f>
      </c>
      <c r="Y3" s="129">
        <f t="shared" ref="Y3:Y4" si="11">X3/O3</f>
      </c>
      <c r="Z3" s="133">
        <f t="shared" ref="Z3:Z4" si="2">O3-W3</f>
      </c>
      <c r="AA3" s="129">
        <f t="shared" ref="AA3:AA4" si="59">Z3/O3</f>
      </c>
      <c r="AB3" s="130"/>
      <c r="AC3" s="131">
        <v>15.99</v>
      </c>
      <c r="AD3" s="132">
        <v>1500</v>
      </c>
      <c r="AE3" s="133">
        <f t="shared" ref="AE3:AE4" si="29">AC3*AD3</f>
      </c>
      <c r="AF3" s="133">
        <f t="shared" ref="AF3:AF4" si="19">$H3*AD3</f>
      </c>
      <c r="AG3" s="133">
        <f t="shared" ref="AG3:AG4" si="9">AC3*$E3*AD3</f>
      </c>
      <c r="AH3" s="133">
        <f t="shared" ref="AH3:AH4" si="51">AD3*I3</f>
      </c>
      <c r="AI3" s="133">
        <f t="shared" ref="AI3:AI4" si="56">$J3*AD3</f>
      </c>
      <c r="AJ3" s="134">
        <f t="shared" ref="AJ3:AJ4" si="47">AE3*10%</f>
      </c>
      <c r="AK3" s="135">
        <f t="shared" ref="AK3:AK4" si="40">AE3*6%</f>
      </c>
      <c r="AL3" s="134">
        <f t="shared" ref="AL3:AL4" si="36">AE3*K3</f>
      </c>
      <c r="AM3" s="133">
        <f t="shared" ref="AM3:AM4" si="33">AF3+AG3+AH3+AI3+AJ3+AK3+AL3</f>
      </c>
      <c r="AN3" s="136">
        <f t="shared" ref="AN3:AN4" si="23">AE3-AG3-AH3-AJ3-AL3</f>
      </c>
      <c r="AO3" s="129">
        <f t="shared" ref="AO3:AO4" si="12">AN3/AE3</f>
      </c>
      <c r="AP3" s="133">
        <f t="shared" ref="AP3:AP4" si="3">AE3-AM3</f>
      </c>
      <c r="AQ3" s="129">
        <f t="shared" ref="AQ3:AQ4" si="60">AP3/AE3</f>
      </c>
      <c r="AR3" s="130"/>
      <c r="AS3" s="131">
        <v>16.99</v>
      </c>
      <c r="AT3" s="132">
        <v>1700</v>
      </c>
      <c r="AU3" s="133">
        <f t="shared" ref="AU3:AU4" si="30">AS3*AT3</f>
      </c>
      <c r="AV3" s="133">
        <f t="shared" ref="AV3:AV4" si="20">$H3*AT3</f>
      </c>
      <c r="AW3" s="133">
        <f t="shared" ref="AW3:AW4" si="10">AS3*$E3*AT3</f>
      </c>
      <c r="AX3" s="133">
        <f t="shared" ref="AX3:AX4" si="15">AT3*I3</f>
      </c>
      <c r="AY3" s="133">
        <f t="shared" ref="AY3:AY4" si="57">$J3*AT3</f>
      </c>
      <c r="AZ3" s="134">
        <f t="shared" ref="AZ3:AZ4" si="6">AU3*7%</f>
      </c>
      <c r="BA3" s="135">
        <f t="shared" ref="BA3:BA4" si="63">AU3*15%</f>
      </c>
      <c r="BB3" s="134">
        <f t="shared" ref="BB3:BB4" si="52">K3*AU3</f>
      </c>
      <c r="BC3" s="133">
        <f t="shared" ref="BC3:BC4" si="34">AV3+AW3+AX3+AY3+AZ3+BA3+BB3</f>
      </c>
      <c r="BD3" s="136">
        <f t="shared" ref="BD3:BD4" si="24">AU3-AW3-AX3-AZ3-BB3</f>
      </c>
      <c r="BE3" s="129">
        <f t="shared" ref="BE3:BE4" si="13">BD3/AU3</f>
      </c>
      <c r="BF3" s="133">
        <f t="shared" ref="BF3:BF4" si="4">AU3-BC3</f>
      </c>
      <c r="BG3" s="129">
        <f t="shared" ref="BG3:BG4" si="61">BF3/AU3</f>
      </c>
      <c r="BH3" s="130"/>
      <c r="BI3" s="131">
        <v>16.99</v>
      </c>
      <c r="BJ3" s="132">
        <v>1500</v>
      </c>
      <c r="BK3" s="133">
        <f t="shared" ref="BK3:BK4" si="31">BI3*BJ3</f>
      </c>
      <c r="BL3" s="133">
        <f t="shared" ref="BL3:BL4" si="21">$H3*BJ3</f>
      </c>
      <c r="BM3" s="133">
        <f t="shared" ref="BM3:BM4" si="48">E3*BK3</f>
      </c>
      <c r="BN3" s="137">
        <f t="shared" ref="BN3:BN4" si="41">I3*BJ3</f>
      </c>
      <c r="BO3" s="133">
        <f t="shared" ref="BO3:BO4" si="58">$J3*BJ3</f>
      </c>
      <c r="BP3" s="134">
        <f t="shared" ref="BP3:BP4" si="37">BK3*5.5%</f>
      </c>
      <c r="BQ3" s="135">
        <f t="shared" ref="BQ3:BQ4" si="26">BK3*8%</f>
      </c>
      <c r="BR3" s="134">
        <f t="shared" ref="BR3:BR4" si="16">K3*BK3</f>
      </c>
      <c r="BS3" s="133">
        <f t="shared" ref="BS3:BS4" si="35">BL3+BM3+BN3+BO3+BP3+BQ3+BR3</f>
      </c>
      <c r="BT3" s="136">
        <f t="shared" ref="BT3:BT4" si="25">BK3-BM3-BN3-BP3-BR3</f>
      </c>
      <c r="BU3" s="129">
        <f t="shared" ref="BU3:BU4" si="14">BT3/BK3</f>
      </c>
      <c r="BV3" s="133">
        <f t="shared" ref="BV3:BV4" si="5">BK3-BS3</f>
      </c>
      <c r="BW3" s="129">
        <f t="shared" ref="BW3:BW4" si="62">BV3/BK3</f>
      </c>
    </row>
    <row customHeight="true" ht="16" r="4">
      <c r="A4" s="125" t="s">
        <v>191</v>
      </c>
      <c r="B4" s="125" t="s">
        <v>188</v>
      </c>
      <c r="C4" s="126" t="s">
        <v>189</v>
      </c>
      <c r="D4" s="127" t="s">
        <v>190</v>
      </c>
      <c r="E4" s="128">
        <v>0.15</v>
      </c>
      <c r="F4" s="128">
        <v>0.05</v>
      </c>
      <c r="G4" s="129">
        <v>0.15</v>
      </c>
      <c r="H4" s="130">
        <v>5.62</v>
      </c>
      <c r="I4" s="130">
        <v>1.87</v>
      </c>
      <c r="J4" s="130">
        <f t="shared" si="45"/>
      </c>
      <c r="K4" s="130">
        <v>0.166666666666667</v>
      </c>
      <c r="L4" s="130"/>
      <c r="M4" s="131">
        <f>'推广计划'!D3</f>
      </c>
      <c r="N4" s="132">
        <v>1100</v>
      </c>
      <c r="O4" s="133">
        <f t="shared" si="28"/>
      </c>
      <c r="P4" s="133">
        <f t="shared" si="18"/>
      </c>
      <c r="Q4" s="133">
        <f t="shared" si="8"/>
      </c>
      <c r="R4" s="133">
        <f t="shared" si="1"/>
      </c>
      <c r="S4" s="133">
        <f t="shared" si="55"/>
      </c>
      <c r="T4" s="134">
        <f t="shared" si="50"/>
      </c>
      <c r="U4" s="135">
        <f t="shared" si="46"/>
      </c>
      <c r="V4" s="134">
        <f t="shared" si="39"/>
      </c>
      <c r="W4" s="133">
        <f t="shared" si="32"/>
      </c>
      <c r="X4" s="136">
        <f t="shared" si="22"/>
      </c>
      <c r="Y4" s="129">
        <f t="shared" si="11"/>
      </c>
      <c r="Z4" s="133">
        <f t="shared" si="2"/>
      </c>
      <c r="AA4" s="129">
        <f t="shared" si="59"/>
      </c>
      <c r="AB4" s="130"/>
      <c r="AC4" s="131">
        <v>15.99</v>
      </c>
      <c r="AD4" s="132">
        <v>1500</v>
      </c>
      <c r="AE4" s="133">
        <f t="shared" si="29"/>
      </c>
      <c r="AF4" s="133">
        <f t="shared" si="19"/>
      </c>
      <c r="AG4" s="133">
        <f t="shared" si="9"/>
      </c>
      <c r="AH4" s="133">
        <f t="shared" si="51"/>
      </c>
      <c r="AI4" s="133">
        <f t="shared" si="56"/>
      </c>
      <c r="AJ4" s="134">
        <f t="shared" si="47"/>
      </c>
      <c r="AK4" s="135">
        <f t="shared" si="40"/>
      </c>
      <c r="AL4" s="134">
        <f t="shared" si="36"/>
      </c>
      <c r="AM4" s="133">
        <f t="shared" si="33"/>
      </c>
      <c r="AN4" s="136">
        <f t="shared" si="23"/>
      </c>
      <c r="AO4" s="129">
        <f t="shared" si="12"/>
      </c>
      <c r="AP4" s="133">
        <f t="shared" si="3"/>
      </c>
      <c r="AQ4" s="129">
        <f t="shared" si="60"/>
      </c>
      <c r="AR4" s="130"/>
      <c r="AS4" s="131">
        <v>16.99</v>
      </c>
      <c r="AT4" s="132">
        <v>1700</v>
      </c>
      <c r="AU4" s="133">
        <f t="shared" si="30"/>
      </c>
      <c r="AV4" s="133">
        <f t="shared" si="20"/>
      </c>
      <c r="AW4" s="133">
        <f t="shared" si="10"/>
      </c>
      <c r="AX4" s="133">
        <f t="shared" si="15"/>
      </c>
      <c r="AY4" s="133">
        <f t="shared" si="57"/>
      </c>
      <c r="AZ4" s="134">
        <f t="shared" si="6"/>
      </c>
      <c r="BA4" s="135">
        <f t="shared" si="63"/>
      </c>
      <c r="BB4" s="134">
        <f t="shared" si="52"/>
      </c>
      <c r="BC4" s="133">
        <f t="shared" si="34"/>
      </c>
      <c r="BD4" s="136">
        <f t="shared" si="24"/>
      </c>
      <c r="BE4" s="129">
        <f t="shared" si="13"/>
      </c>
      <c r="BF4" s="133">
        <f t="shared" si="4"/>
      </c>
      <c r="BG4" s="129">
        <f t="shared" si="61"/>
      </c>
      <c r="BH4" s="130"/>
      <c r="BI4" s="131">
        <v>16.99</v>
      </c>
      <c r="BJ4" s="132">
        <v>1500</v>
      </c>
      <c r="BK4" s="133">
        <f t="shared" si="31"/>
      </c>
      <c r="BL4" s="133">
        <f t="shared" si="21"/>
      </c>
      <c r="BM4" s="133">
        <f t="shared" si="48"/>
      </c>
      <c r="BN4" s="137">
        <f t="shared" si="41"/>
      </c>
      <c r="BO4" s="133">
        <f t="shared" si="58"/>
      </c>
      <c r="BP4" s="134">
        <f t="shared" si="37"/>
      </c>
      <c r="BQ4" s="135">
        <f t="shared" si="26"/>
      </c>
      <c r="BR4" s="134">
        <f t="shared" si="16"/>
      </c>
      <c r="BS4" s="133">
        <f t="shared" si="35"/>
      </c>
      <c r="BT4" s="136">
        <f t="shared" si="25"/>
      </c>
      <c r="BU4" s="129">
        <f t="shared" si="14"/>
      </c>
      <c r="BV4" s="133">
        <f t="shared" si="5"/>
      </c>
      <c r="BW4" s="129">
        <f t="shared" si="62"/>
      </c>
    </row>
    <row customHeight="true" ht="16" r="5">
      <c r="A5" s="125"/>
      <c r="B5" s="125"/>
      <c r="C5" s="126"/>
      <c r="D5" s="127"/>
      <c r="E5" s="128"/>
      <c r="F5" s="128"/>
      <c r="G5" s="129"/>
      <c r="H5" s="130"/>
      <c r="I5" s="130"/>
      <c r="J5" s="130"/>
      <c r="K5" s="130"/>
      <c r="L5" s="130"/>
      <c r="M5" s="136"/>
      <c r="N5" s="133"/>
      <c r="O5" s="133"/>
      <c r="P5" s="133"/>
      <c r="Q5" s="133"/>
      <c r="R5" s="133"/>
      <c r="S5" s="133"/>
      <c r="T5" s="134"/>
      <c r="U5" s="135"/>
      <c r="V5" s="134"/>
      <c r="W5" s="133"/>
      <c r="X5" s="136"/>
      <c r="Y5" s="129"/>
      <c r="Z5" s="133"/>
      <c r="AA5" s="129"/>
      <c r="AB5" s="130"/>
      <c r="AC5" s="136"/>
      <c r="AD5" s="133"/>
      <c r="AE5" s="133"/>
      <c r="AF5" s="133"/>
      <c r="AG5" s="133"/>
      <c r="AH5" s="133"/>
      <c r="AI5" s="133"/>
      <c r="AJ5" s="134"/>
      <c r="AK5" s="135"/>
      <c r="AL5" s="134"/>
      <c r="AM5" s="133"/>
      <c r="AN5" s="136"/>
      <c r="AO5" s="129"/>
      <c r="AP5" s="133"/>
      <c r="AQ5" s="129"/>
      <c r="AR5" s="130"/>
      <c r="AS5" s="131"/>
      <c r="AT5" s="132"/>
      <c r="AU5" s="133"/>
      <c r="AV5" s="133"/>
      <c r="AW5" s="133"/>
      <c r="AX5" s="133"/>
      <c r="AY5" s="133"/>
      <c r="AZ5" s="134"/>
      <c r="BA5" s="135"/>
      <c r="BB5" s="134"/>
      <c r="BC5" s="133"/>
      <c r="BD5" s="136"/>
      <c r="BE5" s="129"/>
      <c r="BF5" s="133"/>
      <c r="BG5" s="129"/>
      <c r="BH5" s="130"/>
      <c r="BI5" s="136"/>
      <c r="BJ5" s="133"/>
      <c r="BK5" s="133"/>
      <c r="BL5" s="133"/>
      <c r="BM5" s="133"/>
      <c r="BN5" s="133"/>
      <c r="BO5" s="133"/>
      <c r="BP5" s="134"/>
      <c r="BQ5" s="135"/>
      <c r="BR5" s="134"/>
      <c r="BS5" s="133"/>
      <c r="BT5" s="136"/>
      <c r="BU5" s="129"/>
      <c r="BV5" s="133"/>
      <c r="BW5" s="129"/>
    </row>
    <row customHeight="true" ht="16" r="6">
      <c r="A6" s="125"/>
      <c r="B6" s="125"/>
      <c r="C6" s="126"/>
      <c r="D6" s="127"/>
      <c r="E6" s="128"/>
      <c r="F6" s="128"/>
      <c r="G6" s="129"/>
      <c r="H6" s="130"/>
      <c r="I6" s="130"/>
      <c r="J6" s="130"/>
      <c r="K6" s="130"/>
      <c r="L6" s="130"/>
      <c r="M6" s="136"/>
      <c r="N6" s="133"/>
      <c r="O6" s="133"/>
      <c r="P6" s="133"/>
      <c r="Q6" s="133"/>
      <c r="R6" s="133"/>
      <c r="S6" s="133"/>
      <c r="T6" s="134"/>
      <c r="U6" s="135"/>
      <c r="V6" s="134"/>
      <c r="W6" s="133"/>
      <c r="X6" s="136"/>
      <c r="Y6" s="129"/>
      <c r="Z6" s="133"/>
      <c r="AA6" s="129"/>
      <c r="AB6" s="130"/>
      <c r="AC6" s="136"/>
      <c r="AD6" s="133"/>
      <c r="AE6" s="133"/>
      <c r="AF6" s="133"/>
      <c r="AG6" s="133"/>
      <c r="AH6" s="133"/>
      <c r="AI6" s="133"/>
      <c r="AJ6" s="134"/>
      <c r="AK6" s="135"/>
      <c r="AL6" s="134"/>
      <c r="AM6" s="133"/>
      <c r="AN6" s="136"/>
      <c r="AO6" s="129"/>
      <c r="AP6" s="133"/>
      <c r="AQ6" s="129"/>
      <c r="AR6" s="130"/>
      <c r="AS6" s="131"/>
      <c r="AT6" s="132"/>
      <c r="AU6" s="133"/>
      <c r="AV6" s="133"/>
      <c r="AW6" s="133"/>
      <c r="AX6" s="133"/>
      <c r="AY6" s="133"/>
      <c r="AZ6" s="134"/>
      <c r="BA6" s="135"/>
      <c r="BB6" s="134"/>
      <c r="BC6" s="133"/>
      <c r="BD6" s="136"/>
      <c r="BE6" s="129"/>
      <c r="BF6" s="133"/>
      <c r="BG6" s="129"/>
      <c r="BH6" s="130"/>
      <c r="BI6" s="136"/>
      <c r="BJ6" s="133"/>
      <c r="BK6" s="133"/>
      <c r="BL6" s="133"/>
      <c r="BM6" s="133"/>
      <c r="BN6" s="133"/>
      <c r="BO6" s="133"/>
      <c r="BP6" s="134"/>
      <c r="BQ6" s="135"/>
      <c r="BR6" s="134"/>
      <c r="BS6" s="133"/>
      <c r="BT6" s="136"/>
      <c r="BU6" s="129"/>
      <c r="BV6" s="133"/>
      <c r="BW6" s="129"/>
    </row>
    <row customHeight="true" ht="16" r="7">
      <c r="A7" s="125"/>
      <c r="B7" s="125"/>
      <c r="C7" s="126"/>
      <c r="D7" s="127"/>
      <c r="E7" s="128"/>
      <c r="F7" s="128"/>
      <c r="G7" s="129"/>
      <c r="H7" s="130"/>
      <c r="I7" s="130"/>
      <c r="J7" s="130"/>
      <c r="K7" s="130"/>
      <c r="L7" s="130"/>
      <c r="M7" s="136"/>
      <c r="N7" s="133"/>
      <c r="O7" s="133"/>
      <c r="P7" s="133"/>
      <c r="Q7" s="133"/>
      <c r="R7" s="133"/>
      <c r="S7" s="133"/>
      <c r="T7" s="134"/>
      <c r="U7" s="135"/>
      <c r="V7" s="134"/>
      <c r="W7" s="133"/>
      <c r="X7" s="136"/>
      <c r="Y7" s="129"/>
      <c r="Z7" s="133"/>
      <c r="AA7" s="129"/>
      <c r="AB7" s="130"/>
      <c r="AC7" s="136"/>
      <c r="AD7" s="133"/>
      <c r="AE7" s="133"/>
      <c r="AF7" s="133"/>
      <c r="AG7" s="133"/>
      <c r="AH7" s="133"/>
      <c r="AI7" s="133"/>
      <c r="AJ7" s="134"/>
      <c r="AK7" s="135"/>
      <c r="AL7" s="134"/>
      <c r="AM7" s="133"/>
      <c r="AN7" s="136"/>
      <c r="AO7" s="129"/>
      <c r="AP7" s="133"/>
      <c r="AQ7" s="129"/>
      <c r="AR7" s="130"/>
      <c r="AS7" s="136"/>
      <c r="AT7" s="133"/>
      <c r="AU7" s="133"/>
      <c r="AV7" s="133"/>
      <c r="AW7" s="133"/>
      <c r="AX7" s="133"/>
      <c r="AY7" s="133"/>
      <c r="AZ7" s="134"/>
      <c r="BA7" s="135"/>
      <c r="BB7" s="134"/>
      <c r="BC7" s="133"/>
      <c r="BD7" s="136"/>
      <c r="BE7" s="129"/>
      <c r="BF7" s="133"/>
      <c r="BG7" s="129"/>
      <c r="BH7" s="130"/>
      <c r="BI7" s="136"/>
      <c r="BJ7" s="133"/>
      <c r="BK7" s="133"/>
      <c r="BL7" s="133"/>
      <c r="BM7" s="133"/>
      <c r="BN7" s="133"/>
      <c r="BO7" s="133"/>
      <c r="BP7" s="134"/>
      <c r="BQ7" s="135"/>
      <c r="BR7" s="134"/>
      <c r="BS7" s="133"/>
      <c r="BT7" s="136"/>
      <c r="BU7" s="129"/>
      <c r="BV7" s="133"/>
      <c r="BW7" s="129"/>
    </row>
    <row customHeight="true" ht="16" r="8">
      <c r="A8" s="138"/>
      <c r="B8" s="138"/>
      <c r="C8" s="138"/>
      <c r="D8" s="139"/>
      <c r="E8" s="140"/>
      <c r="F8" s="140"/>
      <c r="G8" s="141"/>
      <c r="H8" s="142"/>
      <c r="I8" s="142"/>
      <c r="J8" s="142"/>
      <c r="K8" s="142"/>
      <c r="L8" s="142"/>
      <c r="M8" s="143"/>
      <c r="N8" s="144">
        <f>SUM(N3:N6)</f>
      </c>
      <c r="O8" s="144">
        <f>SUM(O3:O6)</f>
      </c>
      <c r="P8" s="144">
        <f>SUM(P3:P6)</f>
      </c>
      <c r="Q8" s="144">
        <f>SUM(Q3:Q6)</f>
      </c>
      <c r="R8" s="144">
        <f>SUM(R3:R6)</f>
      </c>
      <c r="S8" s="144">
        <f>SUM(S3:S6)</f>
      </c>
      <c r="T8" s="144">
        <f>SUM(T3:T6)</f>
      </c>
      <c r="U8" s="145">
        <f>SUM(U3:U6)</f>
      </c>
      <c r="V8" s="145">
        <f>SUM(V3:V6)</f>
      </c>
      <c r="W8" s="145">
        <f>SUM(W3:W6)</f>
      </c>
      <c r="X8" s="145">
        <f>SUM(X3:X6)</f>
      </c>
      <c r="Y8" s="144">
        <f>X8/O8</f>
      </c>
      <c r="Z8" s="144">
        <f>SUM(Z3:Z6)</f>
      </c>
      <c r="AA8" s="144">
        <f>Z8/O8</f>
      </c>
      <c r="AB8" s="142"/>
      <c r="AC8" s="144"/>
      <c r="AD8" s="144">
        <f>SUM(AD3:AD6)</f>
      </c>
      <c r="AE8" s="144">
        <f>SUM(AE3:AE6)</f>
      </c>
      <c r="AF8" s="144">
        <f>SUM(AF3:AF6)</f>
      </c>
      <c r="AG8" s="144">
        <f>SUM(AG3:AG6)</f>
      </c>
      <c r="AH8" s="144">
        <f>SUM(AH3:AH6)</f>
      </c>
      <c r="AI8" s="144">
        <f>SUM(AI3:AI6)</f>
      </c>
      <c r="AJ8" s="144">
        <f>SUM(AJ3:AJ6)</f>
      </c>
      <c r="AK8" s="145">
        <f>SUM(AK3:AK6)</f>
      </c>
      <c r="AL8" s="145">
        <f>SUM(AL3:AL6)</f>
      </c>
      <c r="AM8" s="145">
        <f>SUM(AM3:AM6)</f>
      </c>
      <c r="AN8" s="145">
        <f>SUM(AN3:AN6)</f>
      </c>
      <c r="AO8" s="144">
        <f>AN8/AE8</f>
      </c>
      <c r="AP8" s="145">
        <f>SUM(AP3:AP6)</f>
      </c>
      <c r="AQ8" s="144">
        <f>AP8/AE8</f>
      </c>
      <c r="AR8" s="142"/>
      <c r="AS8" s="143"/>
      <c r="AT8" s="144">
        <f>SUM(AT3:AT6)</f>
      </c>
      <c r="AU8" s="144">
        <f>SUM(AU3:AU6)</f>
      </c>
      <c r="AV8" s="144">
        <f>SUM(AV3:AV6)</f>
      </c>
      <c r="AW8" s="144">
        <f>SUM(AW3:AW6)</f>
      </c>
      <c r="AX8" s="144">
        <f>SUM(AX3:AX6)</f>
      </c>
      <c r="AY8" s="144">
        <f>SUM(AY3:AY6)</f>
      </c>
      <c r="AZ8" s="144">
        <f>SUM(AZ3:AZ6)</f>
      </c>
      <c r="BA8" s="145">
        <f>SUM(BA3:BA6)</f>
      </c>
      <c r="BB8" s="145">
        <f>SUM(BB3:BB6)</f>
      </c>
      <c r="BC8" s="145">
        <f>SUM(BC3:BC6)</f>
      </c>
      <c r="BD8" s="145">
        <f>SUM(BD3:BD6)</f>
      </c>
      <c r="BE8" s="144">
        <f>BD8/AU8</f>
      </c>
      <c r="BF8" s="145">
        <f>SUM(BF3:BF6)</f>
      </c>
      <c r="BG8" s="144">
        <f>BF8/AU8</f>
      </c>
      <c r="BH8" s="142"/>
      <c r="BI8" s="143"/>
      <c r="BJ8" s="144">
        <f>SUM(BJ3:BJ6)</f>
      </c>
      <c r="BK8" s="144">
        <f>SUM(BK3:BK6)</f>
      </c>
      <c r="BL8" s="144">
        <f>SUM(BL3:BL6)</f>
      </c>
      <c r="BM8" s="144">
        <f>SUM(BM3:BM6)</f>
      </c>
      <c r="BN8" s="144">
        <f>SUM(BN3:BN6)</f>
      </c>
      <c r="BO8" s="144">
        <f>SUM(BO3:BO6)</f>
      </c>
      <c r="BP8" s="144">
        <f>SUM(BP3:BP6)</f>
      </c>
      <c r="BQ8" s="145">
        <f>SUM(BQ3:BQ6)</f>
      </c>
      <c r="BR8" s="145">
        <f>SUM(BR3:BR6)</f>
      </c>
      <c r="BS8" s="145">
        <f>SUM(BS3:BS6)</f>
      </c>
      <c r="BT8" s="145">
        <f>SUM(BT3:BT6)</f>
      </c>
      <c r="BU8" s="144">
        <f>BT8/BK8</f>
      </c>
      <c r="BV8" s="145">
        <f>SUM(BV3:BV6)</f>
      </c>
      <c r="BW8" s="144">
        <f>BV8/BK8</f>
      </c>
    </row>
    <row customHeight="true" ht="16" r="9">
      <c r="A9" s="138"/>
      <c r="B9" s="138"/>
      <c r="C9" s="138"/>
      <c r="D9" s="139"/>
      <c r="E9" s="140"/>
      <c r="F9" s="140"/>
      <c r="G9" s="141"/>
      <c r="H9" s="142"/>
      <c r="I9" s="142"/>
      <c r="J9" s="142"/>
      <c r="K9" s="142"/>
      <c r="L9" s="142"/>
      <c r="M9" s="143"/>
      <c r="N9" s="144"/>
      <c r="O9" s="144"/>
      <c r="P9" s="144"/>
      <c r="Q9" s="144"/>
      <c r="R9" s="144"/>
      <c r="S9" s="144"/>
      <c r="T9" s="144"/>
      <c r="U9" s="145"/>
      <c r="V9" s="145"/>
      <c r="W9" s="145"/>
      <c r="X9" s="145"/>
      <c r="Y9" s="144"/>
      <c r="Z9" s="144"/>
      <c r="AA9" s="144"/>
      <c r="AB9" s="142"/>
      <c r="AC9" s="144"/>
      <c r="AD9" s="144"/>
      <c r="AE9" s="144"/>
      <c r="AF9" s="144"/>
      <c r="AG9" s="144"/>
      <c r="AH9" s="144"/>
      <c r="AI9" s="144"/>
      <c r="AJ9" s="144"/>
      <c r="AK9" s="145"/>
      <c r="AL9" s="145"/>
      <c r="AM9" s="145"/>
      <c r="AN9" s="145"/>
      <c r="AO9" s="144"/>
      <c r="AP9" s="145"/>
      <c r="AQ9" s="144"/>
      <c r="AR9" s="142"/>
      <c r="AS9" s="143"/>
      <c r="AT9" s="144"/>
      <c r="AU9" s="144"/>
      <c r="AV9" s="144"/>
      <c r="AW9" s="144"/>
      <c r="AX9" s="144"/>
      <c r="AY9" s="144"/>
      <c r="AZ9" s="144"/>
      <c r="BA9" s="145"/>
      <c r="BB9" s="145"/>
      <c r="BC9" s="145"/>
      <c r="BD9" s="145"/>
      <c r="BE9" s="144"/>
      <c r="BF9" s="145"/>
      <c r="BG9" s="144"/>
      <c r="BH9" s="142"/>
      <c r="BI9" s="143"/>
      <c r="BJ9" s="144"/>
      <c r="BK9" s="144"/>
      <c r="BL9" s="144"/>
      <c r="BM9" s="144"/>
      <c r="BN9" s="144"/>
      <c r="BO9" s="144"/>
      <c r="BP9" s="144"/>
      <c r="BQ9" s="145"/>
      <c r="BR9" s="145"/>
      <c r="BS9" s="145"/>
      <c r="BT9" s="145"/>
      <c r="BU9" s="144"/>
      <c r="BV9" s="145"/>
      <c r="BW9" s="144"/>
    </row>
    <row customHeight="true" ht="16" r="10">
      <c r="A10" s="146" t="s">
        <v>192</v>
      </c>
      <c r="B10" s="146"/>
      <c r="C10" s="146"/>
      <c r="D10" s="147"/>
      <c r="E10" s="148"/>
      <c r="F10" s="148"/>
      <c r="G10" s="149"/>
      <c r="H10" s="150"/>
      <c r="I10" s="150"/>
      <c r="J10" s="150"/>
      <c r="K10" s="150"/>
      <c r="L10" s="150"/>
      <c r="M10" s="151"/>
      <c r="N10" s="152"/>
      <c r="O10" s="152"/>
      <c r="P10" s="152"/>
      <c r="Q10" s="152"/>
      <c r="R10" s="152"/>
      <c r="S10" s="152"/>
      <c r="T10" s="153"/>
      <c r="U10" s="154"/>
      <c r="V10" s="153"/>
      <c r="W10" s="152"/>
      <c r="X10" s="151"/>
      <c r="Y10" s="149"/>
      <c r="Z10" s="152"/>
      <c r="AA10" s="149"/>
      <c r="AB10" s="150"/>
      <c r="AC10" s="151"/>
      <c r="AD10" s="152"/>
      <c r="AE10" s="152"/>
      <c r="AF10" s="152"/>
      <c r="AG10" s="152"/>
      <c r="AH10" s="152"/>
      <c r="AI10" s="152"/>
      <c r="AJ10" s="153"/>
      <c r="AK10" s="154"/>
      <c r="AL10" s="153"/>
      <c r="AM10" s="152"/>
      <c r="AN10" s="151"/>
      <c r="AO10" s="149"/>
      <c r="AP10" s="155"/>
      <c r="AQ10" s="149"/>
      <c r="AR10" s="150"/>
      <c r="AS10" s="151"/>
      <c r="AT10" s="152"/>
      <c r="AU10" s="152"/>
      <c r="AV10" s="152"/>
      <c r="AW10" s="152"/>
      <c r="AX10" s="152"/>
      <c r="AY10" s="152"/>
      <c r="AZ10" s="153"/>
      <c r="BA10" s="154"/>
      <c r="BB10" s="153"/>
      <c r="BC10" s="152"/>
      <c r="BD10" s="151"/>
      <c r="BE10" s="149"/>
      <c r="BF10" s="155"/>
      <c r="BG10" s="149"/>
    </row>
    <row customHeight="true" ht="16" r="11">
      <c r="A11" s="156" t="s">
        <v>155</v>
      </c>
      <c r="B11" s="156" t="s">
        <v>193</v>
      </c>
      <c r="C11" s="156" t="s">
        <v>194</v>
      </c>
      <c r="D11" s="156" t="s">
        <v>195</v>
      </c>
      <c r="E11" s="156" t="s">
        <v>196</v>
      </c>
      <c r="F11" s="157" t="s">
        <v>197</v>
      </c>
      <c r="G11" s="156" t="s">
        <v>169</v>
      </c>
      <c r="H11" s="158" t="s">
        <v>170</v>
      </c>
      <c r="I11" s="156" t="s">
        <v>171</v>
      </c>
      <c r="J11" s="158" t="s">
        <v>198</v>
      </c>
      <c r="K11" s="158" t="s">
        <v>199</v>
      </c>
      <c r="L11" s="156" t="s">
        <v>200</v>
      </c>
      <c r="M11" s="156" t="s">
        <v>201</v>
      </c>
      <c r="N11" s="159" t="s">
        <v>202</v>
      </c>
      <c r="O11" s="158" t="s">
        <v>203</v>
      </c>
    </row>
    <row customHeight="true" ht="16" r="12">
      <c r="A12" s="160" t="s">
        <v>204</v>
      </c>
      <c r="B12" s="161" t="s">
        <v>205</v>
      </c>
      <c r="C12" s="162">
        <f t="shared" ref="C12:C16" si="53">$M$3</f>
      </c>
      <c r="D12" s="162">
        <f t="shared" ref="D12:D18" si="42">G12+H12+I12+J12+K12*C12+C12*N12</f>
      </c>
      <c r="E12" s="163">
        <f t="shared" ref="E12:E18" si="38">C12-D12</f>
      </c>
      <c r="F12" s="164">
        <f t="shared" ref="F12:F18" si="27">E12/C12</f>
      </c>
      <c r="G12" s="162">
        <v>5.62</v>
      </c>
      <c r="H12" s="162">
        <f t="shared" ref="H12:H18" si="17">C12*L12</f>
      </c>
      <c r="I12" s="162">
        <f t="shared" ref="I12:I18" si="7">$I$3</f>
      </c>
      <c r="J12" s="162">
        <f t="shared" ref="J12:J18" si="0">C12*M12</f>
      </c>
      <c r="K12" s="162">
        <v>0.166666666666667</v>
      </c>
      <c r="L12" s="165">
        <f t="shared" ref="L12:L18" si="54">$E$3</f>
      </c>
      <c r="M12" s="166">
        <f t="shared" ref="M12:M18" si="49">$F$3</f>
      </c>
      <c r="N12" s="165">
        <v>0</v>
      </c>
      <c r="O12" s="163">
        <f t="shared" ref="O12:O18" si="43">(G12+I12)/(1-L12-M12-K12)</f>
      </c>
    </row>
    <row customHeight="true" ht="16" r="13">
      <c r="A13" s="160" t="s">
        <v>206</v>
      </c>
      <c r="B13" s="161" t="s">
        <v>207</v>
      </c>
      <c r="C13" s="162">
        <f t="shared" si="53"/>
      </c>
      <c r="D13" s="162">
        <f t="shared" si="42"/>
      </c>
      <c r="E13" s="163">
        <f t="shared" si="38"/>
      </c>
      <c r="F13" s="164">
        <f t="shared" si="27"/>
      </c>
      <c r="G13" s="162">
        <v>5.62</v>
      </c>
      <c r="H13" s="162">
        <f t="shared" si="17"/>
      </c>
      <c r="I13" s="162">
        <f t="shared" si="7"/>
      </c>
      <c r="J13" s="162">
        <f t="shared" si="0"/>
      </c>
      <c r="K13" s="162">
        <v>0.166666666666667</v>
      </c>
      <c r="L13" s="165">
        <f t="shared" si="54"/>
      </c>
      <c r="M13" s="166">
        <f t="shared" si="49"/>
      </c>
      <c r="N13" s="165">
        <v>0.3</v>
      </c>
      <c r="O13" s="163">
        <f t="shared" si="43"/>
      </c>
    </row>
    <row customHeight="true" ht="16" r="14">
      <c r="A14" s="160" t="s">
        <v>208</v>
      </c>
      <c r="B14" s="161" t="s">
        <v>209</v>
      </c>
      <c r="C14" s="162">
        <f t="shared" si="53"/>
      </c>
      <c r="D14" s="162">
        <f t="shared" si="42"/>
      </c>
      <c r="E14" s="163">
        <f t="shared" si="38"/>
      </c>
      <c r="F14" s="164">
        <f t="shared" si="27"/>
      </c>
      <c r="G14" s="162">
        <v>5.62</v>
      </c>
      <c r="H14" s="162">
        <f t="shared" si="17"/>
      </c>
      <c r="I14" s="162">
        <f t="shared" si="7"/>
      </c>
      <c r="J14" s="162">
        <f t="shared" si="0"/>
      </c>
      <c r="K14" s="162">
        <v>0.166666666666667</v>
      </c>
      <c r="L14" s="165">
        <f t="shared" si="54"/>
      </c>
      <c r="M14" s="166">
        <f t="shared" si="49"/>
      </c>
      <c r="N14" s="165">
        <v>0.2</v>
      </c>
      <c r="O14" s="163">
        <f t="shared" si="43"/>
      </c>
    </row>
    <row customHeight="true" ht="16" r="15">
      <c r="A15" s="160" t="s">
        <v>210</v>
      </c>
      <c r="B15" s="161" t="s">
        <v>211</v>
      </c>
      <c r="C15" s="162">
        <f t="shared" si="53"/>
      </c>
      <c r="D15" s="162">
        <f t="shared" si="42"/>
      </c>
      <c r="E15" s="163">
        <f t="shared" si="38"/>
      </c>
      <c r="F15" s="164">
        <f t="shared" si="27"/>
      </c>
      <c r="G15" s="162">
        <v>5.62</v>
      </c>
      <c r="H15" s="162">
        <f t="shared" si="17"/>
      </c>
      <c r="I15" s="162">
        <f t="shared" si="7"/>
      </c>
      <c r="J15" s="162">
        <f t="shared" si="0"/>
      </c>
      <c r="K15" s="162">
        <v>0.166666666666667</v>
      </c>
      <c r="L15" s="165">
        <f t="shared" si="54"/>
      </c>
      <c r="M15" s="166">
        <f t="shared" si="49"/>
      </c>
      <c r="N15" s="165">
        <v>0.15</v>
      </c>
      <c r="O15" s="163">
        <f t="shared" si="43"/>
      </c>
    </row>
    <row customHeight="true" ht="16" r="16">
      <c r="A16" s="160" t="s">
        <v>212</v>
      </c>
      <c r="B16" s="161" t="s">
        <v>213</v>
      </c>
      <c r="C16" s="162">
        <f t="shared" si="53"/>
      </c>
      <c r="D16" s="162">
        <f t="shared" si="42"/>
      </c>
      <c r="E16" s="163">
        <f t="shared" si="38"/>
      </c>
      <c r="F16" s="164">
        <f t="shared" si="27"/>
      </c>
      <c r="G16" s="162">
        <v>5.62</v>
      </c>
      <c r="H16" s="162">
        <f t="shared" si="17"/>
      </c>
      <c r="I16" s="162">
        <f t="shared" si="7"/>
      </c>
      <c r="J16" s="162">
        <f t="shared" si="0"/>
      </c>
      <c r="K16" s="162">
        <v>0.166666666666667</v>
      </c>
      <c r="L16" s="165">
        <f t="shared" si="54"/>
      </c>
      <c r="M16" s="166">
        <f t="shared" si="49"/>
      </c>
      <c r="N16" s="165">
        <v>0.1</v>
      </c>
      <c r="O16" s="163">
        <f t="shared" si="43"/>
      </c>
    </row>
    <row customHeight="true" ht="16" r="17">
      <c r="A17" s="160" t="s">
        <v>214</v>
      </c>
      <c r="B17" s="161" t="s">
        <v>215</v>
      </c>
      <c r="C17" s="162">
        <v>16.99</v>
      </c>
      <c r="D17" s="162">
        <f t="shared" si="42"/>
      </c>
      <c r="E17" s="163">
        <f t="shared" si="38"/>
      </c>
      <c r="F17" s="164">
        <f t="shared" si="27"/>
      </c>
      <c r="G17" s="162">
        <v>5.62</v>
      </c>
      <c r="H17" s="162">
        <f t="shared" si="17"/>
      </c>
      <c r="I17" s="162">
        <f t="shared" si="7"/>
      </c>
      <c r="J17" s="162">
        <f t="shared" si="0"/>
      </c>
      <c r="K17" s="162">
        <v>0.166666666666667</v>
      </c>
      <c r="L17" s="165">
        <f t="shared" si="54"/>
      </c>
      <c r="M17" s="166">
        <f t="shared" si="49"/>
      </c>
      <c r="N17" s="165">
        <v>0</v>
      </c>
      <c r="O17" s="163">
        <f t="shared" si="43"/>
      </c>
    </row>
    <row customHeight="true" ht="16" r="18">
      <c r="A18" s="160" t="s">
        <v>216</v>
      </c>
      <c r="B18" s="161" t="s">
        <v>217</v>
      </c>
      <c r="C18" s="162">
        <v>16.99</v>
      </c>
      <c r="D18" s="162">
        <f t="shared" si="42"/>
      </c>
      <c r="E18" s="163">
        <f t="shared" si="38"/>
      </c>
      <c r="F18" s="164">
        <f t="shared" si="27"/>
      </c>
      <c r="G18" s="162">
        <v>5.62</v>
      </c>
      <c r="H18" s="162">
        <f t="shared" si="17"/>
      </c>
      <c r="I18" s="162">
        <f t="shared" si="7"/>
      </c>
      <c r="J18" s="162">
        <f t="shared" si="0"/>
      </c>
      <c r="K18" s="162">
        <v>0.166666666666667</v>
      </c>
      <c r="L18" s="165">
        <f t="shared" si="54"/>
      </c>
      <c r="M18" s="166">
        <f t="shared" si="49"/>
      </c>
      <c r="N18" s="165">
        <v>0.1</v>
      </c>
      <c r="O18" s="163">
        <f t="shared" si="43"/>
      </c>
    </row>
    <row customHeight="true" ht="16" r="19">
      <c r="A19" s="160"/>
      <c r="B19" s="161"/>
      <c r="C19" s="162"/>
      <c r="D19" s="162"/>
      <c r="E19" s="163"/>
      <c r="F19" s="164"/>
      <c r="G19" s="162"/>
      <c r="H19" s="162"/>
      <c r="I19" s="162"/>
      <c r="J19" s="162"/>
      <c r="K19" s="162"/>
      <c r="L19" s="165"/>
      <c r="M19" s="166"/>
      <c r="N19" s="165"/>
      <c r="O19" s="163"/>
    </row>
    <row customHeight="true" ht="16" r="20">
      <c r="A20" s="167"/>
      <c r="B20" s="168"/>
      <c r="C20" s="169"/>
      <c r="D20" s="169"/>
      <c r="E20" s="170"/>
      <c r="F20" s="171"/>
      <c r="G20" s="169"/>
      <c r="H20" s="169"/>
      <c r="I20" s="169"/>
      <c r="J20" s="169"/>
      <c r="K20" s="169"/>
      <c r="L20" s="172"/>
      <c r="M20" s="173"/>
      <c r="N20" s="172"/>
      <c r="O20" s="170"/>
    </row>
    <row customHeight="true" ht="14" r="21">
      <c r="A21" s="174" t="s">
        <v>218</v>
      </c>
    </row>
    <row customHeight="true" ht="30" r="22">
      <c r="A22" s="175" t="s">
        <v>219</v>
      </c>
      <c r="B22" s="119" t="s">
        <v>166</v>
      </c>
      <c r="C22" s="119" t="s">
        <v>167</v>
      </c>
      <c r="D22" s="121" t="s">
        <v>220</v>
      </c>
      <c r="E22" s="121" t="s">
        <v>169</v>
      </c>
      <c r="F22" s="121" t="s">
        <v>170</v>
      </c>
      <c r="G22" s="121" t="s">
        <v>171</v>
      </c>
      <c r="H22" s="119" t="s">
        <v>172</v>
      </c>
      <c r="I22" s="119" t="s">
        <v>173</v>
      </c>
      <c r="J22" s="119" t="s">
        <v>174</v>
      </c>
      <c r="K22" s="119" t="s">
        <v>164</v>
      </c>
      <c r="L22" s="121" t="s">
        <v>175</v>
      </c>
      <c r="M22" s="119" t="s">
        <v>182</v>
      </c>
      <c r="N22" s="119" t="s">
        <v>177</v>
      </c>
      <c r="O22" s="119" t="s">
        <v>178</v>
      </c>
      <c r="P22" s="106" t="s">
        <v>179</v>
      </c>
      <c r="Q22" s="119" t="s">
        <v>221</v>
      </c>
      <c r="R22" s="176"/>
      <c r="S22" s="176"/>
    </row>
    <row customHeight="true" ht="14" r="23">
      <c r="A23" s="177" t="s">
        <v>150</v>
      </c>
      <c r="B23" s="178">
        <f>AC4</f>
      </c>
      <c r="C23" s="179">
        <f>N3</f>
      </c>
      <c r="D23" s="179">
        <f>O3</f>
      </c>
      <c r="E23" s="179">
        <f>P3</f>
      </c>
      <c r="F23" s="179">
        <f>Q3</f>
      </c>
      <c r="G23" s="179">
        <f>R3</f>
      </c>
      <c r="H23" s="179">
        <f>S3</f>
      </c>
      <c r="I23" s="180">
        <f>T3</f>
      </c>
      <c r="J23" s="178">
        <f>U3</f>
      </c>
      <c r="K23" s="180">
        <f>V3</f>
      </c>
      <c r="L23" s="179">
        <f>W3</f>
      </c>
      <c r="M23" s="181">
        <f>X3</f>
      </c>
      <c r="N23" s="182">
        <f>Y3</f>
      </c>
      <c r="O23" s="179">
        <f>Z3</f>
      </c>
      <c r="P23" s="183">
        <f>AA3</f>
      </c>
      <c r="Q23" s="184">
        <f>O23</f>
      </c>
      <c r="R23" s="185"/>
      <c r="S23" s="186"/>
    </row>
    <row customHeight="true" ht="14" r="24">
      <c r="A24" s="177" t="s">
        <v>151</v>
      </c>
      <c r="B24" s="178">
        <v>15.99</v>
      </c>
      <c r="C24" s="179">
        <v>1500</v>
      </c>
      <c r="D24" s="179">
        <f>AE4</f>
      </c>
      <c r="E24" s="179">
        <f>AF4</f>
      </c>
      <c r="F24" s="179">
        <f>AG4</f>
      </c>
      <c r="G24" s="179">
        <f>AH4</f>
      </c>
      <c r="H24" s="179">
        <f>AI4</f>
      </c>
      <c r="I24" s="179">
        <f>AJ4</f>
      </c>
      <c r="J24" s="178">
        <f>AK4</f>
      </c>
      <c r="K24" s="179">
        <f>AL4</f>
      </c>
      <c r="L24" s="179">
        <f>AM4</f>
      </c>
      <c r="M24" s="179">
        <f>AN4</f>
      </c>
      <c r="N24" s="182">
        <f>AO4</f>
      </c>
      <c r="O24" s="178">
        <f>AP4</f>
      </c>
      <c r="P24" s="183">
        <f>AQ4</f>
      </c>
      <c r="Q24" s="184">
        <f>SUM(O23:O24)</f>
      </c>
      <c r="R24" s="185"/>
      <c r="S24" s="186"/>
    </row>
    <row customHeight="true" ht="14" r="25">
      <c r="A25" s="177" t="s">
        <v>152</v>
      </c>
      <c r="B25" s="178">
        <v>16.99</v>
      </c>
      <c r="C25" s="178">
        <v>1700</v>
      </c>
      <c r="D25" s="179">
        <f>AU4</f>
      </c>
      <c r="E25" s="179">
        <f>AV4</f>
      </c>
      <c r="F25" s="179">
        <f>AW4</f>
      </c>
      <c r="G25" s="179">
        <f>AX4</f>
      </c>
      <c r="H25" s="179">
        <f>AY4</f>
      </c>
      <c r="I25" s="179">
        <f>AZ4</f>
      </c>
      <c r="J25" s="179">
        <f>BA4</f>
      </c>
      <c r="K25" s="179">
        <f>BB4</f>
      </c>
      <c r="L25" s="179">
        <f>BC4</f>
      </c>
      <c r="M25" s="179">
        <f>BD4</f>
      </c>
      <c r="N25" s="182">
        <f>BE4</f>
      </c>
      <c r="O25" s="179">
        <f>BF4</f>
      </c>
      <c r="P25" s="183">
        <f>BG4</f>
      </c>
      <c r="Q25" s="184">
        <f>SUM(O23:O25)</f>
      </c>
      <c r="R25" s="185"/>
      <c r="S25" s="186"/>
    </row>
    <row customHeight="true" ht="14" r="26">
      <c r="A26" s="177" t="s">
        <v>222</v>
      </c>
      <c r="B26" s="178">
        <v>16.99</v>
      </c>
      <c r="C26" s="179">
        <v>1500</v>
      </c>
      <c r="D26" s="178">
        <v>25485</v>
      </c>
      <c r="E26" s="178">
        <v>8430</v>
      </c>
      <c r="F26" s="178">
        <v>3822.75</v>
      </c>
      <c r="G26" s="178">
        <v>2805</v>
      </c>
      <c r="H26" s="178">
        <v>561.75</v>
      </c>
      <c r="I26" s="178">
        <v>1401.675</v>
      </c>
      <c r="J26" s="178">
        <v>2038.8</v>
      </c>
      <c r="K26" s="178">
        <v>4247.5</v>
      </c>
      <c r="L26" s="178">
        <v>23307.475</v>
      </c>
      <c r="M26" s="178">
        <v>13208.075</v>
      </c>
      <c r="N26" s="182">
        <v>0.518268589366294</v>
      </c>
      <c r="O26" s="178">
        <v>2177.525</v>
      </c>
      <c r="P26" s="183">
        <v>0.0854433980773003</v>
      </c>
      <c r="Q26" s="184">
        <f t="shared" ref="Q26:Q28" si="44">SUM(O23:O26)</f>
      </c>
      <c r="R26" s="187"/>
      <c r="S26" s="186"/>
    </row>
    <row customHeight="true" ht="14" r="27">
      <c r="A27" s="177" t="s">
        <v>223</v>
      </c>
      <c r="B27" s="178">
        <v>16.99</v>
      </c>
      <c r="C27" s="179">
        <v>1500</v>
      </c>
      <c r="D27" s="178">
        <v>25485</v>
      </c>
      <c r="E27" s="178">
        <v>8430</v>
      </c>
      <c r="F27" s="178">
        <v>3822.75</v>
      </c>
      <c r="G27" s="178">
        <v>2805</v>
      </c>
      <c r="H27" s="178">
        <v>561.75</v>
      </c>
      <c r="I27" s="178">
        <v>1401.675</v>
      </c>
      <c r="J27" s="178">
        <v>2038.8</v>
      </c>
      <c r="K27" s="178">
        <v>4247.5</v>
      </c>
      <c r="L27" s="178">
        <v>23307.475</v>
      </c>
      <c r="M27" s="178">
        <v>13208.075</v>
      </c>
      <c r="N27" s="182">
        <v>0.518268589366294</v>
      </c>
      <c r="O27" s="178">
        <v>2177.525</v>
      </c>
      <c r="P27" s="183">
        <v>0.0854433980773003</v>
      </c>
      <c r="Q27" s="184">
        <f t="shared" si="44"/>
      </c>
      <c r="R27" s="187"/>
      <c r="S27" s="186"/>
    </row>
    <row customHeight="true" ht="14" r="28">
      <c r="A28" s="188" t="s">
        <v>224</v>
      </c>
      <c r="B28" s="178">
        <v>16.99</v>
      </c>
      <c r="C28" s="179">
        <v>1500</v>
      </c>
      <c r="D28" s="178">
        <v>25485</v>
      </c>
      <c r="E28" s="178">
        <v>8430</v>
      </c>
      <c r="F28" s="178">
        <v>3822.75</v>
      </c>
      <c r="G28" s="178">
        <v>2805</v>
      </c>
      <c r="H28" s="178">
        <v>561.75</v>
      </c>
      <c r="I28" s="178">
        <v>1401.675</v>
      </c>
      <c r="J28" s="178">
        <v>2038.8</v>
      </c>
      <c r="K28" s="178">
        <v>4247.5</v>
      </c>
      <c r="L28" s="178">
        <v>23307.475</v>
      </c>
      <c r="M28" s="178">
        <v>13208.075</v>
      </c>
      <c r="N28" s="182">
        <v>0.518268589366294</v>
      </c>
      <c r="O28" s="178">
        <v>2177.525</v>
      </c>
      <c r="P28" s="183">
        <v>0.0854433980773003</v>
      </c>
      <c r="Q28" s="184">
        <f t="shared" si="44"/>
      </c>
      <c r="R28" s="187"/>
      <c r="S28" s="186"/>
    </row>
  </sheetData>
  <mergeCells>
    <mergeCell ref="A1:J1"/>
    <mergeCell ref="L1:N1"/>
    <mergeCell ref="AB1:AD1"/>
    <mergeCell ref="AR1:AS1"/>
    <mergeCell ref="BH1:BI1"/>
  </mergeCells>
  <legacyDrawing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7" min="17" style="0" width="9"/>
    <col collapsed="false" customWidth="true" hidden="false" max="1" min="1" style="0" width="9"/>
    <col collapsed="false" customWidth="true" hidden="false" max="5" min="5" style="0" width="8"/>
    <col collapsed="false" customWidth="true" hidden="false" max="9" min="9" style="0" width="16"/>
    <col collapsed="false" customWidth="true" hidden="false" max="13" min="13" style="0" width="9"/>
    <col collapsed="false" customWidth="true" hidden="false" max="18" min="18" style="0" width="9"/>
    <col collapsed="false" customWidth="true" hidden="false" max="2" min="2" style="0" width="13"/>
    <col collapsed="false" customWidth="true" hidden="false" max="6" min="6" style="0" width="12"/>
    <col collapsed="false" customWidth="true" hidden="false" max="10" min="10" style="0" width="11"/>
    <col collapsed="false" customWidth="true" hidden="false" max="14" min="14" style="0" width="9"/>
    <col collapsed="false" customWidth="true" hidden="false" max="19" min="19" style="0" width="9"/>
    <col collapsed="false" customWidth="true" hidden="false" max="3" min="3" style="0" width="9"/>
    <col collapsed="false" customWidth="true" hidden="false" max="7" min="7" style="0" width="10"/>
    <col collapsed="false" customWidth="true" hidden="false" max="11" min="11" style="0" width="9"/>
    <col collapsed="false" customWidth="true" hidden="false" max="15" min="15" style="0" width="9"/>
    <col collapsed="false" customWidth="true" hidden="false" max="20" min="20" style="0" width="9"/>
    <col collapsed="false" customWidth="true" hidden="false" max="4" min="4" style="0" width="9"/>
    <col collapsed="false" customWidth="true" hidden="false" max="8" min="8" style="0" width="15"/>
    <col collapsed="false" customWidth="true" hidden="false" max="12" min="12" style="0" width="9"/>
    <col collapsed="false" customWidth="true" hidden="false" max="16" min="16" style="0" width="9"/>
  </cols>
  <sheetData>
    <row customHeight="true" ht="14" r="1">
      <c r="A1" s="189" t="s">
        <v>225</v>
      </c>
      <c r="B1" s="189"/>
      <c r="C1" s="189"/>
      <c r="D1" s="189" t="s">
        <v>226</v>
      </c>
      <c r="E1" s="189"/>
      <c r="F1" s="189"/>
      <c r="G1" s="189"/>
      <c r="H1" s="189" t="s">
        <v>227</v>
      </c>
      <c r="I1" s="189"/>
      <c r="J1" s="189"/>
      <c r="K1" s="189"/>
    </row>
    <row customHeight="true" ht="14" r="2">
      <c r="A2" s="190" t="s">
        <v>228</v>
      </c>
      <c r="B2" s="190" t="s">
        <v>229</v>
      </c>
      <c r="C2" s="190" t="s">
        <v>230</v>
      </c>
      <c r="D2" s="190" t="s">
        <v>231</v>
      </c>
      <c r="E2" s="190" t="s">
        <v>232</v>
      </c>
      <c r="F2" s="190" t="s">
        <v>233</v>
      </c>
      <c r="G2" s="190" t="s">
        <v>234</v>
      </c>
      <c r="H2" s="190" t="s">
        <v>235</v>
      </c>
      <c r="I2" s="190" t="s">
        <v>236</v>
      </c>
      <c r="J2" s="190" t="s">
        <v>237</v>
      </c>
      <c r="K2" s="190" t="s">
        <v>238</v>
      </c>
    </row>
    <row customHeight="true" ht="14" r="3">
      <c r="A3" s="191" t="s">
        <v>239</v>
      </c>
      <c r="B3" s="191" t="s">
        <v>240</v>
      </c>
      <c r="C3" s="191">
        <v>5000</v>
      </c>
      <c r="D3" s="191" t="s">
        <v>241</v>
      </c>
      <c r="E3" s="191">
        <v>4988</v>
      </c>
      <c r="F3" s="191" t="s">
        <v>242</v>
      </c>
      <c r="G3" s="191">
        <v>1000</v>
      </c>
      <c r="H3" s="192" t="s">
        <v>243</v>
      </c>
      <c r="I3" s="192" t="s">
        <v>244</v>
      </c>
      <c r="J3" s="192">
        <v>2490</v>
      </c>
      <c r="K3" s="190" t="s">
        <v>245</v>
      </c>
    </row>
    <row customHeight="true" ht="14" r="4">
      <c r="A4" s="191"/>
      <c r="B4" s="191"/>
      <c r="C4" s="191"/>
      <c r="D4" s="191"/>
      <c r="E4" s="191"/>
      <c r="F4" s="191"/>
      <c r="G4" s="191"/>
      <c r="H4" s="193" t="s">
        <v>246</v>
      </c>
      <c r="I4" s="193" t="s">
        <v>247</v>
      </c>
      <c r="J4" s="193">
        <v>1200</v>
      </c>
      <c r="K4" s="190" t="s">
        <v>248</v>
      </c>
    </row>
    <row customHeight="true" ht="14" r="5">
      <c r="A5" s="191"/>
      <c r="B5" s="191"/>
      <c r="C5" s="191"/>
      <c r="D5" s="191"/>
      <c r="E5" s="191"/>
      <c r="F5" s="191"/>
      <c r="G5" s="191"/>
      <c r="H5" s="194" t="s">
        <v>249</v>
      </c>
      <c r="I5" s="194" t="s">
        <v>250</v>
      </c>
      <c r="J5" s="194">
        <v>1310</v>
      </c>
      <c r="K5" s="190" t="s">
        <v>245</v>
      </c>
    </row>
    <row customHeight="true" ht="14" r="6">
      <c r="A6" s="191" t="s">
        <v>251</v>
      </c>
      <c r="B6" s="191" t="s">
        <v>252</v>
      </c>
      <c r="C6" s="191">
        <v>1500</v>
      </c>
      <c r="D6" s="191" t="s">
        <v>253</v>
      </c>
      <c r="E6" s="191">
        <v>1500</v>
      </c>
      <c r="F6" s="191" t="s">
        <v>254</v>
      </c>
      <c r="G6" s="191">
        <v>0</v>
      </c>
      <c r="H6" s="195" t="s">
        <v>255</v>
      </c>
      <c r="I6" s="195" t="s">
        <v>250</v>
      </c>
      <c r="J6" s="196">
        <v>1500</v>
      </c>
    </row>
    <row customHeight="true" ht="14" r="7">
      <c r="A7" s="191" t="s">
        <v>256</v>
      </c>
      <c r="B7" s="191" t="s">
        <v>257</v>
      </c>
      <c r="C7" s="191">
        <v>1980</v>
      </c>
      <c r="D7" s="191" t="s">
        <v>258</v>
      </c>
      <c r="E7" s="191">
        <v>1980</v>
      </c>
      <c r="F7" s="191" t="s">
        <v>254</v>
      </c>
      <c r="G7" s="191">
        <v>0</v>
      </c>
      <c r="H7" s="195" t="s">
        <v>259</v>
      </c>
      <c r="I7" s="195" t="s">
        <v>250</v>
      </c>
      <c r="J7" s="196">
        <v>1980</v>
      </c>
      <c r="K7" s="197"/>
    </row>
    <row customHeight="true" ht="14" r="8">
      <c r="A8" s="191" t="s">
        <v>260</v>
      </c>
      <c r="B8" s="191" t="s">
        <v>261</v>
      </c>
      <c r="C8" s="191">
        <v>2100</v>
      </c>
      <c r="D8" s="191" t="s">
        <v>262</v>
      </c>
      <c r="E8" s="191">
        <v>2100</v>
      </c>
      <c r="F8" s="191" t="s">
        <v>254</v>
      </c>
      <c r="G8" s="191">
        <v>0</v>
      </c>
      <c r="H8" s="198" t="s">
        <v>263</v>
      </c>
      <c r="I8" s="198" t="s">
        <v>244</v>
      </c>
      <c r="J8" s="199">
        <v>2100</v>
      </c>
      <c r="K8" s="197" t="s">
        <v>245</v>
      </c>
    </row>
    <row customHeight="true" ht="14" r="9">
      <c r="A9" s="191" t="s">
        <v>264</v>
      </c>
      <c r="B9" s="191" t="s">
        <v>265</v>
      </c>
      <c r="C9" s="191">
        <v>3000</v>
      </c>
      <c r="D9" s="191" t="s">
        <v>266</v>
      </c>
      <c r="E9" s="191">
        <v>3000</v>
      </c>
      <c r="F9" s="191" t="s">
        <v>254</v>
      </c>
      <c r="G9" s="191">
        <v>0</v>
      </c>
      <c r="H9" s="198" t="s">
        <v>267</v>
      </c>
      <c r="I9" s="198" t="s">
        <v>244</v>
      </c>
      <c r="J9" s="199">
        <v>3000</v>
      </c>
      <c r="K9" s="197" t="s">
        <v>245</v>
      </c>
    </row>
    <row customHeight="true" ht="14" r="10">
      <c r="A10" s="191"/>
      <c r="B10" s="191"/>
      <c r="C10" s="191"/>
      <c r="D10" s="191"/>
      <c r="E10" s="191"/>
      <c r="F10" s="191"/>
      <c r="G10" s="191"/>
      <c r="H10" s="198"/>
      <c r="I10" s="198"/>
      <c r="J10" s="199"/>
      <c r="K10" s="197"/>
    </row>
    <row customHeight="true" ht="14" r="11">
      <c r="A11" s="200" t="s">
        <v>268</v>
      </c>
      <c r="D11" s="201"/>
    </row>
    <row customHeight="true" ht="14" r="12">
      <c r="A12" s="200" t="s">
        <v>269</v>
      </c>
      <c r="D12" s="201"/>
    </row>
    <row customHeight="true" ht="24" r="13">
      <c r="C13" s="202" t="s">
        <v>270</v>
      </c>
      <c r="D13" s="201"/>
    </row>
    <row customHeight="true" ht="24" r="14">
      <c r="C14" s="202" t="s">
        <v>271</v>
      </c>
      <c r="D14" s="201"/>
    </row>
    <row customHeight="true" ht="24" r="15">
      <c r="C15" s="202" t="s">
        <v>272</v>
      </c>
      <c r="D15" s="201"/>
    </row>
    <row customHeight="true" ht="24" r="16">
      <c r="C16" s="202" t="s">
        <v>273</v>
      </c>
      <c r="D16" s="201"/>
    </row>
    <row customHeight="true" ht="14" r="17">
      <c r="H17" s="203"/>
      <c r="I17" s="203"/>
      <c r="J17" s="203"/>
    </row>
    <row customHeight="true" ht="14" r="18">
      <c r="H18" s="203"/>
      <c r="I18" s="203"/>
      <c r="J18" s="203"/>
    </row>
    <row customHeight="true" ht="14" r="19">
      <c r="H19" s="203"/>
      <c r="I19" s="203"/>
      <c r="J19" s="203"/>
    </row>
    <row customHeight="true" ht="14" r="20">
      <c r="H20" s="203"/>
      <c r="I20" s="203"/>
      <c r="J20" s="203"/>
    </row>
  </sheetData>
  <mergeCells>
    <mergeCell ref="A1:C1"/>
    <mergeCell ref="D1:G1"/>
    <mergeCell ref="H1:K1"/>
    <mergeCell ref="A3:A5"/>
    <mergeCell ref="B3:B5"/>
    <mergeCell ref="C3:C5"/>
    <mergeCell ref="D3:D5"/>
    <mergeCell ref="E3:E5"/>
    <mergeCell ref="F3:F5"/>
    <mergeCell ref="G3:G5"/>
  </mergeCells>
  <dataValidations count="1">
    <dataValidation allowBlank="true" errorStyle="stop" showErrorMessage="true" sqref="F3:F10" type="list">
      <formula1>"是,否"</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