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d1acdf735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概览" sheetId="1" r:id="Ra1e2f3af19c148f3"/>
    <x:sheet xmlns:r="http://schemas.openxmlformats.org/officeDocument/2006/relationships" name="ASIN明细" sheetId="2" r:id="Rea72489ddc384fc6"/>
    <x:sheet xmlns:r="http://schemas.openxmlformats.org/officeDocument/2006/relationships" name="季度趋势" sheetId="3" r:id="Re2b2ba1b8e75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€#,##0.00"/>
    <x:numFmt numFmtId="203" formatCode="0.0%"/>
  </x:numFmts>
  <x:fonts count="11">
    <x:font>
      <x:sz val="11"/>
      <x:name val="Carlito"/>
    </x:font>
    <x:font>
      <x:b/>
      <x:sz val="14"/>
      <x:color rgb="FF183153"/>
      <x:name val="Arial"/>
    </x:font>
    <x:font>
      <x:i/>
      <x:sz val="10"/>
      <x:color rgb="FF536173"/>
      <x:name val="Arial"/>
    </x:font>
    <x:font>
      <x:sz val="10"/>
      <x:color rgb="FF1D2939"/>
      <x:name val="Arial"/>
    </x:font>
    <x:font>
      <x:b/>
      <x:sz val="10"/>
      <x:color rgb="FF1D2939"/>
      <x:name val="Arial"/>
    </x:font>
    <x:font>
      <x:i/>
      <x:sz val="10"/>
      <x:color rgb="FF1D2939"/>
      <x:name val="Arial"/>
    </x:font>
    <x:font>
      <x:b/>
      <x:sz val="10"/>
      <x:color rgb="FFFFFFFF"/>
      <x:name val="Arial"/>
    </x:font>
    <x:font>
      <x:b/>
      <x:sz val="12"/>
      <x:color rgb="FF183153"/>
      <x:name val="Arial"/>
    </x:font>
    <x:font>
      <x:b/>
      <x:sz val="10"/>
      <x:color rgb="FF183153"/>
      <x:name val="Arial"/>
    </x:font>
    <x:font>
      <x:sz val="10"/>
      <x:color rgb="FF536173"/>
      <x:name val="Arial"/>
    </x:font>
    <x:font>
      <x:b/>
      <x:sz val="10"/>
      <x:color rgb="FFA631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9F0F7"/>
      </x:patternFill>
    </x:fill>
    <x:fill>
      <x:patternFill patternType="solid">
        <x:fgColor rgb="FFFFF1D5"/>
      </x:patternFill>
    </x:fill>
  </x:fills>
  <x:borders count="2">
    <x:border/>
    <x:border>
      <x:bottom style="thin">
        <x:color rgb="FFA4B8C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7" fillId="0" borderId="0" xfId="0" applyNumberFormat="1" applyFont="1" applyFill="1" applyBorder="1"/>
    <x:xf numFmtId="0" fontId="3" fillId="3" borderId="0" xfId="0" applyNumberFormat="1" applyFont="1" applyFill="1" applyBorder="1"/>
    <x:xf numFmtId="0" fontId="8" fillId="3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10" fillId="4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6312D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5bebcea31496f" /><Relationship Type="http://schemas.openxmlformats.org/officeDocument/2006/relationships/theme" Target="/xl/theme/theme1.xml" Id="Ra9ab55dff0934482" /><Relationship Type="http://schemas.openxmlformats.org/officeDocument/2006/relationships/sharedStrings" Target="/xl/sharedStrings.xml" Id="Rffa80aab94b94848" /><Relationship Type="http://schemas.openxmlformats.org/officeDocument/2006/relationships/worksheet" Target="/xl/worksheets/sheet1.xml" Id="Ra1e2f3af19c148f3" /><Relationship Type="http://schemas.openxmlformats.org/officeDocument/2006/relationships/worksheet" Target="/xl/worksheets/sheet2.xml" Id="Rea72489ddc384fc6" /><Relationship Type="http://schemas.openxmlformats.org/officeDocument/2006/relationships/worksheet" Target="/xl/worksheets/sheet3.xml" Id="Re2b2ba1b8e75400f" /></Relationships>
</file>

<file path=xl/tables/table1.xml><?xml version="1.0" encoding="utf-8"?>
<x:table xmlns:x="http://schemas.openxmlformats.org/spreadsheetml/2006/main" id="1" name="Asin360Detail" displayName="Asin360Detail" ref="A6:W201" headerRowCount="1" totalsRowCount="0" totalsRowShown="0">
  <x:tableColumns count="23">
    <x:tableColumn id="1" name="ASIN"/>
    <x:tableColumn id="2" name="品牌"/>
    <x:tableColumn id="3" name="标题粗分产品线"/>
    <x:tableColumn id="4" name="证据状态"/>
    <x:tableColumn id="5" name="360天 Ordered units"/>
    <x:tableColumn id="6" name="360天 GV"/>
    <x:tableColumn id="7" name="件数／GV"/>
    <x:tableColumn id="8" name="Ordered revenue (€)"/>
    <x:tableColumn id="9" name="平均每件收入 (€)"/>
    <x:tableColumn id="10" name="搜索点击360天"/>
    <x:tableColumn id="11" name="搜索点击／GV*"/>
    <x:tableColumn id="12" name="细分市场点击360天"/>
    <x:tableColumn id="13" name="Page View近7天"/>
    <x:tableColumn id="14" name="Page View近1天"/>
    <x:tableColumn id="15" name="退货数量"/>
    <x:tableColumn id="16" name="发货件数"/>
    <x:tableColumn id="17" name="退货／发货件数*"/>
    <x:tableColumn id="18" name="2025Q4 件数"/>
    <x:tableColumn id="19" name="2026Q1 件数"/>
    <x:tableColumn id="20" name="2026Q2 件数"/>
    <x:tableColumn id="21" name="2026Q3 件数"/>
    <x:tableColumn id="22" name="关注标签"/>
    <x:tableColumn id="23" name="商品标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terReconcile" displayName="QuarterReconcile" ref="A6:T200" headerRowCount="1" totalsRowCount="0" totalsRowShown="0">
  <x:tableColumns count="20">
    <x:tableColumn id="1" name="ASIN"/>
    <x:tableColumn id="2" name="品牌"/>
    <x:tableColumn id="3" name="Q4件数"/>
    <x:tableColumn id="4" name="Q4 GV"/>
    <x:tableColumn id="5" name="Q4单位转化率"/>
    <x:tableColumn id="6" name="Q1件数"/>
    <x:tableColumn id="7" name="Q1 GV"/>
    <x:tableColumn id="8" name="Q1单位转化率"/>
    <x:tableColumn id="9" name="Q2件数"/>
    <x:tableColumn id="10" name="Q2 GV"/>
    <x:tableColumn id="11" name="Q2单位转化率"/>
    <x:tableColumn id="12" name="Q3件数"/>
    <x:tableColumn id="13" name="Q3 GV"/>
    <x:tableColumn id="14" name="Q3单位转化率"/>
    <x:tableColumn id="15" name="四季合计件数"/>
    <x:tableColumn id="16" name="四季合计GV"/>
    <x:tableColumn id="17" name="年汇总件数"/>
    <x:tableColumn id="18" name="年汇总GV"/>
    <x:tableColumn id="19" name="件数差"/>
    <x:tableColumn id="20" name="GV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78ecfe276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069c2998c64074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9" hidden="0" customWidth="1"/>
    <x:col min="4" max="4" width="19" hidden="0" customWidth="1"/>
    <x:col min="5" max="5" width="17" hidden="0" customWidth="1"/>
    <x:col min="6" max="6" width="61" hidden="0" customWidth="1"/>
  </x:cols>
  <x:sheetData>
    <x:row r="1">
      <x:c r="A1" s="4"/>
      <x:c r="B1" s="4"/>
      <x:c r="C1" s="4"/>
      <x:c r="D1" s="4"/>
      <x:c r="E1" s="4"/>
      <x:c r="F1" s="4"/>
    </x:row>
    <x:row r="2" ht="29" customHeight="1">
      <x:c r="A2" s="1" t="str">
        <x:v>360天 ASIN 销量、流量与转化分析</x:v>
      </x:c>
      <x:c r="B2" s="5"/>
      <x:c r="C2" s="5"/>
      <x:c r="D2" s="5"/>
      <x:c r="E2" s="5"/>
      <x:c r="F2" s="5"/>
    </x:row>
    <x:row r="3">
      <x:c r="A3" s="2" t="str">
        <x:v>来源：工作簿1.xlsx；2025年Q4—2026年Q3 四个季度标签；精确起止日未在源表注明。</x:v>
      </x:c>
      <x:c r="B3" s="6"/>
      <x:c r="C3" s="6"/>
      <x:c r="D3" s="6"/>
      <x:c r="E3" s="6"/>
      <x:c r="F3" s="6"/>
    </x:row>
    <x:row r="4">
      <x:c r="A4" s="7"/>
      <x:c r="B4" s="7"/>
      <x:c r="C4" s="7"/>
      <x:c r="D4" s="7"/>
      <x:c r="E4" s="7"/>
      <x:c r="F4" s="7"/>
    </x:row>
    <x:row r="5" ht="30" customHeight="1">
      <x:c r="A5" s="11" t="str">
        <x:v>核实口径</x:v>
      </x:c>
      <x:c r="B5" s="11" t="str">
        <x:v>结果</x:v>
      </x:c>
      <x:c r="C5" s="4"/>
      <x:c r="D5" s="4"/>
      <x:c r="E5" s="4"/>
      <x:c r="F5" s="11" t="str">
        <x:v>解释／限制</x:v>
      </x:c>
    </x:row>
    <x:row r="6" ht="23" customHeight="1">
      <x:c r="A6" s="4" t="str">
        <x:v>核实 ASIN 数</x:v>
      </x:c>
      <x:c r="B6" s="12" t="n">
        <x:f>COUNTIFS('ASIN明细'!$D$7:$D$200,"原始汇总核实")</x:f>
        <x:v>194</x:v>
      </x:c>
      <x:c r="C6" s="4"/>
      <x:c r="D6" s="4"/>
      <x:c r="E6" s="4"/>
      <x:c r="F6" s="4" t="str">
        <x:v>194 个 ASIN 可在季度明细与汇总表之间核对。</x:v>
      </x:c>
    </x:row>
    <x:row r="7" ht="23" customHeight="1">
      <x:c r="A7" s="4" t="str">
        <x:v>360天 Ordered units</x:v>
      </x:c>
      <x:c r="B7" s="12" t="n">
        <x:f>SUMIFS('ASIN明细'!$E$7:$E$200,'ASIN明细'!$D$7:$D$200,"原始汇总核实")</x:f>
        <x:v>256997</x:v>
      </x:c>
      <x:c r="C7" s="4"/>
      <x:c r="D7" s="4"/>
      <x:c r="E7" s="4"/>
      <x:c r="F7" s="4" t="str">
        <x:v>已下单件数，不是订单笔数。</x:v>
      </x:c>
    </x:row>
    <x:row r="8" ht="23" customHeight="1">
      <x:c r="A8" s="4" t="str">
        <x:v>360天 Glance Views</x:v>
      </x:c>
      <x:c r="B8" s="12" t="n">
        <x:f>SUMIFS('ASIN明细'!$F$7:$F$200,'ASIN明细'!$D$7:$D$200,"原始汇总核实")</x:f>
        <x:v>5269761</x:v>
      </x:c>
      <x:c r="C8" s="4"/>
      <x:c r="D8" s="4"/>
      <x:c r="E8" s="4"/>
      <x:c r="F8" s="4" t="str">
        <x:v>商品详情浏览口径；不等于独立访客数。</x:v>
      </x:c>
    </x:row>
    <x:row r="9" ht="23" customHeight="1">
      <x:c r="A9" s="4" t="str">
        <x:v>单位转化率：件数／GV</x:v>
      </x:c>
      <x:c r="B9" s="15" t="n">
        <x:f>IF(B8&gt;0,B7/B8,"")</x:f>
        <x:v>0.04876824584644351</x:v>
      </x:c>
      <x:c r="C9" s="4"/>
      <x:c r="D9" s="4"/>
      <x:c r="E9" s="4"/>
      <x:c r="F9" s="4" t="str">
        <x:v>总量相除的加权口径：每100次GV对应下单件数。</x:v>
      </x:c>
    </x:row>
    <x:row r="10" ht="23" customHeight="1">
      <x:c r="A10" s="4" t="str">
        <x:v>Ordered revenue (€)</x:v>
      </x:c>
      <x:c r="B10" s="14" t="n">
        <x:f>SUMIFS('ASIN明细'!$H$7:$H$200,'ASIN明细'!$D$7:$D$200,"原始汇总核实")</x:f>
        <x:v>6865034.350000003</x:v>
      </x:c>
      <x:c r="C10" s="4"/>
      <x:c r="D10" s="4"/>
      <x:c r="E10" s="4"/>
      <x:c r="F10" s="4" t="str">
        <x:v>订单收入；不据此推断利润。</x:v>
      </x:c>
    </x:row>
    <x:row r="11" ht="23" customHeight="1">
      <x:c r="A11" s="4" t="str">
        <x:v>平均每件订单收入 (€)</x:v>
      </x:c>
      <x:c r="B11" s="14" t="n">
        <x:f>IF(B7&gt;0,B10/B7,"")</x:f>
        <x:v>26.712507733553323</x:v>
      </x:c>
      <x:c r="C11" s="4"/>
      <x:c r="D11" s="4"/>
      <x:c r="E11" s="4"/>
      <x:c r="F11" s="4" t="str">
        <x:v>收入／Ordered units，受产品组合影响。</x:v>
      </x:c>
    </x:row>
    <x:row r="12" ht="23" customHeight="1">
      <x:c r="A12" s="4" t="str">
        <x:v>零销量 ASIN 数</x:v>
      </x:c>
      <x:c r="B12" s="12" t="n">
        <x:f>COUNTIFS('ASIN明细'!$E$7:$E$200,0,'ASIN明细'!$D$7:$D$200,"原始汇总核实")</x:f>
        <x:v>56</x:v>
      </x:c>
      <x:c r="C12" s="4"/>
      <x:c r="D12" s="4"/>
      <x:c r="E12" s="4"/>
      <x:c r="F12" s="4" t="str">
        <x:v>含无浏览或极低浏览的记录，须区分上架状态。</x:v>
      </x:c>
    </x:row>
    <x:row r="13" ht="23" customHeight="1">
      <x:c r="A13" s="4" t="str">
        <x:v>零 GV ASIN 数</x:v>
      </x:c>
      <x:c r="B13" s="12" t="n">
        <x:f>COUNTIFS('ASIN明细'!$F$7:$F$200,0,'ASIN明细'!$D$7:$D$200,"原始汇总核实")</x:f>
        <x:v>33</x:v>
      </x:c>
      <x:c r="C13" s="4"/>
      <x:c r="D13" s="4"/>
      <x:c r="E13" s="4"/>
      <x:c r="F13" s="4" t="str">
        <x:v>转化率留空；0／0 不应写为 0%。</x:v>
      </x:c>
    </x:row>
    <x:row r="14" ht="23" customHeight="1">
      <x:c r="A14" s="4" t="str">
        <x:v>有360天搜索点击的 ASIN</x:v>
      </x:c>
      <x:c r="B14" s="12" t="n">
        <x:f>COUNTIFS('ASIN明细'!$J$7:$J$200,"&gt;0",'ASIN明细'!$D$7:$D$200,"原始汇总核实")</x:f>
        <x:v>31</x:v>
      </x:c>
      <x:c r="C14" s="4"/>
      <x:c r="D14" s="4"/>
      <x:c r="E14" s="4"/>
      <x:c r="F14" s="4" t="str">
        <x:v>仅部分 ASIN 有此字段，空白表示缺数据。</x:v>
      </x:c>
    </x:row>
    <x:row r="15" ht="23" customHeight="1">
      <x:c r="A15" s="4" t="str">
        <x:v>有细分市场点击的 ASIN</x:v>
      </x:c>
      <x:c r="B15" s="12" t="n">
        <x:f>COUNTIFS('ASIN明细'!$L$7:$L$200,"&gt;0",'ASIN明细'!$D$7:$D$200,"原始汇总核实")</x:f>
        <x:v>1</x:v>
      </x:c>
      <x:c r="C15" s="4"/>
      <x:c r="D15" s="4"/>
      <x:c r="E15" s="4"/>
      <x:c r="F15" s="4" t="str">
        <x:v>仅一条核实 ASIN 有值，属于另一统计口径。</x:v>
      </x:c>
    </x:row>
    <x:row r="16">
      <x:c r="A16" s="4"/>
      <x:c r="B16" s="4"/>
      <x:c r="C16" s="4"/>
      <x:c r="D16" s="4"/>
      <x:c r="E16" s="4"/>
      <x:c r="F16" s="4"/>
    </x:row>
    <x:row r="17" ht="26" customHeight="1">
      <x:c r="A17" s="17" t="str">
        <x:v>产品线（按标题关键词粗分）</x:v>
      </x:c>
      <x:c r="B17" s="17"/>
      <x:c r="C17" s="17"/>
      <x:c r="D17" s="17"/>
      <x:c r="E17" s="17"/>
      <x:c r="F17" s="4"/>
    </x:row>
    <x:row r="18" ht="30" customHeight="1">
      <x:c r="A18" s="11" t="str">
        <x:v>产品线</x:v>
      </x:c>
      <x:c r="B18" s="11" t="str">
        <x:v>ASIN 数</x:v>
      </x:c>
      <x:c r="C18" s="11" t="str">
        <x:v>Ordered units</x:v>
      </x:c>
      <x:c r="D18" s="11" t="str">
        <x:v>Glance Views</x:v>
      </x:c>
      <x:c r="E18" s="11" t="str">
        <x:v>件数／GV</x:v>
      </x:c>
      <x:c r="F18" s="4"/>
    </x:row>
    <x:row r="19">
      <x:c r="A19" s="4" t="str">
        <x:v>打磨/旋转工具</x:v>
      </x:c>
      <x:c r="B19" s="12" t="n">
        <x:f>COUNTIFS('ASIN明细'!$C$7:$C$200,A19,'ASIN明细'!$D$7:$D$200,"原始汇总核实")</x:f>
        <x:v>21</x:v>
      </x:c>
      <x:c r="C19" s="12" t="n">
        <x:f>SUMIFS('ASIN明细'!$E$7:$E$200,'ASIN明细'!$C$7:$C$200,A19,'ASIN明细'!$D$7:$D$200,"原始汇总核实")</x:f>
        <x:v>53957</x:v>
      </x:c>
      <x:c r="D19" s="12" t="n">
        <x:f>SUMIFS('ASIN明细'!$F$7:$F$200,'ASIN明细'!$C$7:$C$200,A19,'ASIN明细'!$D$7:$D$200,"原始汇总核实")</x:f>
        <x:v>1049036</x:v>
      </x:c>
      <x:c r="E19" s="13" t="n">
        <x:f>IF(D19&gt;0,C19/D19,"")</x:f>
        <x:v>0.05143484113033299</x:v>
      </x:c>
      <x:c r="F19" s="4" t="str">
        <x:v>粗分结果仅用于经营诊断；混合语种标题与套装产品需人工复核。</x:v>
      </x:c>
    </x:row>
    <x:row r="20">
      <x:c r="A20" s="4" t="str">
        <x:v>电动螺丝刀</x:v>
      </x:c>
      <x:c r="B20" s="12" t="n">
        <x:f>COUNTIFS('ASIN明细'!$C$7:$C$200,A20,'ASIN明细'!$D$7:$D$200,"原始汇总核实")</x:f>
        <x:v>13</x:v>
      </x:c>
      <x:c r="C20" s="12" t="n">
        <x:f>SUMIFS('ASIN明细'!$E$7:$E$200,'ASIN明细'!$C$7:$C$200,A20,'ASIN明细'!$D$7:$D$200,"原始汇总核实")</x:f>
        <x:v>41497</x:v>
      </x:c>
      <x:c r="D20" s="12" t="n">
        <x:f>SUMIFS('ASIN明细'!$F$7:$F$200,'ASIN明细'!$C$7:$C$200,A20,'ASIN明细'!$D$7:$D$200,"原始汇总核实")</x:f>
        <x:v>689309</x:v>
      </x:c>
      <x:c r="E20" s="13" t="n">
        <x:f>IF(D20&gt;0,C20/D20,"")</x:f>
        <x:v>0.06020086782560506</x:v>
      </x:c>
      <x:c r="F20" s="4"/>
    </x:row>
    <x:row r="21">
      <x:c r="A21" s="4" t="str">
        <x:v>锯切/开孔及配件</x:v>
      </x:c>
      <x:c r="B21" s="12" t="n">
        <x:f>COUNTIFS('ASIN明细'!$C$7:$C$200,A21,'ASIN明细'!$D$7:$D$200,"原始汇总核实")</x:f>
        <x:v>41</x:v>
      </x:c>
      <x:c r="C21" s="12" t="n">
        <x:f>SUMIFS('ASIN明细'!$E$7:$E$200,'ASIN明细'!$C$7:$C$200,A21,'ASIN明细'!$D$7:$D$200,"原始汇总核实")</x:f>
        <x:v>37761</x:v>
      </x:c>
      <x:c r="D21" s="12" t="n">
        <x:f>SUMIFS('ASIN明细'!$F$7:$F$200,'ASIN明细'!$C$7:$C$200,A21,'ASIN明细'!$D$7:$D$200,"原始汇总核实")</x:f>
        <x:v>828390</x:v>
      </x:c>
      <x:c r="E21" s="13" t="n">
        <x:f>IF(D21&gt;0,C21/D21,"")</x:f>
        <x:v>0.04558360192662876</x:v>
      </x:c>
      <x:c r="F21" s="4"/>
    </x:row>
    <x:row r="22">
      <x:c r="A22" s="4" t="str">
        <x:v>手动螺丝刀/工具套装</x:v>
      </x:c>
      <x:c r="B22" s="12" t="n">
        <x:f>COUNTIFS('ASIN明细'!$C$7:$C$200,A22,'ASIN明细'!$D$7:$D$200,"原始汇总核实")</x:f>
        <x:v>13</x:v>
      </x:c>
      <x:c r="C22" s="12" t="n">
        <x:f>SUMIFS('ASIN明细'!$E$7:$E$200,'ASIN明细'!$C$7:$C$200,A22,'ASIN明细'!$D$7:$D$200,"原始汇总核实")</x:f>
        <x:v>22569</x:v>
      </x:c>
      <x:c r="D22" s="12" t="n">
        <x:f>SUMIFS('ASIN明细'!$F$7:$F$200,'ASIN明细'!$C$7:$C$200,A22,'ASIN明细'!$D$7:$D$200,"原始汇总核实")</x:f>
        <x:v>372659</x:v>
      </x:c>
      <x:c r="E22" s="13" t="n">
        <x:f>IF(D22&gt;0,C22/D22,"")</x:f>
        <x:v>0.06056206880821341</x:v>
      </x:c>
      <x:c r="F22" s="4"/>
    </x:row>
    <x:row r="23">
      <x:c r="A23" s="4" t="str">
        <x:v>激光测量</x:v>
      </x:c>
      <x:c r="B23" s="12" t="n">
        <x:f>COUNTIFS('ASIN明细'!$C$7:$C$200,A23,'ASIN明细'!$D$7:$D$200,"原始汇总核实")</x:f>
        <x:v>12</x:v>
      </x:c>
      <x:c r="C23" s="12" t="n">
        <x:f>SUMIFS('ASIN明细'!$E$7:$E$200,'ASIN明细'!$C$7:$C$200,A23,'ASIN明细'!$D$7:$D$200,"原始汇总核实")</x:f>
        <x:v>20863</x:v>
      </x:c>
      <x:c r="D23" s="12" t="n">
        <x:f>SUMIFS('ASIN明细'!$F$7:$F$200,'ASIN明细'!$C$7:$C$200,A23,'ASIN明细'!$D$7:$D$200,"原始汇总核实")</x:f>
        <x:v>413792</x:v>
      </x:c>
      <x:c r="E23" s="13" t="n">
        <x:f>IF(D23&gt;0,C23/D23,"")</x:f>
        <x:v>0.050419051117469645</x:v>
      </x:c>
      <x:c r="F23" s="4"/>
    </x:row>
    <x:row r="24">
      <x:c r="A24" s="4" t="str">
        <x:v>口腔护理</x:v>
      </x:c>
      <x:c r="B24" s="12" t="n">
        <x:f>COUNTIFS('ASIN明细'!$C$7:$C$200,A24,'ASIN明细'!$D$7:$D$200,"原始汇总核实")</x:f>
        <x:v>6</x:v>
      </x:c>
      <x:c r="C24" s="12" t="n">
        <x:f>SUMIFS('ASIN明细'!$E$7:$E$200,'ASIN明细'!$C$7:$C$200,A24,'ASIN明细'!$D$7:$D$200,"原始汇总核实")</x:f>
        <x:v>18342</x:v>
      </x:c>
      <x:c r="D24" s="12" t="n">
        <x:f>SUMIFS('ASIN明细'!$F$7:$F$200,'ASIN明细'!$C$7:$C$200,A24,'ASIN明细'!$D$7:$D$200,"原始汇总核实")</x:f>
        <x:v>250304</x:v>
      </x:c>
      <x:c r="E24" s="13" t="n">
        <x:f>IF(D24&gt;0,C24/D24,"")</x:f>
        <x:v>0.0732788928662746</x:v>
      </x:c>
      <x:c r="F24" s="4"/>
    </x:row>
    <x:row r="25">
      <x:c r="A25" s="4" t="str">
        <x:v>扳手/汽修</x:v>
      </x:c>
      <x:c r="B25" s="12" t="n">
        <x:f>COUNTIFS('ASIN明细'!$C$7:$C$200,A25,'ASIN明细'!$D$7:$D$200,"原始汇总核实")</x:f>
        <x:v>22</x:v>
      </x:c>
      <x:c r="C25" s="12" t="n">
        <x:f>SUMIFS('ASIN明细'!$E$7:$E$200,'ASIN明细'!$C$7:$C$200,A25,'ASIN明细'!$D$7:$D$200,"原始汇总核实")</x:f>
        <x:v>17990</x:v>
      </x:c>
      <x:c r="D25" s="12" t="n">
        <x:f>SUMIFS('ASIN明细'!$F$7:$F$200,'ASIN明细'!$C$7:$C$200,A25,'ASIN明细'!$D$7:$D$200,"原始汇总核实")</x:f>
        <x:v>487195</x:v>
      </x:c>
      <x:c r="E25" s="13" t="n">
        <x:f>IF(D25&gt;0,C25/D25,"")</x:f>
        <x:v>0.03692566631430946</x:v>
      </x:c>
      <x:c r="F25" s="4"/>
    </x:row>
    <x:row r="26">
      <x:c r="A26" s="4" t="str">
        <x:v>吸尘清洁</x:v>
      </x:c>
      <x:c r="B26" s="12" t="n">
        <x:f>COUNTIFS('ASIN明细'!$C$7:$C$200,A26,'ASIN明细'!$D$7:$D$200,"原始汇总核实")</x:f>
        <x:v>9</x:v>
      </x:c>
      <x:c r="C26" s="12" t="n">
        <x:f>SUMIFS('ASIN明细'!$E$7:$E$200,'ASIN明细'!$C$7:$C$200,A26,'ASIN明细'!$D$7:$D$200,"原始汇总核实")</x:f>
        <x:v>15276</x:v>
      </x:c>
      <x:c r="D26" s="12" t="n">
        <x:f>SUMIFS('ASIN明细'!$F$7:$F$200,'ASIN明细'!$C$7:$C$200,A26,'ASIN明细'!$D$7:$D$200,"原始汇总核实")</x:f>
        <x:v>548611</x:v>
      </x:c>
      <x:c r="E26" s="13" t="n">
        <x:f>IF(D26&gt;0,C26/D26,"")</x:f>
        <x:v>0.027844866398960284</x:v>
      </x:c>
      <x:c r="F26" s="4"/>
    </x:row>
    <x:row r="27">
      <x:c r="A27" s="4" t="str">
        <x:v>工作照明</x:v>
      </x:c>
      <x:c r="B27" s="12" t="n">
        <x:f>COUNTIFS('ASIN明细'!$C$7:$C$200,A27,'ASIN明细'!$D$7:$D$200,"原始汇总核实")</x:f>
        <x:v>10</x:v>
      </x:c>
      <x:c r="C27" s="12" t="n">
        <x:f>SUMIFS('ASIN明细'!$E$7:$E$200,'ASIN明细'!$C$7:$C$200,A27,'ASIN明细'!$D$7:$D$200,"原始汇总核实")</x:f>
        <x:v>12972</x:v>
      </x:c>
      <x:c r="D27" s="12" t="n">
        <x:f>SUMIFS('ASIN明细'!$F$7:$F$200,'ASIN明细'!$C$7:$C$200,A27,'ASIN明细'!$D$7:$D$200,"原始汇总核实")</x:f>
        <x:v>172162</x:v>
      </x:c>
      <x:c r="E27" s="13" t="n">
        <x:f>IF(D27&gt;0,C27/D27,"")</x:f>
        <x:v>0.0753476376900826</x:v>
      </x:c>
      <x:c r="F27" s="4"/>
    </x:row>
    <x:row r="28">
      <x:c r="A28" s="4" t="str">
        <x:v>其他/待核</x:v>
      </x:c>
      <x:c r="B28" s="12" t="n">
        <x:f>COUNTIFS('ASIN明细'!$C$7:$C$200,A28,'ASIN明细'!$D$7:$D$200,"原始汇总核实")</x:f>
        <x:v>11</x:v>
      </x:c>
      <x:c r="C28" s="12" t="n">
        <x:f>SUMIFS('ASIN明细'!$E$7:$E$200,'ASIN明细'!$C$7:$C$200,A28,'ASIN明细'!$D$7:$D$200,"原始汇总核实")</x:f>
        <x:v>5658</x:v>
      </x:c>
      <x:c r="D28" s="12" t="n">
        <x:f>SUMIFS('ASIN明细'!$F$7:$F$200,'ASIN明细'!$C$7:$C$200,A28,'ASIN明细'!$D$7:$D$200,"原始汇总核实")</x:f>
        <x:v>109760</x:v>
      </x:c>
      <x:c r="E28" s="13" t="n">
        <x:f>IF(D28&gt;0,C28/D28,"")</x:f>
        <x:v>0.05154883381924198</x:v>
      </x:c>
      <x:c r="F28" s="4"/>
    </x:row>
    <x:row r="29">
      <x:c r="A29" s="4" t="str">
        <x:v>园艺/喷涂</x:v>
      </x:c>
      <x:c r="B29" s="12" t="n">
        <x:f>COUNTIFS('ASIN明细'!$C$7:$C$200,A29,'ASIN明细'!$D$7:$D$200,"原始汇总核实")</x:f>
        <x:v>16</x:v>
      </x:c>
      <x:c r="C29" s="12" t="n">
        <x:f>SUMIFS('ASIN明细'!$E$7:$E$200,'ASIN明细'!$C$7:$C$200,A29,'ASIN明细'!$D$7:$D$200,"原始汇总核实")</x:f>
        <x:v>5328</x:v>
      </x:c>
      <x:c r="D29" s="12" t="n">
        <x:f>SUMIFS('ASIN明细'!$F$7:$F$200,'ASIN明细'!$C$7:$C$200,A29,'ASIN明细'!$D$7:$D$200,"原始汇总核实")</x:f>
        <x:v>125294</x:v>
      </x:c>
      <x:c r="E29" s="13" t="n">
        <x:f>IF(D29&gt;0,C29/D29,"")</x:f>
        <x:v>0.04252398359059492</x:v>
      </x:c>
      <x:c r="F29" s="4"/>
    </x:row>
    <x:row r="30">
      <x:c r="A30" s="4" t="str">
        <x:v>电钻/冲击工具</x:v>
      </x:c>
      <x:c r="B30" s="12" t="n">
        <x:f>COUNTIFS('ASIN明细'!$C$7:$C$200,A30,'ASIN明细'!$D$7:$D$200,"原始汇总核实")</x:f>
        <x:v>16</x:v>
      </x:c>
      <x:c r="C30" s="12" t="n">
        <x:f>SUMIFS('ASIN明细'!$E$7:$E$200,'ASIN明细'!$C$7:$C$200,A30,'ASIN明细'!$D$7:$D$200,"原始汇总核实")</x:f>
        <x:v>4119</x:v>
      </x:c>
      <x:c r="D30" s="12" t="n">
        <x:f>SUMIFS('ASIN明细'!$F$7:$F$200,'ASIN明细'!$C$7:$C$200,A30,'ASIN明细'!$D$7:$D$200,"原始汇总核实")</x:f>
        <x:v>202510</x:v>
      </x:c>
      <x:c r="E30" s="13" t="n">
        <x:f>IF(D30&gt;0,C30/D30,"")</x:f>
        <x:v>0.020339736309318058</x:v>
      </x:c>
      <x:c r="F30" s="4"/>
    </x:row>
    <x:row r="31">
      <x:c r="A31" s="4" t="str">
        <x:v>充气泵/压缩机</x:v>
      </x:c>
      <x:c r="B31" s="12" t="n">
        <x:f>COUNTIFS('ASIN明细'!$C$7:$C$200,A31,'ASIN明细'!$D$7:$D$200,"原始汇总核实")</x:f>
        <x:v>4</x:v>
      </x:c>
      <x:c r="C31" s="12" t="n">
        <x:f>SUMIFS('ASIN明细'!$E$7:$E$200,'ASIN明细'!$C$7:$C$200,A31,'ASIN明细'!$D$7:$D$200,"原始汇总核实")</x:f>
        <x:v>665</x:v>
      </x:c>
      <x:c r="D31" s="12" t="n">
        <x:f>SUMIFS('ASIN明细'!$F$7:$F$200,'ASIN明细'!$C$7:$C$200,A31,'ASIN明细'!$D$7:$D$200,"原始汇总核实")</x:f>
        <x:v>20739</x:v>
      </x:c>
      <x:c r="E31" s="13" t="n">
        <x:f>IF(D31&gt;0,C31/D31,"")</x:f>
        <x:v>0.0320651911856888</x:v>
      </x:c>
      <x:c r="F31" s="4"/>
    </x:row>
    <x:row r="32">
      <x:c r="A32" s="4"/>
      <x:c r="B32" s="4"/>
      <x:c r="C32" s="4"/>
      <x:c r="D32" s="4"/>
      <x:c r="E32" s="4"/>
      <x:c r="F32" s="4"/>
    </x:row>
    <x:row r="33">
      <x:c r="A33" s="4"/>
      <x:c r="B33" s="4"/>
      <x:c r="C33" s="4"/>
      <x:c r="D33" s="4"/>
      <x:c r="E33" s="4"/>
      <x:c r="F33" s="4"/>
    </x:row>
    <x:row r="34" ht="26" customHeight="1">
      <x:c r="A34" s="17" t="str">
        <x:v>品牌分布</x:v>
      </x:c>
      <x:c r="B34" s="17"/>
      <x:c r="C34" s="17"/>
      <x:c r="D34" s="17"/>
      <x:c r="E34" s="17"/>
      <x:c r="F34" s="4"/>
    </x:row>
    <x:row r="35" ht="30" customHeight="1">
      <x:c r="A35" s="11" t="str">
        <x:v>品牌</x:v>
      </x:c>
      <x:c r="B35" s="11" t="str">
        <x:v>ASIN 数</x:v>
      </x:c>
      <x:c r="C35" s="11" t="str">
        <x:v>Ordered units</x:v>
      </x:c>
      <x:c r="D35" s="11" t="str">
        <x:v>Glance Views</x:v>
      </x:c>
      <x:c r="E35" s="11" t="str">
        <x:v>件数／GV</x:v>
      </x:c>
      <x:c r="F35" s="4"/>
    </x:row>
    <x:row r="36">
      <x:c r="A36" s="4" t="str">
        <x:v>HYCHIKA</x:v>
      </x:c>
      <x:c r="B36" s="12" t="n">
        <x:f>COUNTIFS('ASIN明细'!$B$7:$B$200,A36,'ASIN明细'!$D$7:$D$200,"原始汇总核实")</x:f>
        <x:v>164</x:v>
      </x:c>
      <x:c r="C36" s="12" t="n">
        <x:f>SUMIFS('ASIN明细'!$E$7:$E$200,'ASIN明细'!$B$7:$B$200,A36,'ASIN明细'!$D$7:$D$200,"原始汇总核实")</x:f>
        <x:v>237854</x:v>
      </x:c>
      <x:c r="D36" s="12" t="n">
        <x:f>SUMIFS('ASIN明细'!$F$7:$F$200,'ASIN明细'!$B$7:$B$200,A36,'ASIN明细'!$D$7:$D$200,"原始汇总核实")</x:f>
        <x:v>4958893</x:v>
      </x:c>
      <x:c r="E36" s="13" t="n">
        <x:f>IF(D36&gt;0,C36/D36,"")</x:f>
        <x:v>0.04796514060698628</x:v>
      </x:c>
      <x:c r="F36" s="4" t="str">
        <x:v>品牌间产品结构不同，转化率差异不等于品牌的因果效果。</x:v>
      </x:c>
    </x:row>
    <x:row r="37">
      <x:c r="A37" s="4" t="str">
        <x:v>SORAKO</x:v>
      </x:c>
      <x:c r="B37" s="12" t="n">
        <x:f>COUNTIFS('ASIN明细'!$B$7:$B$200,A37,'ASIN明细'!$D$7:$D$200,"原始汇总核实")</x:f>
        <x:v>30</x:v>
      </x:c>
      <x:c r="C37" s="12" t="n">
        <x:f>SUMIFS('ASIN明细'!$E$7:$E$200,'ASIN明细'!$B$7:$B$200,A37,'ASIN明细'!$D$7:$D$200,"原始汇总核实")</x:f>
        <x:v>19143</x:v>
      </x:c>
      <x:c r="D37" s="12" t="n">
        <x:f>SUMIFS('ASIN明细'!$F$7:$F$200,'ASIN明细'!$B$7:$B$200,A37,'ASIN明细'!$D$7:$D$200,"原始汇总核实")</x:f>
        <x:v>310868</x:v>
      </x:c>
      <x:c r="E37" s="13" t="n">
        <x:f>IF(D37&gt;0,C37/D37,"")</x:f>
        <x:v>0.06157919116795553</x:v>
      </x:c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 ht="26" customHeight="1">
      <x:c r="A40" s="17" t="str">
        <x:v>季度观察</x:v>
      </x:c>
      <x:c r="B40" s="17"/>
      <x:c r="C40" s="17"/>
      <x:c r="D40" s="17"/>
      <x:c r="E40" s="17"/>
      <x:c r="F40" s="4"/>
    </x:row>
    <x:row r="41" ht="30" customHeight="1">
      <x:c r="A41" s="11" t="str">
        <x:v>季度标签</x:v>
      </x:c>
      <x:c r="B41" s="11" t="str">
        <x:v>ASIN 记录</x:v>
      </x:c>
      <x:c r="C41" s="11" t="str">
        <x:v>Ordered units</x:v>
      </x:c>
      <x:c r="D41" s="11" t="str">
        <x:v>Glance Views</x:v>
      </x:c>
      <x:c r="E41" s="11" t="str">
        <x:v>件数／GV</x:v>
      </x:c>
      <x:c r="F41" s="4"/>
    </x:row>
    <x:row r="42">
      <x:c r="A42" s="4" t="str">
        <x:v>2025年Q4</x:v>
      </x:c>
      <x:c r="B42" s="12" t="n">
        <x:f>COUNT('季度趋势'!$C$7:$C$200)</x:f>
        <x:v>178</x:v>
      </x:c>
      <x:c r="C42" s="12" t="n">
        <x:f>SUM('季度趋势'!$C$7:$C$200)</x:f>
        <x:v>66458</x:v>
      </x:c>
      <x:c r="D42" s="12" t="n">
        <x:f>SUM('季度趋势'!$D$7:$D$200)</x:f>
        <x:v>1306389</x:v>
      </x:c>
      <x:c r="E42" s="13" t="n">
        <x:f>IF(D42&gt;0,C42/D42,"")</x:f>
        <x:v>0.05087152448466728</x:v>
      </x:c>
      <x:c r="F42" s="4" t="str">
        <x:v>Q3 是否整季、具体截止日未注明；季度销量不可直接作为季节性或同比结论。</x:v>
      </x:c>
    </x:row>
    <x:row r="43">
      <x:c r="A43" s="4" t="str">
        <x:v>2026年Q1</x:v>
      </x:c>
      <x:c r="B43" s="12" t="n">
        <x:f>COUNT('季度趋势'!$F$7:$F$200)</x:f>
        <x:v>176</x:v>
      </x:c>
      <x:c r="C43" s="12" t="n">
        <x:f>SUM('季度趋势'!$F$7:$F$200)</x:f>
        <x:v>67218</x:v>
      </x:c>
      <x:c r="D43" s="12" t="n">
        <x:f>SUM('季度趋势'!$G$7:$G$200)</x:f>
        <x:v>1462166</x:v>
      </x:c>
      <x:c r="E43" s="13" t="n">
        <x:f>IF(D43&gt;0,C43/D43,"")</x:f>
        <x:v>0.045971524437033826</x:v>
      </x:c>
      <x:c r="F43" s="4"/>
    </x:row>
    <x:row r="44">
      <x:c r="A44" s="4" t="str">
        <x:v>2026年Q2</x:v>
      </x:c>
      <x:c r="B44" s="12" t="n">
        <x:f>COUNT('季度趋势'!$I$7:$I$200)</x:f>
        <x:v>181</x:v>
      </x:c>
      <x:c r="C44" s="12" t="n">
        <x:f>SUM('季度趋势'!$I$7:$I$200)</x:f>
        <x:v>64791</x:v>
      </x:c>
      <x:c r="D44" s="12" t="n">
        <x:f>SUM('季度趋势'!$J$7:$J$200)</x:f>
        <x:v>1292677</x:v>
      </x:c>
      <x:c r="E44" s="13" t="n">
        <x:f>IF(D44&gt;0,C44/D44,"")</x:f>
        <x:v>0.050121569425308876</x:v>
      </x:c>
      <x:c r="F44" s="4"/>
    </x:row>
    <x:row r="45">
      <x:c r="A45" s="4" t="str">
        <x:v>2026年Q3</x:v>
      </x:c>
      <x:c r="B45" s="12" t="n">
        <x:f>COUNT('季度趋势'!$L$7:$L$200)</x:f>
        <x:v>183</x:v>
      </x:c>
      <x:c r="C45" s="12" t="n">
        <x:f>SUM('季度趋势'!$L$7:$L$200)</x:f>
        <x:v>58530</x:v>
      </x:c>
      <x:c r="D45" s="12" t="n">
        <x:f>SUM('季度趋势'!$M$7:$M$200)</x:f>
        <x:v>1208529</x:v>
      </x:c>
      <x:c r="E45" s="13" t="n">
        <x:f>IF(D45&gt;0,C45/D45,"")</x:f>
        <x:v>0.04843077824363338</x:v>
      </x:c>
      <x:c r="F45" s="4"/>
    </x:row>
    <x:row r="46">
      <x:c r="A46" s="4"/>
      <x:c r="B46" s="4"/>
      <x:c r="C46" s="4"/>
      <x:c r="D46" s="4"/>
      <x:c r="E46" s="4"/>
      <x:c r="F46" s="4"/>
    </x:row>
    <x:row r="47">
      <x:c r="A47" s="4"/>
      <x:c r="B47" s="4"/>
      <x:c r="C47" s="4"/>
      <x:c r="D47" s="4"/>
      <x:c r="E47" s="4"/>
      <x:c r="F47" s="4"/>
    </x:row>
    <x:row r="48" ht="26" customHeight="1">
      <x:c r="A48" s="17" t="str">
        <x:v>结构性发现与经营优先级</x:v>
      </x:c>
      <x:c r="B48" s="17"/>
      <x:c r="C48" s="17"/>
      <x:c r="D48" s="17"/>
      <x:c r="E48" s="17"/>
      <x:c r="F48" s="17"/>
    </x:row>
    <x:row r="49" ht="30" customHeight="1">
      <x:c r="A49" s="11" t="str">
        <x:v>观察</x:v>
      </x:c>
      <x:c r="B49" s="11" t="str">
        <x:v>数值</x:v>
      </x:c>
      <x:c r="C49" s="4"/>
      <x:c r="D49" s="4"/>
      <x:c r="E49" s="4"/>
      <x:c r="F49" s="4"/>
    </x:row>
    <x:row r="50">
      <x:c r="A50" s="4" t="str">
        <x:v>销量前10 ASIN 占比</x:v>
      </x:c>
      <x:c r="B50" s="18" t="n">
        <x:v>0.4102110141363518</x:v>
      </x:c>
      <x:c r="C50" s="4"/>
      <x:c r="D50" s="4"/>
      <x:c r="E50" s="4"/>
      <x:c r="F50" s="4" t="str">
        <x:v>按本次导出已排好序的明细计算；头部依赖明显。</x:v>
      </x:c>
    </x:row>
    <x:row r="51">
      <x:c r="A51" s="4" t="str">
        <x:v>高流量低转化 ASIN 数</x:v>
      </x:c>
      <x:c r="B51" s="12" t="n">
        <x:v>11</x:v>
      </x:c>
      <x:c r="C51" s="4"/>
      <x:c r="D51" s="4"/>
      <x:c r="E51" s="4"/>
      <x:c r="F51" s="4" t="str">
        <x:v>筛选：GV≥30,000 且件数／GV&lt;3%；先诊断页面、价格与流量词。</x:v>
      </x:c>
    </x:row>
    <x:row r="52">
      <x:c r="A52" s="4" t="str">
        <x:v>对应 Glance Views</x:v>
      </x:c>
      <x:c r="B52" s="12" t="n">
        <x:v>758112</x:v>
      </x:c>
      <x:c r="C52" s="4"/>
      <x:c r="D52" s="4"/>
      <x:c r="E52" s="4"/>
      <x:c r="F52" s="4" t="str">
        <x:v>该组占全盘 GV 的 14.4%；改善空间是排查线索，不是销量预测。</x:v>
      </x:c>
    </x:row>
    <x:row r="53">
      <x:c r="A53" s="4" t="str">
        <x:v>高转化待扩流 ASIN 数</x:v>
      </x:c>
      <x:c r="B53" s="12" t="n">
        <x:v>11</x:v>
      </x:c>
      <x:c r="C53" s="4"/>
      <x:c r="D53" s="4"/>
      <x:c r="E53" s="4"/>
      <x:c r="F53" s="4" t="str">
        <x:v>筛选：3,000≤GV&lt;30,000 且件数／GV≥8%；验证需求与供货后再扩流。</x:v>
      </x:c>
    </x:row>
    <x:row r="54">
      <x:c r="A54" s="4"/>
      <x:c r="B54" s="4"/>
      <x:c r="C54" s="4"/>
      <x:c r="D54" s="4"/>
      <x:c r="E54" s="4"/>
      <x:c r="F54" s="4"/>
    </x:row>
    <x:row r="55">
      <x:c r="A55" s="4"/>
      <x:c r="B55" s="4"/>
      <x:c r="C55" s="4"/>
      <x:c r="D55" s="4"/>
      <x:c r="E55" s="4"/>
      <x:c r="F55" s="4"/>
    </x:row>
    <x:row r="56" ht="26" customHeight="1">
      <x:c r="A56" s="17" t="str">
        <x:v>口径与数据质量</x:v>
      </x:c>
      <x:c r="B56" s="17"/>
      <x:c r="C56" s="17"/>
      <x:c r="D56" s="17"/>
      <x:c r="E56" s="17"/>
      <x:c r="F56" s="17"/>
    </x:row>
    <x:row r="57">
      <x:c r="A57" s="20" t="str">
        <x:v>计算</x:v>
      </x:c>
      <x:c r="B57" s="19"/>
      <x:c r="C57" s="4"/>
      <x:c r="D57" s="4"/>
      <x:c r="E57" s="4"/>
      <x:c r="F57" s="21" t="str">
        <x:v>单位转化率 = 360天 Ordered units ÷ 同期 Glance Views；整体用总件数÷总GV，不取各ASIN百分比的算术平均。</x:v>
      </x:c>
    </x:row>
    <x:row r="58">
      <x:c r="A58" s="20" t="str">
        <x:v>含义</x:v>
      </x:c>
      <x:c r="B58" s="19"/>
      <x:c r="C58" s="4"/>
      <x:c r="D58" s="4"/>
      <x:c r="E58" s="4"/>
      <x:c r="F58" s="21" t="str">
        <x:v>每100次商品浏览带来多少件下单商品。Ordered units 是件数，GV 并非独立买家或订单笔数。</x:v>
      </x:c>
    </x:row>
    <x:row r="59">
      <x:c r="A59" s="20" t="str">
        <x:v>搜索点击</x:v>
      </x:c>
      <x:c r="B59" s="19"/>
      <x:c r="C59" s="4"/>
      <x:c r="D59" s="4"/>
      <x:c r="E59" s="4"/>
      <x:c r="F59" s="21" t="str">
        <x:v>买家搜索后点击此商品的次数。31个核实ASIN有值；搜索点击／GV 仅是跨入口流量比例，不是购买转化率。</x:v>
      </x:c>
    </x:row>
    <x:row r="60">
      <x:c r="A60" s="20" t="str">
        <x:v>细分市场点击</x:v>
      </x:c>
      <x:c r="B60" s="19"/>
      <x:c r="C60" s="4"/>
      <x:c r="D60" s="4"/>
      <x:c r="E60" s="4"/>
      <x:c r="F60" s="21" t="str">
        <x:v>市场细分点击量另有统计范围，只有1个核实ASIN有值；不可与搜索点击相加或代替全店点击。</x:v>
      </x:c>
    </x:row>
    <x:row r="61">
      <x:c r="A61" s="20" t="str">
        <x:v>Page View</x:v>
      </x:c>
      <x:c r="B61" s="19"/>
      <x:c r="C61" s="4"/>
      <x:c r="D61" s="4"/>
      <x:c r="E61" s="4"/>
      <x:c r="F61" s="21" t="str">
        <x:v>原表只填有近7天与近1天快照，分别仅28/26个核实ASIN；不能作为360天CVR分母。</x:v>
      </x:c>
    </x:row>
    <x:row r="62">
      <x:c r="A62" s="20" t="str">
        <x:v>未核实记录</x:v>
      </x:c>
      <x:c r="B62" s="19"/>
      <x:c r="C62" s="4"/>
      <x:c r="D62" s="4"/>
      <x:c r="E62" s="4"/>
      <x:c r="F62" s="21" t="str">
        <x:v>B014SPNQV2只存在于Sheet1手工区，21,000件、477,146 GV；不计入本页任何核实合计。</x:v>
      </x:c>
    </x:row>
    <x:row r="63">
      <x:c r="A63" s="20" t="str">
        <x:v>重复记录</x:v>
      </x:c>
      <x:c r="B63" s="19"/>
      <x:c r="C63" s="4"/>
      <x:c r="D63" s="4"/>
      <x:c r="E63" s="4"/>
      <x:c r="F63" s="21" t="str">
        <x:v>B0F1F7J8V3在Sheet1手工区出现两次；逐ASIN表只保留一条。</x:v>
      </x:c>
    </x:row>
    <x:row r="64">
      <x:c r="A64" s="20" t="str">
        <x:v>零值</x:v>
      </x:c>
      <x:c r="B64" s="19"/>
      <x:c r="C64" s="4"/>
      <x:c r="D64" s="4"/>
      <x:c r="E64" s="4"/>
      <x:c r="F64" s="21" t="str">
        <x:v>33个 ASIN 的 GV 为0，其中0/0留空。零销量记录不能直接解读为页面转化失败。</x:v>
      </x:c>
    </x:row>
    <x:row r="65">
      <x:c r="A65" s="20" t="str">
        <x:v>来源</x:v>
      </x:c>
      <x:c r="B65" s="19"/>
      <x:c r="C65" s="4"/>
      <x:c r="D65" s="4"/>
      <x:c r="E65" s="4"/>
      <x:c r="F65" s="21" t="str">
        <x:v>年度来源 Sheet3/Sheet2；季度来源 metric-data；部分点击与Page View来源 Sheet1。年度与四季逐ASIN核对一致。</x:v>
      </x:c>
    </x:row>
    <x:row r="66">
      <x:c r="A66" s="4"/>
      <x:c r="B66" s="4"/>
      <x:c r="C66" s="4"/>
      <x:c r="D66" s="4"/>
      <x:c r="E66" s="4"/>
      <x:c r="F66" s="4"/>
    </x:row>
    <x:row r="67">
      <x:c r="A67" s="4"/>
      <x:c r="B67" s="4"/>
      <x:c r="C67" s="4"/>
      <x:c r="D67" s="4"/>
      <x:c r="E67" s="4"/>
      <x:c r="F67" s="4"/>
    </x:row>
    <x:row r="68">
      <x:c r="A68" s="4"/>
      <x:c r="B68" s="4"/>
      <x:c r="C68" s="4"/>
      <x:c r="D68" s="4"/>
      <x:c r="E68" s="4"/>
      <x:c r="F68" s="4"/>
    </x:row>
    <x:row r="69">
      <x:c r="A69" s="4"/>
      <x:c r="B69" s="4"/>
      <x:c r="C69" s="4"/>
      <x:c r="D69" s="4"/>
      <x:c r="E69" s="4"/>
      <x:c r="F69" s="4"/>
    </x:row>
    <x:row r="70">
      <x:c r="A70" s="4"/>
      <x:c r="B70" s="4"/>
      <x:c r="C70" s="4"/>
      <x:c r="D70" s="4"/>
      <x:c r="E70" s="4"/>
      <x:c r="F70" s="4"/>
    </x:row>
    <x:row r="71">
      <x:c r="A71" s="4"/>
      <x:c r="B71" s="4"/>
      <x:c r="C71" s="4"/>
      <x:c r="D71" s="4"/>
      <x:c r="E71" s="4"/>
      <x:c r="F71" s="4"/>
    </x:row>
    <x:row r="72">
      <x:c r="A72" s="4"/>
      <x:c r="B72" s="4"/>
      <x:c r="C72" s="4"/>
      <x:c r="D72" s="4"/>
      <x:c r="E72" s="4"/>
      <x:c r="F72" s="4"/>
    </x:row>
    <x:row r="73">
      <x:c r="A73" s="4"/>
      <x:c r="B73" s="4"/>
      <x:c r="C73" s="4"/>
      <x:c r="D73" s="4"/>
      <x:c r="E73" s="4"/>
      <x:c r="F73" s="4"/>
    </x:row>
    <x:row r="74">
      <x:c r="A74" s="4"/>
      <x:c r="B74" s="4"/>
      <x:c r="C74" s="4"/>
      <x:c r="D74" s="4"/>
      <x:c r="E74" s="4"/>
      <x:c r="F74" s="4"/>
    </x:row>
    <x:row r="75">
      <x:c r="A75" s="4"/>
      <x:c r="B75" s="4"/>
      <x:c r="C75" s="4"/>
      <x:c r="D75" s="4"/>
      <x:c r="E75" s="4"/>
      <x:c r="F75" s="4"/>
    </x:row>
    <x:row r="76">
      <x:c r="A76" s="4"/>
      <x:c r="B76" s="4"/>
      <x:c r="C76" s="4"/>
      <x:c r="D76" s="4"/>
      <x:c r="E76" s="4"/>
      <x:c r="F76" s="4"/>
    </x:row>
    <x:row r="77">
      <x:c r="A77" s="4"/>
      <x:c r="B77" s="4"/>
      <x:c r="C77" s="4"/>
      <x:c r="D77" s="4"/>
      <x:c r="E77" s="4"/>
      <x:c r="F7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A83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  <x:col min="8" max="8" width="20" hidden="0" customWidth="1"/>
    <x:col min="9" max="9" width="20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9" hidden="0" customWidth="1"/>
    <x:col min="23" max="23" width="63" hidden="0" customWidth="1"/>
  </x:cols>
  <x:sheetData>
    <x:row r="2" ht="29" customHeight="1">
      <x:c r="A2" s="1" t="str">
        <x:v>全部 ASIN：360天销量与流量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2" t="str">
        <x:v>来源：Sheet3/Sheet2 核实年汇总；metric-data 四季度；Sheet1 填充有限的点击与短期 Page View。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2" t="str">
        <x:v>空白表示源表未给值；“手工区未核实”不计入概览合计。产品线按标题关键词粗分。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30" customHeight="1">
      <x:c r="A6" s="11" t="str">
        <x:v>ASIN</x:v>
      </x:c>
      <x:c r="B6" s="11" t="str">
        <x:v>品牌</x:v>
      </x:c>
      <x:c r="C6" s="11" t="str">
        <x:v>标题粗分产品线</x:v>
      </x:c>
      <x:c r="D6" s="11" t="str">
        <x:v>证据状态</x:v>
      </x:c>
      <x:c r="E6" s="11" t="str">
        <x:v>360天 Ordered units</x:v>
      </x:c>
      <x:c r="F6" s="11" t="str">
        <x:v>360天 GV</x:v>
      </x:c>
      <x:c r="G6" s="11" t="str">
        <x:v>件数／GV</x:v>
      </x:c>
      <x:c r="H6" s="11" t="str">
        <x:v>Ordered revenue (€)</x:v>
      </x:c>
      <x:c r="I6" s="11" t="str">
        <x:v>平均每件收入 (€)</x:v>
      </x:c>
      <x:c r="J6" s="11" t="str">
        <x:v>搜索点击360天</x:v>
      </x:c>
      <x:c r="K6" s="11" t="str">
        <x:v>搜索点击／GV*</x:v>
      </x:c>
      <x:c r="L6" s="11" t="str">
        <x:v>细分市场点击360天</x:v>
      </x:c>
      <x:c r="M6" s="11" t="str">
        <x:v>Page View近7天</x:v>
      </x:c>
      <x:c r="N6" s="11" t="str">
        <x:v>Page View近1天</x:v>
      </x:c>
      <x:c r="O6" s="11" t="str">
        <x:v>退货数量</x:v>
      </x:c>
      <x:c r="P6" s="11" t="str">
        <x:v>发货件数</x:v>
      </x:c>
      <x:c r="Q6" s="11" t="str">
        <x:v>退货／发货件数*</x:v>
      </x:c>
      <x:c r="R6" s="11" t="str">
        <x:v>2025Q4 件数</x:v>
      </x:c>
      <x:c r="S6" s="11" t="str">
        <x:v>2026Q1 件数</x:v>
      </x:c>
      <x:c r="T6" s="11" t="str">
        <x:v>2026Q2 件数</x:v>
      </x:c>
      <x:c r="U6" s="11" t="str">
        <x:v>2026Q3 件数</x:v>
      </x:c>
      <x:c r="V6" s="11" t="str">
        <x:v>关注标签</x:v>
      </x:c>
      <x:c r="W6" s="11" t="str">
        <x:v>商品标题</x:v>
      </x:c>
    </x:row>
    <x:row r="7" ht="22" customHeight="1">
      <x:c r="A7" s="4" t="str">
        <x:v>B07RGK11RY</x:v>
      </x:c>
      <x:c r="B7" s="4" t="str">
        <x:v>HYCHIKA</x:v>
      </x:c>
      <x:c r="C7" s="4" t="str">
        <x:v>电动螺丝刀</x:v>
      </x:c>
      <x:c r="D7" s="4" t="str">
        <x:v>原始汇总核实</x:v>
      </x:c>
      <x:c r="E7" s="12" t="n">
        <x:v>25031</x:v>
      </x:c>
      <x:c r="F7" s="12" t="n">
        <x:v>345184</x:v>
      </x:c>
      <x:c r="G7" s="13" t="n">
        <x:f>IF(F7&gt;0,E7/F7,"")</x:f>
        <x:v>0.07251494854917957</x:v>
      </x:c>
      <x:c r="H7" s="14" t="n">
        <x:v>510114.65</x:v>
      </x:c>
      <x:c r="I7" s="14" t="n">
        <x:f>IF(AND(ISNUMBER(H7),E7&gt;0),H7/E7,"")</x:f>
        <x:v>20.379315648595743</x:v>
      </x:c>
      <x:c r="J7" s="12" t="n">
        <x:v>14948</x:v>
      </x:c>
      <x:c r="K7" s="13" t="n">
        <x:f>IF(AND(ISNUMBER(J7),F7&gt;0),J7/F7,"")</x:f>
        <x:v>0.04330444053026791</x:v>
      </x:c>
      <x:c r="L7" s="12"/>
      <x:c r="M7" s="12" t="n">
        <x:v>1130</x:v>
      </x:c>
      <x:c r="N7" s="12"/>
      <x:c r="O7" s="12" t="n">
        <x:v>1488</x:v>
      </x:c>
      <x:c r="P7" s="12" t="n">
        <x:v>25035</x:v>
      </x:c>
      <x:c r="Q7" s="13" t="n">
        <x:f>IF(AND(ISNUMBER(O7),P7&gt;0),O7/P7,"")</x:f>
        <x:v>0.05943678849610545</x:v>
      </x:c>
      <x:c r="R7" s="12" t="n">
        <x:v>7694</x:v>
      </x:c>
      <x:c r="S7" s="12" t="n">
        <x:v>6044</x:v>
      </x:c>
      <x:c r="T7" s="12" t="n">
        <x:v>5689</x:v>
      </x:c>
      <x:c r="U7" s="12" t="n">
        <x:v>5604</x:v>
      </x:c>
      <x:c r="V7" s="4" t="str">
        <x:f>IF(D7&lt;&gt;"原始汇总核实","未核实；排除合计",IF(F7=0,"无GV不可算",IF(AND(F7&gt;=30000,G7&lt;0.03),"高流量低转化",IF(AND(F7&gt;=3000,F7&lt;30000,G7&gt;=0.08),"高转化待扩流","常规"))))</x:f>
        <x:v>常规</x:v>
      </x:c>
      <x:c r="W7" s="4" t="str">
        <x:v>HYCHIKA Avvitatore a Batteria 6Nm, Cacciavite Elettrico 3.6 V 2.0 Ah, Avvitatore Elettrico, Luce a LE, Cavo di Ricarica USB, 35 Accessori, Custodia</x:v>
      </x:c>
    </x:row>
    <x:row r="8" ht="22" customHeight="1">
      <x:c r="A8" s="4" t="str">
        <x:v>B0F542C2DH</x:v>
      </x:c>
      <x:c r="B8" s="4" t="str">
        <x:v>HYCHIKA</x:v>
      </x:c>
      <x:c r="C8" s="4" t="str">
        <x:v>打磨/旋转工具</x:v>
      </x:c>
      <x:c r="D8" s="4" t="str">
        <x:v>原始汇总核实</x:v>
      </x:c>
      <x:c r="E8" s="12" t="n">
        <x:v>10949</x:v>
      </x:c>
      <x:c r="F8" s="12" t="n">
        <x:v>218662</x:v>
      </x:c>
      <x:c r="G8" s="13" t="n">
        <x:f>IF(F8&gt;0,E8/F8,"")</x:f>
        <x:v>0.050072714966477944</x:v>
      </x:c>
      <x:c r="H8" s="14" t="n">
        <x:v>187066.17</x:v>
      </x:c>
      <x:c r="I8" s="14" t="n">
        <x:f>IF(AND(ISNUMBER(H8),E8&gt;0),H8/E8,"")</x:f>
        <x:v>17.085228788017172</x:v>
      </x:c>
      <x:c r="J8" s="12" t="n">
        <x:v>17205</x:v>
      </x:c>
      <x:c r="K8" s="13" t="n">
        <x:f>IF(AND(ISNUMBER(J8),F8&gt;0),J8/F8,"")</x:f>
        <x:v>0.0786830816511328</x:v>
      </x:c>
      <x:c r="L8" s="12"/>
      <x:c r="M8" s="12" t="n">
        <x:v>357</x:v>
      </x:c>
      <x:c r="N8" s="12"/>
      <x:c r="O8" s="12" t="n">
        <x:v>810</x:v>
      </x:c>
      <x:c r="P8" s="12" t="n">
        <x:v>10883</x:v>
      </x:c>
      <x:c r="Q8" s="13" t="n">
        <x:f>IF(AND(ISNUMBER(O8),P8&gt;0),O8/P8,"")</x:f>
        <x:v>0.07442800698336856</x:v>
      </x:c>
      <x:c r="R8" s="12" t="n">
        <x:v>1521</x:v>
      </x:c>
      <x:c r="S8" s="12" t="n">
        <x:v>1823</x:v>
      </x:c>
      <x:c r="T8" s="12" t="n">
        <x:v>4032</x:v>
      </x:c>
      <x:c r="U8" s="12" t="n">
        <x:v>3573</x:v>
      </x:c>
      <x:c r="V8" s="4" t="str">
        <x:f>IF(D8&lt;&gt;"原始汇总核实","未核实；排除合计",IF(F8=0,"无GV不可算",IF(AND(F8&gt;=30000,G8&lt;0.03),"高流量低转化",IF(AND(F8&gt;=3000,F8&lt;30000,G8&gt;=0.08),"高转化待扩流","常规"))))</x:f>
        <x:v>常规</x:v>
      </x:c>
      <x:c r="W8" s="4" t="str">
        <x:v>HYCHIKA Mini Trapano,3.6V Utensile Rotante Multifunzione con 89 Accessori per Foratura,Levigatura,Lucidatura,Incisione,Mini Trapano con velocità regolabile e ricarica USB-C,Ideale per piccoli DIY.</x:v>
      </x:c>
    </x:row>
    <x:row r="9" ht="22" customHeight="1">
      <x:c r="A9" s="4" t="str">
        <x:v>B086SQK2RK</x:v>
      </x:c>
      <x:c r="B9" s="4" t="str">
        <x:v>HYCHIKA</x:v>
      </x:c>
      <x:c r="C9" s="4" t="str">
        <x:v>电动螺丝刀</x:v>
      </x:c>
      <x:c r="D9" s="4" t="str">
        <x:v>原始汇总核实</x:v>
      </x:c>
      <x:c r="E9" s="12" t="n">
        <x:v>10703</x:v>
      </x:c>
      <x:c r="F9" s="12" t="n">
        <x:v>149551</x:v>
      </x:c>
      <x:c r="G9" s="13" t="n">
        <x:f>IF(F9&gt;0,E9/F9,"")</x:f>
        <x:v>0.07156755889295291</x:v>
      </x:c>
      <x:c r="H9" s="14" t="n">
        <x:v>176510.53</x:v>
      </x:c>
      <x:c r="I9" s="14" t="n">
        <x:f>IF(AND(ISNUMBER(H9),E9&gt;0),H9/E9,"")</x:f>
        <x:v>16.49168737737083</x:v>
      </x:c>
      <x:c r="J9" s="12" t="n">
        <x:v>14162</x:v>
      </x:c>
      <x:c r="K9" s="13" t="n">
        <x:f>IF(AND(ISNUMBER(J9),F9&gt;0),J9/F9,"")</x:f>
        <x:v>0.09469679239857975</x:v>
      </x:c>
      <x:c r="L9" s="12"/>
      <x:c r="M9" s="12" t="n">
        <x:v>627</x:v>
      </x:c>
      <x:c r="N9" s="12" t="n">
        <x:v>30</x:v>
      </x:c>
      <x:c r="O9" s="12" t="n">
        <x:v>628</x:v>
      </x:c>
      <x:c r="P9" s="12" t="n">
        <x:v>10710</x:v>
      </x:c>
      <x:c r="Q9" s="13" t="n">
        <x:f>IF(AND(ISNUMBER(O9),P9&gt;0),O9/P9,"")</x:f>
        <x:v>0.058636788048552754</x:v>
      </x:c>
      <x:c r="R9" s="12" t="n">
        <x:v>3465</x:v>
      </x:c>
      <x:c r="S9" s="12" t="n">
        <x:v>3560</x:v>
      </x:c>
      <x:c r="T9" s="12" t="n">
        <x:v>2644</x:v>
      </x:c>
      <x:c r="U9" s="12" t="n">
        <x:v>1034</x:v>
      </x:c>
      <x:c r="V9" s="4" t="str">
        <x:f>IF(D9&lt;&gt;"原始汇总核实","未核实；排除合计",IF(F9=0,"无GV不可算",IF(AND(F9&gt;=30000,G9&lt;0.03),"高流量低转化",IF(AND(F9&gt;=3000,F9&lt;30000,G9&gt;=0.08),"高转化待扩流","常规"))))</x:f>
        <x:v>常规</x:v>
      </x:c>
      <x:c r="W9" s="4" t="str">
        <x:v>HYCHIKA Destornillador Eléctrico 6N.m, Atornillador Eléctrico Inalámbrico 3.6v Batería 2000mAh (Máximo Par 6 N.m) LED Luz, Mandril Magnétic, Cable USB, 20 Accesorios</x:v>
      </x:c>
    </x:row>
    <x:row r="10" ht="22" customHeight="1">
      <x:c r="A10" s="4" t="str">
        <x:v>B0D5CX7SFL</x:v>
      </x:c>
      <x:c r="B10" s="4" t="str">
        <x:v>HYCHIKA</x:v>
      </x:c>
      <x:c r="C10" s="4" t="str">
        <x:v>激光测量</x:v>
      </x:c>
      <x:c r="D10" s="4" t="str">
        <x:v>原始汇总核实</x:v>
      </x:c>
      <x:c r="E10" s="12" t="n">
        <x:v>10035</x:v>
      </x:c>
      <x:c r="F10" s="12" t="n">
        <x:v>176592</x:v>
      </x:c>
      <x:c r="G10" s="13" t="n">
        <x:f>IF(F10&gt;0,E10/F10,"")</x:f>
        <x:v>0.0568259037782006</x:v>
      </x:c>
      <x:c r="H10" s="14" t="n">
        <x:v>225276.22</x:v>
      </x:c>
      <x:c r="I10" s="14" t="n">
        <x:f>IF(AND(ISNUMBER(H10),E10&gt;0),H10/E10,"")</x:f>
        <x:v>22.449050323866466</x:v>
      </x:c>
      <x:c r="J10" s="12" t="n">
        <x:v>4105</x:v>
      </x:c>
      <x:c r="K10" s="13" t="n">
        <x:f>IF(AND(ISNUMBER(J10),F10&gt;0),J10/F10,"")</x:f>
        <x:v>0.023245673643200144</x:v>
      </x:c>
      <x:c r="L10" s="12"/>
      <x:c r="M10" s="12" t="n">
        <x:v>442</x:v>
      </x:c>
      <x:c r="N10" s="12" t="n">
        <x:v>81</x:v>
      </x:c>
      <x:c r="O10" s="12" t="n">
        <x:v>843</x:v>
      </x:c>
      <x:c r="P10" s="12" t="n">
        <x:v>9998</x:v>
      </x:c>
      <x:c r="Q10" s="13" t="n">
        <x:f>IF(AND(ISNUMBER(O10),P10&gt;0),O10/P10,"")</x:f>
        <x:v>0.08431686337267454</x:v>
      </x:c>
      <x:c r="R10" s="12" t="n">
        <x:v>2041</x:v>
      </x:c>
      <x:c r="S10" s="12" t="n">
        <x:v>2600</x:v>
      </x:c>
      <x:c r="T10" s="12" t="n">
        <x:v>1995</x:v>
      </x:c>
      <x:c r="U10" s="12" t="n">
        <x:v>3399</x:v>
      </x:c>
      <x:c r="V10" s="4" t="str">
        <x:f>IF(D10&lt;&gt;"原始汇总核实","未核实；排除合计",IF(F10=0,"无GV不可算",IF(AND(F10&gt;=30000,G10&lt;0.03),"高流量低转化",IF(AND(F10&gt;=3000,F10&lt;30000,G10&gt;=0.08),"高转化待扩流","常规"))))</x:f>
        <x:v>常规</x:v>
      </x:c>
      <x:c r="W10" s="4" t="str">
        <x:v>HYCHIKA Nivel Láser Autonivelante 15M, Nivel Laser Verde Ajustable con 3 Niveles de Brillo, Laser Autonivelante Uso Interior y Exterior, Soporte Magnético 360° Rotación 2 Batería Incluida</x:v>
      </x:c>
    </x:row>
    <x:row r="11" ht="22" customHeight="1">
      <x:c r="A11" s="4" t="str">
        <x:v>B0F1F7J8V3</x:v>
      </x:c>
      <x:c r="B11" s="4" t="str">
        <x:v>HYCHIKA</x:v>
      </x:c>
      <x:c r="C11" s="4" t="str">
        <x:v>吸尘清洁</x:v>
      </x:c>
      <x:c r="D11" s="4" t="str">
        <x:v>原始汇总核实</x:v>
      </x:c>
      <x:c r="E11" s="12" t="n">
        <x:v>9610</x:v>
      </x:c>
      <x:c r="F11" s="12" t="n">
        <x:v>277146</x:v>
      </x:c>
      <x:c r="G11" s="13" t="n">
        <x:f>IF(F11&gt;0,E11/F11,"")</x:f>
        <x:v>0.03467486451184574</x:v>
      </x:c>
      <x:c r="H11" s="14" t="n">
        <x:v>541524.97</x:v>
      </x:c>
      <x:c r="I11" s="14" t="n">
        <x:f>IF(AND(ISNUMBER(H11),E11&gt;0),H11/E11,"")</x:f>
        <x:v>56.35015296566077</x:v>
      </x:c>
      <x:c r="J11" s="12" t="n">
        <x:v>30367</x:v>
      </x:c>
      <x:c r="K11" s="13" t="n">
        <x:f>IF(AND(ISNUMBER(J11),F11&gt;0),J11/F11,"")</x:f>
        <x:v>0.10957040693352962</x:v>
      </x:c>
      <x:c r="L11" s="12" t="n">
        <x:v>18626</x:v>
      </x:c>
      <x:c r="M11" s="12"/>
      <x:c r="N11" s="12"/>
      <x:c r="O11" s="12" t="n">
        <x:v>584</x:v>
      </x:c>
      <x:c r="P11" s="12" t="n">
        <x:v>9603</x:v>
      </x:c>
      <x:c r="Q11" s="13" t="n">
        <x:f>IF(AND(ISNUMBER(O11),P11&gt;0),O11/P11,"")</x:f>
        <x:v>0.060814328855565966</x:v>
      </x:c>
      <x:c r="R11" s="12" t="n">
        <x:v>2213</x:v>
      </x:c>
      <x:c r="S11" s="12" t="n">
        <x:v>2490</x:v>
      </x:c>
      <x:c r="T11" s="12" t="n">
        <x:v>2926</x:v>
      </x:c>
      <x:c r="U11" s="12" t="n">
        <x:v>1981</x:v>
      </x:c>
      <x:c r="V11" s="4" t="str">
        <x:f>IF(D11&lt;&gt;"原始汇总核实","未核实；排除合计",IF(F11=0,"无GV不可算",IF(AND(F11&gt;=30000,G11&lt;0.03),"高流量低转化",IF(AND(F11&gt;=3000,F11&lt;30000,G11&gt;=0.08),"高转化待扩流","常规"))))</x:f>
        <x:v>常规</x:v>
      </x:c>
      <x:c r="W11" s="4" t="str">
        <x:v>HYCHIKA Milbensauger für Matratzen 16 kPa UV-C, Ultraschall, 60°C Heißluft</x:v>
      </x:c>
    </x:row>
    <x:row r="12" ht="22" customHeight="1">
      <x:c r="A12" s="4" t="str">
        <x:v>B0CNXDVYZN</x:v>
      </x:c>
      <x:c r="B12" s="4" t="str">
        <x:v>HYCHIKA</x:v>
      </x:c>
      <x:c r="C12" s="4" t="str">
        <x:v>打磨/旋转工具</x:v>
      </x:c>
      <x:c r="D12" s="4" t="str">
        <x:v>原始汇总核实</x:v>
      </x:c>
      <x:c r="E12" s="12" t="n">
        <x:v>8690</x:v>
      </x:c>
      <x:c r="F12" s="12" t="n">
        <x:v>194980</x:v>
      </x:c>
      <x:c r="G12" s="13" t="n">
        <x:f>IF(F12&gt;0,E12/F12,"")</x:f>
        <x:v>0.044568673710124115</x:v>
      </x:c>
      <x:c r="H12" s="14" t="n">
        <x:v>252267.12</x:v>
      </x:c>
      <x:c r="I12" s="14" t="n">
        <x:f>IF(AND(ISNUMBER(H12),E12&gt;0),H12/E12,"")</x:f>
        <x:v>29.029588032220943</x:v>
      </x:c>
      <x:c r="J12" s="12" t="n">
        <x:v>3400</x:v>
      </x:c>
      <x:c r="K12" s="13" t="n">
        <x:f>IF(AND(ISNUMBER(J12),F12&gt;0),J12/F12,"")</x:f>
        <x:v>0.017437685916504256</x:v>
      </x:c>
      <x:c r="L12" s="12"/>
      <x:c r="M12" s="12" t="n">
        <x:v>216</x:v>
      </x:c>
      <x:c r="N12" s="12" t="n">
        <x:v>45</x:v>
      </x:c>
      <x:c r="O12" s="12" t="n">
        <x:v>525</x:v>
      </x:c>
      <x:c r="P12" s="12" t="n">
        <x:v>8680</x:v>
      </x:c>
      <x:c r="Q12" s="13" t="n">
        <x:f>IF(AND(ISNUMBER(O12),P12&gt;0),O12/P12,"")</x:f>
        <x:v>0.06048387096774194</x:v>
      </x:c>
      <x:c r="R12" s="12" t="n">
        <x:v>2095</x:v>
      </x:c>
      <x:c r="S12" s="12" t="n">
        <x:v>2734</x:v>
      </x:c>
      <x:c r="T12" s="12" t="n">
        <x:v>1589</x:v>
      </x:c>
      <x:c r="U12" s="12" t="n">
        <x:v>2272</x:v>
      </x:c>
      <x:c r="V12" s="4" t="str">
        <x:f>IF(D12&lt;&gt;"原始汇总核实","未核实；排除合计",IF(F12=0,"无GV不可算",IF(AND(F12&gt;=30000,G12&lt;0.03),"高流量低转化",IF(AND(F12&gt;=3000,F12&lt;30000,G12&gt;=0.08),"高转化待扩流","常规"))))</x:f>
        <x:v>常规</x:v>
      </x:c>
      <x:c r="W12" s="4" t="str">
        <x:v>HYCHIKA 170W utensile rotante 6 Velocità Variabili 8000-35000 RPM</x:v>
      </x:c>
    </x:row>
    <x:row r="13" ht="22" customHeight="1">
      <x:c r="A13" s="4" t="str">
        <x:v>B08DJ3YH9J</x:v>
      </x:c>
      <x:c r="B13" s="4" t="str">
        <x:v>HYCHIKA</x:v>
      </x:c>
      <x:c r="C13" s="4" t="str">
        <x:v>打磨/旋转工具</x:v>
      </x:c>
      <x:c r="D13" s="4" t="str">
        <x:v>原始汇总核实</x:v>
      </x:c>
      <x:c r="E13" s="12" t="n">
        <x:v>8138</x:v>
      </x:c>
      <x:c r="F13" s="12" t="n">
        <x:v>121251</x:v>
      </x:c>
      <x:c r="G13" s="13" t="n">
        <x:f>IF(F13&gt;0,E13/F13,"")</x:f>
        <x:v>0.06711697223115685</x:v>
      </x:c>
      <x:c r="H13" s="14" t="n">
        <x:v>211133.37</x:v>
      </x:c>
      <x:c r="I13" s="14" t="n">
        <x:f>IF(AND(ISNUMBER(H13),E13&gt;0),H13/E13,"")</x:f>
        <x:v>25.944134922585402</x:v>
      </x:c>
      <x:c r="J13" s="12" t="n">
        <x:v>13950</x:v>
      </x:c>
      <x:c r="K13" s="13" t="n">
        <x:f>IF(AND(ISNUMBER(J13),F13&gt;0),J13/F13,"")</x:f>
        <x:v>0.11505059752084519</x:v>
      </x:c>
      <x:c r="L13" s="12"/>
      <x:c r="M13" s="12" t="n">
        <x:v>310</x:v>
      </x:c>
      <x:c r="N13" s="12" t="n">
        <x:v>42</x:v>
      </x:c>
      <x:c r="O13" s="12" t="n">
        <x:v>499</x:v>
      </x:c>
      <x:c r="P13" s="12" t="n">
        <x:v>8135</x:v>
      </x:c>
      <x:c r="Q13" s="13" t="n">
        <x:f>IF(AND(ISNUMBER(O13),P13&gt;0),O13/P13,"")</x:f>
        <x:v>0.061339889366933006</x:v>
      </x:c>
      <x:c r="R13" s="12" t="n">
        <x:v>1938</x:v>
      </x:c>
      <x:c r="S13" s="12" t="n">
        <x:v>2232</x:v>
      </x:c>
      <x:c r="T13" s="12" t="n">
        <x:v>2296</x:v>
      </x:c>
      <x:c r="U13" s="12" t="n">
        <x:v>1672</x:v>
      </x:c>
      <x:c r="V13" s="4" t="str">
        <x:f>IF(D13&lt;&gt;"原始汇总核实","未核实；排除合计",IF(F13=0,"无GV不可算",IF(AND(F13&gt;=30000,G13&lt;0.03),"高流量低转化",IF(AND(F13&gt;=3000,F13&lt;30000,G13&gt;=0.08),"高转化待扩流","常规"))))</x:f>
        <x:v>常规</x:v>
      </x:c>
      <x:c r="W13" s="4" t="str">
        <x:v>HYCHIKA Multischleifer, Deltaschleifer 200W, mit 12 Schleifblätter (Körnung 80/120/240), 14000 U/min, Klettfix-System, Staubsaugbeutel, Schleifmaschine für Ecke &amp; Kante, Metal &amp; Holz</x:v>
      </x:c>
    </x:row>
    <x:row r="14" ht="22" customHeight="1">
      <x:c r="A14" s="4" t="str">
        <x:v>B0FGQ77SRF</x:v>
      </x:c>
      <x:c r="B14" s="4" t="str">
        <x:v>HYCHIKA</x:v>
      </x:c>
      <x:c r="C14" s="4" t="str">
        <x:v>口腔护理</x:v>
      </x:c>
      <x:c r="D14" s="4" t="str">
        <x:v>原始汇总核实</x:v>
      </x:c>
      <x:c r="E14" s="12" t="n">
        <x:v>8085</x:v>
      </x:c>
      <x:c r="F14" s="12" t="n">
        <x:v>105103</x:v>
      </x:c>
      <x:c r="G14" s="13" t="n">
        <x:f>IF(F14&gt;0,E14/F14,"")</x:f>
        <x:v>0.0769245406886578</x:v>
      </x:c>
      <x:c r="H14" s="14" t="n">
        <x:v>235609.08</x:v>
      </x:c>
      <x:c r="I14" s="14" t="n">
        <x:f>IF(AND(ISNUMBER(H14),E14&gt;0),H14/E14,"")</x:f>
        <x:v>29.14150649350649</x:v>
      </x:c>
      <x:c r="J14" s="12" t="n">
        <x:v>5502</x:v>
      </x:c>
      <x:c r="K14" s="13" t="n">
        <x:f>IF(AND(ISNUMBER(J14),F14&gt;0),J14/F14,"")</x:f>
        <x:v>0.052348648468645044</x:v>
      </x:c>
      <x:c r="L14" s="12"/>
      <x:c r="M14" s="12" t="n">
        <x:v>180</x:v>
      </x:c>
      <x:c r="N14" s="12" t="n">
        <x:v>31</x:v>
      </x:c>
      <x:c r="O14" s="12" t="n">
        <x:v>313</x:v>
      </x:c>
      <x:c r="P14" s="12" t="n">
        <x:v>8067</x:v>
      </x:c>
      <x:c r="Q14" s="13" t="n">
        <x:f>IF(AND(ISNUMBER(O14),P14&gt;0),O14/P14,"")</x:f>
        <x:v>0.0388000495847279</x:v>
      </x:c>
      <x:c r="R14" s="12" t="n">
        <x:v>1257</x:v>
      </x:c>
      <x:c r="S14" s="12" t="n">
        <x:v>2863</x:v>
      </x:c>
      <x:c r="T14" s="12" t="n">
        <x:v>1411</x:v>
      </x:c>
      <x:c r="U14" s="12" t="n">
        <x:v>2554</x:v>
      </x:c>
      <x:c r="V14" s="4" t="str">
        <x:f>IF(D14&lt;&gt;"原始汇总核实","未核实；排除合计",IF(F14=0,"无GV不可算",IF(AND(F14&gt;=30000,G14&lt;0.03),"高流量低转化",IF(AND(F14&gt;=3000,F14&lt;30000,G14&gt;=0.08),"高转化待扩流","常规"))))</x:f>
        <x:v>常规</x:v>
      </x:c>
      <x:c r="W14" s="4" t="str">
        <x:v>Ultraschallreinigungsgerät Zahnschiene mit UV Sterilisierung,45 kHz Hochfrequenz, 4 Modi UV Zahnschiene Reinigung,200 ml,Zahnreinigungsbehälter,Retainers,Aligner etc.,（Weiß）</x:v>
      </x:c>
    </x:row>
    <x:row r="15" ht="22" customHeight="1">
      <x:c r="A15" s="4" t="str">
        <x:v>B0D6RG5DS5</x:v>
      </x:c>
      <x:c r="B15" s="4" t="str">
        <x:v>HYCHIKA</x:v>
      </x:c>
      <x:c r="C15" s="4" t="str">
        <x:v>手动螺丝刀/工具套装</x:v>
      </x:c>
      <x:c r="D15" s="4" t="str">
        <x:v>原始汇总核实</x:v>
      </x:c>
      <x:c r="E15" s="12" t="n">
        <x:v>7475</x:v>
      </x:c>
      <x:c r="F15" s="12" t="n">
        <x:v>83077</x:v>
      </x:c>
      <x:c r="G15" s="13" t="n">
        <x:f>IF(F15&gt;0,E15/F15,"")</x:f>
        <x:v>0.08997676854002913</x:v>
      </x:c>
      <x:c r="H15" s="14" t="n">
        <x:v>93640.9</x:v>
      </x:c>
      <x:c r="I15" s="14" t="n">
        <x:f>IF(AND(ISNUMBER(H15),E15&gt;0),H15/E15,"")</x:f>
        <x:v>12.527210702341137</x:v>
      </x:c>
      <x:c r="J15" s="12" t="n">
        <x:v>6598</x:v>
      </x:c>
      <x:c r="K15" s="13" t="n">
        <x:f>IF(AND(ISNUMBER(J15),F15&gt;0),J15/F15,"")</x:f>
        <x:v>0.07942029683305848</x:v>
      </x:c>
      <x:c r="L15" s="12"/>
      <x:c r="M15" s="12" t="n">
        <x:v>96</x:v>
      </x:c>
      <x:c r="N15" s="12" t="n">
        <x:v>14</x:v>
      </x:c>
      <x:c r="O15" s="12" t="n">
        <x:v>117</x:v>
      </x:c>
      <x:c r="P15" s="12" t="n">
        <x:v>7483</x:v>
      </x:c>
      <x:c r="Q15" s="13" t="n">
        <x:f>IF(AND(ISNUMBER(O15),P15&gt;0),O15/P15,"")</x:f>
        <x:v>0.01563544033141788</x:v>
      </x:c>
      <x:c r="R15" s="12" t="n">
        <x:v>2511</x:v>
      </x:c>
      <x:c r="S15" s="12" t="n">
        <x:v>1793</x:v>
      </x:c>
      <x:c r="T15" s="12" t="n">
        <x:v>2116</x:v>
      </x:c>
      <x:c r="U15" s="12" t="n">
        <x:v>1055</x:v>
      </x:c>
      <x:c r="V15" s="4" t="str">
        <x:f>IF(D15&lt;&gt;"原始汇总核实","未核实；排除合计",IF(F15=0,"无GV不可算",IF(AND(F15&gt;=30000,G15&lt;0.03),"高流量低转化",IF(AND(F15&gt;=3000,F15&lt;30000,G15&gt;=0.08),"高转化待扩流","常规"))))</x:f>
        <x:v>常规</x:v>
      </x:c>
      <x:c r="W15" s="4" t="str">
        <x:v>HYCHIKA Schraubendreher Set, 30 PCS Schraubenzieher Set, Einschließlich Kreuzschruubendreeher, Flachschraubendreher, Geeignet für DIY, Wartungsmöbel, Spielzeug</x:v>
      </x:c>
    </x:row>
    <x:row r="16" ht="22" customHeight="1">
      <x:c r="A16" s="4" t="str">
        <x:v>B07Y1K7L2K</x:v>
      </x:c>
      <x:c r="B16" s="4" t="str">
        <x:v>HYCHIKA</x:v>
      </x:c>
      <x:c r="C16" s="4" t="str">
        <x:v>锯切/开孔及配件</x:v>
      </x:c>
      <x:c r="D16" s="4" t="str">
        <x:v>原始汇总核实</x:v>
      </x:c>
      <x:c r="E16" s="12" t="n">
        <x:v>6707</x:v>
      </x:c>
      <x:c r="F16" s="12" t="n">
        <x:v>115981</x:v>
      </x:c>
      <x:c r="G16" s="13" t="n">
        <x:f>IF(F16&gt;0,E16/F16,"")</x:f>
        <x:v>0.05782843741647339</x:v>
      </x:c>
      <x:c r="H16" s="14" t="n">
        <x:v>128553.33</x:v>
      </x:c>
      <x:c r="I16" s="14" t="n">
        <x:f>IF(AND(ISNUMBER(H16),E16&gt;0),H16/E16,"")</x:f>
        <x:v>19.16703891456687</x:v>
      </x:c>
      <x:c r="J16" s="12" t="n">
        <x:v>13510</x:v>
      </x:c>
      <x:c r="K16" s="13" t="n">
        <x:f>IF(AND(ISNUMBER(J16),F16&gt;0),J16/F16,"")</x:f>
        <x:v>0.1164845966149628</x:v>
      </x:c>
      <x:c r="L16" s="12"/>
      <x:c r="M16" s="12" t="n">
        <x:v>811</x:v>
      </x:c>
      <x:c r="N16" s="12" t="n">
        <x:v>92</x:v>
      </x:c>
      <x:c r="O16" s="12" t="n">
        <x:v>272</x:v>
      </x:c>
      <x:c r="P16" s="12" t="n">
        <x:v>6706</x:v>
      </x:c>
      <x:c r="Q16" s="13" t="n">
        <x:f>IF(AND(ISNUMBER(O16),P16&gt;0),O16/P16,"")</x:f>
        <x:v>0.04056069191768565</x:v>
      </x:c>
      <x:c r="R16" s="12" t="n">
        <x:v>1505</x:v>
      </x:c>
      <x:c r="S16" s="12" t="n">
        <x:v>1536</x:v>
      </x:c>
      <x:c r="T16" s="12" t="n">
        <x:v>1963</x:v>
      </x:c>
      <x:c r="U16" s="12" t="n">
        <x:v>1703</x:v>
      </x:c>
      <x:c r="V16" s="4" t="str">
        <x:f>IF(D16&lt;&gt;"原始汇总核实","未核实；排除合计",IF(F16=0,"无GV不可算",IF(AND(F16&gt;=30000,G16&lt;0.03),"高流量低转化",IF(AND(F16&gt;=3000,F16&lt;30000,G16&gt;=0.08),"高转化待扩流","常规"))))</x:f>
        <x:v>常规</x:v>
      </x:c>
      <x:c r="W16" s="4" t="str">
        <x:v>HYCHIKA Seghe per Trapano 19 Pezzi, Ø19mm-152mm</x:v>
      </x:c>
    </x:row>
    <x:row r="17" ht="22" customHeight="1">
      <x:c r="A17" s="4" t="str">
        <x:v>B0CGM1N7WJ</x:v>
      </x:c>
      <x:c r="B17" s="4" t="str">
        <x:v>SORAKO</x:v>
      </x:c>
      <x:c r="C17" s="4" t="str">
        <x:v>手动螺丝刀/工具套装</x:v>
      </x:c>
      <x:c r="D17" s="4" t="str">
        <x:v>原始汇总核实</x:v>
      </x:c>
      <x:c r="E17" s="12" t="n">
        <x:v>6285</x:v>
      </x:c>
      <x:c r="F17" s="12" t="n">
        <x:v>55679</x:v>
      </x:c>
      <x:c r="G17" s="13" t="n">
        <x:f>IF(F17&gt;0,E17/F17,"")</x:f>
        <x:v>0.11287918245658148</x:v>
      </x:c>
      <x:c r="H17" s="14" t="n">
        <x:v>72053.07</x:v>
      </x:c>
      <x:c r="I17" s="14" t="n">
        <x:f>IF(AND(ISNUMBER(H17),E17&gt;0),H17/E17,"")</x:f>
        <x:v>11.464291169451075</x:v>
      </x:c>
      <x:c r="J17" s="12" t="n">
        <x:v>3280</x:v>
      </x:c>
      <x:c r="K17" s="13" t="n">
        <x:f>IF(AND(ISNUMBER(J17),F17&gt;0),J17/F17,"")</x:f>
        <x:v>0.05890910397097649</x:v>
      </x:c>
      <x:c r="L17" s="12"/>
      <x:c r="M17" s="12" t="n">
        <x:v>42</x:v>
      </x:c>
      <x:c r="N17" s="12" t="n">
        <x:v>8</x:v>
      </x:c>
      <x:c r="O17" s="12" t="n">
        <x:v>112</x:v>
      </x:c>
      <x:c r="P17" s="12" t="n">
        <x:v>6302</x:v>
      </x:c>
      <x:c r="Q17" s="13" t="n">
        <x:f>IF(AND(ISNUMBER(O17),P17&gt;0),O17/P17,"")</x:f>
        <x:v>0.017772135829895272</x:v>
      </x:c>
      <x:c r="R17" s="12" t="n">
        <x:v>3466</x:v>
      </x:c>
      <x:c r="S17" s="12" t="n">
        <x:v>779</x:v>
      </x:c>
      <x:c r="T17" s="12" t="n">
        <x:v>171</x:v>
      </x:c>
      <x:c r="U17" s="12" t="n">
        <x:v>1869</x:v>
      </x:c>
      <x:c r="V17" s="4" t="str">
        <x:f>IF(D17&lt;&gt;"原始汇总核实","未核实；排除合计",IF(F17=0,"无GV不可算",IF(AND(F17&gt;=30000,G17&lt;0.03),"高流量低转化",IF(AND(F17&gt;=3000,F17&lt;30000,G17&gt;=0.08),"高转化待扩流","常规"))))</x:f>
        <x:v>常规</x:v>
      </x:c>
      <x:c r="W17" s="4" t="str">
        <x:v>SORAKO Set cacciaviti da 11 pezzi, Con smagnetizzazione 2 in 1, Borsa in nylon ad alta densità, punta magnetica, impugnatura professionale antiscivolo, con 5 punte piatte, 5 punte a croce</x:v>
      </x:c>
    </x:row>
    <x:row r="18" ht="22" customHeight="1">
      <x:c r="A18" s="4" t="str">
        <x:v>B0998L12KH</x:v>
      </x:c>
      <x:c r="B18" s="4" t="str">
        <x:v>HYCHIKA</x:v>
      </x:c>
      <x:c r="C18" s="4" t="str">
        <x:v>锯切/开孔及配件</x:v>
      </x:c>
      <x:c r="D18" s="4" t="str">
        <x:v>原始汇总核实</x:v>
      </x:c>
      <x:c r="E18" s="12" t="n">
        <x:v>6185</x:v>
      </x:c>
      <x:c r="F18" s="12" t="n">
        <x:v>98449</x:v>
      </x:c>
      <x:c r="G18" s="13" t="n">
        <x:f>IF(F18&gt;0,E18/F18,"")</x:f>
        <x:v>0.06282440654552103</x:v>
      </x:c>
      <x:c r="H18" s="14" t="n">
        <x:v>201120.24</x:v>
      </x:c>
      <x:c r="I18" s="14" t="n">
        <x:f>IF(AND(ISNUMBER(H18),E18&gt;0),H18/E18,"")</x:f>
        <x:v>32.51741956345998</x:v>
      </x:c>
      <x:c r="J18" s="12" t="n">
        <x:v>11955</x:v>
      </x:c>
      <x:c r="K18" s="13" t="n">
        <x:f>IF(AND(ISNUMBER(J18),F18&gt;0),J18/F18,"")</x:f>
        <x:v>0.12143343253867485</x:v>
      </x:c>
      <x:c r="L18" s="12"/>
      <x:c r="M18" s="12" t="n">
        <x:v>342</x:v>
      </x:c>
      <x:c r="N18" s="12" t="n">
        <x:v>121</x:v>
      </x:c>
      <x:c r="O18" s="12" t="n">
        <x:v>505</x:v>
      </x:c>
      <x:c r="P18" s="12" t="n">
        <x:v>6187</x:v>
      </x:c>
      <x:c r="Q18" s="13" t="n">
        <x:f>IF(AND(ISNUMBER(O18),P18&gt;0),O18/P18,"")</x:f>
        <x:v>0.08162275739453694</x:v>
      </x:c>
      <x:c r="R18" s="12" t="n">
        <x:v>1515</x:v>
      </x:c>
      <x:c r="S18" s="12" t="n">
        <x:v>1897</x:v>
      </x:c>
      <x:c r="T18" s="12" t="n">
        <x:v>1475</x:v>
      </x:c>
      <x:c r="U18" s="12" t="n">
        <x:v>1298</x:v>
      </x:c>
      <x:c r="V18" s="4" t="str">
        <x:f>IF(D18&lt;&gt;"原始汇总核实","未核实；排除合计",IF(F18=0,"无GV不可算",IF(AND(F18&gt;=30000,G18&lt;0.03),"高流量低转化",IF(AND(F18&gt;=3000,F18&lt;30000,G18&gt;=0.08),"高转化待扩流","常规"))))</x:f>
        <x:v>常规</x:v>
      </x:c>
      <x:c r="W18" s="4" t="str">
        <x:v>HYCHIKA Stichsäge, 800W Max Holz Schnitttiefe 110mm, 800-3000SPM</x:v>
      </x:c>
    </x:row>
    <x:row r="19" ht="22" customHeight="1">
      <x:c r="A19" s="4" t="str">
        <x:v>B07S4KB14N</x:v>
      </x:c>
      <x:c r="B19" s="4" t="str">
        <x:v>HYCHIKA</x:v>
      </x:c>
      <x:c r="C19" s="4" t="str">
        <x:v>锯切/开孔及配件</x:v>
      </x:c>
      <x:c r="D19" s="4" t="str">
        <x:v>原始汇总核实</x:v>
      </x:c>
      <x:c r="E19" s="12" t="n">
        <x:v>5754</x:v>
      </x:c>
      <x:c r="F19" s="12" t="n">
        <x:v>102310</x:v>
      </x:c>
      <x:c r="G19" s="13" t="n">
        <x:f>IF(F19&gt;0,E19/F19,"")</x:f>
        <x:v>0.056240836672857</x:v>
      </x:c>
      <x:c r="H19" s="14" t="n">
        <x:v>189689.73</x:v>
      </x:c>
      <x:c r="I19" s="14" t="n">
        <x:f>IF(AND(ISNUMBER(H19),E19&gt;0),H19/E19,"")</x:f>
        <x:v>32.96658498435871</x:v>
      </x:c>
      <x:c r="J19" s="12" t="n">
        <x:v>5693</x:v>
      </x:c>
      <x:c r="K19" s="13" t="n">
        <x:f>IF(AND(ISNUMBER(J19),F19&gt;0),J19/F19,"")</x:f>
        <x:v>0.055644609520086014</x:v>
      </x:c>
      <x:c r="L19" s="12"/>
      <x:c r="M19" s="12" t="n">
        <x:v>153</x:v>
      </x:c>
      <x:c r="N19" s="12" t="n">
        <x:v>26</x:v>
      </x:c>
      <x:c r="O19" s="12" t="n">
        <x:v>509</x:v>
      </x:c>
      <x:c r="P19" s="12" t="n">
        <x:v>5779</x:v>
      </x:c>
      <x:c r="Q19" s="13" t="n">
        <x:f>IF(AND(ISNUMBER(O19),P19&gt;0),O19/P19,"")</x:f>
        <x:v>0.08807752206264059</x:v>
      </x:c>
      <x:c r="R19" s="12" t="n">
        <x:v>1943</x:v>
      </x:c>
      <x:c r="S19" s="12" t="n">
        <x:v>1963</x:v>
      </x:c>
      <x:c r="T19" s="12" t="n">
        <x:v>975</x:v>
      </x:c>
      <x:c r="U19" s="12" t="n">
        <x:v>873</x:v>
      </x:c>
      <x:c r="V19" s="4" t="str">
        <x:f>IF(D19&lt;&gt;"原始汇总核实","未核实；排除合计",IF(F19=0,"无GV不可算",IF(AND(F19&gt;=30000,G19&lt;0.03),"高流量低转化",IF(AND(F19&gt;=3000,F19&lt;30000,G19&gt;=0.08),"高转化待扩流","常规"))))</x:f>
        <x:v>常规</x:v>
      </x:c>
      <x:c r="W19" s="4" t="str">
        <x:v>HYCHIKA Stichsäge, 800W Max Holz Schnitttiefe 110mm</x:v>
      </x:c>
    </x:row>
    <x:row r="20" ht="22" customHeight="1">
      <x:c r="A20" s="4" t="str">
        <x:v>B086SRGF6M</x:v>
      </x:c>
      <x:c r="B20" s="4" t="str">
        <x:v>HYCHIKA</x:v>
      </x:c>
      <x:c r="C20" s="4" t="str">
        <x:v>锯切/开孔及配件</x:v>
      </x:c>
      <x:c r="D20" s="4" t="str">
        <x:v>原始汇总核实</x:v>
      </x:c>
      <x:c r="E20" s="12" t="n">
        <x:v>5561</x:v>
      </x:c>
      <x:c r="F20" s="12" t="n">
        <x:v>91873</x:v>
      </x:c>
      <x:c r="G20" s="13" t="n">
        <x:f>IF(F20&gt;0,E20/F20,"")</x:f>
        <x:v>0.06052920879910311</x:v>
      </x:c>
      <x:c r="H20" s="14" t="n">
        <x:v>168146.29</x:v>
      </x:c>
      <x:c r="I20" s="14" t="n">
        <x:f>IF(AND(ISNUMBER(H20),E20&gt;0),H20/E20,"")</x:f>
        <x:v>30.236700233770907</x:v>
      </x:c>
      <x:c r="J20" s="12" t="n">
        <x:v>22394</x:v>
      </x:c>
      <x:c r="K20" s="13" t="n">
        <x:f>IF(AND(ISNUMBER(J20),F20&gt;0),J20/F20,"")</x:f>
        <x:v>0.24374952379915754</x:v>
      </x:c>
      <x:c r="L20" s="12"/>
      <x:c r="M20" s="12" t="n">
        <x:v>1267</x:v>
      </x:c>
      <x:c r="N20" s="12" t="n">
        <x:v>376</x:v>
      </x:c>
      <x:c r="O20" s="12" t="n">
        <x:v>132</x:v>
      </x:c>
      <x:c r="P20" s="12" t="n">
        <x:v>5534</x:v>
      </x:c>
      <x:c r="Q20" s="13" t="n">
        <x:f>IF(AND(ISNUMBER(O20),P20&gt;0),O20/P20,"")</x:f>
        <x:v>0.023852547885796892</x:v>
      </x:c>
      <x:c r="R20" s="12" t="n">
        <x:v>1441</x:v>
      </x:c>
      <x:c r="S20" s="12" t="n">
        <x:v>973</x:v>
      </x:c>
      <x:c r="T20" s="12" t="n">
        <x:v>1482</x:v>
      </x:c>
      <x:c r="U20" s="12" t="n">
        <x:v>1665</x:v>
      </x:c>
      <x:c r="V20" s="4" t="str">
        <x:f>IF(D20&lt;&gt;"原始汇总核实","未核实；排除合计",IF(F20=0,"无GV不可算",IF(AND(F20&gt;=30000,G20&lt;0.03),"高流量低转化",IF(AND(F20&gt;=3000,F20&lt;30000,G20&gt;=0.08),"高转化待扩流","常规"))))</x:f>
        <x:v>常规</x:v>
      </x:c>
      <x:c r="W20" s="4" t="str">
        <x:v>HYCHIKA Bimetall Lochsäge Set, 17tlg Lochbohrer Ø20mm-68mm, Maximale Schnitttiefe 40mm, Ideal zum Bohren von Weichmetall, Holz, PVC Platte und Kunststoffplatte</x:v>
      </x:c>
    </x:row>
    <x:row r="21" ht="22" customHeight="1">
      <x:c r="A21" s="4" t="str">
        <x:v>B0D4M1P52S</x:v>
      </x:c>
      <x:c r="B21" s="4" t="str">
        <x:v>HYCHIKA</x:v>
      </x:c>
      <x:c r="C21" s="4" t="str">
        <x:v>工作照明</x:v>
      </x:c>
      <x:c r="D21" s="4" t="str">
        <x:v>原始汇总核实</x:v>
      </x:c>
      <x:c r="E21" s="12" t="n">
        <x:v>4916</x:v>
      </x:c>
      <x:c r="F21" s="12" t="n">
        <x:v>41594</x:v>
      </x:c>
      <x:c r="G21" s="13" t="n">
        <x:f>IF(F21&gt;0,E21/F21,"")</x:f>
        <x:v>0.1181901235755157</x:v>
      </x:c>
      <x:c r="H21" s="14" t="n">
        <x:v>105981.8</x:v>
      </x:c>
      <x:c r="I21" s="14" t="n">
        <x:f>IF(AND(ISNUMBER(H21),E21&gt;0),H21/E21,"")</x:f>
        <x:v>21.558543531326283</x:v>
      </x:c>
      <x:c r="J21" s="12" t="n">
        <x:v>7655</x:v>
      </x:c>
      <x:c r="K21" s="13" t="n">
        <x:f>IF(AND(ISNUMBER(J21),F21&gt;0),J21/F21,"")</x:f>
        <x:v>0.18404096744722798</x:v>
      </x:c>
      <x:c r="L21" s="12"/>
      <x:c r="M21" s="12"/>
      <x:c r="N21" s="12"/>
      <x:c r="O21" s="12" t="n">
        <x:v>160</x:v>
      </x:c>
      <x:c r="P21" s="12" t="n">
        <x:v>4915</x:v>
      </x:c>
      <x:c r="Q21" s="13" t="n">
        <x:f>IF(AND(ISNUMBER(O21),P21&gt;0),O21/P21,"")</x:f>
        <x:v>0.03255340793489318</x:v>
      </x:c>
      <x:c r="R21" s="12" t="n">
        <x:v>2320</x:v>
      </x:c>
      <x:c r="S21" s="12" t="n">
        <x:v>1721</x:v>
      </x:c>
      <x:c r="T21" s="12" t="n">
        <x:v>406</x:v>
      </x:c>
      <x:c r="U21" s="12" t="n">
        <x:v>469</x:v>
      </x:c>
      <x:c r="V21" s="4" t="str">
        <x:f>IF(D21&lt;&gt;"原始汇总核实","未核实；排除合计",IF(F21=0,"无GV不可算",IF(AND(F21&gt;=30000,G21&lt;0.03),"高流量低转化",IF(AND(F21&gt;=3000,F21&lt;30000,G21&gt;=0.08),"高转化待扩流","常规"))))</x:f>
        <x:v>常规</x:v>
      </x:c>
      <x:c r="W21" s="4" t="str">
        <x:v>HYCHIKA LED Baustrahler, 50W 5500LM Arbeitsleuchte, IP65 Wasserdicht, 3M Kabel, Tragbar für Werkstatt, Baustelle, Garage, 6500K, Rot</x:v>
      </x:c>
    </x:row>
    <x:row r="22" ht="22" customHeight="1">
      <x:c r="A22" s="4" t="str">
        <x:v>B08DHP1D2X</x:v>
      </x:c>
      <x:c r="B22" s="4" t="str">
        <x:v>HYCHIKA</x:v>
      </x:c>
      <x:c r="C22" s="4" t="str">
        <x:v>打磨/旋转工具</x:v>
      </x:c>
      <x:c r="D22" s="4" t="str">
        <x:v>原始汇总核实</x:v>
      </x:c>
      <x:c r="E22" s="12" t="n">
        <x:v>4477</x:v>
      </x:c>
      <x:c r="F22" s="12" t="n">
        <x:v>80562</x:v>
      </x:c>
      <x:c r="G22" s="13" t="n">
        <x:f>IF(F22&gt;0,E22/F22,"")</x:f>
        <x:v>0.05557210595566148</x:v>
      </x:c>
      <x:c r="H22" s="14" t="n">
        <x:v>122388.6</x:v>
      </x:c>
      <x:c r="I22" s="14" t="n">
        <x:f>IF(AND(ISNUMBER(H22),E22&gt;0),H22/E22,"")</x:f>
        <x:v>27.33719008264463</x:v>
      </x:c>
      <x:c r="J22" s="12" t="n">
        <x:v>4705</x:v>
      </x:c>
      <x:c r="K22" s="13" t="n">
        <x:f>IF(AND(ISNUMBER(J22),F22&gt;0),J22/F22,"")</x:f>
        <x:v>0.058402224373774236</x:v>
      </x:c>
      <x:c r="L22" s="12"/>
      <x:c r="M22" s="12" t="n">
        <x:v>54</x:v>
      </x:c>
      <x:c r="N22" s="12" t="n">
        <x:v>14</x:v>
      </x:c>
      <x:c r="O22" s="12" t="n">
        <x:v>273</x:v>
      </x:c>
      <x:c r="P22" s="12" t="n">
        <x:v>4475</x:v>
      </x:c>
      <x:c r="Q22" s="13" t="n">
        <x:f>IF(AND(ISNUMBER(O22),P22&gt;0),O22/P22,"")</x:f>
        <x:v>0.06100558659217877</x:v>
      </x:c>
      <x:c r="R22" s="12" t="n">
        <x:v>658</x:v>
      </x:c>
      <x:c r="S22" s="12" t="n">
        <x:v>1769</x:v>
      </x:c>
      <x:c r="T22" s="12" t="n">
        <x:v>1230</x:v>
      </x:c>
      <x:c r="U22" s="12" t="n">
        <x:v>820</x:v>
      </x:c>
      <x:c r="V22" s="4" t="str">
        <x:f>IF(D22&lt;&gt;"原始汇总核实","未核实；排除合计",IF(F22=0,"无GV不可算",IF(AND(F22&gt;=30000,G22&lt;0.03),"高流量低转化",IF(AND(F22&gt;=3000,F22&lt;30000,G22&gt;=0.08),"高转化待扩流","常规"))))</x:f>
        <x:v>常规</x:v>
      </x:c>
      <x:c r="W22" s="4" t="str">
        <x:v>HYCHIKA Lijadora Orbital 300W, 6 Velocidad 13000RPM, Motor Cobre.</x:v>
      </x:c>
    </x:row>
    <x:row r="23" ht="22" customHeight="1">
      <x:c r="A23" s="4" t="str">
        <x:v>B0F1F6W85W</x:v>
      </x:c>
      <x:c r="B23" s="4" t="str">
        <x:v>HYCHIKA</x:v>
      </x:c>
      <x:c r="C23" s="4" t="str">
        <x:v>口腔护理</x:v>
      </x:c>
      <x:c r="D23" s="4" t="str">
        <x:v>原始汇总核实</x:v>
      </x:c>
      <x:c r="E23" s="12" t="n">
        <x:v>4137</x:v>
      </x:c>
      <x:c r="F23" s="12" t="n">
        <x:v>56717</x:v>
      </x:c>
      <x:c r="G23" s="13" t="n">
        <x:f>IF(F23&gt;0,E23/F23,"")</x:f>
        <x:v>0.07294109349930356</x:v>
      </x:c>
      <x:c r="H23" s="14" t="n">
        <x:v>58371.88</x:v>
      </x:c>
      <x:c r="I23" s="14" t="n">
        <x:f>IF(AND(ISNUMBER(H23),E23&gt;0),H23/E23,"")</x:f>
        <x:v>14.109712351945854</x:v>
      </x:c>
      <x:c r="J23" s="12" t="n">
        <x:v>12405</x:v>
      </x:c>
      <x:c r="K23" s="13" t="n">
        <x:f>IF(AND(ISNUMBER(J23),F23&gt;0),J23/F23,"")</x:f>
        <x:v>0.2187174921099494</x:v>
      </x:c>
      <x:c r="L23" s="12"/>
      <x:c r="M23" s="12" t="n">
        <x:v>595</x:v>
      </x:c>
      <x:c r="N23" s="12" t="n">
        <x:v>115</x:v>
      </x:c>
      <x:c r="O23" s="12" t="n">
        <x:v>142</x:v>
      </x:c>
      <x:c r="P23" s="12" t="n">
        <x:v>4133</x:v>
      </x:c>
      <x:c r="Q23" s="13" t="n">
        <x:f>IF(AND(ISNUMBER(O23),P23&gt;0),O23/P23,"")</x:f>
        <x:v>0.034357609484635857</x:v>
      </x:c>
      <x:c r="R23" s="12" t="n">
        <x:v>1239</x:v>
      </x:c>
      <x:c r="S23" s="12" t="n">
        <x:v>1473</x:v>
      </x:c>
      <x:c r="T23" s="12" t="n">
        <x:v>706</x:v>
      </x:c>
      <x:c r="U23" s="12" t="n">
        <x:v>719</x:v>
      </x:c>
      <x:c r="V23" s="4" t="str">
        <x:f>IF(D23&lt;&gt;"原始汇总核实","未核实；排除合计",IF(F23=0,"无GV不可算",IF(AND(F23&gt;=30000,G23&lt;0.03),"高流量低转化",IF(AND(F23&gt;=3000,F23&lt;30000,G23&gt;=0.08),"高转化待扩流","常规"))))</x:f>
        <x:v>常规</x:v>
      </x:c>
      <x:c r="W23" s="4" t="str">
        <x:v>Spazzolino elettrico sonico per adulti, batteria ricaricabile con durata di 240 giorni,2500mAh,spazzolino con 3 modalità di pulizia,impermeabile IPX7,8 testine di ricambio,timer da 2 minuti,nero</x:v>
      </x:c>
    </x:row>
    <x:row r="24" ht="22" customHeight="1">
      <x:c r="A24" s="4" t="str">
        <x:v>B0BWXJ6DF3</x:v>
      </x:c>
      <x:c r="B24" s="4" t="str">
        <x:v>HYCHIKA</x:v>
      </x:c>
      <x:c r="C24" s="4" t="str">
        <x:v>电动螺丝刀</x:v>
      </x:c>
      <x:c r="D24" s="4" t="str">
        <x:v>原始汇总核实</x:v>
      </x:c>
      <x:c r="E24" s="12" t="n">
        <x:v>4051</x:v>
      </x:c>
      <x:c r="F24" s="12" t="n">
        <x:v>103536</x:v>
      </x:c>
      <x:c r="G24" s="13" t="n">
        <x:f>IF(F24&gt;0,E24/F24,"")</x:f>
        <x:v>0.03912648740534693</x:v>
      </x:c>
      <x:c r="H24" s="14" t="n">
        <x:v>76844.72</x:v>
      </x:c>
      <x:c r="I24" s="14" t="n">
        <x:f>IF(AND(ISNUMBER(H24),E24&gt;0),H24/E24,"")</x:f>
        <x:v>18.969321155270304</x:v>
      </x:c>
      <x:c r="J24" s="12" t="n">
        <x:v>2679</x:v>
      </x:c>
      <x:c r="K24" s="13" t="n">
        <x:f>IF(AND(ISNUMBER(J24),F24&gt;0),J24/F24,"")</x:f>
        <x:v>0.025875057950857674</x:v>
      </x:c>
      <x:c r="L24" s="12"/>
      <x:c r="M24" s="12" t="n">
        <x:v>221</x:v>
      </x:c>
      <x:c r="N24" s="12" t="n">
        <x:v>78</x:v>
      </x:c>
      <x:c r="O24" s="12" t="n">
        <x:v>229</x:v>
      </x:c>
      <x:c r="P24" s="12" t="n">
        <x:v>4045</x:v>
      </x:c>
      <x:c r="Q24" s="13" t="n">
        <x:f>IF(AND(ISNUMBER(O24),P24&gt;0),O24/P24,"")</x:f>
        <x:v>0.05661310259579728</x:v>
      </x:c>
      <x:c r="R24" s="12" t="n">
        <x:v>995</x:v>
      </x:c>
      <x:c r="S24" s="12" t="n">
        <x:v>1445</x:v>
      </x:c>
      <x:c r="T24" s="12" t="n">
        <x:v>912</x:v>
      </x:c>
      <x:c r="U24" s="12" t="n">
        <x:v>699</x:v>
      </x:c>
      <x:c r="V24" s="4" t="str">
        <x:f>IF(D24&lt;&gt;"原始汇总核实","未核实；排除合计",IF(F24=0,"无GV不可算",IF(AND(F24&gt;=30000,G24&lt;0.03),"高流量低转化",IF(AND(F24&gt;=3000,F24&lt;30000,G24&gt;=0.08),"高转化待扩流","常规"))))</x:f>
        <x:v>常规</x:v>
      </x:c>
      <x:c r="W24" s="4" t="str">
        <x:v>HYCHIKA Destornillador Eléctrico 6Nm, Bateria 3.6V 2,0 Ah, LED Luz, Carga Cable Tipo C, 20 Accesorios, Para Reparaciones en El Hogar</x:v>
      </x:c>
    </x:row>
    <x:row r="25" ht="22" customHeight="1">
      <x:c r="A25" s="4" t="str">
        <x:v>B0CQYQD426</x:v>
      </x:c>
      <x:c r="B25" s="4" t="str">
        <x:v>HYCHIKA</x:v>
      </x:c>
      <x:c r="C25" s="4" t="str">
        <x:v>激光测量</x:v>
      </x:c>
      <x:c r="D25" s="4" t="str">
        <x:v>原始汇总核实</x:v>
      </x:c>
      <x:c r="E25" s="12" t="n">
        <x:v>3978</x:v>
      </x:c>
      <x:c r="F25" s="12" t="n">
        <x:v>41018</x:v>
      </x:c>
      <x:c r="G25" s="13" t="n">
        <x:f>IF(F25&gt;0,E25/F25,"")</x:f>
        <x:v>0.09698181286264566</x:v>
      </x:c>
      <x:c r="H25" s="14" t="n">
        <x:v>85318.8</x:v>
      </x:c>
      <x:c r="I25" s="14" t="n">
        <x:f>IF(AND(ISNUMBER(H25),E25&gt;0),H25/E25,"")</x:f>
        <x:v>21.44766214177979</x:v>
      </x:c>
      <x:c r="J25" s="12" t="n">
        <x:v>6676</x:v>
      </x:c>
      <x:c r="K25" s="13" t="n">
        <x:f>IF(AND(ISNUMBER(J25),F25&gt;0),J25/F25,"")</x:f>
        <x:v>0.16275781364279096</x:v>
      </x:c>
      <x:c r="L25" s="12"/>
      <x:c r="M25" s="12"/>
      <x:c r="N25" s="12"/>
      <x:c r="O25" s="12" t="n">
        <x:v>340</x:v>
      </x:c>
      <x:c r="P25" s="12" t="n">
        <x:v>3977</x:v>
      </x:c>
      <x:c r="Q25" s="13" t="n">
        <x:f>IF(AND(ISNUMBER(O25),P25&gt;0),O25/P25,"")</x:f>
        <x:v>0.0854915765652502</x:v>
      </x:c>
      <x:c r="R25" s="12" t="n">
        <x:v>1429</x:v>
      </x:c>
      <x:c r="S25" s="12" t="n">
        <x:v>910</x:v>
      </x:c>
      <x:c r="T25" s="12" t="n">
        <x:v>924</x:v>
      </x:c>
      <x:c r="U25" s="12" t="n">
        <x:v>715</x:v>
      </x:c>
      <x:c r="V25" s="4" t="str">
        <x:f>IF(D25&lt;&gt;"原始汇总核实","未核实；排除合计",IF(F25=0,"无GV不可算",IF(AND(F25&gt;=30000,G25&lt;0.03),"高流量低转化",IF(AND(F25&gt;=3000,F25&lt;30000,G25&gt;=0.08),"高转化待扩流","常规"))))</x:f>
        <x:v>常规</x:v>
      </x:c>
      <x:c r="W25" s="4" t="str">
        <x:v>HYCHIKA Metro Laser - Misuratore Laser Tipo C Ricaricabile 60M Telemetro Laser Con Retroilluminazione Lcd M/In/Ft Modalità Di Misurazione Multipla Misurazioni Di Volume Area Distanza Pitagora</x:v>
      </x:c>
    </x:row>
    <x:row r="26" ht="22" customHeight="1">
      <x:c r="A26" s="4" t="str">
        <x:v>B0BZDBR3WM</x:v>
      </x:c>
      <x:c r="B26" s="4" t="str">
        <x:v>SORAKO</x:v>
      </x:c>
      <x:c r="C26" s="4" t="str">
        <x:v>手动螺丝刀/工具套装</x:v>
      </x:c>
      <x:c r="D26" s="4" t="str">
        <x:v>原始汇总核实</x:v>
      </x:c>
      <x:c r="E26" s="12" t="n">
        <x:v>3971</x:v>
      </x:c>
      <x:c r="F26" s="12" t="n">
        <x:v>97290</x:v>
      </x:c>
      <x:c r="G26" s="13" t="n">
        <x:f>IF(F26&gt;0,E26/F26,"")</x:f>
        <x:v>0.040816116764312876</x:v>
      </x:c>
      <x:c r="H26" s="14" t="n">
        <x:v>124755.64</x:v>
      </x:c>
      <x:c r="I26" s="14" t="n">
        <x:f>IF(AND(ISNUMBER(H26),E26&gt;0),H26/E26,"")</x:f>
        <x:v>31.41668093679174</x:v>
      </x:c>
      <x:c r="J26" s="12" t="n">
        <x:v>8549</x:v>
      </x:c>
      <x:c r="K26" s="13" t="n">
        <x:f>IF(AND(ISNUMBER(J26),F26&gt;0),J26/F26,"")</x:f>
        <x:v>0.08787131257066502</x:v>
      </x:c>
      <x:c r="L26" s="12"/>
      <x:c r="M26" s="12" t="n">
        <x:v>560</x:v>
      </x:c>
      <x:c r="N26" s="12" t="n">
        <x:v>115</x:v>
      </x:c>
      <x:c r="O26" s="12" t="n">
        <x:v>73</x:v>
      </x:c>
      <x:c r="P26" s="12" t="n">
        <x:v>3969</x:v>
      </x:c>
      <x:c r="Q26" s="13" t="n">
        <x:f>IF(AND(ISNUMBER(O26),P26&gt;0),O26/P26,"")</x:f>
        <x:v>0.01839254220206601</x:v>
      </x:c>
      <x:c r="R26" s="12" t="n">
        <x:v>1647</x:v>
      </x:c>
      <x:c r="S26" s="12" t="n">
        <x:v>849</x:v>
      </x:c>
      <x:c r="T26" s="12" t="n">
        <x:v>860</x:v>
      </x:c>
      <x:c r="U26" s="12" t="n">
        <x:v>615</x:v>
      </x:c>
      <x:c r="V26" s="4" t="str">
        <x:f>IF(D26&lt;&gt;"原始汇总核实","未核实；排除合计",IF(F26=0,"无GV不可算",IF(AND(F26&gt;=30000,G26&lt;0.03),"高流量低转化",IF(AND(F26&gt;=3000,F26&lt;30000,G26&gt;=0.08),"高转化待扩流","常规"))))</x:f>
        <x:v>常规</x:v>
      </x:c>
      <x:c r="W26" s="4" t="str">
        <x:v>SORAKO Set di Cacciaviti Professionali 118 Pezzi, con Cricchetto</x:v>
      </x:c>
    </x:row>
    <x:row r="27" ht="22" customHeight="1">
      <x:c r="A27" s="4" t="str">
        <x:v>B0FL7TKJL3</x:v>
      </x:c>
      <x:c r="B27" s="4" t="str">
        <x:v>HYCHIKA</x:v>
      </x:c>
      <x:c r="C27" s="4" t="str">
        <x:v>扳手/汽修</x:v>
      </x:c>
      <x:c r="D27" s="4" t="str">
        <x:v>原始汇总核实</x:v>
      </x:c>
      <x:c r="E27" s="12" t="n">
        <x:v>3894</x:v>
      </x:c>
      <x:c r="F27" s="12" t="n">
        <x:v>110206</x:v>
      </x:c>
      <x:c r="G27" s="13" t="n">
        <x:f>IF(F27&gt;0,E27/F27,"")</x:f>
        <x:v>0.03533382937408126</x:v>
      </x:c>
      <x:c r="H27" s="14" t="n">
        <x:v>93974.84</x:v>
      </x:c>
      <x:c r="I27" s="14" t="n">
        <x:f>IF(AND(ISNUMBER(H27),E27&gt;0),H27/E27,"")</x:f>
        <x:v>24.133240883410373</x:v>
      </x:c>
      <x:c r="J27" s="12" t="n">
        <x:v>2536</x:v>
      </x:c>
      <x:c r="K27" s="13" t="n">
        <x:f>IF(AND(ISNUMBER(J27),F27&gt;0),J27/F27,"")</x:f>
        <x:v>0.02301145128214435</x:v>
      </x:c>
      <x:c r="L27" s="12"/>
      <x:c r="M27" s="12" t="n">
        <x:v>267</x:v>
      </x:c>
      <x:c r="N27" s="12" t="n">
        <x:v>18</x:v>
      </x:c>
      <x:c r="O27" s="12" t="n">
        <x:v>173</x:v>
      </x:c>
      <x:c r="P27" s="12" t="n">
        <x:v>3868</x:v>
      </x:c>
      <x:c r="Q27" s="13" t="n">
        <x:f>IF(AND(ISNUMBER(O27),P27&gt;0),O27/P27,"")</x:f>
        <x:v>0.044725956566701135</x:v>
      </x:c>
      <x:c r="R27" s="12" t="n">
        <x:v>106</x:v>
      </x:c>
      <x:c r="S27" s="12" t="n">
        <x:v>520</x:v>
      </x:c>
      <x:c r="T27" s="12" t="n">
        <x:v>1865</x:v>
      </x:c>
      <x:c r="U27" s="12" t="n">
        <x:v>1403</x:v>
      </x:c>
      <x:c r="V27" s="4" t="str">
        <x:f>IF(D27&lt;&gt;"原始汇总核实","未核实；排除合计",IF(F27=0,"无GV不可算",IF(AND(F27&gt;=30000,G27&lt;0.03),"高流量低转化",IF(AND(F27&gt;=3000,F27&lt;30000,G27&gt;=0.08),"高转化待扩流","常规"))))</x:f>
        <x:v>常规</x:v>
      </x:c>
      <x:c r="W27" s="4" t="str">
        <x:v>HYCHIKA Llaves Dinamométricas 1/4", Precisión ±2%, 5-25Nm.</x:v>
      </x:c>
    </x:row>
    <x:row r="28" ht="22" customHeight="1">
      <x:c r="A28" s="4" t="str">
        <x:v>B0F215BDYQ</x:v>
      </x:c>
      <x:c r="B28" s="4" t="str">
        <x:v>HYCHIKA</x:v>
      </x:c>
      <x:c r="C28" s="4" t="str">
        <x:v>激光测量</x:v>
      </x:c>
      <x:c r="D28" s="4" t="str">
        <x:v>原始汇总核实</x:v>
      </x:c>
      <x:c r="E28" s="12" t="n">
        <x:v>3666</x:v>
      </x:c>
      <x:c r="F28" s="12" t="n">
        <x:v>82867</x:v>
      </x:c>
      <x:c r="G28" s="13" t="n">
        <x:f>IF(F28&gt;0,E28/F28,"")</x:f>
        <x:v>0.044239564603521304</x:v>
      </x:c>
      <x:c r="H28" s="14" t="n">
        <x:v>123487.97</x:v>
      </x:c>
      <x:c r="I28" s="14" t="n">
        <x:f>IF(AND(ISNUMBER(H28),E28&gt;0),H28/E28,"")</x:f>
        <x:v>33.684661756683035</x:v>
      </x:c>
      <x:c r="J28" s="12" t="n">
        <x:v>6466</x:v>
      </x:c>
      <x:c r="K28" s="13" t="n">
        <x:f>IF(AND(ISNUMBER(J28),F28&gt;0),J28/F28,"")</x:f>
        <x:v>0.07802864831597621</x:v>
      </x:c>
      <x:c r="L28" s="12"/>
      <x:c r="M28" s="12" t="n">
        <x:v>197</x:v>
      </x:c>
      <x:c r="N28" s="12" t="n">
        <x:v>40</x:v>
      </x:c>
      <x:c r="O28" s="12" t="n">
        <x:v>409</x:v>
      </x:c>
      <x:c r="P28" s="12" t="n">
        <x:v>3641</x:v>
      </x:c>
      <x:c r="Q28" s="13" t="n">
        <x:f>IF(AND(ISNUMBER(O28),P28&gt;0),O28/P28,"")</x:f>
        <x:v>0.11233177698434496</x:v>
      </x:c>
      <x:c r="R28" s="12" t="n">
        <x:v>928</x:v>
      </x:c>
      <x:c r="S28" s="12" t="n">
        <x:v>860</x:v>
      </x:c>
      <x:c r="T28" s="12" t="n">
        <x:v>766</x:v>
      </x:c>
      <x:c r="U28" s="12" t="n">
        <x:v>1112</x:v>
      </x:c>
      <x:c r="V28" s="4" t="str">
        <x:f>IF(D28&lt;&gt;"原始汇总核实","未核实；排除合计",IF(F28=0,"无GV不可算",IF(AND(F28&gt;=30000,G28&lt;0.03),"高流量低转化",IF(AND(F28&gt;=3000,F28&lt;30000,G28&gt;=0.08),"高转化待扩流","常规"))))</x:f>
        <x:v>常规</x:v>
      </x:c>
      <x:c r="W28" s="4" t="str">
        <x:v>HYCHIKA Nivel Laser Autonivelante con Tripode, Verde Horizontal y Vertical Nivel Láser, Láser de Línea con Bolsa de Transporte y 2 Baterías AA, para Decoración del Hogar, Bricolaje</x:v>
      </x:c>
    </x:row>
    <x:row r="29" ht="22" customHeight="1">
      <x:c r="A29" s="4" t="str">
        <x:v>B0CYZCGXM3</x:v>
      </x:c>
      <x:c r="B29" s="4" t="str">
        <x:v>HYCHIKA</x:v>
      </x:c>
      <x:c r="C29" s="4" t="str">
        <x:v>打磨/旋转工具</x:v>
      </x:c>
      <x:c r="D29" s="4" t="str">
        <x:v>原始汇总核实</x:v>
      </x:c>
      <x:c r="E29" s="12" t="n">
        <x:v>3615</x:v>
      </x:c>
      <x:c r="F29" s="12" t="n">
        <x:v>60028</x:v>
      </x:c>
      <x:c r="G29" s="13" t="n">
        <x:f>IF(F29&gt;0,E29/F29,"")</x:f>
        <x:v>0.06022189644832412</x:v>
      </x:c>
      <x:c r="H29" s="14" t="n">
        <x:v>75963.94</x:v>
      </x:c>
      <x:c r="I29" s="14" t="n">
        <x:f>IF(AND(ISNUMBER(H29),E29&gt;0),H29/E29,"")</x:f>
        <x:v>21.013538035961272</x:v>
      </x:c>
      <x:c r="J29" s="12" t="n">
        <x:v>7289</x:v>
      </x:c>
      <x:c r="K29" s="13" t="n">
        <x:f>IF(AND(ISNUMBER(J29),F29&gt;0),J29/F29,"")</x:f>
        <x:v>0.12142666755514094</x:v>
      </x:c>
      <x:c r="L29" s="12"/>
      <x:c r="M29" s="12" t="n">
        <x:v>790</x:v>
      </x:c>
      <x:c r="N29" s="12" t="n">
        <x:v>256</x:v>
      </x:c>
      <x:c r="O29" s="12" t="n">
        <x:v>210</x:v>
      </x:c>
      <x:c r="P29" s="12" t="n">
        <x:v>3583</x:v>
      </x:c>
      <x:c r="Q29" s="13" t="n">
        <x:f>IF(AND(ISNUMBER(O29),P29&gt;0),O29/P29,"")</x:f>
        <x:v>0.05861010326542004</x:v>
      </x:c>
      <x:c r="R29" s="12" t="n">
        <x:v>459</x:v>
      </x:c>
      <x:c r="S29" s="12" t="n">
        <x:v>885</x:v>
      </x:c>
      <x:c r="T29" s="12" t="n">
        <x:v>867</x:v>
      </x:c>
      <x:c r="U29" s="12" t="n">
        <x:v>1404</x:v>
      </x:c>
      <x:c r="V29" s="4" t="str">
        <x:f>IF(D29&lt;&gt;"原始汇总核实","未核实；排除合计",IF(F29=0,"无GV不可算",IF(AND(F29&gt;=30000,G29&lt;0.03),"高流量低转化",IF(AND(F29&gt;=3000,F29&lt;30000,G29&gt;=0.08),"高转化待扩流","常规"))))</x:f>
        <x:v>常规</x:v>
      </x:c>
      <x:c r="W29" s="4" t="str">
        <x:v>HYCHIKA Schleifmaschine, 140W Deltaschleifer, 13000 OPM.</x:v>
      </x:c>
    </x:row>
    <x:row r="30" ht="22" customHeight="1">
      <x:c r="A30" s="4" t="str">
        <x:v>B0F5B71822</x:v>
      </x:c>
      <x:c r="B30" s="4" t="str">
        <x:v>HYCHIKA</x:v>
      </x:c>
      <x:c r="C30" s="4" t="str">
        <x:v>打磨/旋转工具</x:v>
      </x:c>
      <x:c r="D30" s="4" t="str">
        <x:v>原始汇总核实</x:v>
      </x:c>
      <x:c r="E30" s="12" t="n">
        <x:v>3597</x:v>
      </x:c>
      <x:c r="F30" s="12" t="n">
        <x:v>93788</x:v>
      </x:c>
      <x:c r="G30" s="13" t="n">
        <x:f>IF(F30&gt;0,E30/F30,"")</x:f>
        <x:v>0.03835245447178744</x:v>
      </x:c>
      <x:c r="H30" s="14" t="n">
        <x:v>105043.56</x:v>
      </x:c>
      <x:c r="I30" s="14" t="n">
        <x:f>IF(AND(ISNUMBER(H30),E30&gt;0),H30/E30,"")</x:f>
        <x:v>29.203102585487905</x:v>
      </x:c>
      <x:c r="J30" s="12" t="n">
        <x:v>6010</x:v>
      </x:c>
      <x:c r="K30" s="13" t="n">
        <x:f>IF(AND(ISNUMBER(J30),F30&gt;0),J30/F30,"")</x:f>
        <x:v>0.0640806926259223</x:v>
      </x:c>
      <x:c r="L30" s="12"/>
      <x:c r="M30" s="12" t="n">
        <x:v>316</x:v>
      </x:c>
      <x:c r="N30" s="12" t="n">
        <x:v>10</x:v>
      </x:c>
      <x:c r="O30" s="12" t="n">
        <x:v>197</x:v>
      </x:c>
      <x:c r="P30" s="12" t="n">
        <x:v>3594</x:v>
      </x:c>
      <x:c r="Q30" s="13" t="n">
        <x:f>IF(AND(ISNUMBER(O30),P30&gt;0),O30/P30,"")</x:f>
        <x:v>0.05481357818586533</x:v>
      </x:c>
      <x:c r="R30" s="12" t="n">
        <x:v>1267</x:v>
      </x:c>
      <x:c r="S30" s="12" t="n">
        <x:v>834</x:v>
      </x:c>
      <x:c r="T30" s="12" t="n">
        <x:v>950</x:v>
      </x:c>
      <x:c r="U30" s="12" t="n">
        <x:v>546</x:v>
      </x:c>
      <x:c r="V30" s="4" t="str">
        <x:f>IF(D30&lt;&gt;"原始汇总核实","未核实；排除合计",IF(F30=0,"无GV不可算",IF(AND(F30&gt;=30000,G30&lt;0.03),"高流量低转化",IF(AND(F30&gt;=3000,F30&lt;30000,G30&gt;=0.08),"高转化待扩流","常规"))))</x:f>
        <x:v>常规</x:v>
      </x:c>
      <x:c r="W30" s="4" t="str">
        <x:v>HYCHIKA Utensile Rotante 150W con affilacatene,7 vel 10.000-33.000 giri/min</x:v>
      </x:c>
    </x:row>
    <x:row r="31" ht="22" customHeight="1">
      <x:c r="A31" s="4" t="str">
        <x:v>B0FL7GNPQF</x:v>
      </x:c>
      <x:c r="B31" s="4" t="str">
        <x:v>HYCHIKA</x:v>
      </x:c>
      <x:c r="C31" s="4" t="str">
        <x:v>扳手/汽修</x:v>
      </x:c>
      <x:c r="D31" s="4" t="str">
        <x:v>原始汇总核实</x:v>
      </x:c>
      <x:c r="E31" s="12" t="n">
        <x:v>3513</x:v>
      </x:c>
      <x:c r="F31" s="12" t="n">
        <x:v>82686</x:v>
      </x:c>
      <x:c r="G31" s="13" t="n">
        <x:f>IF(F31&gt;0,E31/F31,"")</x:f>
        <x:v>0.04248603149263479</x:v>
      </x:c>
      <x:c r="H31" s="14" t="n">
        <x:v>91710.95</x:v>
      </x:c>
      <x:c r="I31" s="14" t="n">
        <x:f>IF(AND(ISNUMBER(H31),E31&gt;0),H31/E31,"")</x:f>
        <x:v>26.106162823797323</x:v>
      </x:c>
      <x:c r="J31" s="12" t="n">
        <x:v>419</x:v>
      </x:c>
      <x:c r="K31" s="13" t="n">
        <x:f>IF(AND(ISNUMBER(J31),F31&gt;0),J31/F31,"")</x:f>
        <x:v>0.005067363277943062</x:v>
      </x:c>
      <x:c r="L31" s="12"/>
      <x:c r="M31" s="12" t="n">
        <x:v>47</x:v>
      </x:c>
      <x:c r="N31" s="12" t="n">
        <x:v>4</x:v>
      </x:c>
      <x:c r="O31" s="12" t="n">
        <x:v>158</x:v>
      </x:c>
      <x:c r="P31" s="12" t="n">
        <x:v>3500</x:v>
      </x:c>
      <x:c r="Q31" s="13" t="n">
        <x:f>IF(AND(ISNUMBER(O31),P31&gt;0),O31/P31,"")</x:f>
        <x:v>0.045142857142857144</x:v>
      </x:c>
      <x:c r="R31" s="12" t="n">
        <x:v>76</x:v>
      </x:c>
      <x:c r="S31" s="12" t="n">
        <x:v>661</x:v>
      </x:c>
      <x:c r="T31" s="12" t="n">
        <x:v>1242</x:v>
      </x:c>
      <x:c r="U31" s="12" t="n">
        <x:v>1534</x:v>
      </x:c>
      <x:c r="V31" s="4" t="str">
        <x:f>IF(D31&lt;&gt;"原始汇总核实","未核实；排除合计",IF(F31=0,"无GV不可算",IF(AND(F31&gt;=30000,G31&lt;0.03),"高流量低转化",IF(AND(F31&gt;=3000,F31&lt;30000,G31&gt;=0.08),"高转化待扩流","常规"))))</x:f>
        <x:v>常规</x:v>
      </x:c>
      <x:c r="W31" s="4" t="str">
        <x:v>HYCHIKA Llave Dinamométrica 3/8" 10-60Nm, Precisión ±2%, 72 Dientes</x:v>
      </x:c>
    </x:row>
    <x:row r="32" ht="22" customHeight="1">
      <x:c r="A32" s="4" t="str">
        <x:v>B0FL7FQD6Q</x:v>
      </x:c>
      <x:c r="B32" s="4" t="str">
        <x:v>HYCHIKA</x:v>
      </x:c>
      <x:c r="C32" s="4" t="str">
        <x:v>扳手/汽修</x:v>
      </x:c>
      <x:c r="D32" s="4" t="str">
        <x:v>原始汇总核实</x:v>
      </x:c>
      <x:c r="E32" s="12" t="n">
        <x:v>3506</x:v>
      </x:c>
      <x:c r="F32" s="12" t="n">
        <x:v>98761</x:v>
      </x:c>
      <x:c r="G32" s="13" t="n">
        <x:f>IF(F32&gt;0,E32/F32,"")</x:f>
        <x:v>0.035499843055457114</x:v>
      </x:c>
      <x:c r="H32" s="14" t="n">
        <x:v>119600.06</x:v>
      </x:c>
      <x:c r="I32" s="14" t="n">
        <x:f>IF(AND(ISNUMBER(H32),E32&gt;0),H32/E32,"")</x:f>
        <x:v>34.112966343411294</x:v>
      </x:c>
      <x:c r="J32" s="12" t="n">
        <x:v>604</x:v>
      </x:c>
      <x:c r="K32" s="13" t="n">
        <x:f>IF(AND(ISNUMBER(J32),F32&gt;0),J32/F32,"")</x:f>
        <x:v>0.006115774445378236</x:v>
      </x:c>
      <x:c r="L32" s="12"/>
      <x:c r="M32" s="12" t="n">
        <x:v>29</x:v>
      </x:c>
      <x:c r="N32" s="12" t="n">
        <x:v>4</x:v>
      </x:c>
      <x:c r="O32" s="12" t="n">
        <x:v>160</x:v>
      </x:c>
      <x:c r="P32" s="12" t="n">
        <x:v>3495</x:v>
      </x:c>
      <x:c r="Q32" s="13" t="n">
        <x:f>IF(AND(ISNUMBER(O32),P32&gt;0),O32/P32,"")</x:f>
        <x:v>0.045779685264663805</x:v>
      </x:c>
      <x:c r="R32" s="12" t="n">
        <x:v>122</x:v>
      </x:c>
      <x:c r="S32" s="12" t="n">
        <x:v>663</x:v>
      </x:c>
      <x:c r="T32" s="12" t="n">
        <x:v>1584</x:v>
      </x:c>
      <x:c r="U32" s="12" t="n">
        <x:v>1137</x:v>
      </x:c>
      <x:c r="V32" s="4" t="str">
        <x:f>IF(D32&lt;&gt;"原始汇总核实","未核实；排除合计",IF(F32=0,"无GV不可算",IF(AND(F32&gt;=30000,G32&lt;0.03),"高流量低转化",IF(AND(F32&gt;=3000,F32&lt;30000,G32&gt;=0.08),"高转化待扩流","常规"))))</x:f>
        <x:v>常规</x:v>
      </x:c>
      <x:c r="W32" s="4" t="str">
        <x:v>HYCHIKA Llave Dinamométrica 1/2" 40-220Nm, Precisión ±2%, 72 Dientes</x:v>
      </x:c>
    </x:row>
    <x:row r="33" ht="22" customHeight="1">
      <x:c r="A33" s="4" t="str">
        <x:v>B0BBKGF7PN</x:v>
      </x:c>
      <x:c r="B33" s="4" t="str">
        <x:v>HYCHIKA</x:v>
      </x:c>
      <x:c r="C33" s="4" t="str">
        <x:v>锯切/开孔及配件</x:v>
      </x:c>
      <x:c r="D33" s="4" t="str">
        <x:v>原始汇总核实</x:v>
      </x:c>
      <x:c r="E33" s="12" t="n">
        <x:v>3300</x:v>
      </x:c>
      <x:c r="F33" s="12" t="n">
        <x:v>59330</x:v>
      </x:c>
      <x:c r="G33" s="13" t="n">
        <x:f>IF(F33&gt;0,E33/F33,"")</x:f>
        <x:v>0.055621102309118486</x:v>
      </x:c>
      <x:c r="H33" s="14" t="n">
        <x:v>56671.94</x:v>
      </x:c>
      <x:c r="I33" s="14" t="n">
        <x:f>IF(AND(ISNUMBER(H33),E33&gt;0),H33/E33,"")</x:f>
        <x:v>17.17331515151515</x:v>
      </x:c>
      <x:c r="J33" s="12" t="n">
        <x:v>10345</x:v>
      </x:c>
      <x:c r="K33" s="13" t="n">
        <x:f>IF(AND(ISNUMBER(J33),F33&gt;0),J33/F33,"")</x:f>
        <x:v>0.17436372829934266</x:v>
      </x:c>
      <x:c r="L33" s="12"/>
      <x:c r="M33" s="12" t="n">
        <x:v>164</x:v>
      </x:c>
      <x:c r="N33" s="12" t="n">
        <x:v>17</x:v>
      </x:c>
      <x:c r="O33" s="12" t="n">
        <x:v>167</x:v>
      </x:c>
      <x:c r="P33" s="12" t="n">
        <x:v>3314</x:v>
      </x:c>
      <x:c r="Q33" s="13" t="n">
        <x:f>IF(AND(ISNUMBER(O33),P33&gt;0),O33/P33,"")</x:f>
        <x:v>0.0503922751961376</x:v>
      </x:c>
      <x:c r="R33" s="12" t="n">
        <x:v>1044</x:v>
      </x:c>
      <x:c r="S33" s="12" t="n">
        <x:v>798</x:v>
      </x:c>
      <x:c r="T33" s="12" t="n">
        <x:v>860</x:v>
      </x:c>
      <x:c r="U33" s="12" t="n">
        <x:v>598</x:v>
      </x:c>
      <x:c r="V33" s="4" t="str">
        <x:f>IF(D33&lt;&gt;"原始汇总核实","未核实；排除合计",IF(F33=0,"无GV不可算",IF(AND(F33&gt;=30000,G33&lt;0.03),"高流量低转化",IF(AND(F33&gt;=3000,F33&lt;30000,G33&gt;=0.08),"高转化待扩流","常规"))))</x:f>
        <x:v>常规</x:v>
      </x:c>
      <x:c r="W33" s="4" t="str">
        <x:v>HYCHIKA Sega a Tazza per Legno 19 Pezzi, Ø19-127mm, Profondità di Taglio Massima: 25mm, Ideale per Forare Tavole di Legno Sottili Piastre in PVC e Plastica</x:v>
      </x:c>
    </x:row>
    <x:row r="34" ht="22" customHeight="1">
      <x:c r="A34" s="4" t="str">
        <x:v>B0DRCVC3FG</x:v>
      </x:c>
      <x:c r="B34" s="4" t="str">
        <x:v>SORAKO</x:v>
      </x:c>
      <x:c r="C34" s="4" t="str">
        <x:v>打磨/旋转工具</x:v>
      </x:c>
      <x:c r="D34" s="4" t="str">
        <x:v>原始汇总核实</x:v>
      </x:c>
      <x:c r="E34" s="12" t="n">
        <x:v>3113</x:v>
      </x:c>
      <x:c r="F34" s="12" t="n">
        <x:v>44780</x:v>
      </x:c>
      <x:c r="G34" s="13" t="n">
        <x:f>IF(F34&gt;0,E34/F34,"")</x:f>
        <x:v>0.06951764180437696</x:v>
      </x:c>
      <x:c r="H34" s="14" t="n">
        <x:v>80924.33</x:v>
      </x:c>
      <x:c r="I34" s="14" t="n">
        <x:f>IF(AND(ISNUMBER(H34),E34&gt;0),H34/E34,"")</x:f>
        <x:v>25.9956087375522</x:v>
      </x:c>
      <x:c r="J34" s="12" t="n">
        <x:v>1859</x:v>
      </x:c>
      <x:c r="K34" s="13" t="n">
        <x:f>IF(AND(ISNUMBER(J34),F34&gt;0),J34/F34,"")</x:f>
        <x:v>0.041514068780705675</x:v>
      </x:c>
      <x:c r="L34" s="12"/>
      <x:c r="M34" s="12" t="n">
        <x:v>71</x:v>
      </x:c>
      <x:c r="N34" s="12" t="n">
        <x:v>7</x:v>
      </x:c>
      <x:c r="O34" s="12" t="n">
        <x:v>204</x:v>
      </x:c>
      <x:c r="P34" s="12" t="n">
        <x:v>3119</x:v>
      </x:c>
      <x:c r="Q34" s="13" t="n">
        <x:f>IF(AND(ISNUMBER(O34),P34&gt;0),O34/P34,"")</x:f>
        <x:v>0.06540557871112536</x:v>
      </x:c>
      <x:c r="R34" s="12" t="n">
        <x:v>597</x:v>
      </x:c>
      <x:c r="S34" s="12" t="n">
        <x:v>915</x:v>
      </x:c>
      <x:c r="T34" s="12" t="n">
        <x:v>1170</x:v>
      </x:c>
      <x:c r="U34" s="12" t="n">
        <x:v>431</x:v>
      </x:c>
      <x:c r="V34" s="4" t="str">
        <x:f>IF(D34&lt;&gt;"原始汇总核实","未核实；排除合计",IF(F34=0,"无GV不可算",IF(AND(F34&gt;=30000,G34&lt;0.03),"高流量低转化",IF(AND(F34&gt;=3000,F34&lt;30000,G34&gt;=0.08),"高转化待扩流","常规"))))</x:f>
        <x:v>常规</x:v>
      </x:c>
      <x:c r="W34" s="4" t="str">
        <x:v>SORAKO Lijadora de Madera 220 W 14000 OPM, Lijadora Delta con Depósito</x:v>
      </x:c>
    </x:row>
    <x:row r="35" ht="22" customHeight="1">
      <x:c r="A35" s="4" t="str">
        <x:v>B0F1TQRVJK</x:v>
      </x:c>
      <x:c r="B35" s="4" t="str">
        <x:v>HYCHIKA</x:v>
      </x:c>
      <x:c r="C35" s="4" t="str">
        <x:v>口腔护理</x:v>
      </x:c>
      <x:c r="D35" s="4" t="str">
        <x:v>原始汇总核实</x:v>
      </x:c>
      <x:c r="E35" s="12" t="n">
        <x:v>2920</x:v>
      </x:c>
      <x:c r="F35" s="12" t="n">
        <x:v>39834</x:v>
      </x:c>
      <x:c r="G35" s="13" t="n">
        <x:f>IF(F35&gt;0,E35/F35,"")</x:f>
        <x:v>0.07330421248179947</x:v>
      </x:c>
      <x:c r="H35" s="14" t="n">
        <x:v>42110.33</x:v>
      </x:c>
      <x:c r="I35" s="14" t="n">
        <x:f>IF(AND(ISNUMBER(H35),E35&gt;0),H35/E35,"")</x:f>
        <x:v>14.42134589041096</x:v>
      </x:c>
      <x:c r="J35" s="12" t="n">
        <x:v>7442</x:v>
      </x:c>
      <x:c r="K35" s="13" t="n">
        <x:f>IF(AND(ISNUMBER(J35),F35&gt;0),J35/F35,"")</x:f>
        <x:v>0.18682532509916153</x:v>
      </x:c>
      <x:c r="L35" s="12"/>
      <x:c r="M35" s="12" t="n">
        <x:v>225</x:v>
      </x:c>
      <x:c r="N35" s="12" t="n">
        <x:v>30</x:v>
      </x:c>
      <x:c r="O35" s="12" t="n">
        <x:v>108</x:v>
      </x:c>
      <x:c r="P35" s="12" t="n">
        <x:v>2916</x:v>
      </x:c>
      <x:c r="Q35" s="13" t="n">
        <x:f>IF(AND(ISNUMBER(O35),P35&gt;0),O35/P35,"")</x:f>
        <x:v>0.037037037037037035</x:v>
      </x:c>
      <x:c r="R35" s="12" t="n">
        <x:v>882</x:v>
      </x:c>
      <x:c r="S35" s="12" t="n">
        <x:v>893</x:v>
      </x:c>
      <x:c r="T35" s="12" t="n">
        <x:v>832</x:v>
      </x:c>
      <x:c r="U35" s="12" t="n">
        <x:v>313</x:v>
      </x:c>
      <x:c r="V35" s="4" t="str">
        <x:f>IF(D35&lt;&gt;"原始汇总核实","未核实；排除合计",IF(F35=0,"无GV不可算",IF(AND(F35&gt;=30000,G35&lt;0.03),"高流量低转化",IF(AND(F35&gt;=3000,F35&lt;30000,G35&gt;=0.08),"高转化待扩流","常规"))))</x:f>
        <x:v>常规</x:v>
      </x:c>
      <x:c r="W35" s="4" t="str">
        <x:v>Autonomia di 240 giorni Spazzolino Elettrico per Adulti,Spazzolino Ricaricabile con Batteria da 2500 mAh,8 Testine di Ricambio,3 Modalità di Pulizia,Impermeabile IPX7,Timer da 2 Minuti,Bianco</x:v>
      </x:c>
    </x:row>
    <x:row r="36" ht="22" customHeight="1">
      <x:c r="A36" s="4" t="str">
        <x:v>B0G51L6JQM</x:v>
      </x:c>
      <x:c r="B36" s="4" t="str">
        <x:v>HYCHIKA</x:v>
      </x:c>
      <x:c r="C36" s="4" t="str">
        <x:v>打磨/旋转工具</x:v>
      </x:c>
      <x:c r="D36" s="4" t="str">
        <x:v>原始汇总核实</x:v>
      </x:c>
      <x:c r="E36" s="12" t="n">
        <x:v>2899</x:v>
      </x:c>
      <x:c r="F36" s="12" t="n">
        <x:v>81589</x:v>
      </x:c>
      <x:c r="G36" s="13" t="n">
        <x:f>IF(F36&gt;0,E36/F36,"")</x:f>
        <x:v>0.035531750603635295</x:v>
      </x:c>
      <x:c r="H36" s="14" t="n">
        <x:v>88417.32</x:v>
      </x:c>
      <x:c r="I36" s="14" t="n">
        <x:f>IF(AND(ISNUMBER(H36),E36&gt;0),H36/E36,"")</x:f>
        <x:v>30.499248016557438</x:v>
      </x:c>
      <x:c r="J36" s="12" t="n">
        <x:v>6050</x:v>
      </x:c>
      <x:c r="K36" s="13" t="n">
        <x:f>IF(AND(ISNUMBER(J36),F36&gt;0),J36/F36,"")</x:f>
        <x:v>0.07415215286374388</x:v>
      </x:c>
      <x:c r="L36" s="12"/>
      <x:c r="M36" s="12" t="n">
        <x:v>468</x:v>
      </x:c>
      <x:c r="N36" s="12" t="n">
        <x:v>127</x:v>
      </x:c>
      <x:c r="O36" s="12" t="n">
        <x:v>227</x:v>
      </x:c>
      <x:c r="P36" s="12" t="n">
        <x:v>2883</x:v>
      </x:c>
      <x:c r="Q36" s="13" t="n">
        <x:f>IF(AND(ISNUMBER(O36),P36&gt;0),O36/P36,"")</x:f>
        <x:v>0.07873742629205689</x:v>
      </x:c>
      <x:c r="R36" s="12"/>
      <x:c r="S36" s="12" t="n">
        <x:v>252</x:v>
      </x:c>
      <x:c r="T36" s="12" t="n">
        <x:v>1474</x:v>
      </x:c>
      <x:c r="U36" s="12" t="n">
        <x:v>1173</x:v>
      </x:c>
      <x:c r="V36" s="4" t="str">
        <x:f>IF(D36&lt;&gt;"原始汇总核实","未核实；排除合计",IF(F36=0,"无GV不可算",IF(AND(F36&gt;=30000,G36&lt;0.03),"高流量低转化",IF(AND(F36&gt;=3000,F36&lt;30000,G36&gt;=0.08),"高转化待扩流","常规"))))</x:f>
        <x:v>常规</x:v>
      </x:c>
      <x:c r="W36" s="4" t="str">
        <x:v>HYCHIKA Utensile rotativo cordless 8V 2,0Ah batteria più grande</x:v>
      </x:c>
    </x:row>
    <x:row r="37" ht="22" customHeight="1">
      <x:c r="A37" s="4" t="str">
        <x:v>B086SR9KVQ</x:v>
      </x:c>
      <x:c r="B37" s="4" t="str">
        <x:v>HYCHIKA</x:v>
      </x:c>
      <x:c r="C37" s="4" t="str">
        <x:v>锯切/开孔及配件</x:v>
      </x:c>
      <x:c r="D37" s="4" t="str">
        <x:v>原始汇总核实</x:v>
      </x:c>
      <x:c r="E37" s="12" t="n">
        <x:v>2871</x:v>
      </x:c>
      <x:c r="F37" s="12" t="n">
        <x:v>155805</x:v>
      </x:c>
      <x:c r="G37" s="13" t="n">
        <x:f>IF(F37&gt;0,E37/F37,"")</x:f>
        <x:v>0.018426879753538076</x:v>
      </x:c>
      <x:c r="H37" s="14" t="n">
        <x:v>143472.88</x:v>
      </x:c>
      <x:c r="I37" s="14" t="n">
        <x:f>IF(AND(ISNUMBER(H37),E37&gt;0),H37/E37,"")</x:f>
        <x:v>49.97313827934518</x:v>
      </x:c>
      <x:c r="J37" s="12" t="n">
        <x:v>17494</x:v>
      </x:c>
      <x:c r="K37" s="13" t="n">
        <x:f>IF(AND(ISNUMBER(J37),F37&gt;0),J37/F37,"")</x:f>
        <x:v>0.11228137736272906</x:v>
      </x:c>
      <x:c r="L37" s="12"/>
      <x:c r="M37" s="12" t="n">
        <x:v>856</x:v>
      </x:c>
      <x:c r="N37" s="12" t="n">
        <x:v>156</x:v>
      </x:c>
      <x:c r="O37" s="12" t="n">
        <x:v>378</x:v>
      </x:c>
      <x:c r="P37" s="12" t="n">
        <x:v>2868</x:v>
      </x:c>
      <x:c r="Q37" s="13" t="n">
        <x:f>IF(AND(ISNUMBER(O37),P37&gt;0),O37/P37,"")</x:f>
        <x:v>0.13179916317991633</x:v>
      </x:c>
      <x:c r="R37" s="12" t="n">
        <x:v>776</x:v>
      </x:c>
      <x:c r="S37" s="12" t="n">
        <x:v>822</x:v>
      </x:c>
      <x:c r="T37" s="12" t="n">
        <x:v>705</x:v>
      </x:c>
      <x:c r="U37" s="12" t="n">
        <x:v>568</x:v>
      </x:c>
      <x:c r="V37" s="4" t="str">
        <x:f>IF(D37&lt;&gt;"原始汇总核实","未核实；排除合计",IF(F37=0,"无GV不可算",IF(AND(F37&gt;=30000,G37&lt;0.03),"高流量低转化",IF(AND(F37&gt;=3000,F37&lt;30000,G37&gt;=0.08),"高转化待扩流","常规"))))</x:f>
        <x:v>高流量低转化</x:v>
      </x:c>
      <x:c r="W37" s="4" t="str">
        <x:v>HYCHIKA Mini Sierra Circular 750W Con Cable Sierra Incisión 48mm</x:v>
      </x:c>
    </x:row>
    <x:row r="38" ht="22" customHeight="1">
      <x:c r="A38" s="4" t="str">
        <x:v>B0CYYWY1C2</x:v>
      </x:c>
      <x:c r="B38" s="4" t="str">
        <x:v>HYCHIKA</x:v>
      </x:c>
      <x:c r="C38" s="4" t="str">
        <x:v>打磨/旋转工具</x:v>
      </x:c>
      <x:c r="D38" s="4" t="str">
        <x:v>原始汇总核实</x:v>
      </x:c>
      <x:c r="E38" s="12" t="n">
        <x:v>2810</x:v>
      </x:c>
      <x:c r="F38" s="12" t="n">
        <x:v>52420</x:v>
      </x:c>
      <x:c r="G38" s="13" t="n">
        <x:f>IF(F38&gt;0,E38/F38,"")</x:f>
        <x:v>0.053605494086226634</x:v>
      </x:c>
      <x:c r="H38" s="14" t="n">
        <x:v>106222.72</x:v>
      </x:c>
      <x:c r="I38" s="14" t="n">
        <x:f>IF(AND(ISNUMBER(H38),E38&gt;0),H38/E38,"")</x:f>
        <x:v>37.80167971530249</x:v>
      </x:c>
      <x:c r="J38" s="12"/>
      <x:c r="K38" s="13" t="str">
        <x:f>IF(AND(ISNUMBER(J38),F38&gt;0),J38/F38,"")</x:f>
      </x:c>
      <x:c r="L38" s="12"/>
      <x:c r="M38" s="12"/>
      <x:c r="N38" s="12"/>
      <x:c r="O38" s="12" t="n">
        <x:v>144</x:v>
      </x:c>
      <x:c r="P38" s="12" t="n">
        <x:v>2810</x:v>
      </x:c>
      <x:c r="Q38" s="13" t="n">
        <x:f>IF(AND(ISNUMBER(O38),P38&gt;0),O38/P38,"")</x:f>
        <x:v>0.05124555160142349</x:v>
      </x:c>
      <x:c r="R38" s="12" t="n">
        <x:v>579</x:v>
      </x:c>
      <x:c r="S38" s="12" t="n">
        <x:v>772</x:v>
      </x:c>
      <x:c r="T38" s="12" t="n">
        <x:v>776</x:v>
      </x:c>
      <x:c r="U38" s="12" t="n">
        <x:v>683</x:v>
      </x:c>
      <x:c r="V38" s="4" t="str">
        <x:f>IF(D38&lt;&gt;"原始汇总核实","未核实；排除合计",IF(F38=0,"无GV不可算",IF(AND(F38&gt;=30000,G38&lt;0.03),"高流量低转化",IF(AND(F38&gt;=3000,F38&lt;30000,G38&gt;=0.08),"高转化待扩流","常规"))))</x:f>
        <x:v>常规</x:v>
      </x:c>
      <x:c r="W38" s="4" t="str">
        <x:v>HYCHIKA Lijadora Orbital 450W, 6 Velocidades 6000-12000OPM.</x:v>
      </x:c>
    </x:row>
    <x:row r="39" ht="22" customHeight="1">
      <x:c r="A39" s="4" t="str">
        <x:v>B088WQLM4L</x:v>
      </x:c>
      <x:c r="B39" s="4" t="str">
        <x:v>HYCHIKA</x:v>
      </x:c>
      <x:c r="C39" s="4" t="str">
        <x:v>工作照明</x:v>
      </x:c>
      <x:c r="D39" s="4" t="str">
        <x:v>原始汇总核实</x:v>
      </x:c>
      <x:c r="E39" s="12" t="n">
        <x:v>2500</x:v>
      </x:c>
      <x:c r="F39" s="12" t="n">
        <x:v>27678</x:v>
      </x:c>
      <x:c r="G39" s="13" t="n">
        <x:f>IF(F39&gt;0,E39/F39,"")</x:f>
        <x:v>0.0903244454079052</x:v>
      </x:c>
      <x:c r="H39" s="14" t="n">
        <x:v>43922.75</x:v>
      </x:c>
      <x:c r="I39" s="14" t="n">
        <x:f>IF(AND(ISNUMBER(H39),E39&gt;0),H39/E39,"")</x:f>
        <x:v>17.5691</x:v>
      </x:c>
      <x:c r="J39" s="12"/>
      <x:c r="K39" s="13" t="str">
        <x:f>IF(AND(ISNUMBER(J39),F39&gt;0),J39/F39,"")</x:f>
      </x:c>
      <x:c r="L39" s="12"/>
      <x:c r="M39" s="12"/>
      <x:c r="N39" s="12"/>
      <x:c r="O39" s="12" t="n">
        <x:v>84</x:v>
      </x:c>
      <x:c r="P39" s="12" t="n">
        <x:v>2509</x:v>
      </x:c>
      <x:c r="Q39" s="13" t="n">
        <x:f>IF(AND(ISNUMBER(O39),P39&gt;0),O39/P39,"")</x:f>
        <x:v>0.03347947389398167</x:v>
      </x:c>
      <x:c r="R39" s="12" t="n">
        <x:v>1053</x:v>
      </x:c>
      <x:c r="S39" s="12" t="n">
        <x:v>726</x:v>
      </x:c>
      <x:c r="T39" s="12" t="n">
        <x:v>462</x:v>
      </x:c>
      <x:c r="U39" s="12" t="n">
        <x:v>259</x:v>
      </x:c>
      <x:c r="V39" s="4" t="str">
        <x:f>IF(D39&lt;&gt;"原始汇总核实","未核实；排除合计",IF(F39=0,"无GV不可算",IF(AND(F39&gt;=30000,G39&lt;0.03),"高流量低转化",IF(AND(F39&gt;=3000,F39&lt;30000,G39&gt;=0.08),"高转化待扩流","常规"))))</x:f>
        <x:v>高转化待扩流</x:v>
      </x:c>
      <x:c r="W39" s="4" t="str">
        <x:v>HYCHIKA LED Baustrahler, 30 W 3500 lm 6500 K kaltweiß, IP65 Wasserdicht</x:v>
      </x:c>
    </x:row>
    <x:row r="40" ht="22" customHeight="1">
      <x:c r="A40" s="4" t="str">
        <x:v>B08NB15B8B</x:v>
      </x:c>
      <x:c r="B40" s="4" t="str">
        <x:v>HYCHIKA</x:v>
      </x:c>
      <x:c r="C40" s="4" t="str">
        <x:v>电钻/冲击工具</x:v>
      </x:c>
      <x:c r="D40" s="4" t="str">
        <x:v>原始汇总核实</x:v>
      </x:c>
      <x:c r="E40" s="12" t="n">
        <x:v>2430</x:v>
      </x:c>
      <x:c r="F40" s="12" t="n">
        <x:v>94125</x:v>
      </x:c>
      <x:c r="G40" s="13" t="n">
        <x:f>IF(F40&gt;0,E40/F40,"")</x:f>
        <x:v>0.025816733067729084</x:v>
      </x:c>
      <x:c r="H40" s="14" t="n">
        <x:v>74365.33</x:v>
      </x:c>
      <x:c r="I40" s="14" t="n">
        <x:f>IF(AND(ISNUMBER(H40),E40&gt;0),H40/E40,"")</x:f>
        <x:v>30.60301646090535</x:v>
      </x:c>
      <x:c r="J40" s="12"/>
      <x:c r="K40" s="13" t="str">
        <x:f>IF(AND(ISNUMBER(J40),F40&gt;0),J40/F40,"")</x:f>
      </x:c>
      <x:c r="L40" s="12"/>
      <x:c r="M40" s="12"/>
      <x:c r="N40" s="12"/>
      <x:c r="O40" s="12" t="n">
        <x:v>226</x:v>
      </x:c>
      <x:c r="P40" s="12" t="n">
        <x:v>2434</x:v>
      </x:c>
      <x:c r="Q40" s="13" t="n">
        <x:f>IF(AND(ISNUMBER(O40),P40&gt;0),O40/P40,"")</x:f>
        <x:v>0.09285127362366474</x:v>
      </x:c>
      <x:c r="R40" s="12" t="n">
        <x:v>783</x:v>
      </x:c>
      <x:c r="S40" s="12" t="n">
        <x:v>701</x:v>
      </x:c>
      <x:c r="T40" s="12" t="n">
        <x:v>454</x:v>
      </x:c>
      <x:c r="U40" s="12" t="n">
        <x:v>492</x:v>
      </x:c>
      <x:c r="V40" s="4" t="str">
        <x:f>IF(D40&lt;&gt;"原始汇总核实","未核实；排除合计",IF(F40=0,"无GV不可算",IF(AND(F40&gt;=30000,G40&lt;0.03),"高流量低转化",IF(AND(F40&gt;=3000,F40&lt;30000,G40&gt;=0.08),"高转化待扩流","常规"))))</x:f>
        <x:v>高流量低转化</x:v>
      </x:c>
      <x:c r="W40" s="4" t="str">
        <x:v>HYCHIKA Trapano Avvitatore Batteria 12V, Avvitatore a Batteria 30 Nm, 21+1 Impostazioni Di Coppia, 2 Velocità Regolabili, 26 Accessori, Luce LED, Adatto per il fai da te in casa e in giardino</x:v>
      </x:c>
    </x:row>
    <x:row r="41" ht="22" customHeight="1">
      <x:c r="A41" s="4" t="str">
        <x:v>B07RZK3CVP</x:v>
      </x:c>
      <x:c r="B41" s="4" t="str">
        <x:v>HYCHIKA</x:v>
      </x:c>
      <x:c r="C41" s="4" t="str">
        <x:v>吸尘清洁</x:v>
      </x:c>
      <x:c r="D41" s="4" t="str">
        <x:v>原始汇总核实</x:v>
      </x:c>
      <x:c r="E41" s="12" t="n">
        <x:v>2414</x:v>
      </x:c>
      <x:c r="F41" s="12" t="n">
        <x:v>148165</x:v>
      </x:c>
      <x:c r="G41" s="13" t="n">
        <x:f>IF(F41&gt;0,E41/F41,"")</x:f>
        <x:v>0.016292646711436574</x:v>
      </x:c>
      <x:c r="H41" s="14" t="n">
        <x:v>115547.98</x:v>
      </x:c>
      <x:c r="I41" s="14" t="n">
        <x:f>IF(AND(ISNUMBER(H41),E41&gt;0),H41/E41,"")</x:f>
        <x:v>47.86577464788732</x:v>
      </x:c>
      <x:c r="J41" s="12"/>
      <x:c r="K41" s="13" t="str">
        <x:f>IF(AND(ISNUMBER(J41),F41&gt;0),J41/F41,"")</x:f>
      </x:c>
      <x:c r="L41" s="12"/>
      <x:c r="M41" s="12"/>
      <x:c r="N41" s="12"/>
      <x:c r="O41" s="12" t="n">
        <x:v>313</x:v>
      </x:c>
      <x:c r="P41" s="12" t="n">
        <x:v>2411</x:v>
      </x:c>
      <x:c r="Q41" s="13" t="n">
        <x:f>IF(AND(ISNUMBER(O41),P41&gt;0),O41/P41,"")</x:f>
        <x:v>0.12982165076731647</x:v>
      </x:c>
      <x:c r="R41" s="12" t="n">
        <x:v>660</x:v>
      </x:c>
      <x:c r="S41" s="12" t="n">
        <x:v>666</x:v>
      </x:c>
      <x:c r="T41" s="12" t="n">
        <x:v>605</x:v>
      </x:c>
      <x:c r="U41" s="12" t="n">
        <x:v>483</x:v>
      </x:c>
      <x:c r="V41" s="4" t="str">
        <x:f>IF(D41&lt;&gt;"原始汇总核实","未核实；排除合计",IF(F41=0,"无GV不可算",IF(AND(F41&gt;=30000,G41&lt;0.03),"高流量低转化",IF(AND(F41&gt;=3000,F41&lt;30000,G41&gt;=0.08),"高转化待扩流","常规"))))</x:f>
        <x:v>高流量低转化</x:v>
      </x:c>
      <x:c r="W41" s="4" t="str">
        <x:v>HYCHIKA Sega Circolare, 500W Mini Seghe Circolare 4500RPM, Profondità di Taglio: 0-25mm,Tubo per Aspirapolvere, 3x Lame adatto per Legno, Plastica, Metallo Morbido</x:v>
      </x:c>
    </x:row>
    <x:row r="42" ht="22" customHeight="1">
      <x:c r="A42" s="4" t="str">
        <x:v>B0DM91VF98</x:v>
      </x:c>
      <x:c r="B42" s="4" t="str">
        <x:v>SORAKO</x:v>
      </x:c>
      <x:c r="C42" s="4" t="str">
        <x:v>打磨/旋转工具</x:v>
      </x:c>
      <x:c r="D42" s="4" t="str">
        <x:v>原始汇总核实</x:v>
      </x:c>
      <x:c r="E42" s="12" t="n">
        <x:v>2370</x:v>
      </x:c>
      <x:c r="F42" s="12" t="n">
        <x:v>41195</x:v>
      </x:c>
      <x:c r="G42" s="13" t="n">
        <x:f>IF(F42&gt;0,E42/F42,"")</x:f>
        <x:v>0.057531253792936034</x:v>
      </x:c>
      <x:c r="H42" s="14" t="n">
        <x:v>58047.3</x:v>
      </x:c>
      <x:c r="I42" s="14" t="n">
        <x:f>IF(AND(ISNUMBER(H42),E42&gt;0),H42/E42,"")</x:f>
        <x:v>24.49253164556962</x:v>
      </x:c>
      <x:c r="J42" s="12"/>
      <x:c r="K42" s="13" t="str">
        <x:f>IF(AND(ISNUMBER(J42),F42&gt;0),J42/F42,"")</x:f>
      </x:c>
      <x:c r="L42" s="12"/>
      <x:c r="M42" s="12"/>
      <x:c r="N42" s="12"/>
      <x:c r="O42" s="12" t="n">
        <x:v>160</x:v>
      </x:c>
      <x:c r="P42" s="12" t="n">
        <x:v>2374</x:v>
      </x:c>
      <x:c r="Q42" s="13" t="n">
        <x:f>IF(AND(ISNUMBER(O42),P42&gt;0),O42/P42,"")</x:f>
        <x:v>0.06739679865206402</x:v>
      </x:c>
      <x:c r="R42" s="12" t="n">
        <x:v>156</x:v>
      </x:c>
      <x:c r="S42" s="12" t="n">
        <x:v>412</x:v>
      </x:c>
      <x:c r="T42" s="12" t="n">
        <x:v>1689</x:v>
      </x:c>
      <x:c r="U42" s="12" t="n">
        <x:v>113</x:v>
      </x:c>
      <x:c r="V42" s="4" t="str">
        <x:f>IF(D42&lt;&gt;"原始汇总核实","未核实；排除合计",IF(F42=0,"无GV不可算",IF(AND(F42&gt;=30000,G42&lt;0.03),"高流量低转化",IF(AND(F42&gt;=3000,F42&lt;30000,G42&gt;=0.08),"高转化待扩流","常规"))))</x:f>
        <x:v>常规</x:v>
      </x:c>
      <x:c r="W42" s="4" t="str">
        <x:v>SORAKO Levigatrice Orbitale 350W, 6 Velocità Regolabili, Carta Vetrata 16 pezzi, Levigatrice Elettrica con Raccolta Polvere e Funzione di Frenata Rapida, Adatta per Levigare, Lucidare Legno, fai da te</x:v>
      </x:c>
    </x:row>
    <x:row r="43" ht="22" customHeight="1">
      <x:c r="A43" s="4" t="str">
        <x:v>B0CG9MBTMF</x:v>
      </x:c>
      <x:c r="B43" s="4" t="str">
        <x:v>HYCHIKA</x:v>
      </x:c>
      <x:c r="C43" s="4" t="str">
        <x:v>园艺/喷涂</x:v>
      </x:c>
      <x:c r="D43" s="4" t="str">
        <x:v>原始汇总核实</x:v>
      </x:c>
      <x:c r="E43" s="12" t="n">
        <x:v>2331</x:v>
      </x:c>
      <x:c r="F43" s="12" t="n">
        <x:v>30347</x:v>
      </x:c>
      <x:c r="G43" s="13" t="n">
        <x:f>IF(F43&gt;0,E43/F43,"")</x:f>
        <x:v>0.0768115464461067</x:v>
      </x:c>
      <x:c r="H43" s="14" t="n">
        <x:v>45261.49</x:v>
      </x:c>
      <x:c r="I43" s="14" t="n">
        <x:f>IF(AND(ISNUMBER(H43),E43&gt;0),H43/E43,"")</x:f>
        <x:v>19.417198627198626</x:v>
      </x:c>
      <x:c r="J43" s="12"/>
      <x:c r="K43" s="13" t="str">
        <x:f>IF(AND(ISNUMBER(J43),F43&gt;0),J43/F43,"")</x:f>
      </x:c>
      <x:c r="L43" s="12"/>
      <x:c r="M43" s="12"/>
      <x:c r="N43" s="12"/>
      <x:c r="O43" s="12" t="n">
        <x:v>219</x:v>
      </x:c>
      <x:c r="P43" s="12" t="n">
        <x:v>2334</x:v>
      </x:c>
      <x:c r="Q43" s="13" t="n">
        <x:f>IF(AND(ISNUMBER(O43),P43&gt;0),O43/P43,"")</x:f>
        <x:v>0.09383033419023136</x:v>
      </x:c>
      <x:c r="R43" s="12" t="n">
        <x:v>798</x:v>
      </x:c>
      <x:c r="S43" s="12" t="n">
        <x:v>1431</x:v>
      </x:c>
      <x:c r="T43" s="12" t="n">
        <x:v>101</x:v>
      </x:c>
      <x:c r="U43" s="12" t="n">
        <x:v>1</x:v>
      </x:c>
      <x:c r="V43" s="4" t="str">
        <x:f>IF(D43&lt;&gt;"原始汇总核实","未核实；排除合计",IF(F43=0,"无GV不可算",IF(AND(F43&gt;=30000,G43&lt;0.03),"高流量低转化",IF(AND(F43&gt;=3000,F43&lt;30000,G43&gt;=0.08),"高转化待扩流","常规"))))</x:f>
        <x:v>常规</x:v>
      </x:c>
      <x:c r="W43" s="4" t="str">
        <x:v>HYCHIKA Pistola de Calor Profesional, 60℃- 600℃ Temperatura Variable Continua, Motor de Cobre Puro de 1800W, Protección Contra Sobrecarga, 6 Boquillas para Decapar Pintura, Termorretráctil, etc</x:v>
      </x:c>
    </x:row>
    <x:row r="44" ht="22" customHeight="1">
      <x:c r="A44" s="4" t="str">
        <x:v>B0BYMQ4B8Q</x:v>
      </x:c>
      <x:c r="B44" s="4" t="str">
        <x:v>HYCHIKA</x:v>
      </x:c>
      <x:c r="C44" s="4" t="str">
        <x:v>工作照明</x:v>
      </x:c>
      <x:c r="D44" s="4" t="str">
        <x:v>原始汇总核实</x:v>
      </x:c>
      <x:c r="E44" s="12" t="n">
        <x:v>2262</x:v>
      </x:c>
      <x:c r="F44" s="12" t="n">
        <x:v>53108</x:v>
      </x:c>
      <x:c r="G44" s="13" t="n">
        <x:f>IF(F44&gt;0,E44/F44,"")</x:f>
        <x:v>0.042592453114408374</x:v>
      </x:c>
      <x:c r="H44" s="14" t="n">
        <x:v>156308.28</x:v>
      </x:c>
      <x:c r="I44" s="14" t="n">
        <x:f>IF(AND(ISNUMBER(H44),E44&gt;0),H44/E44,"")</x:f>
        <x:v>69.10180371352786</x:v>
      </x:c>
      <x:c r="J44" s="12"/>
      <x:c r="K44" s="13" t="str">
        <x:f>IF(AND(ISNUMBER(J44),F44&gt;0),J44/F44,"")</x:f>
      </x:c>
      <x:c r="L44" s="12"/>
      <x:c r="M44" s="12"/>
      <x:c r="N44" s="12"/>
      <x:c r="O44" s="12" t="n">
        <x:v>104</x:v>
      </x:c>
      <x:c r="P44" s="12" t="n">
        <x:v>2260</x:v>
      </x:c>
      <x:c r="Q44" s="13" t="n">
        <x:f>IF(AND(ISNUMBER(O44),P44&gt;0),O44/P44,"")</x:f>
        <x:v>0.04601769911504425</x:v>
      </x:c>
      <x:c r="R44" s="12" t="n">
        <x:v>1074</x:v>
      </x:c>
      <x:c r="S44" s="12" t="n">
        <x:v>666</x:v>
      </x:c>
      <x:c r="T44" s="12" t="n">
        <x:v>352</x:v>
      </x:c>
      <x:c r="U44" s="12" t="n">
        <x:v>170</x:v>
      </x:c>
      <x:c r="V44" s="4" t="str">
        <x:f>IF(D44&lt;&gt;"原始汇总核实","未核实；排除合计",IF(F44=0,"无GV不可算",IF(AND(F44&gt;=30000,G44&lt;0.03),"高流量低转化",IF(AND(F44&gt;=3000,F44&lt;30000,G44&gt;=0.08),"高转化待扩流","常规"))))</x:f>
        <x:v>常规</x:v>
      </x:c>
      <x:c r="W44" s="4" t="str">
        <x:v>HYCHIKA LED Baustrahler mit Stativ LED Strahler mit Stativ, 14000Lumen</x:v>
      </x:c>
    </x:row>
    <x:row r="45" ht="22" customHeight="1">
      <x:c r="A45" s="4" t="str">
        <x:v>B0F1CZSFHM</x:v>
      </x:c>
      <x:c r="B45" s="4" t="str">
        <x:v>HYCHIKA</x:v>
      </x:c>
      <x:c r="C45" s="4" t="str">
        <x:v>打磨/旋转工具</x:v>
      </x:c>
      <x:c r="D45" s="4" t="str">
        <x:v>原始汇总核实</x:v>
      </x:c>
      <x:c r="E45" s="12" t="n">
        <x:v>2162</x:v>
      </x:c>
      <x:c r="F45" s="12" t="n">
        <x:v>41076</x:v>
      </x:c>
      <x:c r="G45" s="13" t="n">
        <x:f>IF(F45&gt;0,E45/F45,"")</x:f>
        <x:v>0.05263414159119681</x:v>
      </x:c>
      <x:c r="H45" s="14" t="n">
        <x:v>62516.37</x:v>
      </x:c>
      <x:c r="I45" s="14" t="n">
        <x:f>IF(AND(ISNUMBER(H45),E45&gt;0),H45/E45,"")</x:f>
        <x:v>28.91598982423682</x:v>
      </x:c>
      <x:c r="J45" s="12"/>
      <x:c r="K45" s="13" t="str">
        <x:f>IF(AND(ISNUMBER(J45),F45&gt;0),J45/F45,"")</x:f>
      </x:c>
      <x:c r="L45" s="12"/>
      <x:c r="M45" s="12"/>
      <x:c r="N45" s="12"/>
      <x:c r="O45" s="12" t="n">
        <x:v>122</x:v>
      </x:c>
      <x:c r="P45" s="12" t="n">
        <x:v>2149</x:v>
      </x:c>
      <x:c r="Q45" s="13" t="n">
        <x:f>IF(AND(ISNUMBER(O45),P45&gt;0),O45/P45,"")</x:f>
        <x:v>0.05677059097254537</x:v>
      </x:c>
      <x:c r="R45" s="12" t="n">
        <x:v>340</x:v>
      </x:c>
      <x:c r="S45" s="12" t="n">
        <x:v>598</x:v>
      </x:c>
      <x:c r="T45" s="12" t="n">
        <x:v>608</x:v>
      </x:c>
      <x:c r="U45" s="12" t="n">
        <x:v>616</x:v>
      </x:c>
      <x:c r="V45" s="4" t="str">
        <x:f>IF(D45&lt;&gt;"原始汇总核实","未核实；排除合计",IF(F45=0,"无GV不可算",IF(AND(F45&gt;=30000,G45&lt;0.03),"高流量低转化",IF(AND(F45&gt;=3000,F45&lt;30000,G45&gt;=0.08),"高转化待扩流","常规"))))</x:f>
        <x:v>常规</x:v>
      </x:c>
      <x:c r="W45" s="4" t="str">
        <x:v>HYCHIKA Lijadora Orbital 300W, 6 Velocidades 12000OPM.</x:v>
      </x:c>
    </x:row>
    <x:row r="46" ht="22" customHeight="1">
      <x:c r="A46" s="4" t="str">
        <x:v>B0FXLSB51W</x:v>
      </x:c>
      <x:c r="B46" s="4" t="str">
        <x:v>HYCHIKA</x:v>
      </x:c>
      <x:c r="C46" s="4" t="str">
        <x:v>口腔护理</x:v>
      </x:c>
      <x:c r="D46" s="4" t="str">
        <x:v>原始汇总核实</x:v>
      </x:c>
      <x:c r="E46" s="12" t="n">
        <x:v>2086</x:v>
      </x:c>
      <x:c r="F46" s="12" t="n">
        <x:v>27661</x:v>
      </x:c>
      <x:c r="G46" s="13" t="n">
        <x:f>IF(F46&gt;0,E46/F46,"")</x:f>
        <x:v>0.07541303640504682</x:v>
      </x:c>
      <x:c r="H46" s="14" t="n">
        <x:v>62374.43</x:v>
      </x:c>
      <x:c r="I46" s="14" t="n">
        <x:f>IF(AND(ISNUMBER(H46),E46&gt;0),H46/E46,"")</x:f>
        <x:v>29.901452540747844</x:v>
      </x:c>
      <x:c r="J46" s="12"/>
      <x:c r="K46" s="13" t="str">
        <x:f>IF(AND(ISNUMBER(J46),F46&gt;0),J46/F46,"")</x:f>
      </x:c>
      <x:c r="L46" s="12"/>
      <x:c r="M46" s="12"/>
      <x:c r="N46" s="12"/>
      <x:c r="O46" s="12" t="n">
        <x:v>57</x:v>
      </x:c>
      <x:c r="P46" s="12" t="n">
        <x:v>2073</x:v>
      </x:c>
      <x:c r="Q46" s="13" t="n">
        <x:f>IF(AND(ISNUMBER(O46),P46&gt;0),O46/P46,"")</x:f>
        <x:v>0.027496382054992764</x:v>
      </x:c>
      <x:c r="R46" s="12" t="n">
        <x:v>132</x:v>
      </x:c>
      <x:c r="S46" s="12" t="n">
        <x:v>563</x:v>
      </x:c>
      <x:c r="T46" s="12" t="n">
        <x:v>642</x:v>
      </x:c>
      <x:c r="U46" s="12" t="n">
        <x:v>749</x:v>
      </x:c>
      <x:c r="V46" s="4" t="str">
        <x:f>IF(D46&lt;&gt;"原始汇总核实","未核实；排除合计",IF(F46=0,"无GV不可算",IF(AND(F46&gt;=30000,G46&lt;0.03),"高流量低转化",IF(AND(F46&gt;=3000,F46&lt;30000,G46&gt;=0.08),"高转化待扩流","常规"))))</x:f>
        <x:v>常规</x:v>
      </x:c>
      <x:c r="W46" s="4" t="str">
        <x:v>Ultraschallreinigungsgerät Zahnschiene mit UV Sterilisierung,45 kHz Hochfrequenz, 4 Modi UV Zahnschiene Reinigung,200 ml,Zahnreinigungsbehälter,Retainers,Aligner etc.,（Schwarz）</x:v>
      </x:c>
    </x:row>
    <x:row r="47" ht="22" customHeight="1">
      <x:c r="A47" s="4" t="str">
        <x:v>B0D7HVPSPQ</x:v>
      </x:c>
      <x:c r="B47" s="4" t="str">
        <x:v>HYCHIKA</x:v>
      </x:c>
      <x:c r="C47" s="4" t="str">
        <x:v>手动螺丝刀/工具套装</x:v>
      </x:c>
      <x:c r="D47" s="4" t="str">
        <x:v>原始汇总核实</x:v>
      </x:c>
      <x:c r="E47" s="12" t="n">
        <x:v>2070</x:v>
      </x:c>
      <x:c r="F47" s="12" t="n">
        <x:v>60188</x:v>
      </x:c>
      <x:c r="G47" s="13" t="n">
        <x:f>IF(F47&gt;0,E47/F47,"")</x:f>
        <x:v>0.03439223765534658</x:v>
      </x:c>
      <x:c r="H47" s="14" t="n">
        <x:v>41267.19</x:v>
      </x:c>
      <x:c r="I47" s="14" t="n">
        <x:f>IF(AND(ISNUMBER(H47),E47&gt;0),H47/E47,"")</x:f>
        <x:v>19.935840579710145</x:v>
      </x:c>
      <x:c r="J47" s="12"/>
      <x:c r="K47" s="13" t="str">
        <x:f>IF(AND(ISNUMBER(J47),F47&gt;0),J47/F47,"")</x:f>
      </x:c>
      <x:c r="L47" s="12"/>
      <x:c r="M47" s="12"/>
      <x:c r="N47" s="12"/>
      <x:c r="O47" s="12" t="n">
        <x:v>50</x:v>
      </x:c>
      <x:c r="P47" s="12" t="n">
        <x:v>2071</x:v>
      </x:c>
      <x:c r="Q47" s="13" t="n">
        <x:f>IF(AND(ISNUMBER(O47),P47&gt;0),O47/P47,"")</x:f>
        <x:v>0.024142926122646065</x:v>
      </x:c>
      <x:c r="R47" s="12" t="n">
        <x:v>582</x:v>
      </x:c>
      <x:c r="S47" s="12" t="n">
        <x:v>685</x:v>
      </x:c>
      <x:c r="T47" s="12" t="n">
        <x:v>557</x:v>
      </x:c>
      <x:c r="U47" s="12" t="n">
        <x:v>246</x:v>
      </x:c>
      <x:c r="V47" s="4" t="str">
        <x:f>IF(D47&lt;&gt;"原始汇总核实","未核实；排除合计",IF(F47=0,"无GV不可算",IF(AND(F47&gt;=30000,G47&lt;0.03),"高流量低转化",IF(AND(F47&gt;=3000,F47&lt;30000,G47&gt;=0.08),"高转化待扩流","常规"))))</x:f>
        <x:v>常规</x:v>
      </x:c>
      <x:c r="W47" s="4" t="str">
        <x:v>HYCHIKA Set di Cacciaviti Professionali 51 Pezzi,con Cacciaviti Precisione</x:v>
      </x:c>
    </x:row>
    <x:row r="48" ht="22" customHeight="1">
      <x:c r="A48" s="4" t="str">
        <x:v>B0FNMBQFBC</x:v>
      </x:c>
      <x:c r="B48" s="4" t="str">
        <x:v>HYCHIKA</x:v>
      </x:c>
      <x:c r="C48" s="4" t="str">
        <x:v>吸尘清洁</x:v>
      </x:c>
      <x:c r="D48" s="4" t="str">
        <x:v>原始汇总核实</x:v>
      </x:c>
      <x:c r="E48" s="12" t="n">
        <x:v>1988</x:v>
      </x:c>
      <x:c r="F48" s="12" t="n">
        <x:v>60538</x:v>
      </x:c>
      <x:c r="G48" s="13" t="n">
        <x:f>IF(F48&gt;0,E48/F48,"")</x:f>
        <x:v>0.03283887806006145</x:v>
      </x:c>
      <x:c r="H48" s="14" t="n">
        <x:v>70270.77</x:v>
      </x:c>
      <x:c r="I48" s="14" t="n">
        <x:f>IF(AND(ISNUMBER(H48),E48&gt;0),H48/E48,"")</x:f>
        <x:v>35.34746981891348</x:v>
      </x:c>
      <x:c r="J48" s="12"/>
      <x:c r="K48" s="13" t="str">
        <x:f>IF(AND(ISNUMBER(J48),F48&gt;0),J48/F48,"")</x:f>
      </x:c>
      <x:c r="L48" s="12"/>
      <x:c r="M48" s="12"/>
      <x:c r="N48" s="12"/>
      <x:c r="O48" s="12" t="n">
        <x:v>172</x:v>
      </x:c>
      <x:c r="P48" s="12" t="n">
        <x:v>1976</x:v>
      </x:c>
      <x:c r="Q48" s="13" t="n">
        <x:f>IF(AND(ISNUMBER(O48),P48&gt;0),O48/P48,"")</x:f>
        <x:v>0.08704453441295547</x:v>
      </x:c>
      <x:c r="R48" s="12" t="n">
        <x:v>1</x:v>
      </x:c>
      <x:c r="S48" s="12" t="n">
        <x:v>690</x:v>
      </x:c>
      <x:c r="T48" s="12" t="n">
        <x:v>821</x:v>
      </x:c>
      <x:c r="U48" s="12" t="n">
        <x:v>476</x:v>
      </x:c>
      <x:c r="V48" s="4" t="str">
        <x:f>IF(D48&lt;&gt;"原始汇总核实","未核实；排除合计",IF(F48=0,"无GV不可算",IF(AND(F48&gt;=30000,G48&lt;0.03),"高流量低转化",IF(AND(F48&gt;=3000,F48&lt;30000,G48&gt;=0.08),"高转化待扩流","常规"))))</x:f>
        <x:v>常规</x:v>
      </x:c>
      <x:c r="W48" s="4" t="str">
        <x:v>Purificatore d'aria con HEPA Filtra il 99,97% di polvere e particelle fino a una dimensione di 0,3 micron, modalità sleep (20 dB) e modalità auto, tre velocità per uso domestico</x:v>
      </x:c>
    </x:row>
    <x:row r="49" ht="22" customHeight="1">
      <x:c r="A49" s="4" t="str">
        <x:v>B0CRDK814K</x:v>
      </x:c>
      <x:c r="B49" s="4" t="str">
        <x:v>HYCHIKA</x:v>
      </x:c>
      <x:c r="C49" s="4" t="str">
        <x:v>其他/待核</x:v>
      </x:c>
      <x:c r="D49" s="4" t="str">
        <x:v>原始汇总核实</x:v>
      </x:c>
      <x:c r="E49" s="12" t="n">
        <x:v>1746</x:v>
      </x:c>
      <x:c r="F49" s="12" t="n">
        <x:v>24105</x:v>
      </x:c>
      <x:c r="G49" s="13" t="n">
        <x:f>IF(F49&gt;0,E49/F49,"")</x:f>
        <x:v>0.07243310516490355</x:v>
      </x:c>
      <x:c r="H49" s="14" t="n">
        <x:v>21162.82</x:v>
      </x:c>
      <x:c r="I49" s="14" t="n">
        <x:f>IF(AND(ISNUMBER(H49),E49&gt;0),H49/E49,"")</x:f>
        <x:v>12.120744558991982</x:v>
      </x:c>
      <x:c r="J49" s="12"/>
      <x:c r="K49" s="13" t="str">
        <x:f>IF(AND(ISNUMBER(J49),F49&gt;0),J49/F49,"")</x:f>
      </x:c>
      <x:c r="L49" s="12"/>
      <x:c r="M49" s="12"/>
      <x:c r="N49" s="12"/>
      <x:c r="O49" s="12" t="n">
        <x:v>40</x:v>
      </x:c>
      <x:c r="P49" s="12" t="n">
        <x:v>1736</x:v>
      </x:c>
      <x:c r="Q49" s="13" t="n">
        <x:f>IF(AND(ISNUMBER(O49),P49&gt;0),O49/P49,"")</x:f>
        <x:v>0.02304147465437788</x:v>
      </x:c>
      <x:c r="R49" s="12" t="n">
        <x:v>315</x:v>
      </x:c>
      <x:c r="S49" s="12" t="n">
        <x:v>513</x:v>
      </x:c>
      <x:c r="T49" s="12" t="n">
        <x:v>341</x:v>
      </x:c>
      <x:c r="U49" s="12" t="n">
        <x:v>577</x:v>
      </x:c>
      <x:c r="V49" s="4" t="str">
        <x:f>IF(D49&lt;&gt;"原始汇总核实","未核实；排除合计",IF(F49=0,"无GV不可算",IF(AND(F49&gt;=30000,G49&lt;0.03),"高流量低转化",IF(AND(F49&gt;=3000,F49&lt;30000,G49&gt;=0.08),"高转化待扩流","常规"))))</x:f>
        <x:v>常规</x:v>
      </x:c>
      <x:c r="W49" s="4" t="str">
        <x:v>HYCHIKA Set Scalpelli SDS Plus 4 Pezzi - Scalpello a Punta, Piatto 40mm, Scanalatore 25mm e Piastrelle 20mm - Accessori per Tassellatore e Martello Demolitore su Calcestruzzo e Muratura</x:v>
      </x:c>
    </x:row>
    <x:row r="50" ht="22" customHeight="1">
      <x:c r="A50" s="4" t="str">
        <x:v>B0F9YCJ1FS</x:v>
      </x:c>
      <x:c r="B50" s="4" t="str">
        <x:v>HYCHIKA</x:v>
      </x:c>
      <x:c r="C50" s="4" t="str">
        <x:v>工作照明</x:v>
      </x:c>
      <x:c r="D50" s="4" t="str">
        <x:v>原始汇总核实</x:v>
      </x:c>
      <x:c r="E50" s="12" t="n">
        <x:v>1664</x:v>
      </x:c>
      <x:c r="F50" s="12" t="n">
        <x:v>29280</x:v>
      </x:c>
      <x:c r="G50" s="13" t="n">
        <x:f>IF(F50&gt;0,E50/F50,"")</x:f>
        <x:v>0.05683060109289618</x:v>
      </x:c>
      <x:c r="H50" s="14" t="n">
        <x:v>33784.8</x:v>
      </x:c>
      <x:c r="I50" s="14" t="n">
        <x:f>IF(AND(ISNUMBER(H50),E50&gt;0),H50/E50,"")</x:f>
        <x:v>20.303365384615386</x:v>
      </x:c>
      <x:c r="J50" s="12"/>
      <x:c r="K50" s="13" t="str">
        <x:f>IF(AND(ISNUMBER(J50),F50&gt;0),J50/F50,"")</x:f>
      </x:c>
      <x:c r="L50" s="12"/>
      <x:c r="M50" s="12"/>
      <x:c r="N50" s="12"/>
      <x:c r="O50" s="12" t="n">
        <x:v>80</x:v>
      </x:c>
      <x:c r="P50" s="12" t="n">
        <x:v>1655</x:v>
      </x:c>
      <x:c r="Q50" s="13" t="n">
        <x:f>IF(AND(ISNUMBER(O50),P50&gt;0),O50/P50,"")</x:f>
        <x:v>0.04833836858006042</x:v>
      </x:c>
      <x:c r="R50" s="12" t="n">
        <x:v>467</x:v>
      </x:c>
      <x:c r="S50" s="12" t="n">
        <x:v>434</x:v>
      </x:c>
      <x:c r="T50" s="12" t="n">
        <x:v>202</x:v>
      </x:c>
      <x:c r="U50" s="12" t="n">
        <x:v>561</x:v>
      </x:c>
      <x:c r="V50" s="4" t="str">
        <x:f>IF(D50&lt;&gt;"原始汇总核实","未核实；排除合计",IF(F50=0,"无GV不可算",IF(AND(F50&gt;=30000,G50&lt;0.03),"高流量低转化",IF(AND(F50&gt;=3000,F50&lt;30000,G50&gt;=0.08),"高转化待扩流","常规"))))</x:f>
        <x:v>常规</x:v>
      </x:c>
      <x:c r="W50" s="4" t="str">
        <x:v>HYCHIKA LED Akku Strahler,20 W 2000 LM 6500 K IP65 Wasserdicht</x:v>
      </x:c>
    </x:row>
    <x:row r="51" ht="22" customHeight="1">
      <x:c r="A51" s="4" t="str">
        <x:v>B091Q2N3GT</x:v>
      </x:c>
      <x:c r="B51" s="4" t="str">
        <x:v>HYCHIKA</x:v>
      </x:c>
      <x:c r="C51" s="4" t="str">
        <x:v>工作照明</x:v>
      </x:c>
      <x:c r="D51" s="4" t="str">
        <x:v>原始汇总核实</x:v>
      </x:c>
      <x:c r="E51" s="12" t="n">
        <x:v>1630</x:v>
      </x:c>
      <x:c r="F51" s="12" t="n">
        <x:v>20215</x:v>
      </x:c>
      <x:c r="G51" s="13" t="n">
        <x:f>IF(F51&gt;0,E51/F51,"")</x:f>
        <x:v>0.0806331931733861</x:v>
      </x:c>
      <x:c r="H51" s="14" t="n">
        <x:v>52609.18</x:v>
      </x:c>
      <x:c r="I51" s="14" t="n">
        <x:f>IF(AND(ISNUMBER(H51),E51&gt;0),H51/E51,"")</x:f>
        <x:v>32.27557055214724</x:v>
      </x:c>
      <x:c r="J51" s="12"/>
      <x:c r="K51" s="13" t="str">
        <x:f>IF(AND(ISNUMBER(J51),F51&gt;0),J51/F51,"")</x:f>
      </x:c>
      <x:c r="L51" s="12"/>
      <x:c r="M51" s="12"/>
      <x:c r="N51" s="12"/>
      <x:c r="O51" s="12" t="n">
        <x:v>73</x:v>
      </x:c>
      <x:c r="P51" s="12" t="n">
        <x:v>1641</x:v>
      </x:c>
      <x:c r="Q51" s="13" t="n">
        <x:f>IF(AND(ISNUMBER(O51),P51&gt;0),O51/P51,"")</x:f>
        <x:v>0.044485070079219986</x:v>
      </x:c>
      <x:c r="R51" s="12" t="n">
        <x:v>758</x:v>
      </x:c>
      <x:c r="S51" s="12" t="n">
        <x:v>309</x:v>
      </x:c>
      <x:c r="T51" s="12" t="n">
        <x:v>295</x:v>
      </x:c>
      <x:c r="U51" s="12" t="n">
        <x:v>268</x:v>
      </x:c>
      <x:c r="V51" s="4" t="str">
        <x:f>IF(D51&lt;&gt;"原始汇总核实","未核实；排除合计",IF(F51=0,"无GV不可算",IF(AND(F51&gt;=30000,G51&lt;0.03),"高流量低转化",IF(AND(F51&gt;=3000,F51&lt;30000,G51&gt;=0.08),"高转化待扩流","常规"))))</x:f>
        <x:v>高转化待扩流</x:v>
      </x:c>
      <x:c r="W51" s="4" t="str">
        <x:v>HYCHIKA LED Baustrahler 100W, LED Strahler 12000 LM 6500K, 2 Modes Adjustable Brightness, 360° Degree Rotation Wasserdichtes IP65 Arbeitsleuchter Drehbar, 2 m Kabel mit Stecker für Werkstatt Baustelle</x:v>
      </x:c>
    </x:row>
    <x:row r="52" ht="22" customHeight="1">
      <x:c r="A52" s="4" t="str">
        <x:v>B0D2XH63MM</x:v>
      </x:c>
      <x:c r="B52" s="4" t="str">
        <x:v>HYCHIKA</x:v>
      </x:c>
      <x:c r="C52" s="4" t="str">
        <x:v>扳手/汽修</x:v>
      </x:c>
      <x:c r="D52" s="4" t="str">
        <x:v>原始汇总核实</x:v>
      </x:c>
      <x:c r="E52" s="12" t="n">
        <x:v>1572</x:v>
      </x:c>
      <x:c r="F52" s="12" t="n">
        <x:v>44592</x:v>
      </x:c>
      <x:c r="G52" s="13" t="n">
        <x:f>IF(F52&gt;0,E52/F52,"")</x:f>
        <x:v>0.035252960172228204</x:v>
      </x:c>
      <x:c r="H52" s="14" t="n">
        <x:v>46547.51</x:v>
      </x:c>
      <x:c r="I52" s="14" t="n">
        <x:f>IF(AND(ISNUMBER(H52),E52&gt;0),H52/E52,"")</x:f>
        <x:v>29.610375318066158</x:v>
      </x:c>
      <x:c r="J52" s="12"/>
      <x:c r="K52" s="13" t="str">
        <x:f>IF(AND(ISNUMBER(J52),F52&gt;0),J52/F52,"")</x:f>
      </x:c>
      <x:c r="L52" s="12"/>
      <x:c r="M52" s="12"/>
      <x:c r="N52" s="12"/>
      <x:c r="O52" s="12" t="n">
        <x:v>110</x:v>
      </x:c>
      <x:c r="P52" s="12" t="n">
        <x:v>1560</x:v>
      </x:c>
      <x:c r="Q52" s="13" t="n">
        <x:f>IF(AND(ISNUMBER(O52),P52&gt;0),O52/P52,"")</x:f>
        <x:v>0.07051282051282051</x:v>
      </x:c>
      <x:c r="R52" s="12" t="n">
        <x:v>426</x:v>
      </x:c>
      <x:c r="S52" s="12" t="n">
        <x:v>245</x:v>
      </x:c>
      <x:c r="T52" s="12" t="n">
        <x:v>450</x:v>
      </x:c>
      <x:c r="U52" s="12" t="n">
        <x:v>451</x:v>
      </x:c>
      <x:c r="V52" s="4" t="str">
        <x:f>IF(D52&lt;&gt;"原始汇总核实","未核实；排除合计",IF(F52=0,"无GV不可算",IF(AND(F52&gt;=30000,G52&lt;0.03),"高流量低转化",IF(AND(F52&gt;=3000,F52&lt;30000,G52&gt;=0.08),"高转化待扩流","常规"))))</x:f>
        <x:v>常规</x:v>
      </x:c>
      <x:c r="W52" s="4" t="str">
        <x:v>HYCHIKA Cric da corsa in acciaio, con pompa di sollevamento rapido a pistone idraulico, capacità di 1.5 tonnellate</x:v>
      </x:c>
    </x:row>
    <x:row r="53" ht="22" customHeight="1">
      <x:c r="A53" s="4" t="str">
        <x:v>B07ZFNCBXX</x:v>
      </x:c>
      <x:c r="B53" s="4" t="str">
        <x:v>HYCHIKA</x:v>
      </x:c>
      <x:c r="C53" s="4" t="str">
        <x:v>锯切/开孔及配件</x:v>
      </x:c>
      <x:c r="D53" s="4" t="str">
        <x:v>原始汇总核实</x:v>
      </x:c>
      <x:c r="E53" s="12" t="n">
        <x:v>1434</x:v>
      </x:c>
      <x:c r="F53" s="12" t="n">
        <x:v>17164</x:v>
      </x:c>
      <x:c r="G53" s="13" t="n">
        <x:f>IF(F53&gt;0,E53/F53,"")</x:f>
        <x:v>0.08354695875087392</x:v>
      </x:c>
      <x:c r="H53" s="14" t="n">
        <x:v>21569.54</x:v>
      </x:c>
      <x:c r="I53" s="14" t="n">
        <x:f>IF(AND(ISNUMBER(H53),E53&gt;0),H53/E53,"")</x:f>
        <x:v>15.041520223152023</x:v>
      </x:c>
      <x:c r="J53" s="12"/>
      <x:c r="K53" s="13" t="str">
        <x:f>IF(AND(ISNUMBER(J53),F53&gt;0),J53/F53,"")</x:f>
      </x:c>
      <x:c r="L53" s="12"/>
      <x:c r="M53" s="12"/>
      <x:c r="N53" s="12"/>
      <x:c r="O53" s="12" t="n">
        <x:v>20</x:v>
      </x:c>
      <x:c r="P53" s="12" t="n">
        <x:v>1433</x:v>
      </x:c>
      <x:c r="Q53" s="13" t="n">
        <x:f>IF(AND(ISNUMBER(O53),P53&gt;0),O53/P53,"")</x:f>
        <x:v>0.013956734124214934</x:v>
      </x:c>
      <x:c r="R53" s="12" t="n">
        <x:v>445</x:v>
      </x:c>
      <x:c r="S53" s="12" t="n">
        <x:v>444</x:v>
      </x:c>
      <x:c r="T53" s="12" t="n">
        <x:v>262</x:v>
      </x:c>
      <x:c r="U53" s="12" t="n">
        <x:v>283</x:v>
      </x:c>
      <x:c r="V53" s="4" t="str">
        <x:f>IF(D53&lt;&gt;"原始汇总核实","未核实；排除合计",IF(F53=0,"无GV不可算",IF(AND(F53&gt;=30000,G53&lt;0.03),"高流量低转化",IF(AND(F53&gt;=3000,F53&lt;30000,G53&gt;=0.08),"高转化待扩流","常规"))))</x:f>
        <x:v>高转化待扩流</x:v>
      </x:c>
      <x:c r="W53" s="4" t="str">
        <x:v>HYCHIKA Säbelsägeblätter Set, 32PCS Sägeblätter Säbelsäge Holz, zum Schneiden von Metall und Holz mit Organizer Koffer</x:v>
      </x:c>
    </x:row>
    <x:row r="54" ht="22" customHeight="1">
      <x:c r="A54" s="4" t="str">
        <x:v>B0FHPR9TV5</x:v>
      </x:c>
      <x:c r="B54" s="4" t="str">
        <x:v>HYCHIKA</x:v>
      </x:c>
      <x:c r="C54" s="4" t="str">
        <x:v>扳手/汽修</x:v>
      </x:c>
      <x:c r="D54" s="4" t="str">
        <x:v>原始汇总核实</x:v>
      </x:c>
      <x:c r="E54" s="12" t="n">
        <x:v>1423</x:v>
      </x:c>
      <x:c r="F54" s="12" t="n">
        <x:v>48776</x:v>
      </x:c>
      <x:c r="G54" s="13" t="n">
        <x:f>IF(F54&gt;0,E54/F54,"")</x:f>
        <x:v>0.029174184024930293</x:v>
      </x:c>
      <x:c r="H54" s="14" t="n">
        <x:v>44165.44</x:v>
      </x:c>
      <x:c r="I54" s="14" t="n">
        <x:f>IF(AND(ISNUMBER(H54),E54&gt;0),H54/E54,"")</x:f>
        <x:v>31.03685172171469</x:v>
      </x:c>
      <x:c r="J54" s="12"/>
      <x:c r="K54" s="13" t="str">
        <x:f>IF(AND(ISNUMBER(J54),F54&gt;0),J54/F54,"")</x:f>
      </x:c>
      <x:c r="L54" s="12"/>
      <x:c r="M54" s="12"/>
      <x:c r="N54" s="12"/>
      <x:c r="O54" s="12" t="n">
        <x:v>33</x:v>
      </x:c>
      <x:c r="P54" s="12" t="n">
        <x:v>1423</x:v>
      </x:c>
      <x:c r="Q54" s="13" t="n">
        <x:f>IF(AND(ISNUMBER(O54),P54&gt;0),O54/P54,"")</x:f>
        <x:v>0.023190442726633873</x:v>
      </x:c>
      <x:c r="R54" s="12" t="n">
        <x:v>357</x:v>
      </x:c>
      <x:c r="S54" s="12" t="n">
        <x:v>515</x:v>
      </x:c>
      <x:c r="T54" s="12" t="n">
        <x:v>431</x:v>
      </x:c>
      <x:c r="U54" s="12" t="n">
        <x:v>120</x:v>
      </x:c>
      <x:c r="V54" s="4" t="str">
        <x:f>IF(D54&lt;&gt;"原始汇总核实","未核实；排除合计",IF(F54=0,"无GV不可算",IF(AND(F54&gt;=30000,G54&lt;0.03),"高流量低转化",IF(AND(F54&gt;=3000,F54&lt;30000,G54&gt;=0.08),"高转化待扩流","常规"))))</x:f>
        <x:v>高流量低转化</x:v>
      </x:c>
      <x:c r="W54" s="4" t="str">
        <x:v>HYCHIKA Ringschlüssel Set 9Pcs für Kfz-Reparatur und Industrie-Wartung</x:v>
      </x:c>
    </x:row>
    <x:row r="55" ht="22" customHeight="1">
      <x:c r="A55" s="4" t="str">
        <x:v>B0FHH6H76D</x:v>
      </x:c>
      <x:c r="B55" s="4" t="str">
        <x:v>HYCHIKA</x:v>
      </x:c>
      <x:c r="C55" s="4" t="str">
        <x:v>扳手/汽修</x:v>
      </x:c>
      <x:c r="D55" s="4" t="str">
        <x:v>原始汇总核实</x:v>
      </x:c>
      <x:c r="E55" s="12" t="n">
        <x:v>1370</x:v>
      </x:c>
      <x:c r="F55" s="12" t="n">
        <x:v>46843</x:v>
      </x:c>
      <x:c r="G55" s="13" t="n">
        <x:f>IF(F55&gt;0,E55/F55,"")</x:f>
        <x:v>0.029246632367696347</x:v>
      </x:c>
      <x:c r="H55" s="14" t="n">
        <x:v>37699.34</x:v>
      </x:c>
      <x:c r="I55" s="14" t="n">
        <x:f>IF(AND(ISNUMBER(H55),E55&gt;0),H55/E55,"")</x:f>
        <x:v>27.51776642335766</x:v>
      </x:c>
      <x:c r="J55" s="12"/>
      <x:c r="K55" s="13" t="str">
        <x:f>IF(AND(ISNUMBER(J55),F55&gt;0),J55/F55,"")</x:f>
      </x:c>
      <x:c r="L55" s="12"/>
      <x:c r="M55" s="12"/>
      <x:c r="N55" s="12"/>
      <x:c r="O55" s="12" t="n">
        <x:v>25</x:v>
      </x:c>
      <x:c r="P55" s="12" t="n">
        <x:v>1367</x:v>
      </x:c>
      <x:c r="Q55" s="13" t="n">
        <x:f>IF(AND(ISNUMBER(O55),P55&gt;0),O55/P55,"")</x:f>
        <x:v>0.018288222384784197</x:v>
      </x:c>
      <x:c r="R55" s="12" t="n">
        <x:v>269</x:v>
      </x:c>
      <x:c r="S55" s="12" t="n">
        <x:v>549</x:v>
      </x:c>
      <x:c r="T55" s="12" t="n">
        <x:v>423</x:v>
      </x:c>
      <x:c r="U55" s="12" t="n">
        <x:v>129</x:v>
      </x:c>
      <x:c r="V55" s="4" t="str">
        <x:f>IF(D55&lt;&gt;"原始汇总核实","未核实；排除合计",IF(F55=0,"无GV不可算",IF(AND(F55&gt;=30000,G55&lt;0.03),"高流量低转化",IF(AND(F55&gt;=3000,F55&lt;30000,G55&gt;=0.08),"高转化待扩流","常规"))))</x:f>
        <x:v>高流量低转化</x:v>
      </x:c>
      <x:c r="W55" s="4" t="str">
        <x:v>HYCHIKA Ratschenschlüssel Set, 9Pcs Ringschlüssel Set</x:v>
      </x:c>
    </x:row>
    <x:row r="56" ht="22" customHeight="1">
      <x:c r="A56" s="4" t="str">
        <x:v>B09G6BDHFP</x:v>
      </x:c>
      <x:c r="B56" s="4" t="str">
        <x:v>HYCHIKA</x:v>
      </x:c>
      <x:c r="C56" s="4" t="str">
        <x:v>电动螺丝刀</x:v>
      </x:c>
      <x:c r="D56" s="4" t="str">
        <x:v>原始汇总核实</x:v>
      </x:c>
      <x:c r="E56" s="12" t="n">
        <x:v>1083</x:v>
      </x:c>
      <x:c r="F56" s="12" t="n">
        <x:v>55797</x:v>
      </x:c>
      <x:c r="G56" s="13" t="n">
        <x:f>IF(F56&gt;0,E56/F56,"")</x:f>
        <x:v>0.019409645679875263</x:v>
      </x:c>
      <x:c r="H56" s="14" t="n">
        <x:v>28328.94</x:v>
      </x:c>
      <x:c r="I56" s="14" t="n">
        <x:f>IF(AND(ISNUMBER(H56),E56&gt;0),H56/E56,"")</x:f>
        <x:v>26.157839335180054</x:v>
      </x:c>
      <x:c r="J56" s="12"/>
      <x:c r="K56" s="13" t="str">
        <x:f>IF(AND(ISNUMBER(J56),F56&gt;0),J56/F56,"")</x:f>
      </x:c>
      <x:c r="L56" s="12"/>
      <x:c r="M56" s="12"/>
      <x:c r="N56" s="12"/>
      <x:c r="O56" s="12" t="n">
        <x:v>68</x:v>
      </x:c>
      <x:c r="P56" s="12" t="n">
        <x:v>1089</x:v>
      </x:c>
      <x:c r="Q56" s="13" t="n">
        <x:f>IF(AND(ISNUMBER(O56),P56&gt;0),O56/P56,"")</x:f>
        <x:v>0.06244260789715335</x:v>
      </x:c>
      <x:c r="R56" s="12" t="n">
        <x:v>650</x:v>
      </x:c>
      <x:c r="S56" s="12" t="n">
        <x:v>322</x:v>
      </x:c>
      <x:c r="T56" s="12" t="n">
        <x:v>96</x:v>
      </x:c>
      <x:c r="U56" s="12" t="n">
        <x:v>15</x:v>
      </x:c>
      <x:c r="V56" s="4" t="str">
        <x:f>IF(D56&lt;&gt;"原始汇总核实","未核实；排除合计",IF(F56=0,"无GV不可算",IF(AND(F56&gt;=30000,G56&lt;0.03),"高流量低转化",IF(AND(F56&gt;=3000,F56&lt;30000,G56&gt;=0.08),"高转化待扩流","常规"))))</x:f>
        <x:v>高流量低转化</x:v>
      </x:c>
      <x:c r="W56" s="4" t="str">
        <x:v>HYCHIKA Elektrischer Precision Schraubendreher Feinmechaniker Set, 67 in 1 Mini Feinmechaniker Werkzeug Set Handy Reparatur Werkzeug Set für Smartphones, Tablets, Konsolen, Kameras, Uhren etc</x:v>
      </x:c>
    </x:row>
    <x:row r="57" ht="22" customHeight="1">
      <x:c r="A57" s="4" t="str">
        <x:v>B0BZDCFBWV</x:v>
      </x:c>
      <x:c r="B57" s="4" t="str">
        <x:v>SORAKO</x:v>
      </x:c>
      <x:c r="C57" s="4" t="str">
        <x:v>手动螺丝刀/工具套装</x:v>
      </x:c>
      <x:c r="D57" s="4" t="str">
        <x:v>原始汇总核实</x:v>
      </x:c>
      <x:c r="E57" s="12" t="n">
        <x:v>1081</x:v>
      </x:c>
      <x:c r="F57" s="12" t="n">
        <x:v>32664</x:v>
      </x:c>
      <x:c r="G57" s="13" t="n">
        <x:f>IF(F57&gt;0,E57/F57,"")</x:f>
        <x:v>0.03309453832965956</x:v>
      </x:c>
      <x:c r="H57" s="14" t="n">
        <x:v>21592.89</x:v>
      </x:c>
      <x:c r="I57" s="14" t="n">
        <x:f>IF(AND(ISNUMBER(H57),E57&gt;0),H57/E57,"")</x:f>
        <x:v>19.97492136910268</x:v>
      </x:c>
      <x:c r="J57" s="12"/>
      <x:c r="K57" s="13" t="str">
        <x:f>IF(AND(ISNUMBER(J57),F57&gt;0),J57/F57,"")</x:f>
      </x:c>
      <x:c r="L57" s="12"/>
      <x:c r="M57" s="12"/>
      <x:c r="N57" s="12"/>
      <x:c r="O57" s="12" t="n">
        <x:v>26</x:v>
      </x:c>
      <x:c r="P57" s="12" t="n">
        <x:v>1081</x:v>
      </x:c>
      <x:c r="Q57" s="13" t="n">
        <x:f>IF(AND(ISNUMBER(O57),P57&gt;0),O57/P57,"")</x:f>
        <x:v>0.024051803885291396</x:v>
      </x:c>
      <x:c r="R57" s="12" t="n">
        <x:v>230</x:v>
      </x:c>
      <x:c r="S57" s="12" t="n">
        <x:v>456</x:v>
      </x:c>
      <x:c r="T57" s="12" t="n">
        <x:v>242</x:v>
      </x:c>
      <x:c r="U57" s="12" t="n">
        <x:v>153</x:v>
      </x:c>
      <x:c r="V57" s="4" t="str">
        <x:f>IF(D57&lt;&gt;"原始汇总核实","未核实；排除合计",IF(F57=0,"无GV不可算",IF(AND(F57&gt;=30000,G57&lt;0.03),"高流量低转化",IF(AND(F57&gt;=3000,F57&lt;30000,G57&gt;=0.08),"高转化待扩流","常规"))))</x:f>
        <x:v>常规</x:v>
      </x:c>
      <x:c r="W57" s="4" t="str">
        <x:v>SORAKO Set di Cacciaviti Magnetici 40 Pezzi, Intaglio &amp; Phillips</x:v>
      </x:c>
    </x:row>
    <x:row r="58" ht="22" customHeight="1">
      <x:c r="A58" s="4" t="str">
        <x:v>B0GDCZ7BWK</x:v>
      </x:c>
      <x:c r="B58" s="4" t="str">
        <x:v>HYCHIKA</x:v>
      </x:c>
      <x:c r="C58" s="4" t="str">
        <x:v>吸尘清洁</x:v>
      </x:c>
      <x:c r="D58" s="4" t="str">
        <x:v>原始汇总核实</x:v>
      </x:c>
      <x:c r="E58" s="12" t="n">
        <x:v>995</x:v>
      </x:c>
      <x:c r="F58" s="12" t="n">
        <x:v>53127</x:v>
      </x:c>
      <x:c r="G58" s="13" t="n">
        <x:f>IF(F58&gt;0,E58/F58,"")</x:f>
        <x:v>0.018728706683983663</x:v>
      </x:c>
      <x:c r="H58" s="14" t="n">
        <x:v>95309.97</x:v>
      </x:c>
      <x:c r="I58" s="14" t="n">
        <x:f>IF(AND(ISNUMBER(H58),E58&gt;0),H58/E58,"")</x:f>
        <x:v>95.78891457286433</x:v>
      </x:c>
      <x:c r="J58" s="12"/>
      <x:c r="K58" s="13" t="str">
        <x:f>IF(AND(ISNUMBER(J58),F58&gt;0),J58/F58,"")</x:f>
      </x:c>
      <x:c r="L58" s="12"/>
      <x:c r="M58" s="12"/>
      <x:c r="N58" s="12"/>
      <x:c r="O58" s="12" t="n">
        <x:v>219</x:v>
      </x:c>
      <x:c r="P58" s="12" t="n">
        <x:v>993</x:v>
      </x:c>
      <x:c r="Q58" s="13" t="n">
        <x:f>IF(AND(ISNUMBER(O58),P58&gt;0),O58/P58,"")</x:f>
        <x:v>0.22054380664652568</x:v>
      </x:c>
      <x:c r="R58" s="12"/>
      <x:c r="S58" s="12"/>
      <x:c r="T58" s="12" t="n">
        <x:v>317</x:v>
      </x:c>
      <x:c r="U58" s="12" t="n">
        <x:v>678</x:v>
      </x:c>
      <x:c r="V58" s="4" t="str">
        <x:f>IF(D58&lt;&gt;"原始汇总核实","未核实；排除合计",IF(F58=0,"无GV不可算",IF(AND(F58&gt;=30000,G58&lt;0.03),"高流量低转化",IF(AND(F58&gt;=3000,F58&lt;30000,G58&gt;=0.08),"高转化待扩流","常规"))))</x:f>
        <x:v>高流量低转化</x:v>
      </x:c>
      <x:c r="W58" s="4" t="str">
        <x:v>HYCHIKA Nasssauger Polsterreiniger Gerät 1800W</x:v>
      </x:c>
    </x:row>
    <x:row r="59" ht="22" customHeight="1">
      <x:c r="A59" s="4" t="str">
        <x:v>B0F1N5Y29H</x:v>
      </x:c>
      <x:c r="B59" s="4" t="str">
        <x:v>HYCHIKA</x:v>
      </x:c>
      <x:c r="C59" s="4" t="str">
        <x:v>园艺/喷涂</x:v>
      </x:c>
      <x:c r="D59" s="4" t="str">
        <x:v>原始汇总核实</x:v>
      </x:c>
      <x:c r="E59" s="12" t="n">
        <x:v>986</x:v>
      </x:c>
      <x:c r="F59" s="12" t="n">
        <x:v>30616</x:v>
      </x:c>
      <x:c r="G59" s="13" t="n">
        <x:f>IF(F59&gt;0,E59/F59,"")</x:f>
        <x:v>0.03220538280637575</x:v>
      </x:c>
      <x:c r="H59" s="14" t="n">
        <x:v>37451.5</x:v>
      </x:c>
      <x:c r="I59" s="14" t="n">
        <x:f>IF(AND(ISNUMBER(H59),E59&gt;0),H59/E59,"")</x:f>
        <x:v>37.983265720081135</x:v>
      </x:c>
      <x:c r="J59" s="12"/>
      <x:c r="K59" s="13" t="str">
        <x:f>IF(AND(ISNUMBER(J59),F59&gt;0),J59/F59,"")</x:f>
      </x:c>
      <x:c r="L59" s="12"/>
      <x:c r="M59" s="12"/>
      <x:c r="N59" s="12"/>
      <x:c r="O59" s="12" t="n">
        <x:v>84</x:v>
      </x:c>
      <x:c r="P59" s="12" t="n">
        <x:v>984</x:v>
      </x:c>
      <x:c r="Q59" s="13" t="n">
        <x:f>IF(AND(ISNUMBER(O59),P59&gt;0),O59/P59,"")</x:f>
        <x:v>0.08536585365853659</x:v>
      </x:c>
      <x:c r="R59" s="12" t="n">
        <x:v>86</x:v>
      </x:c>
      <x:c r="S59" s="12" t="n">
        <x:v>188</x:v>
      </x:c>
      <x:c r="T59" s="12" t="n">
        <x:v>518</x:v>
      </x:c>
      <x:c r="U59" s="12" t="n">
        <x:v>194</x:v>
      </x:c>
      <x:c r="V59" s="4" t="str">
        <x:f>IF(D59&lt;&gt;"原始汇总核实","未核实；排除合计",IF(F59=0,"无GV不可算",IF(AND(F59&gt;=30000,G59&lt;0.03),"高流量低转化",IF(AND(F59&gt;=3000,F59&lt;30000,G59&gt;=0.08),"高转化待扩流","常规"))))</x:f>
        <x:v>常规</x:v>
      </x:c>
      <x:c r="W59" s="4" t="str">
        <x:v>HYCHIKA Pistola per verniciare da 600W, Pistola a spruzzo per verniciare HVLP con contenitore da 1200ml, 4 ugelli, 3 modalità, ideale per la verniciatura di mobili, recinzioni, pareti</x:v>
      </x:c>
    </x:row>
    <x:row r="60" ht="22" customHeight="1">
      <x:c r="A60" s="4" t="str">
        <x:v>B0BRN59B36</x:v>
      </x:c>
      <x:c r="B60" s="4" t="str">
        <x:v>HYCHIKA</x:v>
      </x:c>
      <x:c r="C60" s="4" t="str">
        <x:v>锯切/开孔及配件</x:v>
      </x:c>
      <x:c r="D60" s="4" t="str">
        <x:v>原始汇总核实</x:v>
      </x:c>
      <x:c r="E60" s="12" t="n">
        <x:v>954</x:v>
      </x:c>
      <x:c r="F60" s="12" t="n">
        <x:v>34556</x:v>
      </x:c>
      <x:c r="G60" s="13" t="n">
        <x:f>IF(F60&gt;0,E60/F60,"")</x:f>
        <x:v>0.027607361963190184</x:v>
      </x:c>
      <x:c r="H60" s="14" t="n">
        <x:v>35688.18</x:v>
      </x:c>
      <x:c r="I60" s="14" t="n">
        <x:f>IF(AND(ISNUMBER(H60),E60&gt;0),H60/E60,"")</x:f>
        <x:v>37.408993710691824</x:v>
      </x:c>
      <x:c r="J60" s="12"/>
      <x:c r="K60" s="13" t="str">
        <x:f>IF(AND(ISNUMBER(J60),F60&gt;0),J60/F60,"")</x:f>
      </x:c>
      <x:c r="L60" s="12"/>
      <x:c r="M60" s="12"/>
      <x:c r="N60" s="12"/>
      <x:c r="O60" s="12" t="n">
        <x:v>87</x:v>
      </x:c>
      <x:c r="P60" s="12" t="n">
        <x:v>960</x:v>
      </x:c>
      <x:c r="Q60" s="13" t="n">
        <x:f>IF(AND(ISNUMBER(O60),P60&gt;0),O60/P60,"")</x:f>
        <x:v>0.090625</x:v>
      </x:c>
      <x:c r="R60" s="12" t="n">
        <x:v>619</x:v>
      </x:c>
      <x:c r="S60" s="12" t="n">
        <x:v>335</x:v>
      </x:c>
      <x:c r="T60" s="12" t="n">
        <x:v>0</x:v>
      </x:c>
      <x:c r="U60" s="12" t="n">
        <x:v>0</x:v>
      </x:c>
      <x:c r="V60" s="4" t="str">
        <x:f>IF(D60&lt;&gt;"原始汇总核实","未核实；排除合计",IF(F60=0,"无GV不可算",IF(AND(F60&gt;=30000,G60&lt;0.03),"高流量低转化",IF(AND(F60&gt;=3000,F60&lt;30000,G60&gt;=0.08),"高转化待扩流","常规"))))</x:f>
        <x:v>高流量低转化</x:v>
      </x:c>
      <x:c r="W60" s="4" t="str">
        <x:v>HYCHIKA Sierra Circular 1300W 4500RPM 185mm Mini Sierra Circular, Motor de alta Potencia, Profundidad de corte 65mm (90º), 45mm (45º), Extracción de Polvo, 2M Cable, para Corte de Madera/Plástico</x:v>
      </x:c>
    </x:row>
    <x:row r="61" ht="22" customHeight="1">
      <x:c r="A61" s="4" t="str">
        <x:v>B0FX9ZCTX9</x:v>
      </x:c>
      <x:c r="B61" s="4" t="str">
        <x:v>HYCHIKA</x:v>
      </x:c>
      <x:c r="C61" s="4" t="str">
        <x:v>其他/待核</x:v>
      </x:c>
      <x:c r="D61" s="4" t="str">
        <x:v>原始汇总核实</x:v>
      </x:c>
      <x:c r="E61" s="12" t="n">
        <x:v>940</x:v>
      </x:c>
      <x:c r="F61" s="12" t="n">
        <x:v>9590</x:v>
      </x:c>
      <x:c r="G61" s="13" t="n">
        <x:f>IF(F61&gt;0,E61/F61,"")</x:f>
        <x:v>0.09801876955161627</x:v>
      </x:c>
      <x:c r="H61" s="14" t="n">
        <x:v>19331.54</x:v>
      </x:c>
      <x:c r="I61" s="14" t="n">
        <x:f>IF(AND(ISNUMBER(H61),E61&gt;0),H61/E61,"")</x:f>
        <x:v>20.565468085106385</x:v>
      </x:c>
      <x:c r="J61" s="12"/>
      <x:c r="K61" s="13" t="str">
        <x:f>IF(AND(ISNUMBER(J61),F61&gt;0),J61/F61,"")</x:f>
      </x:c>
      <x:c r="L61" s="12"/>
      <x:c r="M61" s="12"/>
      <x:c r="N61" s="12"/>
      <x:c r="O61" s="12" t="n">
        <x:v>14</x:v>
      </x:c>
      <x:c r="P61" s="12" t="n">
        <x:v>929</x:v>
      </x:c>
      <x:c r="Q61" s="13" t="n">
        <x:f>IF(AND(ISNUMBER(O61),P61&gt;0),O61/P61,"")</x:f>
        <x:v>0.015069967707212056</x:v>
      </x:c>
      <x:c r="R61" s="12" t="n">
        <x:v>0</x:v>
      </x:c>
      <x:c r="S61" s="12" t="n">
        <x:v>14</x:v>
      </x:c>
      <x:c r="T61" s="12" t="n">
        <x:v>481</x:v>
      </x:c>
      <x:c r="U61" s="12" t="n">
        <x:v>445</x:v>
      </x:c>
      <x:c r="V61" s="4" t="str">
        <x:f>IF(D61&lt;&gt;"原始汇总核实","未核实；排除合计",IF(F61=0,"无GV不可算",IF(AND(F61&gt;=30000,G61&lt;0.03),"高流量低转化",IF(AND(F61&gt;=3000,F61&lt;30000,G61&gt;=0.08),"高转化待扩流","常规"))))</x:f>
        <x:v>高转化待扩流</x:v>
      </x:c>
      <x:c r="W61" s="4" t="str">
        <x:v>HYCHIKA Tornillo de Banco 80 mm, 360 ° Se Puede Girar, Tornillo de Banco de Trabajo de Hierro Fundido, Adecuado para Esmerilar, Taladrar, Pulir y Operaciones Manuales a Pequeña Escala</x:v>
      </x:c>
    </x:row>
    <x:row r="62" ht="22" customHeight="1">
      <x:c r="A62" s="4" t="str">
        <x:v>B088JXZ55T</x:v>
      </x:c>
      <x:c r="B62" s="4" t="str">
        <x:v>HYCHIKA</x:v>
      </x:c>
      <x:c r="C62" s="4" t="str">
        <x:v>电钻/冲击工具</x:v>
      </x:c>
      <x:c r="D62" s="4" t="str">
        <x:v>原始汇总核实</x:v>
      </x:c>
      <x:c r="E62" s="12" t="n">
        <x:v>910</x:v>
      </x:c>
      <x:c r="F62" s="12" t="n">
        <x:v>46995</x:v>
      </x:c>
      <x:c r="G62" s="13" t="n">
        <x:f>IF(F62&gt;0,E62/F62,"")</x:f>
        <x:v>0.019363762102351315</x:v>
      </x:c>
      <x:c r="H62" s="14" t="n">
        <x:v>41927.28</x:v>
      </x:c>
      <x:c r="I62" s="14" t="n">
        <x:f>IF(AND(ISNUMBER(H62),E62&gt;0),H62/E62,"")</x:f>
        <x:v>46.07393406593406</x:v>
      </x:c>
      <x:c r="J62" s="12"/>
      <x:c r="K62" s="13" t="str">
        <x:f>IF(AND(ISNUMBER(J62),F62&gt;0),J62/F62,"")</x:f>
      </x:c>
      <x:c r="L62" s="12"/>
      <x:c r="M62" s="12"/>
      <x:c r="N62" s="12"/>
      <x:c r="O62" s="12" t="n">
        <x:v>95</x:v>
      </x:c>
      <x:c r="P62" s="12" t="n">
        <x:v>911</x:v>
      </x:c>
      <x:c r="Q62" s="13" t="n">
        <x:f>IF(AND(ISNUMBER(O62),P62&gt;0),O62/P62,"")</x:f>
        <x:v>0.10428100987925357</x:v>
      </x:c>
      <x:c r="R62" s="12" t="n">
        <x:v>228</x:v>
      </x:c>
      <x:c r="S62" s="12" t="n">
        <x:v>276</x:v>
      </x:c>
      <x:c r="T62" s="12" t="n">
        <x:v>246</x:v>
      </x:c>
      <x:c r="U62" s="12" t="n">
        <x:v>160</x:v>
      </x:c>
      <x:c r="V62" s="4" t="str">
        <x:f>IF(D62&lt;&gt;"原始汇总核实","未核实；排除合计",IF(F62=0,"无GV不可算",IF(AND(F62&gt;=30000,G62&lt;0.03),"高流量低转化",IF(AND(F62&gt;=3000,F62&lt;30000,G62&gt;=0.08),"高转化待扩流","常规"))))</x:f>
        <x:v>高流量低转化</x:v>
      </x:c>
      <x:c r="W62" s="4" t="str">
        <x:v>HYCHIKA Trapano Avvitatore Batteria 18 V 45 Nm, Trapano a Percussione</x:v>
      </x:c>
    </x:row>
    <x:row r="63" ht="22" customHeight="1">
      <x:c r="A63" s="4" t="str">
        <x:v>B0FJ21PPPJ</x:v>
      </x:c>
      <x:c r="B63" s="4" t="str">
        <x:v>HYCHIKA</x:v>
      </x:c>
      <x:c r="C63" s="4" t="str">
        <x:v>其他/待核</x:v>
      </x:c>
      <x:c r="D63" s="4" t="str">
        <x:v>原始汇总核实</x:v>
      </x:c>
      <x:c r="E63" s="12" t="n">
        <x:v>908</x:v>
      </x:c>
      <x:c r="F63" s="12" t="n">
        <x:v>26352</x:v>
      </x:c>
      <x:c r="G63" s="13" t="n">
        <x:f>IF(F63&gt;0,E63/F63,"")</x:f>
        <x:v>0.03445658773527626</x:v>
      </x:c>
      <x:c r="H63" s="14" t="n">
        <x:v>27366.11</x:v>
      </x:c>
      <x:c r="I63" s="14" t="n">
        <x:f>IF(AND(ISNUMBER(H63),E63&gt;0),H63/E63,"")</x:f>
        <x:v>30.13888766519824</x:v>
      </x:c>
      <x:c r="J63" s="12"/>
      <x:c r="K63" s="13" t="str">
        <x:f>IF(AND(ISNUMBER(J63),F63&gt;0),J63/F63,"")</x:f>
      </x:c>
      <x:c r="L63" s="12"/>
      <x:c r="M63" s="12"/>
      <x:c r="N63" s="12"/>
      <x:c r="O63" s="12" t="n">
        <x:v>70</x:v>
      </x:c>
      <x:c r="P63" s="12" t="n">
        <x:v>908</x:v>
      </x:c>
      <x:c r="Q63" s="13" t="n">
        <x:f>IF(AND(ISNUMBER(O63),P63&gt;0),O63/P63,"")</x:f>
        <x:v>0.07709251101321586</x:v>
      </x:c>
      <x:c r="R63" s="12" t="n">
        <x:v>73</x:v>
      </x:c>
      <x:c r="S63" s="12" t="n">
        <x:v>270</x:v>
      </x:c>
      <x:c r="T63" s="12" t="n">
        <x:v>332</x:v>
      </x:c>
      <x:c r="U63" s="12" t="n">
        <x:v>233</x:v>
      </x:c>
      <x:c r="V63" s="4" t="str">
        <x:f>IF(D63&lt;&gt;"原始汇总核实","未核实；排除合计",IF(F63=0,"无GV不可算",IF(AND(F63&gt;=30000,G63&lt;0.03),"高流量低转化",IF(AND(F63&gt;=3000,F63&lt;30000,G63&gt;=0.08),"高转化待扩流","常规"))))</x:f>
        <x:v>常规</x:v>
      </x:c>
      <x:c r="W63" s="4" t="str">
        <x:v>HYCHIKA Tijera Electrica Inalámbricas 4V, Cúter Rotativo Eléctrico 300 RPM, Tijeras Eléctricas con 2 Cuchillas y LED para Tela, Costura, Cuero, Alfombra, Cartón y Plástico</x:v>
      </x:c>
    </x:row>
    <x:row r="64" ht="22" customHeight="1">
      <x:c r="A64" s="4" t="str">
        <x:v>B0BRCX7H1W</x:v>
      </x:c>
      <x:c r="B64" s="4" t="str">
        <x:v>HYCHIKA</x:v>
      </x:c>
      <x:c r="C64" s="4" t="str">
        <x:v>打磨/旋转工具</x:v>
      </x:c>
      <x:c r="D64" s="4" t="str">
        <x:v>原始汇总核实</x:v>
      </x:c>
      <x:c r="E64" s="12" t="n">
        <x:v>824</x:v>
      </x:c>
      <x:c r="F64" s="12" t="n">
        <x:v>10417</x:v>
      </x:c>
      <x:c r="G64" s="13" t="n">
        <x:f>IF(F64&gt;0,E64/F64,"")</x:f>
        <x:v>0.0791014687529999</x:v>
      </x:c>
      <x:c r="H64" s="14" t="n">
        <x:v>11251.91</x:v>
      </x:c>
      <x:c r="I64" s="14" t="n">
        <x:f>IF(AND(ISNUMBER(H64),E64&gt;0),H64/E64,"")</x:f>
        <x:v>13.655230582524272</x:v>
      </x:c>
      <x:c r="J64" s="12"/>
      <x:c r="K64" s="13" t="str">
        <x:f>IF(AND(ISNUMBER(J64),F64&gt;0),J64/F64,"")</x:f>
      </x:c>
      <x:c r="L64" s="12"/>
      <x:c r="M64" s="12"/>
      <x:c r="N64" s="12"/>
      <x:c r="O64" s="12" t="n">
        <x:v>16</x:v>
      </x:c>
      <x:c r="P64" s="12" t="n">
        <x:v>822</x:v>
      </x:c>
      <x:c r="Q64" s="13" t="n">
        <x:f>IF(AND(ISNUMBER(O64),P64&gt;0),O64/P64,"")</x:f>
        <x:v>0.019464720194647202</x:v>
      </x:c>
      <x:c r="R64" s="12" t="n">
        <x:v>242</x:v>
      </x:c>
      <x:c r="S64" s="12" t="n">
        <x:v>110</x:v>
      </x:c>
      <x:c r="T64" s="12" t="n">
        <x:v>206</x:v>
      </x:c>
      <x:c r="U64" s="12" t="n">
        <x:v>266</x:v>
      </x:c>
      <x:c r="V64" s="4" t="str">
        <x:f>IF(D64&lt;&gt;"原始汇总核实","未核实；排除合计",IF(F64=0,"无GV不可算",IF(AND(F64&gt;=30000,G64&lt;0.03),"高流量低转化",IF(AND(F64&gt;=3000,F64&lt;30000,G64&gt;=0.08),"高转化待扩流","常规"))))</x:f>
        <x:v>常规</x:v>
      </x:c>
      <x:c r="W64" s="4" t="str">
        <x:v>HYCHIKA Schruppscheiben 125mm 10 Stück, Professional Schruppscheibe gekröpft, Winkelschleifer Scheiben für Stahl-, Metallbearbeitung Schleifen Polieren, Entgraten Ø125 x 22,2 mm, Dicke:6 mm</x:v>
      </x:c>
    </x:row>
    <x:row r="65" ht="22" customHeight="1">
      <x:c r="A65" s="4" t="str">
        <x:v>B07QXSGNYH</x:v>
      </x:c>
      <x:c r="B65" s="4" t="str">
        <x:v>HYCHIKA</x:v>
      </x:c>
      <x:c r="C65" s="4" t="str">
        <x:v>激光测量</x:v>
      </x:c>
      <x:c r="D65" s="4" t="str">
        <x:v>原始汇总核实</x:v>
      </x:c>
      <x:c r="E65" s="12" t="n">
        <x:v>810</x:v>
      </x:c>
      <x:c r="F65" s="12" t="n">
        <x:v>24701</x:v>
      </x:c>
      <x:c r="G65" s="13" t="n">
        <x:f>IF(F65&gt;0,E65/F65,"")</x:f>
        <x:v>0.03279219464798996</x:v>
      </x:c>
      <x:c r="H65" s="14" t="n">
        <x:v>19517.85</x:v>
      </x:c>
      <x:c r="I65" s="14" t="n">
        <x:f>IF(AND(ISNUMBER(H65),E65&gt;0),H65/E65,"")</x:f>
        <x:v>24.09611111111111</x:v>
      </x:c>
      <x:c r="J65" s="12"/>
      <x:c r="K65" s="13" t="str">
        <x:f>IF(AND(ISNUMBER(J65),F65&gt;0),J65/F65,"")</x:f>
      </x:c>
      <x:c r="L65" s="12"/>
      <x:c r="M65" s="12"/>
      <x:c r="N65" s="12"/>
      <x:c r="O65" s="12" t="n">
        <x:v>75</x:v>
      </x:c>
      <x:c r="P65" s="12" t="n">
        <x:v>811</x:v>
      </x:c>
      <x:c r="Q65" s="13" t="n">
        <x:f>IF(AND(ISNUMBER(O65),P65&gt;0),O65/P65,"")</x:f>
        <x:v>0.09247842170160296</x:v>
      </x:c>
      <x:c r="R65" s="12" t="n">
        <x:v>281</x:v>
      </x:c>
      <x:c r="S65" s="12" t="n">
        <x:v>245</x:v>
      </x:c>
      <x:c r="T65" s="12" t="n">
        <x:v>186</x:v>
      </x:c>
      <x:c r="U65" s="12" t="n">
        <x:v>98</x:v>
      </x:c>
      <x:c r="V65" s="4" t="str">
        <x:f>IF(D65&lt;&gt;"原始汇总核实","未核实；排除合计",IF(F65=0,"无GV不可算",IF(AND(F65&gt;=30000,G65&lt;0.03),"高流量低转化",IF(AND(F65&gt;=3000,F65&lt;30000,G65&gt;=0.08),"高转化待扩流","常规"))))</x:f>
        <x:v>常规</x:v>
      </x:c>
      <x:c r="W65" s="4" t="str">
        <x:v>HYCHIKA Nivel Laser Autonivelante Rojo, 15m, Nivel Láser Manual/Automático, IP54, Base Magnética Giratoria 360°, Herramienta De Nivelación</x:v>
      </x:c>
    </x:row>
    <x:row r="66" ht="22" customHeight="1">
      <x:c r="A66" s="4" t="str">
        <x:v>B0FFGM2W7H</x:v>
      </x:c>
      <x:c r="B66" s="4" t="str">
        <x:v>HYCHIKA</x:v>
      </x:c>
      <x:c r="C66" s="4" t="str">
        <x:v>其他/待核</x:v>
      </x:c>
      <x:c r="D66" s="4" t="str">
        <x:v>原始汇总核实</x:v>
      </x:c>
      <x:c r="E66" s="12" t="n">
        <x:v>795</x:v>
      </x:c>
      <x:c r="F66" s="12" t="n">
        <x:v>17197</x:v>
      </x:c>
      <x:c r="G66" s="13" t="n">
        <x:f>IF(F66&gt;0,E66/F66,"")</x:f>
        <x:v>0.04622899342908647</x:v>
      </x:c>
      <x:c r="H66" s="14" t="n">
        <x:v>38793.29</x:v>
      </x:c>
      <x:c r="I66" s="14" t="n">
        <x:f>IF(AND(ISNUMBER(H66),E66&gt;0),H66/E66,"")</x:f>
        <x:v>48.796591194968556</x:v>
      </x:c>
      <x:c r="J66" s="12"/>
      <x:c r="K66" s="13" t="str">
        <x:f>IF(AND(ISNUMBER(J66),F66&gt;0),J66/F66,"")</x:f>
      </x:c>
      <x:c r="L66" s="12"/>
      <x:c r="M66" s="12"/>
      <x:c r="N66" s="12"/>
      <x:c r="O66" s="12" t="n">
        <x:v>34</x:v>
      </x:c>
      <x:c r="P66" s="12" t="n">
        <x:v>791</x:v>
      </x:c>
      <x:c r="Q66" s="13" t="n">
        <x:f>IF(AND(ISNUMBER(O66),P66&gt;0),O66/P66,"")</x:f>
        <x:v>0.04298356510745891</x:v>
      </x:c>
      <x:c r="R66" s="12" t="n">
        <x:v>0</x:v>
      </x:c>
      <x:c r="S66" s="12" t="n">
        <x:v>191</x:v>
      </x:c>
      <x:c r="T66" s="12" t="n">
        <x:v>385</x:v>
      </x:c>
      <x:c r="U66" s="12" t="n">
        <x:v>219</x:v>
      </x:c>
      <x:c r="V66" s="4" t="str">
        <x:f>IF(D66&lt;&gt;"原始汇总核实","未核实；排除合计",IF(F66=0,"无GV不可算",IF(AND(F66&gt;=30000,G66&lt;0.03),"高流量低转化",IF(AND(F66&gt;=3000,F66&lt;30000,G66&gt;=0.08),"高转化待扩流","常规"))))</x:f>
        <x:v>常规</x:v>
      </x:c>
      <x:c r="W66" s="4" t="str">
        <x:v>HYCHIKA Soldador Estaño, con Batería de 2600mAh, Calentamiento Rápido en 7 Segundos (200℃-450℃), Suspensión/Apagado Automático, Soldador de Estaño para Reparación Electrónica, Soldadura y DIY</x:v>
      </x:c>
    </x:row>
    <x:row r="67" ht="22" customHeight="1">
      <x:c r="A67" s="4" t="str">
        <x:v>B0DRFDJHTM</x:v>
      </x:c>
      <x:c r="B67" s="4" t="str">
        <x:v>HYCHIKA</x:v>
      </x:c>
      <x:c r="C67" s="4" t="str">
        <x:v>激光测量</x:v>
      </x:c>
      <x:c r="D67" s="4" t="str">
        <x:v>原始汇总核实</x:v>
      </x:c>
      <x:c r="E67" s="12" t="n">
        <x:v>792</x:v>
      </x:c>
      <x:c r="F67" s="12" t="n">
        <x:v>23537</x:v>
      </x:c>
      <x:c r="G67" s="13" t="n">
        <x:f>IF(F67&gt;0,E67/F67,"")</x:f>
        <x:v>0.03364914814972172</x:v>
      </x:c>
      <x:c r="H67" s="14" t="n">
        <x:v>18396.53</x:v>
      </x:c>
      <x:c r="I67" s="14" t="n">
        <x:f>IF(AND(ISNUMBER(H67),E67&gt;0),H67/E67,"")</x:f>
        <x:v>23.227941919191917</x:v>
      </x:c>
      <x:c r="J67" s="12"/>
      <x:c r="K67" s="13" t="str">
        <x:f>IF(AND(ISNUMBER(J67),F67&gt;0),J67/F67,"")</x:f>
      </x:c>
      <x:c r="L67" s="12"/>
      <x:c r="M67" s="12"/>
      <x:c r="N67" s="12"/>
      <x:c r="O67" s="12" t="n">
        <x:v>80</x:v>
      </x:c>
      <x:c r="P67" s="12" t="n">
        <x:v>794</x:v>
      </x:c>
      <x:c r="Q67" s="13" t="n">
        <x:f>IF(AND(ISNUMBER(O67),P67&gt;0),O67/P67,"")</x:f>
        <x:v>0.10075566750629723</x:v>
      </x:c>
      <x:c r="R67" s="12" t="n">
        <x:v>265</x:v>
      </x:c>
      <x:c r="S67" s="12" t="n">
        <x:v>198</x:v>
      </x:c>
      <x:c r="T67" s="12" t="n">
        <x:v>265</x:v>
      </x:c>
      <x:c r="U67" s="12" t="n">
        <x:v>64</x:v>
      </x:c>
      <x:c r="V67" s="4" t="str">
        <x:f>IF(D67&lt;&gt;"原始汇总核实","未核实；排除合计",IF(F67=0,"无GV不可算",IF(AND(F67&gt;=30000,G67&lt;0.03),"高流量低转化",IF(AND(F67&gt;=3000,F67&lt;30000,G67&gt;=0.08),"高转化待扩流","常规"))))</x:f>
        <x:v>常规</x:v>
      </x:c>
      <x:c r="W67" s="4" t="str">
        <x:v>HYCHIKA Nivel Laser Verde, Horizontal y Vertical Nivel Láser Autonivelante, Láser de Línea con Bolsa de Lona y 2 Baterías AA, para Decoración del Hogar, Bricolaje</x:v>
      </x:c>
    </x:row>
    <x:row r="68" ht="22" customHeight="1">
      <x:c r="A68" s="4" t="str">
        <x:v>B0BZPHPHS5</x:v>
      </x:c>
      <x:c r="B68" s="4" t="str">
        <x:v>SORAKO</x:v>
      </x:c>
      <x:c r="C68" s="4" t="str">
        <x:v>扳手/汽修</x:v>
      </x:c>
      <x:c r="D68" s="4" t="str">
        <x:v>原始汇总核实</x:v>
      </x:c>
      <x:c r="E68" s="12" t="n">
        <x:v>763</x:v>
      </x:c>
      <x:c r="F68" s="12" t="n">
        <x:v>20121</x:v>
      </x:c>
      <x:c r="G68" s="13" t="n">
        <x:f>IF(F68&gt;0,E68/F68,"")</x:f>
        <x:v>0.03792058048804731</x:v>
      </x:c>
      <x:c r="H68" s="14" t="n">
        <x:v>25346.39</x:v>
      </x:c>
      <x:c r="I68" s="14" t="n">
        <x:f>IF(AND(ISNUMBER(H68),E68&gt;0),H68/E68,"")</x:f>
        <x:v>33.21938401048493</x:v>
      </x:c>
      <x:c r="J68" s="12"/>
      <x:c r="K68" s="13" t="str">
        <x:f>IF(AND(ISNUMBER(J68),F68&gt;0),J68/F68,"")</x:f>
      </x:c>
      <x:c r="L68" s="12"/>
      <x:c r="M68" s="12"/>
      <x:c r="N68" s="12"/>
      <x:c r="O68" s="12" t="n">
        <x:v>17</x:v>
      </x:c>
      <x:c r="P68" s="12" t="n">
        <x:v>766</x:v>
      </x:c>
      <x:c r="Q68" s="13" t="n">
        <x:f>IF(AND(ISNUMBER(O68),P68&gt;0),O68/P68,"")</x:f>
        <x:v>0.022193211488250653</x:v>
      </x:c>
      <x:c r="R68" s="12" t="n">
        <x:v>344</x:v>
      </x:c>
      <x:c r="S68" s="12" t="n">
        <x:v>259</x:v>
      </x:c>
      <x:c r="T68" s="12" t="n">
        <x:v>95</x:v>
      </x:c>
      <x:c r="U68" s="12" t="n">
        <x:v>65</x:v>
      </x:c>
      <x:c r="V68" s="4" t="str">
        <x:f>IF(D68&lt;&gt;"原始汇总核实","未核实；排除合计",IF(F68=0,"无GV不可算",IF(AND(F68&gt;=30000,G68&lt;0.03),"高流量低转化",IF(AND(F68&gt;=3000,F68&lt;30000,G68&gt;=0.08),"高转化待扩流","常规"))))</x:f>
        <x:v>常规</x:v>
      </x:c>
      <x:c r="W68" s="4" t="str">
        <x:v>SORAKO Set Chiavi Inglesi 8-19mm, 12Pcs Chiavi a Cricchetto con Custodia Portatile, Set Chiavi a Cricchetto per Fai da Te e Riparazione</x:v>
      </x:c>
    </x:row>
    <x:row r="69" ht="22" customHeight="1">
      <x:c r="A69" s="4" t="str">
        <x:v>B0H5PY47GP</x:v>
      </x:c>
      <x:c r="B69" s="4" t="str">
        <x:v>HYCHIKA</x:v>
      </x:c>
      <x:c r="C69" s="4" t="str">
        <x:v>口腔护理</x:v>
      </x:c>
      <x:c r="D69" s="4" t="str">
        <x:v>原始汇总核实</x:v>
      </x:c>
      <x:c r="E69" s="12" t="n">
        <x:v>717</x:v>
      </x:c>
      <x:c r="F69" s="12" t="n">
        <x:v>10470</x:v>
      </x:c>
      <x:c r="G69" s="13" t="n">
        <x:f>IF(F69&gt;0,E69/F69,"")</x:f>
        <x:v>0.06848137535816619</x:v>
      </x:c>
      <x:c r="H69" s="14" t="n">
        <x:v>24517.96</x:v>
      </x:c>
      <x:c r="I69" s="14" t="n">
        <x:f>IF(AND(ISNUMBER(H69),E69&gt;0),H69/E69,"")</x:f>
        <x:v>34.19520223152022</x:v>
      </x:c>
      <x:c r="J69" s="12"/>
      <x:c r="K69" s="13" t="str">
        <x:f>IF(AND(ISNUMBER(J69),F69&gt;0),J69/F69,"")</x:f>
      </x:c>
      <x:c r="L69" s="12"/>
      <x:c r="M69" s="12"/>
      <x:c r="N69" s="12"/>
      <x:c r="O69" s="12" t="n">
        <x:v>12</x:v>
      </x:c>
      <x:c r="P69" s="12" t="n">
        <x:v>701</x:v>
      </x:c>
      <x:c r="Q69" s="13" t="n">
        <x:f>IF(AND(ISNUMBER(O69),P69&gt;0),O69/P69,"")</x:f>
        <x:v>0.017118402282453638</x:v>
      </x:c>
      <x:c r="R69" s="12"/>
      <x:c r="S69" s="12"/>
      <x:c r="T69" s="12" t="n">
        <x:v>0</x:v>
      </x:c>
      <x:c r="U69" s="12" t="n">
        <x:v>717</x:v>
      </x:c>
      <x:c r="V69" s="4" t="str">
        <x:f>IF(D69&lt;&gt;"原始汇总核实","未核实；排除合计",IF(F69=0,"无GV不可算",IF(AND(F69&gt;=30000,G69&lt;0.03),"高流量低转化",IF(AND(F69&gt;=3000,F69&lt;30000,G69&gt;=0.08),"高转化待扩流","常规"))))</x:f>
        <x:v>常规</x:v>
      </x:c>
      <x:c r="W69" s="4" t="str">
        <x:v>Ultraschallreinigungsgerät Zahnschiene mit UV-C Licht,Wasserdicht,48kHz Schall Dental Pod mit Timer,4 Modi,200 mL Reinigungsgerät für Prothesen,Aligner und Mundschutz,Weiß</x:v>
      </x:c>
    </x:row>
    <x:row r="70" ht="22" customHeight="1">
      <x:c r="A70" s="4" t="str">
        <x:v>B0D4DHHTHQ</x:v>
      </x:c>
      <x:c r="B70" s="4" t="str">
        <x:v>HYCHIKA</x:v>
      </x:c>
      <x:c r="C70" s="4" t="str">
        <x:v>手动螺丝刀/工具套装</x:v>
      </x:c>
      <x:c r="D70" s="4" t="str">
        <x:v>原始汇总核实</x:v>
      </x:c>
      <x:c r="E70" s="12" t="n">
        <x:v>712</x:v>
      </x:c>
      <x:c r="F70" s="12" t="n">
        <x:v>12144</x:v>
      </x:c>
      <x:c r="G70" s="13" t="n">
        <x:f>IF(F70&gt;0,E70/F70,"")</x:f>
        <x:v>0.05862977602108037</x:v>
      </x:c>
      <x:c r="H70" s="14" t="n">
        <x:v>4635.21</x:v>
      </x:c>
      <x:c r="I70" s="14" t="n">
        <x:f>IF(AND(ISNUMBER(H70),E70&gt;0),H70/E70,"")</x:f>
        <x:v>6.5101264044943825</x:v>
      </x:c>
      <x:c r="J70" s="12"/>
      <x:c r="K70" s="13" t="str">
        <x:f>IF(AND(ISNUMBER(J70),F70&gt;0),J70/F70,"")</x:f>
      </x:c>
      <x:c r="L70" s="12"/>
      <x:c r="M70" s="12"/>
      <x:c r="N70" s="12"/>
      <x:c r="O70" s="12" t="n">
        <x:v>21</x:v>
      </x:c>
      <x:c r="P70" s="12" t="n">
        <x:v>721</x:v>
      </x:c>
      <x:c r="Q70" s="13" t="n">
        <x:f>IF(AND(ISNUMBER(O70),P70&gt;0),O70/P70,"")</x:f>
        <x:v>0.02912621359223301</x:v>
      </x:c>
      <x:c r="R70" s="12" t="n">
        <x:v>636</x:v>
      </x:c>
      <x:c r="S70" s="12" t="n">
        <x:v>61</x:v>
      </x:c>
      <x:c r="T70" s="12" t="n">
        <x:v>15</x:v>
      </x:c>
      <x:c r="U70" s="12" t="n">
        <x:v>0</x:v>
      </x:c>
      <x:c r="V70" s="4" t="str">
        <x:f>IF(D70&lt;&gt;"原始汇总核实","未核实；排除合计",IF(F70=0,"无GV不可算",IF(AND(F70&gt;=30000,G70&lt;0.03),"高流量低转化",IF(AND(F70&gt;=3000,F70&lt;30000,G70&gt;=0.08),"高转化待扩流","常规"))))</x:f>
        <x:v>常规</x:v>
      </x:c>
      <x:c r="W70" s="4" t="str">
        <x:v>HYCHIKA 16 pezzi in 1 cacciavite a cricchetto, set di cacciaviti magnetici tutto in uno, multiutensile a cricchetto con punte esagonali a doppia estremità Phillips, a taglio, Torx e quadrate</x:v>
      </x:c>
    </x:row>
    <x:row r="71" ht="22" customHeight="1">
      <x:c r="A71" s="4" t="str">
        <x:v>B0811CNVCJ</x:v>
      </x:c>
      <x:c r="B71" s="4" t="str">
        <x:v>HYCHIKA</x:v>
      </x:c>
      <x:c r="C71" s="4" t="str">
        <x:v>锯切/开孔及配件</x:v>
      </x:c>
      <x:c r="D71" s="4" t="str">
        <x:v>原始汇总核实</x:v>
      </x:c>
      <x:c r="E71" s="12" t="n">
        <x:v>704</x:v>
      </x:c>
      <x:c r="F71" s="12" t="n">
        <x:v>40264</x:v>
      </x:c>
      <x:c r="G71" s="13" t="n">
        <x:f>IF(F71&gt;0,E71/F71,"")</x:f>
        <x:v>0.01748460162924697</x:v>
      </x:c>
      <x:c r="H71" s="14" t="n">
        <x:v>44491.15</x:v>
      </x:c>
      <x:c r="I71" s="14" t="n">
        <x:f>IF(AND(ISNUMBER(H71),E71&gt;0),H71/E71,"")</x:f>
        <x:v>63.19765625</x:v>
      </x:c>
      <x:c r="J71" s="12"/>
      <x:c r="K71" s="13" t="str">
        <x:f>IF(AND(ISNUMBER(J71),F71&gt;0),J71/F71,"")</x:f>
      </x:c>
      <x:c r="L71" s="12"/>
      <x:c r="M71" s="12"/>
      <x:c r="N71" s="12"/>
      <x:c r="O71" s="12" t="n">
        <x:v>60</x:v>
      </x:c>
      <x:c r="P71" s="12" t="n">
        <x:v>709</x:v>
      </x:c>
      <x:c r="Q71" s="13" t="n">
        <x:f>IF(AND(ISNUMBER(O71),P71&gt;0),O71/P71,"")</x:f>
        <x:v>0.0846262341325811</x:v>
      </x:c>
      <x:c r="R71" s="12" t="n">
        <x:v>206</x:v>
      </x:c>
      <x:c r="S71" s="12" t="n">
        <x:v>229</x:v>
      </x:c>
      <x:c r="T71" s="12" t="n">
        <x:v>94</x:v>
      </x:c>
      <x:c r="U71" s="12" t="n">
        <x:v>175</x:v>
      </x:c>
      <x:c r="V71" s="4" t="str">
        <x:f>IF(D71&lt;&gt;"原始汇总核实","未核实；排除合计",IF(F71=0,"无GV不可算",IF(AND(F71&gt;=30000,G71&lt;0.03),"高流量低转化",IF(AND(F71&gt;=3000,F71&lt;30000,G71&gt;=0.08),"高转化待扩流","常规"))))</x:f>
        <x:v>高流量低转化</x:v>
      </x:c>
      <x:c r="W71" s="4" t="str">
        <x:v>HYCHIKA Säbelsäge, 18V Akku Universalsäge, Reciprosäge mit 2x2.0Ah Batterien, mit variabler Drehzahl von 0-2800 SPM, 2 Sägeblätter, Schnellladegerät, LED Licht,Ideal zum Schneiden von Holz und Metall</x:v>
      </x:c>
    </x:row>
    <x:row r="72" ht="22" customHeight="1">
      <x:c r="A72" s="4" t="str">
        <x:v>B0F65V6Q55</x:v>
      </x:c>
      <x:c r="B72" s="4" t="str">
        <x:v>HYCHIKA</x:v>
      </x:c>
      <x:c r="C72" s="4" t="str">
        <x:v>激光测量</x:v>
      </x:c>
      <x:c r="D72" s="4" t="str">
        <x:v>原始汇总核实</x:v>
      </x:c>
      <x:c r="E72" s="12" t="n">
        <x:v>678</x:v>
      </x:c>
      <x:c r="F72" s="12" t="n">
        <x:v>33659</x:v>
      </x:c>
      <x:c r="G72" s="13" t="n">
        <x:f>IF(F72&gt;0,E72/F72,"")</x:f>
        <x:v>0.020143200926943758</x:v>
      </x:c>
      <x:c r="H72" s="14" t="n">
        <x:v>68890.38</x:v>
      </x:c>
      <x:c r="I72" s="14" t="n">
        <x:f>IF(AND(ISNUMBER(H72),E72&gt;0),H72/E72,"")</x:f>
        <x:v>101.60823008849559</x:v>
      </x:c>
      <x:c r="J72" s="12"/>
      <x:c r="K72" s="13" t="str">
        <x:f>IF(AND(ISNUMBER(J72),F72&gt;0),J72/F72,"")</x:f>
      </x:c>
      <x:c r="L72" s="12"/>
      <x:c r="M72" s="12"/>
      <x:c r="N72" s="12"/>
      <x:c r="O72" s="12" t="n">
        <x:v>44</x:v>
      </x:c>
      <x:c r="P72" s="12" t="n">
        <x:v>672</x:v>
      </x:c>
      <x:c r="Q72" s="13" t="n">
        <x:f>IF(AND(ISNUMBER(O72),P72&gt;0),O72/P72,"")</x:f>
        <x:v>0.06547619047619048</x:v>
      </x:c>
      <x:c r="R72" s="12" t="n">
        <x:v>135</x:v>
      </x:c>
      <x:c r="S72" s="12" t="n">
        <x:v>202</x:v>
      </x:c>
      <x:c r="T72" s="12" t="n">
        <x:v>103</x:v>
      </x:c>
      <x:c r="U72" s="12" t="n">
        <x:v>238</x:v>
      </x:c>
      <x:c r="V72" s="4" t="str">
        <x:f>IF(D72&lt;&gt;"原始汇总核实","未核实；排除合计",IF(F72=0,"无GV不可算",IF(AND(F72&gt;=30000,G72&lt;0.03),"高流量低转化",IF(AND(F72&gt;=3000,F72&lt;30000,G72&gt;=0.08),"高转化待扩流","常规"))))</x:f>
        <x:v>高流量低转化</x:v>
      </x:c>
      <x:c r="W72" s="4" t="str">
        <x:v>HYCHIKA Nivel Laser Autonivelante 360 Grados, Nivel Láser con Trípode 12 Líneas, 1 x 360° Horizontal y 2 x 360° Verticales, 2 x 3000 mAh Batería, Control Remoto, Bolsa de tela, IP54</x:v>
      </x:c>
    </x:row>
    <x:row r="73" ht="22" customHeight="1">
      <x:c r="A73" s="4" t="str">
        <x:v>B0F218K5BD</x:v>
      </x:c>
      <x:c r="B73" s="4" t="str">
        <x:v>HYCHIKA</x:v>
      </x:c>
      <x:c r="C73" s="4" t="str">
        <x:v>激光测量</x:v>
      </x:c>
      <x:c r="D73" s="4" t="str">
        <x:v>原始汇总核实</x:v>
      </x:c>
      <x:c r="E73" s="12" t="n">
        <x:v>669</x:v>
      </x:c>
      <x:c r="F73" s="12" t="n">
        <x:v>22999</x:v>
      </x:c>
      <x:c r="G73" s="13" t="n">
        <x:f>IF(F73&gt;0,E73/F73,"")</x:f>
        <x:v>0.02908822122700987</x:v>
      </x:c>
      <x:c r="H73" s="14" t="n">
        <x:v>12895.9</x:v>
      </x:c>
      <x:c r="I73" s="14" t="n">
        <x:f>IF(AND(ISNUMBER(H73),E73&gt;0),H73/E73,"")</x:f>
        <x:v>19.27638266068759</x:v>
      </x:c>
      <x:c r="J73" s="12"/>
      <x:c r="K73" s="13" t="str">
        <x:f>IF(AND(ISNUMBER(J73),F73&gt;0),J73/F73,"")</x:f>
      </x:c>
      <x:c r="L73" s="12"/>
      <x:c r="M73" s="12"/>
      <x:c r="N73" s="12"/>
      <x:c r="O73" s="12" t="n">
        <x:v>96</x:v>
      </x:c>
      <x:c r="P73" s="12" t="n">
        <x:v>667</x:v>
      </x:c>
      <x:c r="Q73" s="13" t="n">
        <x:f>IF(AND(ISNUMBER(O73),P73&gt;0),O73/P73,"")</x:f>
        <x:v>0.14392803598200898</x:v>
      </x:c>
      <x:c r="R73" s="12" t="n">
        <x:v>127</x:v>
      </x:c>
      <x:c r="S73" s="12" t="n">
        <x:v>151</x:v>
      </x:c>
      <x:c r="T73" s="12" t="n">
        <x:v>140</x:v>
      </x:c>
      <x:c r="U73" s="12" t="n">
        <x:v>251</x:v>
      </x:c>
      <x:c r="V73" s="4" t="str">
        <x:f>IF(D73&lt;&gt;"原始汇总核实","未核实；排除合计",IF(F73=0,"无GV不可算",IF(AND(F73&gt;=30000,G73&lt;0.03),"高流量低转化",IF(AND(F73&gt;=3000,F73&lt;30000,G73&gt;=0.08),"高转化待扩流","常规"))))</x:f>
        <x:v>常规</x:v>
      </x:c>
      <x:c r="W73" s="4" t="str">
        <x:v>HYCHIKA Trípode para Nivel Láser 65cm - Soporte Extensible y Ajustable con Rosca Universal 1/4", Cabezal Giratorio 360° y 180°, Nivel de Burbuja y Bolsa para Láser, Cámara y Smartphone</x:v>
      </x:c>
    </x:row>
    <x:row r="74" ht="22" customHeight="1">
      <x:c r="A74" s="4" t="str">
        <x:v>B0CGR2VPRL</x:v>
      </x:c>
      <x:c r="B74" s="4" t="str">
        <x:v>SORAKO</x:v>
      </x:c>
      <x:c r="C74" s="4" t="str">
        <x:v>扳手/汽修</x:v>
      </x:c>
      <x:c r="D74" s="4" t="str">
        <x:v>原始汇总核实</x:v>
      </x:c>
      <x:c r="E74" s="12" t="n">
        <x:v>656</x:v>
      </x:c>
      <x:c r="F74" s="12" t="n">
        <x:v>4218</x:v>
      </x:c>
      <x:c r="G74" s="13" t="n">
        <x:f>IF(F74&gt;0,E74/F74,"")</x:f>
        <x:v>0.1555239449976292</x:v>
      </x:c>
      <x:c r="H74" s="14" t="n">
        <x:v>3569.49</x:v>
      </x:c>
      <x:c r="I74" s="14" t="n">
        <x:f>IF(AND(ISNUMBER(H74),E74&gt;0),H74/E74,"")</x:f>
        <x:v>5.441295731707317</x:v>
      </x:c>
      <x:c r="J74" s="12"/>
      <x:c r="K74" s="13" t="str">
        <x:f>IF(AND(ISNUMBER(J74),F74&gt;0),J74/F74,"")</x:f>
      </x:c>
      <x:c r="L74" s="12"/>
      <x:c r="M74" s="12"/>
      <x:c r="N74" s="12"/>
      <x:c r="O74" s="12" t="n">
        <x:v>19</x:v>
      </x:c>
      <x:c r="P74" s="12" t="n">
        <x:v>655</x:v>
      </x:c>
      <x:c r="Q74" s="13" t="n">
        <x:f>IF(AND(ISNUMBER(O74),P74&gt;0),O74/P74,"")</x:f>
        <x:v>0.02900763358778626</x:v>
      </x:c>
      <x:c r="R74" s="12" t="n">
        <x:v>224</x:v>
      </x:c>
      <x:c r="S74" s="12" t="n">
        <x:v>216</x:v>
      </x:c>
      <x:c r="T74" s="12" t="n">
        <x:v>61</x:v>
      </x:c>
      <x:c r="U74" s="12" t="n">
        <x:v>155</x:v>
      </x:c>
      <x:c r="V74" s="4" t="str">
        <x:f>IF(D74&lt;&gt;"原始汇总核实","未核实；排除合计",IF(F74=0,"无GV不可算",IF(AND(F74&gt;=30000,G74&lt;0.03),"高流量低转化",IF(AND(F74&gt;=3000,F74&lt;30000,G74&gt;=0.08),"高转化待扩流","常规"))))</x:f>
        <x:v>高转化待扩流</x:v>
      </x:c>
      <x:c r="W74" s="4" t="str">
        <x:v>SORAKO Ratschenschlüssel 18mm</x:v>
      </x:c>
    </x:row>
    <x:row r="75" ht="22" customHeight="1">
      <x:c r="A75" s="4" t="str">
        <x:v>B0DBZFJ46V</x:v>
      </x:c>
      <x:c r="B75" s="4" t="str">
        <x:v>HYCHIKA</x:v>
      </x:c>
      <x:c r="C75" s="4" t="str">
        <x:v>园艺/喷涂</x:v>
      </x:c>
      <x:c r="D75" s="4" t="str">
        <x:v>原始汇总核实</x:v>
      </x:c>
      <x:c r="E75" s="12" t="n">
        <x:v>650</x:v>
      </x:c>
      <x:c r="F75" s="12" t="n">
        <x:v>10907</x:v>
      </x:c>
      <x:c r="G75" s="13" t="n">
        <x:f>IF(F75&gt;0,E75/F75,"")</x:f>
        <x:v>0.05959475566150179</x:v>
      </x:c>
      <x:c r="H75" s="14" t="n">
        <x:v>29701.86</x:v>
      </x:c>
      <x:c r="I75" s="14" t="n">
        <x:f>IF(AND(ISNUMBER(H75),E75&gt;0),H75/E75,"")</x:f>
        <x:v>45.69516923076923</x:v>
      </x:c>
      <x:c r="J75" s="12"/>
      <x:c r="K75" s="13" t="str">
        <x:f>IF(AND(ISNUMBER(J75),F75&gt;0),J75/F75,"")</x:f>
      </x:c>
      <x:c r="L75" s="12"/>
      <x:c r="M75" s="12"/>
      <x:c r="N75" s="12"/>
      <x:c r="O75" s="12" t="n">
        <x:v>22</x:v>
      </x:c>
      <x:c r="P75" s="12" t="n">
        <x:v>659</x:v>
      </x:c>
      <x:c r="Q75" s="13" t="n">
        <x:f>IF(AND(ISNUMBER(O75),P75&gt;0),O75/P75,"")</x:f>
        <x:v>0.03338391502276176</x:v>
      </x:c>
      <x:c r="R75" s="12" t="n">
        <x:v>86</x:v>
      </x:c>
      <x:c r="S75" s="12" t="n">
        <x:v>110</x:v>
      </x:c>
      <x:c r="T75" s="12" t="n">
        <x:v>254</x:v>
      </x:c>
      <x:c r="U75" s="12" t="n">
        <x:v>200</x:v>
      </x:c>
      <x:c r="V75" s="4" t="str">
        <x:f>IF(D75&lt;&gt;"原始汇总核实","未核实；排除合计",IF(F75=0,"无GV不可算",IF(AND(F75&gt;=30000,G75&lt;0.03),"高流量低转化",IF(AND(F75&gt;=3000,F75&lt;30000,G75&gt;=0.08),"高转化待扩流","常规"))))</x:f>
        <x:v>常规</x:v>
      </x:c>
      <x:c r="W75" s="4" t="str">
        <x:v>HYCHIKA Teleskop Heckenschere Hand Heckenschere Manuell 111CM, Handheckenschere, Hochwertige Stahl-Klingen, Klingenlänge: 214 MM, Buschschere, Für Form- und Rückschnitt von Hecken und Büschen</x:v>
      </x:c>
    </x:row>
    <x:row r="76" ht="22" customHeight="1">
      <x:c r="A76" s="4" t="str">
        <x:v>B0CSSLQPZL</x:v>
      </x:c>
      <x:c r="B76" s="4" t="str">
        <x:v>HYCHIKA</x:v>
      </x:c>
      <x:c r="C76" s="4" t="str">
        <x:v>锯切/开孔及配件</x:v>
      </x:c>
      <x:c r="D76" s="4" t="str">
        <x:v>原始汇总核实</x:v>
      </x:c>
      <x:c r="E76" s="12" t="n">
        <x:v>645</x:v>
      </x:c>
      <x:c r="F76" s="12" t="n">
        <x:v>4802</x:v>
      </x:c>
      <x:c r="G76" s="13" t="n">
        <x:f>IF(F76&gt;0,E76/F76,"")</x:f>
        <x:v>0.13431903373594337</x:v>
      </x:c>
      <x:c r="H76" s="14" t="n">
        <x:v>4947.13</x:v>
      </x:c>
      <x:c r="I76" s="14" t="n">
        <x:f>IF(AND(ISNUMBER(H76),E76&gt;0),H76/E76,"")</x:f>
        <x:v>7.669968992248062</x:v>
      </x:c>
      <x:c r="J76" s="12"/>
      <x:c r="K76" s="13" t="str">
        <x:f>IF(AND(ISNUMBER(J76),F76&gt;0),J76/F76,"")</x:f>
      </x:c>
      <x:c r="L76" s="12"/>
      <x:c r="M76" s="12"/>
      <x:c r="N76" s="12"/>
      <x:c r="O76" s="12" t="n">
        <x:v>17</x:v>
      </x:c>
      <x:c r="P76" s="12" t="n">
        <x:v>645</x:v>
      </x:c>
      <x:c r="Q76" s="13" t="n">
        <x:f>IF(AND(ISNUMBER(O76),P76&gt;0),O76/P76,"")</x:f>
        <x:v>0.02635658914728682</x:v>
      </x:c>
      <x:c r="R76" s="12" t="n">
        <x:v>42</x:v>
      </x:c>
      <x:c r="S76" s="12" t="n">
        <x:v>159</x:v>
      </x:c>
      <x:c r="T76" s="12" t="n">
        <x:v>230</x:v>
      </x:c>
      <x:c r="U76" s="12" t="n">
        <x:v>214</x:v>
      </x:c>
      <x:c r="V76" s="4" t="str">
        <x:f>IF(D76&lt;&gt;"原始汇总核实","未核实；排除合计",IF(F76=0,"无GV不可算",IF(AND(F76&gt;=30000,G76&lt;0.03),"高流量低转化",IF(AND(F76&gt;=3000,F76&lt;30000,G76&gt;=0.08),"高转化待扩流","常规"))))</x:f>
        <x:v>高转化待扩流</x:v>
      </x:c>
      <x:c r="W76" s="4" t="str">
        <x:v>HYCHIKA Seghe a Tazza Bi-Metallica 60mm, Fresa A Tazza per Legno, Iron Alluminio, Cartongesso, Tubi, Plastica, Pannelli di Fibra</x:v>
      </x:c>
    </x:row>
    <x:row r="77" ht="22" customHeight="1">
      <x:c r="A77" s="4" t="str">
        <x:v>B0924CRTTH</x:v>
      </x:c>
      <x:c r="B77" s="4" t="str">
        <x:v>HYCHIKA</x:v>
      </x:c>
      <x:c r="C77" s="4" t="str">
        <x:v>锯切/开孔及配件</x:v>
      </x:c>
      <x:c r="D77" s="4" t="str">
        <x:v>原始汇总核实</x:v>
      </x:c>
      <x:c r="E77" s="12" t="n">
        <x:v>643</x:v>
      </x:c>
      <x:c r="F77" s="12" t="n">
        <x:v>16750</x:v>
      </x:c>
      <x:c r="G77" s="13" t="n">
        <x:f>IF(F77&gt;0,E77/F77,"")</x:f>
        <x:v>0.03838805970149254</x:v>
      </x:c>
      <x:c r="H77" s="14" t="n">
        <x:v>7900.68</x:v>
      </x:c>
      <x:c r="I77" s="14" t="n">
        <x:f>IF(AND(ISNUMBER(H77),E77&gt;0),H77/E77,"")</x:f>
        <x:v>12.287216174183515</x:v>
      </x:c>
      <x:c r="J77" s="12"/>
      <x:c r="K77" s="13" t="str">
        <x:f>IF(AND(ISNUMBER(J77),F77&gt;0),J77/F77,"")</x:f>
      </x:c>
      <x:c r="L77" s="12"/>
      <x:c r="M77" s="12"/>
      <x:c r="N77" s="12"/>
      <x:c r="O77" s="12" t="n">
        <x:v>64</x:v>
      </x:c>
      <x:c r="P77" s="12" t="n">
        <x:v>643</x:v>
      </x:c>
      <x:c r="Q77" s="13" t="n">
        <x:f>IF(AND(ISNUMBER(O77),P77&gt;0),O77/P77,"")</x:f>
        <x:v>0.09953343701399689</x:v>
      </x:c>
      <x:c r="R77" s="12" t="n">
        <x:v>142</x:v>
      </x:c>
      <x:c r="S77" s="12" t="n">
        <x:v>183</x:v>
      </x:c>
      <x:c r="T77" s="12" t="n">
        <x:v>155</x:v>
      </x:c>
      <x:c r="U77" s="12" t="n">
        <x:v>163</x:v>
      </x:c>
      <x:c r="V77" s="4" t="str">
        <x:f>IF(D77&lt;&gt;"原始汇总核实","未核实；排除合计",IF(F77=0,"无GV不可算",IF(AND(F77&gt;=30000,G77&lt;0.03),"高流量低转化",IF(AND(F77&gt;=3000,F77&lt;30000,G77&gt;=0.08),"高转化待扩流","常规"))))</x:f>
        <x:v>常规</x:v>
      </x:c>
      <x:c r="W77" s="4" t="str">
        <x:v>HYCHIKA Lame Per Sega Circolare 115mm, Mini Sega Circolare 3 lame (24T TCT, 60T HSS, 9T) Per Tagliare Legno, Metallo Morbido, Piastrelle</x:v>
      </x:c>
    </x:row>
    <x:row r="78" ht="22" customHeight="1">
      <x:c r="A78" s="4" t="str">
        <x:v>B0CRDR4R4K</x:v>
      </x:c>
      <x:c r="B78" s="4" t="str">
        <x:v>HYCHIKA</x:v>
      </x:c>
      <x:c r="C78" s="4" t="str">
        <x:v>锯切/开孔及配件</x:v>
      </x:c>
      <x:c r="D78" s="4" t="str">
        <x:v>原始汇总核实</x:v>
      </x:c>
      <x:c r="E78" s="12" t="n">
        <x:v>598</x:v>
      </x:c>
      <x:c r="F78" s="12" t="n">
        <x:v>5776</x:v>
      </x:c>
      <x:c r="G78" s="13" t="n">
        <x:f>IF(F78&gt;0,E78/F78,"")</x:f>
        <x:v>0.10353185595567867</x:v>
      </x:c>
      <x:c r="H78" s="14" t="n">
        <x:v>5095.94</x:v>
      </x:c>
      <x:c r="I78" s="14" t="n">
        <x:f>IF(AND(ISNUMBER(H78),E78&gt;0),H78/E78,"")</x:f>
        <x:v>8.521638795986622</x:v>
      </x:c>
      <x:c r="J78" s="12"/>
      <x:c r="K78" s="13" t="str">
        <x:f>IF(AND(ISNUMBER(J78),F78&gt;0),J78/F78,"")</x:f>
      </x:c>
      <x:c r="L78" s="12"/>
      <x:c r="M78" s="12"/>
      <x:c r="N78" s="12"/>
      <x:c r="O78" s="12" t="n">
        <x:v>25</x:v>
      </x:c>
      <x:c r="P78" s="12" t="n">
        <x:v>601</x:v>
      </x:c>
      <x:c r="Q78" s="13" t="n">
        <x:f>IF(AND(ISNUMBER(O78),P78&gt;0),O78/P78,"")</x:f>
        <x:v>0.04159733777038269</x:v>
      </x:c>
      <x:c r="R78" s="12" t="n">
        <x:v>152</x:v>
      </x:c>
      <x:c r="S78" s="12" t="n">
        <x:v>92</x:v>
      </x:c>
      <x:c r="T78" s="12" t="n">
        <x:v>216</x:v>
      </x:c>
      <x:c r="U78" s="12" t="n">
        <x:v>138</x:v>
      </x:c>
      <x:c r="V78" s="4" t="str">
        <x:f>IF(D78&lt;&gt;"原始汇总核实","未核实；排除合计",IF(F78=0,"无GV不可算",IF(AND(F78&gt;=30000,G78&lt;0.03),"高流量低转化",IF(AND(F78&gt;=3000,F78&lt;30000,G78&gt;=0.08),"高转化待扩流","常规"))))</x:f>
        <x:v>高转化待扩流</x:v>
      </x:c>
      <x:c r="W78" s="4" t="str">
        <x:v>HYCHIKA Lochsäge 68mm, Bi-Metall Fliesenbohrer Steckdosenbohrer Lochsäge Bohraufsatz für Akkuschrauber und Bohrmaschinen für Aluminium, Holz, fliesen, PVC-Platte und Kunststoffplatte</x:v>
      </x:c>
    </x:row>
    <x:row r="79" ht="22" customHeight="1">
      <x:c r="A79" s="4" t="str">
        <x:v>B0FSD48CPH</x:v>
      </x:c>
      <x:c r="B79" s="4" t="str">
        <x:v>HYCHIKA</x:v>
      </x:c>
      <x:c r="C79" s="4" t="str">
        <x:v>锯切/开孔及配件</x:v>
      </x:c>
      <x:c r="D79" s="4" t="str">
        <x:v>原始汇总核实</x:v>
      </x:c>
      <x:c r="E79" s="12" t="n">
        <x:v>525</x:v>
      </x:c>
      <x:c r="F79" s="12" t="n">
        <x:v>29705</x:v>
      </x:c>
      <x:c r="G79" s="13" t="n">
        <x:f>IF(F79&gt;0,E79/F79,"")</x:f>
        <x:v>0.017673792290860125</x:v>
      </x:c>
      <x:c r="H79" s="14" t="n">
        <x:v>29650.71</x:v>
      </x:c>
      <x:c r="I79" s="14" t="n">
        <x:f>IF(AND(ISNUMBER(H79),E79&gt;0),H79/E79,"")</x:f>
        <x:v>56.47754285714286</x:v>
      </x:c>
      <x:c r="J79" s="12"/>
      <x:c r="K79" s="13" t="str">
        <x:f>IF(AND(ISNUMBER(J79),F79&gt;0),J79/F79,"")</x:f>
      </x:c>
      <x:c r="L79" s="12"/>
      <x:c r="M79" s="12"/>
      <x:c r="N79" s="12"/>
      <x:c r="O79" s="12" t="n">
        <x:v>31</x:v>
      </x:c>
      <x:c r="P79" s="12" t="n">
        <x:v>524</x:v>
      </x:c>
      <x:c r="Q79" s="13" t="n">
        <x:f>IF(AND(ISNUMBER(O79),P79&gt;0),O79/P79,"")</x:f>
        <x:v>0.05916030534351145</x:v>
      </x:c>
      <x:c r="R79" s="12"/>
      <x:c r="S79" s="12" t="n">
        <x:v>300</x:v>
      </x:c>
      <x:c r="T79" s="12" t="n">
        <x:v>68</x:v>
      </x:c>
      <x:c r="U79" s="12" t="n">
        <x:v>157</x:v>
      </x:c>
      <x:c r="V79" s="4" t="str">
        <x:f>IF(D79&lt;&gt;"原始汇总核实","未核实；排除合计",IF(F79=0,"无GV不可算",IF(AND(F79&gt;=30000,G79&lt;0.03),"高流量低转化",IF(AND(F79&gt;=3000,F79&lt;30000,G79&gt;=0.08),"高转化待扩流","常规"))))</x:f>
        <x:v>常规</x:v>
      </x:c>
      <x:c r="W79" s="4" t="str">
        <x:v>HYCHIKA Sierra Circular de Mano, Mini Sierra Circular 750W 3500 rpm con Bolsa de Transporte, 3 Hojas de Sierra 115+125mm, Riel de Guía, Profundidad de Corte 48mm, para Madera, Metal Blando, Plástico</x:v>
      </x:c>
    </x:row>
    <x:row r="80" ht="22" customHeight="1">
      <x:c r="A80" s="4" t="str">
        <x:v>B0CJ4JDKRK</x:v>
      </x:c>
      <x:c r="B80" s="4" t="str">
        <x:v>HYCHIKA</x:v>
      </x:c>
      <x:c r="C80" s="4" t="str">
        <x:v>园艺/喷涂</x:v>
      </x:c>
      <x:c r="D80" s="4" t="str">
        <x:v>原始汇总核实</x:v>
      </x:c>
      <x:c r="E80" s="12" t="n">
        <x:v>511</x:v>
      </x:c>
      <x:c r="F80" s="12" t="n">
        <x:v>24556</x:v>
      </x:c>
      <x:c r="G80" s="13" t="n">
        <x:f>IF(F80&gt;0,E80/F80,"")</x:f>
        <x:v>0.02080957810718358</x:v>
      </x:c>
      <x:c r="H80" s="14" t="n">
        <x:v>19757.3</x:v>
      </x:c>
      <x:c r="I80" s="14" t="n">
        <x:f>IF(AND(ISNUMBER(H80),E80&gt;0),H80/E80,"")</x:f>
        <x:v>38.66399217221135</x:v>
      </x:c>
      <x:c r="J80" s="12"/>
      <x:c r="K80" s="13" t="str">
        <x:f>IF(AND(ISNUMBER(J80),F80&gt;0),J80/F80,"")</x:f>
      </x:c>
      <x:c r="L80" s="12"/>
      <x:c r="M80" s="12"/>
      <x:c r="N80" s="12"/>
      <x:c r="O80" s="12" t="n">
        <x:v>49</x:v>
      </x:c>
      <x:c r="P80" s="12" t="n">
        <x:v>510</x:v>
      </x:c>
      <x:c r="Q80" s="13" t="n">
        <x:f>IF(AND(ISNUMBER(O80),P80&gt;0),O80/P80,"")</x:f>
        <x:v>0.09607843137254903</x:v>
      </x:c>
      <x:c r="R80" s="12" t="n">
        <x:v>80</x:v>
      </x:c>
      <x:c r="S80" s="12" t="n">
        <x:v>142</x:v>
      </x:c>
      <x:c r="T80" s="12" t="n">
        <x:v>193</x:v>
      </x:c>
      <x:c r="U80" s="12" t="n">
        <x:v>96</x:v>
      </x:c>
      <x:c r="V80" s="4" t="str">
        <x:f>IF(D80&lt;&gt;"原始汇总核实","未核实；排除合计",IF(F80=0,"无GV不可算",IF(AND(F80&gt;=30000,G80&lt;0.03),"高流量低转化",IF(AND(F80&gt;=3000,F80&lt;30000,G80&gt;=0.08),"高转化待扩流","常规"))))</x:f>
        <x:v>常规</x:v>
      </x:c>
      <x:c r="W80" s="4" t="str">
        <x:v>HYCHIKA Pistola per Verniciare, 600W HVLP Pistola a Spruzzo per Verniciare, Serbatoio da 1200ML 4 Ugelli e 2 Strumenti di Pulizia, Spruzzatore di Vernice a 3 Modelli per Pareti e Soffitti, Recinzione</x:v>
      </x:c>
    </x:row>
    <x:row r="81" ht="22" customHeight="1">
      <x:c r="A81" s="4" t="str">
        <x:v>B0CSSN34XW</x:v>
      </x:c>
      <x:c r="B81" s="4" t="str">
        <x:v>HYCHIKA</x:v>
      </x:c>
      <x:c r="C81" s="4" t="str">
        <x:v>锯切/开孔及配件</x:v>
      </x:c>
      <x:c r="D81" s="4" t="str">
        <x:v>原始汇总核实</x:v>
      </x:c>
      <x:c r="E81" s="12" t="n">
        <x:v>503</x:v>
      </x:c>
      <x:c r="F81" s="12" t="n">
        <x:v>4682</x:v>
      </x:c>
      <x:c r="G81" s="13" t="n">
        <x:f>IF(F81&gt;0,E81/F81,"")</x:f>
        <x:v>0.10743272105937633</x:v>
      </x:c>
      <x:c r="H81" s="14" t="n">
        <x:v>5011.68</x:v>
      </x:c>
      <x:c r="I81" s="14" t="n">
        <x:f>IF(AND(ISNUMBER(H81),E81&gt;0),H81/E81,"")</x:f>
        <x:v>9.963578528827039</x:v>
      </x:c>
      <x:c r="J81" s="12"/>
      <x:c r="K81" s="13" t="str">
        <x:f>IF(AND(ISNUMBER(J81),F81&gt;0),J81/F81,"")</x:f>
      </x:c>
      <x:c r="L81" s="12"/>
      <x:c r="M81" s="12"/>
      <x:c r="N81" s="12"/>
      <x:c r="O81" s="12" t="n">
        <x:v>36</x:v>
      </x:c>
      <x:c r="P81" s="12" t="n">
        <x:v>503</x:v>
      </x:c>
      <x:c r="Q81" s="13" t="n">
        <x:f>IF(AND(ISNUMBER(O81),P81&gt;0),O81/P81,"")</x:f>
        <x:v>0.07157057654075547</x:v>
      </x:c>
      <x:c r="R81" s="12" t="n">
        <x:v>52</x:v>
      </x:c>
      <x:c r="S81" s="12" t="n">
        <x:v>40</x:v>
      </x:c>
      <x:c r="T81" s="12" t="n">
        <x:v>183</x:v>
      </x:c>
      <x:c r="U81" s="12" t="n">
        <x:v>228</x:v>
      </x:c>
      <x:c r="V81" s="4" t="str">
        <x:f>IF(D81&lt;&gt;"原始汇总核实","未核实；排除合计",IF(F81=0,"无GV不可算",IF(AND(F81&gt;=30000,G81&lt;0.03),"高流量低转化",IF(AND(F81&gt;=3000,F81&lt;30000,G81&gt;=0.08),"高转化待扩流","常规"))))</x:f>
        <x:v>高转化待扩流</x:v>
      </x:c>
      <x:c r="W81" s="4" t="str">
        <x:v>HYCHIKA Seghe a Tazza Bi-Metallica 80mm, Fresa A Tazza per Legno, Iron Alluminio, Cartongesso, Tubi, Plastica, Pannelli di Fibra</x:v>
      </x:c>
    </x:row>
    <x:row r="82" ht="22" customHeight="1">
      <x:c r="A82" s="4" t="str">
        <x:v>B0CGR39HNK</x:v>
      </x:c>
      <x:c r="B82" s="4" t="str">
        <x:v>SORAKO</x:v>
      </x:c>
      <x:c r="C82" s="4" t="str">
        <x:v>扳手/汽修</x:v>
      </x:c>
      <x:c r="D82" s="4" t="str">
        <x:v>原始汇总核实</x:v>
      </x:c>
      <x:c r="E82" s="12" t="n">
        <x:v>498</x:v>
      </x:c>
      <x:c r="F82" s="12" t="n">
        <x:v>3886</x:v>
      </x:c>
      <x:c r="G82" s="13" t="n">
        <x:f>IF(F82&gt;0,E82/F82,"")</x:f>
        <x:v>0.12815234173957799</x:v>
      </x:c>
      <x:c r="H82" s="14" t="n">
        <x:v>3213.68</x:v>
      </x:c>
      <x:c r="I82" s="14" t="n">
        <x:f>IF(AND(ISNUMBER(H82),E82&gt;0),H82/E82,"")</x:f>
        <x:v>6.4531726907630516</x:v>
      </x:c>
      <x:c r="J82" s="12"/>
      <x:c r="K82" s="13" t="str">
        <x:f>IF(AND(ISNUMBER(J82),F82&gt;0),J82/F82,"")</x:f>
      </x:c>
      <x:c r="L82" s="12"/>
      <x:c r="M82" s="12"/>
      <x:c r="N82" s="12"/>
      <x:c r="O82" s="12" t="n">
        <x:v>27</x:v>
      </x:c>
      <x:c r="P82" s="12" t="n">
        <x:v>499</x:v>
      </x:c>
      <x:c r="Q82" s="13" t="n">
        <x:f>IF(AND(ISNUMBER(O82),P82&gt;0),O82/P82,"")</x:f>
        <x:v>0.05410821643286573</x:v>
      </x:c>
      <x:c r="R82" s="12" t="n">
        <x:v>134</x:v>
      </x:c>
      <x:c r="S82" s="12" t="n">
        <x:v>179</x:v>
      </x:c>
      <x:c r="T82" s="12" t="n">
        <x:v>76</x:v>
      </x:c>
      <x:c r="U82" s="12" t="n">
        <x:v>109</x:v>
      </x:c>
      <x:c r="V82" s="4" t="str">
        <x:f>IF(D82&lt;&gt;"原始汇总核实","未核实；排除合计",IF(F82=0,"无GV不可算",IF(AND(F82&gt;=30000,G82&lt;0.03),"高流量低转化",IF(AND(F82&gt;=3000,F82&lt;30000,G82&gt;=0.08),"高转化待扩流","常规"))))</x:f>
        <x:v>高转化待扩流</x:v>
      </x:c>
      <x:c r="W82" s="4" t="str">
        <x:v>SORAKO Ratschenschlüssel 21mm</x:v>
      </x:c>
    </x:row>
    <x:row r="83" ht="22" customHeight="1">
      <x:c r="A83" s="4" t="str">
        <x:v>B0BRCYGTF5</x:v>
      </x:c>
      <x:c r="B83" s="4" t="str">
        <x:v>HYCHIKA</x:v>
      </x:c>
      <x:c r="C83" s="4" t="str">
        <x:v>其他/待核</x:v>
      </x:c>
      <x:c r="D83" s="4" t="str">
        <x:v>原始汇总核实</x:v>
      </x:c>
      <x:c r="E83" s="12" t="n">
        <x:v>446</x:v>
      </x:c>
      <x:c r="F83" s="12" t="n">
        <x:v>8474</x:v>
      </x:c>
      <x:c r="G83" s="13" t="n">
        <x:f>IF(F83&gt;0,E83/F83,"")</x:f>
        <x:v>0.05263157894736842</x:v>
      </x:c>
      <x:c r="H83" s="14" t="n">
        <x:v>5270.16</x:v>
      </x:c>
      <x:c r="I83" s="14" t="n">
        <x:f>IF(AND(ISNUMBER(H83),E83&gt;0),H83/E83,"")</x:f>
        <x:v>11.816502242152467</x:v>
      </x:c>
      <x:c r="J83" s="12"/>
      <x:c r="K83" s="13" t="str">
        <x:f>IF(AND(ISNUMBER(J83),F83&gt;0),J83/F83,"")</x:f>
      </x:c>
      <x:c r="L83" s="12"/>
      <x:c r="M83" s="12"/>
      <x:c r="N83" s="12"/>
      <x:c r="O83" s="12" t="n">
        <x:v>39</x:v>
      </x:c>
      <x:c r="P83" s="12" t="n">
        <x:v>448</x:v>
      </x:c>
      <x:c r="Q83" s="13" t="n">
        <x:f>IF(AND(ISNUMBER(O83),P83&gt;0),O83/P83,"")</x:f>
        <x:v>0.08705357142857142</x:v>
      </x:c>
      <x:c r="R83" s="12" t="n">
        <x:v>103</x:v>
      </x:c>
      <x:c r="S83" s="12" t="n">
        <x:v>213</x:v>
      </x:c>
      <x:c r="T83" s="12" t="n">
        <x:v>111</x:v>
      </x:c>
      <x:c r="U83" s="12" t="n">
        <x:v>19</x:v>
      </x:c>
      <x:c r="V83" s="4" t="str">
        <x:f>IF(D83&lt;&gt;"原始汇总核实","未核实；排除合计",IF(F83=0,"无GV不可算",IF(AND(F83&gt;=30000,G83&lt;0.03),"高流量低转化",IF(AND(F83&gt;=3000,F83&lt;30000,G83&gt;=0.08),"高转化待扩流","常规"))))</x:f>
        <x:v>常规</x:v>
      </x:c>
      <x:c r="W83" s="4" t="str">
        <x:v>HYCHIKA Fächerschleifscheiben Professional Fächerscheiben Set 10 St, 115 x 22,23 mm in Profi Qualität 13300 RPM Max für Edelstahl, Metall und Holz</x:v>
      </x:c>
    </x:row>
    <x:row r="84" ht="22" customHeight="1">
      <x:c r="A84" s="4" t="str">
        <x:v>B0DWK65NDF</x:v>
      </x:c>
      <x:c r="B84" s="4" t="str">
        <x:v>HYCHIKA</x:v>
      </x:c>
      <x:c r="C84" s="4" t="str">
        <x:v>其他/待核</x:v>
      </x:c>
      <x:c r="D84" s="4" t="str">
        <x:v>原始汇总核实</x:v>
      </x:c>
      <x:c r="E84" s="12" t="n">
        <x:v>437</x:v>
      </x:c>
      <x:c r="F84" s="12" t="n">
        <x:v>8577</x:v>
      </x:c>
      <x:c r="G84" s="13" t="n">
        <x:f>IF(F84&gt;0,E84/F84,"")</x:f>
        <x:v>0.050950215693132794</x:v>
      </x:c>
      <x:c r="H84" s="14" t="n">
        <x:v>10530.13</x:v>
      </x:c>
      <x:c r="I84" s="14" t="n">
        <x:f>IF(AND(ISNUMBER(H84),E84&gt;0),H84/E84,"")</x:f>
        <x:v>24.09640732265446</x:v>
      </x:c>
      <x:c r="J84" s="12"/>
      <x:c r="K84" s="13" t="str">
        <x:f>IF(AND(ISNUMBER(J84),F84&gt;0),J84/F84,"")</x:f>
      </x:c>
      <x:c r="L84" s="12"/>
      <x:c r="M84" s="12"/>
      <x:c r="N84" s="12"/>
      <x:c r="O84" s="12" t="n">
        <x:v>19</x:v>
      </x:c>
      <x:c r="P84" s="12" t="n">
        <x:v>437</x:v>
      </x:c>
      <x:c r="Q84" s="13" t="n">
        <x:f>IF(AND(ISNUMBER(O84),P84&gt;0),O84/P84,"")</x:f>
        <x:v>0.043478260869565216</x:v>
      </x:c>
      <x:c r="R84" s="12" t="n">
        <x:v>39</x:v>
      </x:c>
      <x:c r="S84" s="12" t="n">
        <x:v>120</x:v>
      </x:c>
      <x:c r="T84" s="12" t="n">
        <x:v>125</x:v>
      </x:c>
      <x:c r="U84" s="12" t="n">
        <x:v>153</x:v>
      </x:c>
      <x:c r="V84" s="4" t="str">
        <x:f>IF(D84&lt;&gt;"原始汇总核实","未核实；排除合计",IF(F84=0,"无GV不可算",IF(AND(F84&gt;=30000,G84&lt;0.03),"高流量低转化",IF(AND(F84&gt;=3000,F84&lt;30000,G84&gt;=0.08),"高转化待扩流","常规"))))</x:f>
        <x:v>常规</x:v>
      </x:c>
      <x:c r="W84" s="4" t="str">
        <x:v>HYCHIKA Pinza Crimpatrice Capicorda，Spelafili Automatico 3 in 1, Strumenti di Crimpatura con 1200PCS Cavo Connettori 0.25-10mm²(AWG 24-8) Terminals, Pinza Capicorda, Attrezzi Kit Elettricista</x:v>
      </x:c>
    </x:row>
    <x:row r="85" ht="22" customHeight="1">
      <x:c r="A85" s="4" t="str">
        <x:v>B09WYSQSSL</x:v>
      </x:c>
      <x:c r="B85" s="4" t="str">
        <x:v>HYCHIKA</x:v>
      </x:c>
      <x:c r="C85" s="4" t="str">
        <x:v>电动螺丝刀</x:v>
      </x:c>
      <x:c r="D85" s="4" t="str">
        <x:v>原始汇总核实</x:v>
      </x:c>
      <x:c r="E85" s="12" t="n">
        <x:v>412</x:v>
      </x:c>
      <x:c r="F85" s="12" t="n">
        <x:v>27042</x:v>
      </x:c>
      <x:c r="G85" s="13" t="n">
        <x:f>IF(F85&gt;0,E85/F85,"")</x:f>
        <x:v>0.01523555950003698</x:v>
      </x:c>
      <x:c r="H85" s="14" t="n">
        <x:v>22345.59</x:v>
      </x:c>
      <x:c r="I85" s="14" t="n">
        <x:f>IF(AND(ISNUMBER(H85),E85&gt;0),H85/E85,"")</x:f>
        <x:v>54.23686893203884</x:v>
      </x:c>
      <x:c r="J85" s="12"/>
      <x:c r="K85" s="13" t="str">
        <x:f>IF(AND(ISNUMBER(J85),F85&gt;0),J85/F85,"")</x:f>
      </x:c>
      <x:c r="L85" s="12"/>
      <x:c r="M85" s="12"/>
      <x:c r="N85" s="12"/>
      <x:c r="O85" s="12" t="n">
        <x:v>11</x:v>
      </x:c>
      <x:c r="P85" s="12" t="n">
        <x:v>413</x:v>
      </x:c>
      <x:c r="Q85" s="13" t="n">
        <x:f>IF(AND(ISNUMBER(O85),P85&gt;0),O85/P85,"")</x:f>
        <x:v>0.026634382566585957</x:v>
      </x:c>
      <x:c r="R85" s="12" t="n">
        <x:v>144</x:v>
      </x:c>
      <x:c r="S85" s="12" t="n">
        <x:v>95</x:v>
      </x:c>
      <x:c r="T85" s="12" t="n">
        <x:v>154</x:v>
      </x:c>
      <x:c r="U85" s="12" t="n">
        <x:v>19</x:v>
      </x:c>
      <x:c r="V85" s="4" t="str">
        <x:f>IF(D85&lt;&gt;"原始汇总核实","未核实；排除合计",IF(F85=0,"无GV不可算",IF(AND(F85&gt;=30000,G85&lt;0.03),"高流量低转化",IF(AND(F85&gt;=3000,F85&lt;30000,G85&gt;=0.08),"高转化待扩流","常规"))))</x:f>
        <x:v>常规</x:v>
      </x:c>
      <x:c r="W85" s="4" t="str">
        <x:v>Trapano Avvitatore Batteria 12V, HYCHIKA 104pcs Avvitatore a Batteria Cassetta Attrezzi fai da te, 1,5Ah Avvitatore Elettrico, 2 Velocità 30N.m Mas, Carica rapida 1 ora, kit Attrezzi Completa</x:v>
      </x:c>
    </x:row>
    <x:row r="86" ht="22" customHeight="1">
      <x:c r="A86" s="4" t="str">
        <x:v>B0GX9LXCL7</x:v>
      </x:c>
      <x:c r="B86" s="4" t="str">
        <x:v>HYCHIKA</x:v>
      </x:c>
      <x:c r="C86" s="4" t="str">
        <x:v>口腔护理</x:v>
      </x:c>
      <x:c r="D86" s="4" t="str">
        <x:v>原始汇总核实</x:v>
      </x:c>
      <x:c r="E86" s="12" t="n">
        <x:v>397</x:v>
      </x:c>
      <x:c r="F86" s="12" t="n">
        <x:v>10519</x:v>
      </x:c>
      <x:c r="G86" s="13" t="n">
        <x:f>IF(F86&gt;0,E86/F86,"")</x:f>
        <x:v>0.03774123015495769</x:v>
      </x:c>
      <x:c r="H86" s="14" t="n">
        <x:v>7846.83</x:v>
      </x:c>
      <x:c r="I86" s="14" t="n">
        <x:f>IF(AND(ISNUMBER(H86),E86&gt;0),H86/E86,"")</x:f>
        <x:v>19.765314861460958</x:v>
      </x:c>
      <x:c r="J86" s="12"/>
      <x:c r="K86" s="13" t="str">
        <x:f>IF(AND(ISNUMBER(J86),F86&gt;0),J86/F86,"")</x:f>
      </x:c>
      <x:c r="L86" s="12"/>
      <x:c r="M86" s="12"/>
      <x:c r="N86" s="12"/>
      <x:c r="O86" s="12" t="n">
        <x:v>19</x:v>
      </x:c>
      <x:c r="P86" s="12" t="n">
        <x:v>393</x:v>
      </x:c>
      <x:c r="Q86" s="13" t="n">
        <x:f>IF(AND(ISNUMBER(O86),P86&gt;0),O86/P86,"")</x:f>
        <x:v>0.04834605597964377</x:v>
      </x:c>
      <x:c r="R86" s="12"/>
      <x:c r="S86" s="12"/>
      <x:c r="T86" s="12" t="n">
        <x:v>51</x:v>
      </x:c>
      <x:c r="U86" s="12" t="n">
        <x:v>346</x:v>
      </x:c>
      <x:c r="V86" s="4" t="str">
        <x:f>IF(D86&lt;&gt;"原始汇总核实","未核实；排除合计",IF(F86=0,"无GV不可算",IF(AND(F86&gt;=30000,G86&lt;0.03),"高流量低转化",IF(AND(F86&gt;=3000,F86&lt;30000,G86&gt;=0.08),"高转化待扩流","常规"))))</x:f>
        <x:v>常规</x:v>
      </x:c>
      <x:c r="W86" s="4" t="str">
        <x:v>Scatola UV per Protesi Dentarie con Asciugatura ad Aria Forzata e Sterilizzazione UV, Ideale per Apparecchi Ortodontici, Dentiere e Altri Dispositivi Dentali. Bianco.</x:v>
      </x:c>
    </x:row>
    <x:row r="87" ht="22" customHeight="1">
      <x:c r="A87" s="4" t="str">
        <x:v>B0C2P2J4JG</x:v>
      </x:c>
      <x:c r="B87" s="4" t="str">
        <x:v>HYCHIKA</x:v>
      </x:c>
      <x:c r="C87" s="4" t="str">
        <x:v>充气泵/压缩机</x:v>
      </x:c>
      <x:c r="D87" s="4" t="str">
        <x:v>原始汇总核实</x:v>
      </x:c>
      <x:c r="E87" s="12" t="n">
        <x:v>391</x:v>
      </x:c>
      <x:c r="F87" s="12" t="n">
        <x:v>12294</x:v>
      </x:c>
      <x:c r="G87" s="13" t="n">
        <x:f>IF(F87&gt;0,E87/F87,"")</x:f>
        <x:v>0.031804132096957864</x:v>
      </x:c>
      <x:c r="H87" s="14" t="n">
        <x:v>8087.65</x:v>
      </x:c>
      <x:c r="I87" s="14" t="n">
        <x:f>IF(AND(ISNUMBER(H87),E87&gt;0),H87/E87,"")</x:f>
        <x:v>20.684526854219946</x:v>
      </x:c>
      <x:c r="J87" s="12"/>
      <x:c r="K87" s="13" t="str">
        <x:f>IF(AND(ISNUMBER(J87),F87&gt;0),J87/F87,"")</x:f>
      </x:c>
      <x:c r="L87" s="12"/>
      <x:c r="M87" s="12"/>
      <x:c r="N87" s="12"/>
      <x:c r="O87" s="12" t="n">
        <x:v>33</x:v>
      </x:c>
      <x:c r="P87" s="12" t="n">
        <x:v>391</x:v>
      </x:c>
      <x:c r="Q87" s="13" t="n">
        <x:f>IF(AND(ISNUMBER(O87),P87&gt;0),O87/P87,"")</x:f>
        <x:v>0.08439897698209718</x:v>
      </x:c>
      <x:c r="R87" s="12" t="n">
        <x:v>221</x:v>
      </x:c>
      <x:c r="S87" s="12" t="n">
        <x:v>103</x:v>
      </x:c>
      <x:c r="T87" s="12" t="n">
        <x:v>42</x:v>
      </x:c>
      <x:c r="U87" s="12" t="n">
        <x:v>25</x:v>
      </x:c>
      <x:c r="V87" s="4" t="str">
        <x:f>IF(D87&lt;&gt;"原始汇总核实","未核实；排除合计",IF(F87=0,"无GV不可算",IF(AND(F87&gt;=30000,G87&lt;0.03),"高流量低转化",IF(AND(F87&gt;=3000,F87&lt;30000,G87&gt;=0.08),"高转化待扩流","常规"))))</x:f>
        <x:v>常规</x:v>
      </x:c>
      <x:c r="W87" s="4" t="str">
        <x:v>HYCHIKA Elektrische Luftpumpe Auto 12V 6000mAh, 150PSI Mini Akku Pumpe Fahrrad Kompressor mit LED-Licht für Auto Fahrrad Motorrad Bälle, AutoOff und Powerbank</x:v>
      </x:c>
    </x:row>
    <x:row r="88" ht="22" customHeight="1">
      <x:c r="A88" s="4" t="str">
        <x:v>B088K58DXP</x:v>
      </x:c>
      <x:c r="B88" s="4" t="str">
        <x:v>HYCHIKA</x:v>
      </x:c>
      <x:c r="C88" s="4" t="str">
        <x:v>电钻/冲击工具</x:v>
      </x:c>
      <x:c r="D88" s="4" t="str">
        <x:v>原始汇总核实</x:v>
      </x:c>
      <x:c r="E88" s="12" t="n">
        <x:v>364</x:v>
      </x:c>
      <x:c r="F88" s="12" t="n">
        <x:v>27711</x:v>
      </x:c>
      <x:c r="G88" s="13" t="n">
        <x:f>IF(F88&gt;0,E88/F88,"")</x:f>
        <x:v>0.013135577929342139</x:v>
      </x:c>
      <x:c r="H88" s="14" t="n">
        <x:v>23556.64</x:v>
      </x:c>
      <x:c r="I88" s="14" t="n">
        <x:f>IF(AND(ISNUMBER(H88),E88&gt;0),H88/E88,"")</x:f>
        <x:v>64.71604395604396</x:v>
      </x:c>
      <x:c r="J88" s="12"/>
      <x:c r="K88" s="13" t="str">
        <x:f>IF(AND(ISNUMBER(J88),F88&gt;0),J88/F88,"")</x:f>
      </x:c>
      <x:c r="L88" s="12"/>
      <x:c r="M88" s="12"/>
      <x:c r="N88" s="12"/>
      <x:c r="O88" s="12" t="n">
        <x:v>84</x:v>
      </x:c>
      <x:c r="P88" s="12" t="n">
        <x:v>365</x:v>
      </x:c>
      <x:c r="Q88" s="13" t="n">
        <x:f>IF(AND(ISNUMBER(O88),P88&gt;0),O88/P88,"")</x:f>
        <x:v>0.23013698630136986</x:v>
      </x:c>
      <x:c r="R88" s="12" t="n">
        <x:v>123</x:v>
      </x:c>
      <x:c r="S88" s="12" t="n">
        <x:v>71</x:v>
      </x:c>
      <x:c r="T88" s="12" t="n">
        <x:v>105</x:v>
      </x:c>
      <x:c r="U88" s="12" t="n">
        <x:v>65</x:v>
      </x:c>
      <x:c r="V88" s="4" t="str">
        <x:f>IF(D88&lt;&gt;"原始汇总核实","未核实；排除合计",IF(F88=0,"无GV不可算",IF(AND(F88&gt;=30000,G88&lt;0.03),"高流量低转化",IF(AND(F88&gt;=3000,F88&lt;30000,G88&gt;=0.08),"高转化待扩流","常规"))))</x:f>
        <x:v>常规</x:v>
      </x:c>
      <x:c r="W88" s="4" t="str">
        <x:v>HYCHIKA Trapano Avvitatore Batteria 18V, Brushless 60Nm Trapano a Percussione, 2.0Ah Batteries, 53 Accessori, Caricatore Rapido, 21+3 Coppie, 2 Velocità Variabile, 0-500/0-2000 RPM</x:v>
      </x:c>
    </x:row>
    <x:row r="89" ht="22" customHeight="1">
      <x:c r="A89" s="4" t="str">
        <x:v>B0CSSQ6TVP</x:v>
      </x:c>
      <x:c r="B89" s="4" t="str">
        <x:v>HYCHIKA</x:v>
      </x:c>
      <x:c r="C89" s="4" t="str">
        <x:v>锯切/开孔及配件</x:v>
      </x:c>
      <x:c r="D89" s="4" t="str">
        <x:v>原始汇总核实</x:v>
      </x:c>
      <x:c r="E89" s="12" t="n">
        <x:v>360</x:v>
      </x:c>
      <x:c r="F89" s="12" t="n">
        <x:v>3528</x:v>
      </x:c>
      <x:c r="G89" s="13" t="n">
        <x:f>IF(F89&gt;0,E89/F89,"")</x:f>
        <x:v>0.10204081632653061</x:v>
      </x:c>
      <x:c r="H89" s="14" t="n">
        <x:v>4329.65</x:v>
      </x:c>
      <x:c r="I89" s="14" t="n">
        <x:f>IF(AND(ISNUMBER(H89),E89&gt;0),H89/E89,"")</x:f>
        <x:v>12.026805555555555</x:v>
      </x:c>
      <x:c r="J89" s="12"/>
      <x:c r="K89" s="13" t="str">
        <x:f>IF(AND(ISNUMBER(J89),F89&gt;0),J89/F89,"")</x:f>
      </x:c>
      <x:c r="L89" s="12"/>
      <x:c r="M89" s="12"/>
      <x:c r="N89" s="12"/>
      <x:c r="O89" s="12" t="n">
        <x:v>15</x:v>
      </x:c>
      <x:c r="P89" s="12" t="n">
        <x:v>360</x:v>
      </x:c>
      <x:c r="Q89" s="13" t="n">
        <x:f>IF(AND(ISNUMBER(O89),P89&gt;0),O89/P89,"")</x:f>
        <x:v>0.041666666666666664</x:v>
      </x:c>
      <x:c r="R89" s="12" t="n">
        <x:v>60</x:v>
      </x:c>
      <x:c r="S89" s="12" t="n">
        <x:v>72</x:v>
      </x:c>
      <x:c r="T89" s="12" t="n">
        <x:v>143</x:v>
      </x:c>
      <x:c r="U89" s="12" t="n">
        <x:v>85</x:v>
      </x:c>
      <x:c r="V89" s="4" t="str">
        <x:f>IF(D89&lt;&gt;"原始汇总核实","未核实；排除合计",IF(F89=0,"无GV不可算",IF(AND(F89&gt;=30000,G89&lt;0.03),"高流量低转化",IF(AND(F89&gt;=3000,F89&lt;30000,G89&gt;=0.08),"高转化待扩流","常规"))))</x:f>
        <x:v>高转化待扩流</x:v>
      </x:c>
      <x:c r="W89" s="4" t="str">
        <x:v>HYCHIKA Seghe a Tazza Bi-Metallica 125mm, Fresa A Tazza per Legno, Iron Alluminio, Cartongesso, Tubi, Plastica, Pannelli di Fibra</x:v>
      </x:c>
    </x:row>
    <x:row r="90" ht="22" customHeight="1">
      <x:c r="A90" s="4" t="str">
        <x:v>B0FFG95G7F</x:v>
      </x:c>
      <x:c r="B90" s="4" t="str">
        <x:v>HYCHIKA</x:v>
      </x:c>
      <x:c r="C90" s="4" t="str">
        <x:v>手动螺丝刀/工具套装</x:v>
      </x:c>
      <x:c r="D90" s="4" t="str">
        <x:v>原始汇总核实</x:v>
      </x:c>
      <x:c r="E90" s="12" t="n">
        <x:v>345</x:v>
      </x:c>
      <x:c r="F90" s="12" t="n">
        <x:v>11956</x:v>
      </x:c>
      <x:c r="G90" s="13" t="n">
        <x:f>IF(F90&gt;0,E90/F90,"")</x:f>
        <x:v>0.02885580461692874</x:v>
      </x:c>
      <x:c r="H90" s="14" t="n">
        <x:v>4454.63</x:v>
      </x:c>
      <x:c r="I90" s="14" t="n">
        <x:f>IF(AND(ISNUMBER(H90),E90&gt;0),H90/E90,"")</x:f>
        <x:v>12.911971014492753</x:v>
      </x:c>
      <x:c r="J90" s="12"/>
      <x:c r="K90" s="13" t="str">
        <x:f>IF(AND(ISNUMBER(J90),F90&gt;0),J90/F90,"")</x:f>
      </x:c>
      <x:c r="L90" s="12"/>
      <x:c r="M90" s="12"/>
      <x:c r="N90" s="12"/>
      <x:c r="O90" s="12" t="n">
        <x:v>15</x:v>
      </x:c>
      <x:c r="P90" s="12" t="n">
        <x:v>345</x:v>
      </x:c>
      <x:c r="Q90" s="13" t="n">
        <x:f>IF(AND(ISNUMBER(O90),P90&gt;0),O90/P90,"")</x:f>
        <x:v>0.043478260869565216</x:v>
      </x:c>
      <x:c r="R90" s="12" t="n">
        <x:v>177</x:v>
      </x:c>
      <x:c r="S90" s="12" t="n">
        <x:v>137</x:v>
      </x:c>
      <x:c r="T90" s="12" t="n">
        <x:v>18</x:v>
      </x:c>
      <x:c r="U90" s="12" t="n">
        <x:v>13</x:v>
      </x:c>
      <x:c r="V90" s="4" t="str">
        <x:f>IF(D90&lt;&gt;"原始汇总核实","未核实；排除合计",IF(F90=0,"无GV不可算",IF(AND(F90&gt;=30000,G90&lt;0.03),"高流量低转化",IF(AND(F90&gt;=3000,F90&lt;30000,G90&gt;=0.08),"高转化待扩流","常规"))))</x:f>
        <x:v>常规</x:v>
      </x:c>
      <x:c r="W90" s="4" t="str">
        <x:v>HYCHIKA Juego de destornilladores 39 en 1 para mecánicos de precisión 39 en 1 screwdriver set Ideal para Electrónica | Gafas | Relojes | Juguetes | Proyectos de hobby | Bicicletas</x:v>
      </x:c>
    </x:row>
    <x:row r="91" ht="22" customHeight="1">
      <x:c r="A91" s="4" t="str">
        <x:v>B0FFGHJ575</x:v>
      </x:c>
      <x:c r="B91" s="4" t="str">
        <x:v>HYCHIKA</x:v>
      </x:c>
      <x:c r="C91" s="4" t="str">
        <x:v>手动螺丝刀/工具套装</x:v>
      </x:c>
      <x:c r="D91" s="4" t="str">
        <x:v>原始汇总核实</x:v>
      </x:c>
      <x:c r="E91" s="12" t="n">
        <x:v>338</x:v>
      </x:c>
      <x:c r="F91" s="12" t="n">
        <x:v>10054</x:v>
      </x:c>
      <x:c r="G91" s="13" t="n">
        <x:f>IF(F91&gt;0,E91/F91,"")</x:f>
        <x:v>0.03361846031430277</x:v>
      </x:c>
      <x:c r="H91" s="14" t="n">
        <x:v>5258.78</x:v>
      </x:c>
      <x:c r="I91" s="14" t="n">
        <x:f>IF(AND(ISNUMBER(H91),E91&gt;0),H91/E91,"")</x:f>
        <x:v>15.55852071005917</x:v>
      </x:c>
      <x:c r="J91" s="12"/>
      <x:c r="K91" s="13" t="str">
        <x:f>IF(AND(ISNUMBER(J91),F91&gt;0),J91/F91,"")</x:f>
      </x:c>
      <x:c r="L91" s="12"/>
      <x:c r="M91" s="12"/>
      <x:c r="N91" s="12"/>
      <x:c r="O91" s="12" t="n">
        <x:v>7</x:v>
      </x:c>
      <x:c r="P91" s="12" t="n">
        <x:v>338</x:v>
      </x:c>
      <x:c r="Q91" s="13" t="n">
        <x:f>IF(AND(ISNUMBER(O91),P91&gt;0),O91/P91,"")</x:f>
        <x:v>0.020710059171597635</x:v>
      </x:c>
      <x:c r="R91" s="12" t="n">
        <x:v>283</x:v>
      </x:c>
      <x:c r="S91" s="12" t="n">
        <x:v>49</x:v>
      </x:c>
      <x:c r="T91" s="12" t="n">
        <x:v>6</x:v>
      </x:c>
      <x:c r="U91" s="12" t="n">
        <x:v>0</x:v>
      </x:c>
      <x:c r="V91" s="4" t="str">
        <x:f>IF(D91&lt;&gt;"原始汇总核实","未核实；排除合计",IF(F91=0,"无GV不可算",IF(AND(F91&gt;=30000,G91&lt;0.03),"高流量低转化",IF(AND(F91&gt;=3000,F91&lt;30000,G91&gt;=0.08),"高转化待扩流","常规"))))</x:f>
        <x:v>常规</x:v>
      </x:c>
      <x:c r="W91" s="4" t="str">
        <x:v>HYCHIKA Set di cacciaviti a cricchetto 24 in 1 – Mini chiave a cricchetto con manico reversibile ad alta coppia, set di punte strette per cacciavite offset ad angolo retto</x:v>
      </x:c>
    </x:row>
    <x:row r="92" ht="22" customHeight="1">
      <x:c r="A92" s="4" t="str">
        <x:v>B0DWF9YVQF</x:v>
      </x:c>
      <x:c r="B92" s="4" t="str">
        <x:v>HYCHIKA</x:v>
      </x:c>
      <x:c r="C92" s="4" t="str">
        <x:v>其他/待核</x:v>
      </x:c>
      <x:c r="D92" s="4" t="str">
        <x:v>原始汇总核实</x:v>
      </x:c>
      <x:c r="E92" s="12" t="n">
        <x:v>320</x:v>
      </x:c>
      <x:c r="F92" s="12" t="n">
        <x:v>14127</x:v>
      </x:c>
      <x:c r="G92" s="13" t="n">
        <x:f>IF(F92&gt;0,E92/F92,"")</x:f>
        <x:v>0.022651659941955123</x:v>
      </x:c>
      <x:c r="H92" s="14" t="n">
        <x:v>8168.23</x:v>
      </x:c>
      <x:c r="I92" s="14" t="n">
        <x:f>IF(AND(ISNUMBER(H92),E92&gt;0),H92/E92,"")</x:f>
        <x:v>25.52571875</x:v>
      </x:c>
      <x:c r="J92" s="12"/>
      <x:c r="K92" s="13" t="str">
        <x:f>IF(AND(ISNUMBER(J92),F92&gt;0),J92/F92,"")</x:f>
      </x:c>
      <x:c r="L92" s="12"/>
      <x:c r="M92" s="12"/>
      <x:c r="N92" s="12"/>
      <x:c r="O92" s="12" t="n">
        <x:v>22</x:v>
      </x:c>
      <x:c r="P92" s="12" t="n">
        <x:v>316</x:v>
      </x:c>
      <x:c r="Q92" s="13" t="n">
        <x:f>IF(AND(ISNUMBER(O92),P92&gt;0),O92/P92,"")</x:f>
        <x:v>0.06962025316455696</x:v>
      </x:c>
      <x:c r="R92" s="12" t="n">
        <x:v>25</x:v>
      </x:c>
      <x:c r="S92" s="12" t="n">
        <x:v>74</x:v>
      </x:c>
      <x:c r="T92" s="12" t="n">
        <x:v>112</x:v>
      </x:c>
      <x:c r="U92" s="12" t="n">
        <x:v>109</x:v>
      </x:c>
      <x:c r="V92" s="4" t="str">
        <x:f>IF(D92&lt;&gt;"原始汇总核实","未核实；排除合计",IF(F92=0,"无GV不可算",IF(AND(F92&gt;=30000,G92&lt;0.03),"高流量低转化",IF(AND(F92&gt;=3000,F92&lt;30000,G92&gt;=0.08),"高转化待扩流","常规"))))</x:f>
        <x:v>常规</x:v>
      </x:c>
      <x:c r="W92" s="4" t="str">
        <x:v>HYCHIKA Pialla per Legno con 4 lame (45°/3/5/6mm), Pialletto a Mano per Legno. Impugnatura Ergonomica, Livella a Bolla, Pialla Manuale per Legno per Falegnami e Carpentieri</x:v>
      </x:c>
    </x:row>
    <x:row r="93" ht="22" customHeight="1">
      <x:c r="A93" s="4" t="str">
        <x:v>B0D9828D7K</x:v>
      </x:c>
      <x:c r="B93" s="4" t="str">
        <x:v>HYCHIKA</x:v>
      </x:c>
      <x:c r="C93" s="4" t="str">
        <x:v>电钻/冲击工具</x:v>
      </x:c>
      <x:c r="D93" s="4" t="str">
        <x:v>原始汇总核实</x:v>
      </x:c>
      <x:c r="E93" s="12" t="n">
        <x:v>319</x:v>
      </x:c>
      <x:c r="F93" s="12" t="n">
        <x:v>16124</x:v>
      </x:c>
      <x:c r="G93" s="13" t="n">
        <x:f>IF(F93&gt;0,E93/F93,"")</x:f>
        <x:v>0.019784172661870502</x:v>
      </x:c>
      <x:c r="H93" s="14" t="n">
        <x:v>13992.86</x:v>
      </x:c>
      <x:c r="I93" s="14" t="n">
        <x:f>IF(AND(ISNUMBER(H93),E93&gt;0),H93/E93,"")</x:f>
        <x:v>43.86476489028213</x:v>
      </x:c>
      <x:c r="J93" s="12"/>
      <x:c r="K93" s="13" t="str">
        <x:f>IF(AND(ISNUMBER(J93),F93&gt;0),J93/F93,"")</x:f>
      </x:c>
      <x:c r="L93" s="12"/>
      <x:c r="M93" s="12"/>
      <x:c r="N93" s="12"/>
      <x:c r="O93" s="12" t="n">
        <x:v>72</x:v>
      </x:c>
      <x:c r="P93" s="12" t="n">
        <x:v>321</x:v>
      </x:c>
      <x:c r="Q93" s="13" t="n">
        <x:f>IF(AND(ISNUMBER(O93),P93&gt;0),O93/P93,"")</x:f>
        <x:v>0.22429906542056074</x:v>
      </x:c>
      <x:c r="R93" s="12" t="n">
        <x:v>319</x:v>
      </x:c>
      <x:c r="S93" s="12" t="n">
        <x:v>0</x:v>
      </x:c>
      <x:c r="T93" s="12" t="n">
        <x:v>0</x:v>
      </x:c>
      <x:c r="U93" s="12" t="n">
        <x:v>0</x:v>
      </x:c>
      <x:c r="V93" s="4" t="str">
        <x:f>IF(D93&lt;&gt;"原始汇总核实","未核实；排除合计",IF(F93=0,"无GV不可算",IF(AND(F93&gt;=30000,G93&lt;0.03),"高流量低转化",IF(AND(F93&gt;=3000,F93&lt;30000,G93&gt;=0.08),"高转化待扩流","常规"))))</x:f>
        <x:v>常规</x:v>
      </x:c>
      <x:c r="W93" s="4" t="str">
        <x:v>HYCHIKA Trapano Avvitatore Batteria, Motore senza spazzole, 45Nm Max, con coppia 23+1, 2 velocità, trapano da 1500mAh, 53 accessori Adatta per avvitare e forare legno, plastica e metallo</x:v>
      </x:c>
    </x:row>
    <x:row r="94" ht="22" customHeight="1">
      <x:c r="A94" s="4" t="str">
        <x:v>B099ZX6CVC</x:v>
      </x:c>
      <x:c r="B94" s="4" t="str">
        <x:v>HYCHIKA</x:v>
      </x:c>
      <x:c r="C94" s="4" t="str">
        <x:v>锯切/开孔及配件</x:v>
      </x:c>
      <x:c r="D94" s="4" t="str">
        <x:v>原始汇总核实</x:v>
      </x:c>
      <x:c r="E94" s="12" t="n">
        <x:v>302</x:v>
      </x:c>
      <x:c r="F94" s="12" t="n">
        <x:v>24132</x:v>
      </x:c>
      <x:c r="G94" s="13" t="n">
        <x:f>IF(F94&gt;0,E94/F94,"")</x:f>
        <x:v>0.012514503563732803</x:v>
      </x:c>
      <x:c r="H94" s="14" t="n">
        <x:v>27432.05</x:v>
      </x:c>
      <x:c r="I94" s="14" t="n">
        <x:f>IF(AND(ISNUMBER(H94),E94&gt;0),H94/E94,"")</x:f>
        <x:v>90.83460264900663</x:v>
      </x:c>
      <x:c r="J94" s="12"/>
      <x:c r="K94" s="13" t="str">
        <x:f>IF(AND(ISNUMBER(J94),F94&gt;0),J94/F94,"")</x:f>
      </x:c>
      <x:c r="L94" s="12"/>
      <x:c r="M94" s="12"/>
      <x:c r="N94" s="12"/>
      <x:c r="O94" s="12" t="n">
        <x:v>30</x:v>
      </x:c>
      <x:c r="P94" s="12" t="n">
        <x:v>303</x:v>
      </x:c>
      <x:c r="Q94" s="13" t="n">
        <x:f>IF(AND(ISNUMBER(O94),P94&gt;0),O94/P94,"")</x:f>
        <x:v>0.09900990099009901</x:v>
      </x:c>
      <x:c r="R94" s="12" t="n">
        <x:v>126</x:v>
      </x:c>
      <x:c r="S94" s="12" t="n">
        <x:v>124</x:v>
      </x:c>
      <x:c r="T94" s="12" t="n">
        <x:v>39</x:v>
      </x:c>
      <x:c r="U94" s="12" t="n">
        <x:v>13</x:v>
      </x:c>
      <x:c r="V94" s="4" t="str">
        <x:f>IF(D94&lt;&gt;"原始汇总核实","未核实；排除合计",IF(F94=0,"无GV不可算",IF(AND(F94&gt;=30000,G94&lt;0.03),"高流量低转化",IF(AND(F94&gt;=3000,F94&lt;30000,G94&gt;=0.08),"高转化待扩流","常规"))))</x:f>
        <x:v>常规</x:v>
      </x:c>
      <x:c r="W94" s="4" t="str">
        <x:v>HYCHIKA Sega Circolare 18V, Mini Sega Circolare a Batteria 3500RPM con Guida Laser e Borsa di Stoccaggio, Profondito di Taglio Massima 48mm e 32mm, 3 Lame, per Legno, Tagliare Piastrelle, Metallo</x:v>
      </x:c>
    </x:row>
    <x:row r="95" ht="22" customHeight="1">
      <x:c r="A95" s="4" t="str">
        <x:v>B0DFM646ZZ</x:v>
      </x:c>
      <x:c r="B95" s="4" t="str">
        <x:v>HYCHIKA</x:v>
      </x:c>
      <x:c r="C95" s="4" t="str">
        <x:v>园艺/喷涂</x:v>
      </x:c>
      <x:c r="D95" s="4" t="str">
        <x:v>原始汇总核实</x:v>
      </x:c>
      <x:c r="E95" s="12" t="n">
        <x:v>295</x:v>
      </x:c>
      <x:c r="F95" s="12" t="n">
        <x:v>3355</x:v>
      </x:c>
      <x:c r="G95" s="13" t="n">
        <x:f>IF(F95&gt;0,E95/F95,"")</x:f>
        <x:v>0.08792846497764531</x:v>
      </x:c>
      <x:c r="H95" s="14" t="n">
        <x:v>5072.95</x:v>
      </x:c>
      <x:c r="I95" s="14" t="n">
        <x:f>IF(AND(ISNUMBER(H95),E95&gt;0),H95/E95,"")</x:f>
        <x:v>17.196440677966102</x:v>
      </x:c>
      <x:c r="J95" s="12"/>
      <x:c r="K95" s="13" t="str">
        <x:f>IF(AND(ISNUMBER(J95),F95&gt;0),J95/F95,"")</x:f>
      </x:c>
      <x:c r="L95" s="12"/>
      <x:c r="M95" s="12"/>
      <x:c r="N95" s="12"/>
      <x:c r="O95" s="12" t="n">
        <x:v>13</x:v>
      </x:c>
      <x:c r="P95" s="12" t="n">
        <x:v>294</x:v>
      </x:c>
      <x:c r="Q95" s="13" t="n">
        <x:f>IF(AND(ISNUMBER(O95),P95&gt;0),O95/P95,"")</x:f>
        <x:v>0.04421768707482993</x:v>
      </x:c>
      <x:c r="R95" s="12" t="n">
        <x:v>0</x:v>
      </x:c>
      <x:c r="S95" s="12" t="n">
        <x:v>0</x:v>
      </x:c>
      <x:c r="T95" s="12" t="n">
        <x:v>131</x:v>
      </x:c>
      <x:c r="U95" s="12" t="n">
        <x:v>164</x:v>
      </x:c>
      <x:c r="V95" s="4" t="str">
        <x:f>IF(D95&lt;&gt;"原始汇总核实","未核实；排除合计",IF(F95=0,"无GV不可算",IF(AND(F95&gt;=30000,G95&lt;0.03),"高流量低转化",IF(AND(F95&gt;=3000,F95&lt;30000,G95&gt;=0.08),"高转化待扩流","常规"))))</x:f>
        <x:v>高转化待扩流</x:v>
      </x:c>
      <x:c r="W95" s="4" t="str">
        <x:v>HYCHIKA Spruzzino Nebulizzatore 3 L, Spruzzino Acqua con Ugello Regolabile, Nebulizzatore Piante, Pompa Irroratrice a Spalla, Spruzzatore a Pressione Adatto per Cortili, Giardinaggio e Coltivazione</x:v>
      </x:c>
    </x:row>
    <x:row r="96" ht="22" customHeight="1">
      <x:c r="A96" s="4" t="str">
        <x:v>B07ZFN24DM</x:v>
      </x:c>
      <x:c r="B96" s="4" t="str">
        <x:v>HYCHIKA</x:v>
      </x:c>
      <x:c r="C96" s="4" t="str">
        <x:v>锯切/开孔及配件</x:v>
      </x:c>
      <x:c r="D96" s="4" t="str">
        <x:v>原始汇总核实</x:v>
      </x:c>
      <x:c r="E96" s="12" t="n">
        <x:v>280</x:v>
      </x:c>
      <x:c r="F96" s="12" t="n">
        <x:v>8016</x:v>
      </x:c>
      <x:c r="G96" s="13" t="n">
        <x:f>IF(F96&gt;0,E96/F96,"")</x:f>
        <x:v>0.03493013972055888</x:v>
      </x:c>
      <x:c r="H96" s="14" t="n">
        <x:v>4531.81</x:v>
      </x:c>
      <x:c r="I96" s="14" t="n">
        <x:f>IF(AND(ISNUMBER(H96),E96&gt;0),H96/E96,"")</x:f>
        <x:v>16.185035714285714</x:v>
      </x:c>
      <x:c r="J96" s="12"/>
      <x:c r="K96" s="13" t="str">
        <x:f>IF(AND(ISNUMBER(J96),F96&gt;0),J96/F96,"")</x:f>
      </x:c>
      <x:c r="L96" s="12"/>
      <x:c r="M96" s="12"/>
      <x:c r="N96" s="12"/>
      <x:c r="O96" s="12" t="n">
        <x:v>17</x:v>
      </x:c>
      <x:c r="P96" s="12" t="n">
        <x:v>281</x:v>
      </x:c>
      <x:c r="Q96" s="13" t="n">
        <x:f>IF(AND(ISNUMBER(O96),P96&gt;0),O96/P96,"")</x:f>
        <x:v>0.060498220640569395</x:v>
      </x:c>
      <x:c r="R96" s="12" t="n">
        <x:v>90</x:v>
      </x:c>
      <x:c r="S96" s="12" t="n">
        <x:v>84</x:v>
      </x:c>
      <x:c r="T96" s="12" t="n">
        <x:v>55</x:v>
      </x:c>
      <x:c r="U96" s="12" t="n">
        <x:v>51</x:v>
      </x:c>
      <x:c r="V96" s="4" t="str">
        <x:f>IF(D96&lt;&gt;"原始汇总核实","未核实；排除合计",IF(F96=0,"无GV不可算",IF(AND(F96&gt;=30000,G96&lt;0.03),"高流量低转化",IF(AND(F96&gt;=3000,F96&lt;30000,G96&gt;=0.08),"高转化待扩流","常规"))))</x:f>
        <x:v>常规</x:v>
      </x:c>
      <x:c r="W96" s="4" t="str">
        <x:v>HYCHIKA Mini Hojas de Sierra Circular 3 PCS Diámetro: 85 mm, Eje: 10 mm, HC/HS/Diamante 4500 RPM</x:v>
      </x:c>
    </x:row>
    <x:row r="97" ht="22" customHeight="1">
      <x:c r="A97" s="4" t="str">
        <x:v>B0D2XHTNJV</x:v>
      </x:c>
      <x:c r="B97" s="4" t="str">
        <x:v>HYCHIKA</x:v>
      </x:c>
      <x:c r="C97" s="4" t="str">
        <x:v>扳手/汽修</x:v>
      </x:c>
      <x:c r="D97" s="4" t="str">
        <x:v>原始汇总核实</x:v>
      </x:c>
      <x:c r="E97" s="12" t="n">
        <x:v>277</x:v>
      </x:c>
      <x:c r="F97" s="12" t="n">
        <x:v>11003</x:v>
      </x:c>
      <x:c r="G97" s="13" t="n">
        <x:f>IF(F97&gt;0,E97/F97,"")</x:f>
        <x:v>0.02517495228574025</x:v>
      </x:c>
      <x:c r="H97" s="14" t="n">
        <x:v>31161.95</x:v>
      </x:c>
      <x:c r="I97" s="14" t="n">
        <x:f>IF(AND(ISNUMBER(H97),E97&gt;0),H97/E97,"")</x:f>
        <x:v>112.49801444043321</x:v>
      </x:c>
      <x:c r="J97" s="12"/>
      <x:c r="K97" s="13" t="str">
        <x:f>IF(AND(ISNUMBER(J97),F97&gt;0),J97/F97,"")</x:f>
      </x:c>
      <x:c r="L97" s="12"/>
      <x:c r="M97" s="12"/>
      <x:c r="N97" s="12"/>
      <x:c r="O97" s="12" t="n">
        <x:v>31</x:v>
      </x:c>
      <x:c r="P97" s="12" t="n">
        <x:v>282</x:v>
      </x:c>
      <x:c r="Q97" s="13" t="n">
        <x:f>IF(AND(ISNUMBER(O97),P97&gt;0),O97/P97,"")</x:f>
        <x:v>0.1099290780141844</x:v>
      </x:c>
      <x:c r="R97" s="12" t="n">
        <x:v>61</x:v>
      </x:c>
      <x:c r="S97" s="12" t="n">
        <x:v>27</x:v>
      </x:c>
      <x:c r="T97" s="12" t="n">
        <x:v>167</x:v>
      </x:c>
      <x:c r="U97" s="12" t="n">
        <x:v>22</x:v>
      </x:c>
      <x:c r="V97" s="4" t="str">
        <x:f>IF(D97&lt;&gt;"原始汇总核实","未核实；排除合计",IF(F97=0,"无GV不可算",IF(AND(F97&gt;=30000,G97&lt;0.03),"高流量低转化",IF(AND(F97&gt;=3000,F97&lt;30000,G97&gt;=0.08),"高转化待扩流","常规"))))</x:f>
        <x:v>常规</x:v>
      </x:c>
      <x:c r="W97" s="4" t="str">
        <x:v>HYCHIKA Hydraulischer Wagenheber 3T, Premium Wagenheber flach mit 360° Rollen &amp; Doppelkolben, Trolley Jack mit Doppelkolben-Schnellhubpumpe, Hubbereich 75-505 mm, Car Jack</x:v>
      </x:c>
    </x:row>
    <x:row r="98" ht="22" customHeight="1">
      <x:c r="A98" s="4" t="str">
        <x:v>B0FFLJ2HMW</x:v>
      </x:c>
      <x:c r="B98" s="4" t="str">
        <x:v>HYCHIKA</x:v>
      </x:c>
      <x:c r="C98" s="4" t="str">
        <x:v>手动螺丝刀/工具套装</x:v>
      </x:c>
      <x:c r="D98" s="4" t="str">
        <x:v>原始汇总核实</x:v>
      </x:c>
      <x:c r="E98" s="12" t="n">
        <x:v>276</x:v>
      </x:c>
      <x:c r="F98" s="12" t="n">
        <x:v>8737</x:v>
      </x:c>
      <x:c r="G98" s="13" t="n">
        <x:f>IF(F98&gt;0,E98/F98,"")</x:f>
        <x:v>0.03158979054595399</x:v>
      </x:c>
      <x:c r="H98" s="14" t="n">
        <x:v>7993.72</x:v>
      </x:c>
      <x:c r="I98" s="14" t="n">
        <x:f>IF(AND(ISNUMBER(H98),E98&gt;0),H98/E98,"")</x:f>
        <x:v>28.962753623188405</x:v>
      </x:c>
      <x:c r="J98" s="12"/>
      <x:c r="K98" s="13" t="str">
        <x:f>IF(AND(ISNUMBER(J98),F98&gt;0),J98/F98,"")</x:f>
      </x:c>
      <x:c r="L98" s="12"/>
      <x:c r="M98" s="12"/>
      <x:c r="N98" s="12"/>
      <x:c r="O98" s="12" t="n">
        <x:v>13</x:v>
      </x:c>
      <x:c r="P98" s="12" t="n">
        <x:v>276</x:v>
      </x:c>
      <x:c r="Q98" s="13" t="n">
        <x:f>IF(AND(ISNUMBER(O98),P98&gt;0),O98/P98,"")</x:f>
        <x:v>0.04710144927536232</x:v>
      </x:c>
      <x:c r="R98" s="12" t="n">
        <x:v>220</x:v>
      </x:c>
      <x:c r="S98" s="12" t="n">
        <x:v>55</x:v>
      </x:c>
      <x:c r="T98" s="12" t="n">
        <x:v>1</x:v>
      </x:c>
      <x:c r="U98" s="12" t="n">
        <x:v>0</x:v>
      </x:c>
      <x:c r="V98" s="4" t="str">
        <x:f>IF(D98&lt;&gt;"原始汇总核实","未核实；排除合计",IF(F98=0,"无GV不可算",IF(AND(F98&gt;=30000,G98&lt;0.03),"高流量低转化",IF(AND(F98&gt;=3000,F98&lt;30000,G98&gt;=0.08),"高转化待扩流","常规"))))</x:f>
        <x:v>常规</x:v>
      </x:c>
      <x:c r="W98" s="4" t="str">
        <x:v>HYCHIKA Juego de destornilladores eléctricos de precisión de precisión 62 en 1,juego de destornilladores eléctricos,herramientas de precisión para electrónica con batería,para teléfono móvil</x:v>
      </x:c>
    </x:row>
    <x:row r="99" ht="22" customHeight="1">
      <x:c r="A99" s="4" t="str">
        <x:v>B0FFGKNZNN</x:v>
      </x:c>
      <x:c r="B99" s="4" t="str">
        <x:v>HYCHIKA</x:v>
      </x:c>
      <x:c r="C99" s="4" t="str">
        <x:v>充气泵/压缩机</x:v>
      </x:c>
      <x:c r="D99" s="4" t="str">
        <x:v>原始汇总核实</x:v>
      </x:c>
      <x:c r="E99" s="12" t="n">
        <x:v>274</x:v>
      </x:c>
      <x:c r="F99" s="12" t="n">
        <x:v>8410</x:v>
      </x:c>
      <x:c r="G99" s="13" t="n">
        <x:f>IF(F99&gt;0,E99/F99,"")</x:f>
        <x:v>0.03258026159334126</x:v>
      </x:c>
      <x:c r="H99" s="14" t="n">
        <x:v>14957.17</x:v>
      </x:c>
      <x:c r="I99" s="14" t="n">
        <x:f>IF(AND(ISNUMBER(H99),E99&gt;0),H99/E99,"")</x:f>
        <x:v>54.58821167883212</x:v>
      </x:c>
      <x:c r="J99" s="12"/>
      <x:c r="K99" s="13" t="str">
        <x:f>IF(AND(ISNUMBER(J99),F99&gt;0),J99/F99,"")</x:f>
      </x:c>
      <x:c r="L99" s="12"/>
      <x:c r="M99" s="12"/>
      <x:c r="N99" s="12"/>
      <x:c r="O99" s="12" t="n">
        <x:v>11</x:v>
      </x:c>
      <x:c r="P99" s="12" t="n">
        <x:v>274</x:v>
      </x:c>
      <x:c r="Q99" s="13" t="n">
        <x:f>IF(AND(ISNUMBER(O99),P99&gt;0),O99/P99,"")</x:f>
        <x:v>0.040145985401459854</x:v>
      </x:c>
      <x:c r="R99" s="12" t="n">
        <x:v>154</x:v>
      </x:c>
      <x:c r="S99" s="12" t="n">
        <x:v>57</x:v>
      </x:c>
      <x:c r="T99" s="12" t="n">
        <x:v>40</x:v>
      </x:c>
      <x:c r="U99" s="12" t="n">
        <x:v>23</x:v>
      </x:c>
      <x:c r="V99" s="4" t="str">
        <x:f>IF(D99&lt;&gt;"原始汇总核实","未核实；排除合计",IF(F99=0,"无GV不可算",IF(AND(F99&gt;=30000,G99&lt;0.03),"高流量低转化",IF(AND(F99&gt;=3000,F99&lt;30000,G99&gt;=0.08),"高转化待扩流","常规"))))</x:f>
        <x:v>常规</x:v>
      </x:c>
      <x:c r="W99" s="4" t="str">
        <x:v>HYCHIKA Avviatore Batteria Auto 1500A - Avviatore Emergenza con Compressore,Booster Avviamento Auto/Moto Portatile (Fino a Tutti i Benzina e 4L Diesel),Doppia USB,600 Lumen LED</x:v>
      </x:c>
    </x:row>
    <x:row r="100" ht="22" customHeight="1">
      <x:c r="A100" s="4" t="str">
        <x:v>B0FFGQXWGT</x:v>
      </x:c>
      <x:c r="B100" s="4" t="str">
        <x:v>HYCHIKA</x:v>
      </x:c>
      <x:c r="C100" s="4" t="str">
        <x:v>吸尘清洁</x:v>
      </x:c>
      <x:c r="D100" s="4" t="str">
        <x:v>原始汇总核实</x:v>
      </x:c>
      <x:c r="E100" s="12" t="n">
        <x:v>255</x:v>
      </x:c>
      <x:c r="F100" s="12" t="n">
        <x:v>7483</x:v>
      </x:c>
      <x:c r="G100" s="13" t="n">
        <x:f>IF(F100&gt;0,E100/F100,"")</x:f>
        <x:v>0.03407724174796205</x:v>
      </x:c>
      <x:c r="H100" s="14" t="n">
        <x:v>7222.54</x:v>
      </x:c>
      <x:c r="I100" s="14" t="n">
        <x:f>IF(AND(ISNUMBER(H100),E100&gt;0),H100/E100,"")</x:f>
        <x:v>28.323686274509804</x:v>
      </x:c>
      <x:c r="J100" s="12"/>
      <x:c r="K100" s="13" t="str">
        <x:f>IF(AND(ISNUMBER(J100),F100&gt;0),J100/F100,"")</x:f>
      </x:c>
      <x:c r="L100" s="12"/>
      <x:c r="M100" s="12"/>
      <x:c r="N100" s="12"/>
      <x:c r="O100" s="12" t="n">
        <x:v>15</x:v>
      </x:c>
      <x:c r="P100" s="12" t="n">
        <x:v>255</x:v>
      </x:c>
      <x:c r="Q100" s="13" t="n">
        <x:f>IF(AND(ISNUMBER(O100),P100&gt;0),O100/P100,"")</x:f>
        <x:v>0.058823529411764705</x:v>
      </x:c>
      <x:c r="R100" s="12" t="n">
        <x:v>113</x:v>
      </x:c>
      <x:c r="S100" s="12" t="n">
        <x:v>72</x:v>
      </x:c>
      <x:c r="T100" s="12" t="n">
        <x:v>53</x:v>
      </x:c>
      <x:c r="U100" s="12" t="n">
        <x:v>17</x:v>
      </x:c>
      <x:c r="V100" s="4" t="str">
        <x:f>IF(D100&lt;&gt;"原始汇总核实","未核实；排除合计",IF(F100=0,"无GV不可算",IF(AND(F100&gt;=30000,G100&lt;0.03),"高流量低转化",IF(AND(F100&gt;=3000,F100&lt;30000,G100&gt;=0.08),"高转化待扩流","常规"))))</x:f>
        <x:v>常规</x:v>
      </x:c>
      <x:c r="W100" s="4" t="str">
        <x:v>HYCHIKA aspirabriciole senza fili - mini aspirapolvere senza fili,19 kPa aspirapolvere auto,aspirabriciole, aspirapolvere per auto, aspirapolvere portatile,sofa</x:v>
      </x:c>
    </x:row>
    <x:row r="101" ht="22" customHeight="1">
      <x:c r="A101" s="4" t="str">
        <x:v>B08DHD3QQ2</x:v>
      </x:c>
      <x:c r="B101" s="4" t="str">
        <x:v>HYCHIKA</x:v>
      </x:c>
      <x:c r="C101" s="4" t="str">
        <x:v>激光测量</x:v>
      </x:c>
      <x:c r="D101" s="4" t="str">
        <x:v>原始汇总核实</x:v>
      </x:c>
      <x:c r="E101" s="12" t="n">
        <x:v>235</x:v>
      </x:c>
      <x:c r="F101" s="12" t="n">
        <x:v>8198</x:v>
      </x:c>
      <x:c r="G101" s="13" t="n">
        <x:f>IF(F101&gt;0,E101/F101,"")</x:f>
        <x:v>0.028665528177604295</x:v>
      </x:c>
      <x:c r="H101" s="14" t="n">
        <x:v>7268.28</x:v>
      </x:c>
      <x:c r="I101" s="14" t="n">
        <x:f>IF(AND(ISNUMBER(H101),E101&gt;0),H101/E101,"")</x:f>
        <x:v>30.928851063829786</x:v>
      </x:c>
      <x:c r="J101" s="12"/>
      <x:c r="K101" s="13" t="str">
        <x:f>IF(AND(ISNUMBER(J101),F101&gt;0),J101/F101,"")</x:f>
      </x:c>
      <x:c r="L101" s="12"/>
      <x:c r="M101" s="12"/>
      <x:c r="N101" s="12"/>
      <x:c r="O101" s="12" t="n">
        <x:v>27</x:v>
      </x:c>
      <x:c r="P101" s="12" t="n">
        <x:v>239</x:v>
      </x:c>
      <x:c r="Q101" s="13" t="n">
        <x:f>IF(AND(ISNUMBER(O101),P101&gt;0),O101/P101,"")</x:f>
        <x:v>0.11297071129707113</x:v>
      </x:c>
      <x:c r="R101" s="12" t="n">
        <x:v>223</x:v>
      </x:c>
      <x:c r="S101" s="12" t="n">
        <x:v>12</x:v>
      </x:c>
      <x:c r="T101" s="12" t="n">
        <x:v>0</x:v>
      </x:c>
      <x:c r="U101" s="12" t="n">
        <x:v>0</x:v>
      </x:c>
      <x:c r="V101" s="4" t="str">
        <x:f>IF(D101&lt;&gt;"原始汇总核实","未核实；排除合计",IF(F101=0,"无GV不可算",IF(AND(F101&gt;=30000,G101&lt;0.03),"高流量低转化",IF(AND(F101&gt;=3000,F101&lt;30000,G101&gt;=0.08),"高转化待扩流","常规"))))</x:f>
        <x:v>常规</x:v>
      </x:c>
      <x:c r="W101" s="4" t="str">
        <x:v>HYCHIKA Nivel Láser Verde 45M, USB Carga, Láser Autonivelante, IP54 en Exteriores, 2 Láser Módulo Línea Cruzado Vertical/Horizontal, Soporte Magnético, 360°Rotante</x:v>
      </x:c>
    </x:row>
    <x:row r="102" ht="22" customHeight="1">
      <x:c r="A102" s="4" t="str">
        <x:v>B0GH5M3TJJ</x:v>
      </x:c>
      <x:c r="B102" s="4" t="str">
        <x:v>HYCHIKA</x:v>
      </x:c>
      <x:c r="C102" s="4" t="str">
        <x:v>扳手/汽修</x:v>
      </x:c>
      <x:c r="D102" s="4" t="str">
        <x:v>原始汇总核实</x:v>
      </x:c>
      <x:c r="E102" s="12" t="n">
        <x:v>186</x:v>
      </x:c>
      <x:c r="F102" s="12" t="n">
        <x:v>3554</x:v>
      </x:c>
      <x:c r="G102" s="13" t="n">
        <x:f>IF(F102&gt;0,E102/F102,"")</x:f>
        <x:v>0.05233539673607203</x:v>
      </x:c>
      <x:c r="H102" s="14" t="n">
        <x:v>6017.05</x:v>
      </x:c>
      <x:c r="I102" s="14" t="n">
        <x:f>IF(AND(ISNUMBER(H102),E102&gt;0),H102/E102,"")</x:f>
        <x:v>32.3497311827957</x:v>
      </x:c>
      <x:c r="J102" s="12"/>
      <x:c r="K102" s="13" t="str">
        <x:f>IF(AND(ISNUMBER(J102),F102&gt;0),J102/F102,"")</x:f>
      </x:c>
      <x:c r="L102" s="12"/>
      <x:c r="M102" s="12"/>
      <x:c r="N102" s="12"/>
      <x:c r="O102" s="12" t="n">
        <x:v>9</x:v>
      </x:c>
      <x:c r="P102" s="12" t="n">
        <x:v>184</x:v>
      </x:c>
      <x:c r="Q102" s="13" t="n">
        <x:f>IF(AND(ISNUMBER(O102),P102&gt;0),O102/P102,"")</x:f>
        <x:v>0.04891304347826087</x:v>
      </x:c>
      <x:c r="R102" s="12"/>
      <x:c r="S102" s="12" t="n">
        <x:v>0</x:v>
      </x:c>
      <x:c r="T102" s="12" t="n">
        <x:v>119</x:v>
      </x:c>
      <x:c r="U102" s="12" t="n">
        <x:v>67</x:v>
      </x:c>
      <x:c r="V102" s="4" t="str">
        <x:f>IF(D102&lt;&gt;"原始汇总核实","未核实；排除合计",IF(F102=0,"无GV不可算",IF(AND(F102&gt;=30000,G102&lt;0.03),"高流量低转化",IF(AND(F102&gt;=3000,F102&lt;30000,G102&gt;=0.08),"高转化待扩流","常规"))))</x:f>
        <x:v>常规</x:v>
      </x:c>
      <x:c r="W102" s="4" t="str">
        <x:v>HYCHIKA Scherenheber 3T Wagenheber Auto Tragbar Autoheber Hebebühne 3 Tonnen Hebebereich von 120 mm bis 445 mm, Wagenheber für SUV PKW</x:v>
      </x:c>
    </x:row>
    <x:row r="103" ht="22" customHeight="1">
      <x:c r="A103" s="4" t="str">
        <x:v>B0CQM5998Q</x:v>
      </x:c>
      <x:c r="B103" s="4" t="str">
        <x:v>HYCHIKA</x:v>
      </x:c>
      <x:c r="C103" s="4" t="str">
        <x:v>锯切/开孔及配件</x:v>
      </x:c>
      <x:c r="D103" s="4" t="str">
        <x:v>原始汇总核实</x:v>
      </x:c>
      <x:c r="E103" s="12" t="n">
        <x:v>173</x:v>
      </x:c>
      <x:c r="F103" s="12" t="n">
        <x:v>2469</x:v>
      </x:c>
      <x:c r="G103" s="13" t="n">
        <x:f>IF(F103&gt;0,E103/F103,"")</x:f>
        <x:v>0.07006885378695828</x:v>
      </x:c>
      <x:c r="H103" s="14" t="n">
        <x:v>2149.77</x:v>
      </x:c>
      <x:c r="I103" s="14" t="n">
        <x:f>IF(AND(ISNUMBER(H103),E103&gt;0),H103/E103,"")</x:f>
        <x:v>12.426416184971098</x:v>
      </x:c>
      <x:c r="J103" s="12"/>
      <x:c r="K103" s="13" t="str">
        <x:f>IF(AND(ISNUMBER(J103),F103&gt;0),J103/F103,"")</x:f>
      </x:c>
      <x:c r="L103" s="12"/>
      <x:c r="M103" s="12"/>
      <x:c r="N103" s="12"/>
      <x:c r="O103" s="12" t="n">
        <x:v>11</x:v>
      </x:c>
      <x:c r="P103" s="12" t="n">
        <x:v>173</x:v>
      </x:c>
      <x:c r="Q103" s="13" t="n">
        <x:f>IF(AND(ISNUMBER(O103),P103&gt;0),O103/P103,"")</x:f>
        <x:v>0.06358381502890173</x:v>
      </x:c>
      <x:c r="R103" s="12" t="n">
        <x:v>38</x:v>
      </x:c>
      <x:c r="S103" s="12" t="n">
        <x:v>69</x:v>
      </x:c>
      <x:c r="T103" s="12" t="n">
        <x:v>44</x:v>
      </x:c>
      <x:c r="U103" s="12" t="n">
        <x:v>22</x:v>
      </x:c>
      <x:c r="V103" s="4" t="str">
        <x:f>IF(D103&lt;&gt;"原始汇总核实","未核实；排除合计",IF(F103=0,"无GV不可算",IF(AND(F103&gt;=30000,G103&lt;0.03),"高流量低转化",IF(AND(F103&gt;=3000,F103&lt;30000,G103&gt;=0.08),"高转化待扩流","常规"))))</x:f>
        <x:v>常规</x:v>
      </x:c>
      <x:c r="W103" s="4" t="str">
        <x:v>HYCHIKA Seghe a Tazza Bi-Metallica 68mm 60mm, Sega A Tazza per Legno, Iron Alluminio, Cartongesso, Tubi, Plastica, Pannelli di Fibra</x:v>
      </x:c>
    </x:row>
    <x:row r="104" ht="22" customHeight="1">
      <x:c r="A104" s="4" t="str">
        <x:v>B09QM574ZF</x:v>
      </x:c>
      <x:c r="B104" s="4" t="str">
        <x:v>SORAKO</x:v>
      </x:c>
      <x:c r="C104" s="4" t="str">
        <x:v>电动螺丝刀</x:v>
      </x:c>
      <x:c r="D104" s="4" t="str">
        <x:v>原始汇总核实</x:v>
      </x:c>
      <x:c r="E104" s="12" t="n">
        <x:v>169</x:v>
      </x:c>
      <x:c r="F104" s="12" t="n">
        <x:v>3515</x:v>
      </x:c>
      <x:c r="G104" s="13" t="n">
        <x:f>IF(F104&gt;0,E104/F104,"")</x:f>
        <x:v>0.04807965860597439</x:v>
      </x:c>
      <x:c r="H104" s="14" t="n">
        <x:v>2161.35</x:v>
      </x:c>
      <x:c r="I104" s="14" t="n">
        <x:f>IF(AND(ISNUMBER(H104),E104&gt;0),H104/E104,"")</x:f>
        <x:v>12.789053254437869</x:v>
      </x:c>
      <x:c r="J104" s="12"/>
      <x:c r="K104" s="13" t="str">
        <x:f>IF(AND(ISNUMBER(J104),F104&gt;0),J104/F104,"")</x:f>
      </x:c>
      <x:c r="L104" s="12"/>
      <x:c r="M104" s="12"/>
      <x:c r="N104" s="12"/>
      <x:c r="O104" s="12" t="n">
        <x:v>41</x:v>
      </x:c>
      <x:c r="P104" s="12" t="n">
        <x:v>172</x:v>
      </x:c>
      <x:c r="Q104" s="13" t="n">
        <x:f>IF(AND(ISNUMBER(O104),P104&gt;0),O104/P104,"")</x:f>
        <x:v>0.23837209302325582</x:v>
      </x:c>
      <x:c r="R104" s="12" t="n">
        <x:v>169</x:v>
      </x:c>
      <x:c r="S104" s="12" t="n">
        <x:v>0</x:v>
      </x:c>
      <x:c r="T104" s="12" t="n">
        <x:v>0</x:v>
      </x:c>
      <x:c r="U104" s="12" t="n">
        <x:v>0</x:v>
      </x:c>
      <x:c r="V104" s="4" t="str">
        <x:f>IF(D104&lt;&gt;"原始汇总核实","未核实；排除合计",IF(F104=0,"无GV不可算",IF(AND(F104&gt;=30000,G104&lt;0.03),"高流量低转化",IF(AND(F104&gt;=3000,F104&lt;30000,G104&gt;=0.08),"高转化待扩流","常规"))))</x:f>
        <x:v>常规</x:v>
      </x:c>
      <x:c r="W104" s="4" t="str">
        <x:v>SORAKO Avvitatore Elettrico 6Nm Cacciavite Elettrico 3.6V con 30 Accessori, con Luce LED, 2 Direzioni di Rotazione, Indicatore Batteria e Caricabatterie, per Fai da Te, Blu+Nero+Arancione,1/4"</x:v>
      </x:c>
    </x:row>
    <x:row r="105" ht="22" customHeight="1">
      <x:c r="A105" s="4" t="str">
        <x:v>B0D2XGDZGF</x:v>
      </x:c>
      <x:c r="B105" s="4" t="str">
        <x:v>HYCHIKA</x:v>
      </x:c>
      <x:c r="C105" s="4" t="str">
        <x:v>扳手/汽修</x:v>
      </x:c>
      <x:c r="D105" s="4" t="str">
        <x:v>原始汇总核实</x:v>
      </x:c>
      <x:c r="E105" s="12" t="n">
        <x:v>148</x:v>
      </x:c>
      <x:c r="F105" s="12" t="n">
        <x:v>7461</x:v>
      </x:c>
      <x:c r="G105" s="13" t="n">
        <x:f>IF(F105&gt;0,E105/F105,"")</x:f>
        <x:v>0.019836483045168208</x:v>
      </x:c>
      <x:c r="H105" s="14" t="n">
        <x:v>9547.23</x:v>
      </x:c>
      <x:c r="I105" s="14" t="n">
        <x:f>IF(AND(ISNUMBER(H105),E105&gt;0),H105/E105,"")</x:f>
        <x:v>64.50831081081081</x:v>
      </x:c>
      <x:c r="J105" s="12"/>
      <x:c r="K105" s="13" t="str">
        <x:f>IF(AND(ISNUMBER(J105),F105&gt;0),J105/F105,"")</x:f>
      </x:c>
      <x:c r="L105" s="12"/>
      <x:c r="M105" s="12"/>
      <x:c r="N105" s="12"/>
      <x:c r="O105" s="12" t="n">
        <x:v>16</x:v>
      </x:c>
      <x:c r="P105" s="12" t="n">
        <x:v>147</x:v>
      </x:c>
      <x:c r="Q105" s="13" t="n">
        <x:f>IF(AND(ISNUMBER(O105),P105&gt;0),O105/P105,"")</x:f>
        <x:v>0.10884353741496598</x:v>
      </x:c>
      <x:c r="R105" s="12" t="n">
        <x:v>19</x:v>
      </x:c>
      <x:c r="S105" s="12" t="n">
        <x:v>6</x:v>
      </x:c>
      <x:c r="T105" s="12" t="n">
        <x:v>76</x:v>
      </x:c>
      <x:c r="U105" s="12" t="n">
        <x:v>47</x:v>
      </x:c>
      <x:c r="V105" s="4" t="str">
        <x:f>IF(D105&lt;&gt;"原始汇总核实","未核实；排除合计",IF(F105=0,"无GV不可算",IF(AND(F105&gt;=30000,G105&lt;0.03),"高流量低转化",IF(AND(F105&gt;=3000,F105&lt;30000,G105&gt;=0.08),"高转化待扩流","常规"))))</x:f>
        <x:v>常规</x:v>
      </x:c>
      <x:c r="W105" s="4" t="str">
        <x:v>HYCHIKA Hydraulischer Wagenheber Hydraulisch, Wagenheber 3T Hydraulisch, Rangierwagenheber mit Tragegriff, Hydraulikheber, 5.3-14.6 Zoll Hubbereich, 360° Schwenkräder, für Auto, SUV und Reifenwechsel</x:v>
      </x:c>
    </x:row>
    <x:row r="106" ht="22" customHeight="1">
      <x:c r="A106" s="4" t="str">
        <x:v>B0DBZCKXT4</x:v>
      </x:c>
      <x:c r="B106" s="4" t="str">
        <x:v>HYCHIKA</x:v>
      </x:c>
      <x:c r="C106" s="4" t="str">
        <x:v>园艺/喷涂</x:v>
      </x:c>
      <x:c r="D106" s="4" t="str">
        <x:v>原始汇总核实</x:v>
      </x:c>
      <x:c r="E106" s="12" t="n">
        <x:v>145</x:v>
      </x:c>
      <x:c r="F106" s="12" t="n">
        <x:v>5447</x:v>
      </x:c>
      <x:c r="G106" s="13" t="n">
        <x:f>IF(F106&gt;0,E106/F106,"")</x:f>
        <x:v>0.026620157885074353</x:v>
      </x:c>
      <x:c r="H106" s="14" t="n">
        <x:v>4472.46</x:v>
      </x:c>
      <x:c r="I106" s="14" t="n">
        <x:f>IF(AND(ISNUMBER(H106),E106&gt;0),H106/E106,"")</x:f>
        <x:v>30.844551724137933</x:v>
      </x:c>
      <x:c r="J106" s="12"/>
      <x:c r="K106" s="13" t="str">
        <x:f>IF(AND(ISNUMBER(J106),F106&gt;0),J106/F106,"")</x:f>
      </x:c>
      <x:c r="L106" s="12"/>
      <x:c r="M106" s="12"/>
      <x:c r="N106" s="12"/>
      <x:c r="O106" s="12" t="n">
        <x:v>8</x:v>
      </x:c>
      <x:c r="P106" s="12" t="n">
        <x:v>145</x:v>
      </x:c>
      <x:c r="Q106" s="13" t="n">
        <x:f>IF(AND(ISNUMBER(O106),P106&gt;0),O106/P106,"")</x:f>
        <x:v>0.05517241379310345</x:v>
      </x:c>
      <x:c r="R106" s="12" t="n">
        <x:v>69</x:v>
      </x:c>
      <x:c r="S106" s="12" t="n">
        <x:v>49</x:v>
      </x:c>
      <x:c r="T106" s="12" t="n">
        <x:v>23</x:v>
      </x:c>
      <x:c r="U106" s="12" t="n">
        <x:v>4</x:v>
      </x:c>
      <x:c r="V106" s="4" t="str">
        <x:f>IF(D106&lt;&gt;"原始汇总核实","未核实；排除合计",IF(F106=0,"无GV不可算",IF(AND(F106&gt;=30000,G106&lt;0.03),"高流量低转化",IF(AND(F106&gt;=3000,F106&lt;30000,G106&gt;=0.08),"高转化待扩流","常规"))))</x:f>
        <x:v>常规</x:v>
      </x:c>
      <x:c r="W106" s="4" t="str">
        <x:v>HYCHIKA Troncarami Cesoie Potatura 74CM, Forbici da Potatura, Cesoia Giardinaggio, Forbice Potatura Professionali, Taglia Rami, Tagliano Cuts Ø50 mm max., Attrezzi Giardinaggio Forbici da Giardino</x:v>
      </x:c>
    </x:row>
    <x:row r="107" ht="22" customHeight="1">
      <x:c r="A107" s="4" t="str">
        <x:v>B0CRDRN642</x:v>
      </x:c>
      <x:c r="B107" s="4" t="str">
        <x:v>HYCHIKA</x:v>
      </x:c>
      <x:c r="C107" s="4" t="str">
        <x:v>锯切/开孔及配件</x:v>
      </x:c>
      <x:c r="D107" s="4" t="str">
        <x:v>原始汇总核实</x:v>
      </x:c>
      <x:c r="E107" s="12" t="n">
        <x:v>138</x:v>
      </x:c>
      <x:c r="F107" s="12" t="n">
        <x:v>2168</x:v>
      </x:c>
      <x:c r="G107" s="13" t="n">
        <x:f>IF(F107&gt;0,E107/F107,"")</x:f>
        <x:v>0.06365313653136531</x:v>
      </x:c>
      <x:c r="H107" s="14" t="n">
        <x:v>1521.47</x:v>
      </x:c>
      <x:c r="I107" s="14" t="n">
        <x:f>IF(AND(ISNUMBER(H107),E107&gt;0),H107/E107,"")</x:f>
        <x:v>11.025144927536232</x:v>
      </x:c>
      <x:c r="J107" s="12"/>
      <x:c r="K107" s="13" t="str">
        <x:f>IF(AND(ISNUMBER(J107),F107&gt;0),J107/F107,"")</x:f>
      </x:c>
      <x:c r="L107" s="12"/>
      <x:c r="M107" s="12"/>
      <x:c r="N107" s="12"/>
      <x:c r="O107" s="12" t="n">
        <x:v>6</x:v>
      </x:c>
      <x:c r="P107" s="12" t="n">
        <x:v>138</x:v>
      </x:c>
      <x:c r="Q107" s="13" t="n">
        <x:f>IF(AND(ISNUMBER(O107),P107&gt;0),O107/P107,"")</x:f>
        <x:v>0.043478260869565216</x:v>
      </x:c>
      <x:c r="R107" s="12" t="n">
        <x:v>29</x:v>
      </x:c>
      <x:c r="S107" s="12" t="n">
        <x:v>31</x:v>
      </x:c>
      <x:c r="T107" s="12" t="n">
        <x:v>51</x:v>
      </x:c>
      <x:c r="U107" s="12" t="n">
        <x:v>27</x:v>
      </x:c>
      <x:c r="V107" s="4" t="str">
        <x:f>IF(D107&lt;&gt;"原始汇总核实","未核实；排除合计",IF(F107=0,"无GV不可算",IF(AND(F107&gt;=30000,G107&lt;0.03),"高流量低转化",IF(AND(F107&gt;=3000,F107&lt;30000,G107&gt;=0.08),"高转化待扩流","常规"))))</x:f>
        <x:v>常规</x:v>
      </x:c>
      <x:c r="W107" s="4" t="str">
        <x:v>HYCHIKA Seghe a Tazza Bi-Metallica 100mm, Fresa A Tazza per Legno, Iron Alluminio, Cartongesso, Tubi, Plastica, Pannelli di Fibra</x:v>
      </x:c>
    </x:row>
    <x:row r="108" ht="22" customHeight="1">
      <x:c r="A108" s="4" t="str">
        <x:v>B0DBZCG7RS</x:v>
      </x:c>
      <x:c r="B108" s="4" t="str">
        <x:v>HYCHIKA</x:v>
      </x:c>
      <x:c r="C108" s="4" t="str">
        <x:v>园艺/喷涂</x:v>
      </x:c>
      <x:c r="D108" s="4" t="str">
        <x:v>原始汇总核实</x:v>
      </x:c>
      <x:c r="E108" s="12" t="n">
        <x:v>135</x:v>
      </x:c>
      <x:c r="F108" s="12" t="n">
        <x:v>5353</x:v>
      </x:c>
      <x:c r="G108" s="13" t="n">
        <x:f>IF(F108&gt;0,E108/F108,"")</x:f>
        <x:v>0.02521950308238371</x:v>
      </x:c>
      <x:c r="H108" s="14" t="n">
        <x:v>5308.6</x:v>
      </x:c>
      <x:c r="I108" s="14" t="n">
        <x:f>IF(AND(ISNUMBER(H108),E108&gt;0),H108/E108,"")</x:f>
        <x:v>39.32296296296297</x:v>
      </x:c>
      <x:c r="J108" s="12"/>
      <x:c r="K108" s="13" t="str">
        <x:f>IF(AND(ISNUMBER(J108),F108&gt;0),J108/F108,"")</x:f>
      </x:c>
      <x:c r="L108" s="12"/>
      <x:c r="M108" s="12"/>
      <x:c r="N108" s="12"/>
      <x:c r="O108" s="12" t="n">
        <x:v>17</x:v>
      </x:c>
      <x:c r="P108" s="12" t="n">
        <x:v>135</x:v>
      </x:c>
      <x:c r="Q108" s="13" t="n">
        <x:f>IF(AND(ISNUMBER(O108),P108&gt;0),O108/P108,"")</x:f>
        <x:v>0.1259259259259259</x:v>
      </x:c>
      <x:c r="R108" s="12" t="n">
        <x:v>28</x:v>
      </x:c>
      <x:c r="S108" s="12" t="n">
        <x:v>36</x:v>
      </x:c>
      <x:c r="T108" s="12" t="n">
        <x:v>47</x:v>
      </x:c>
      <x:c r="U108" s="12" t="n">
        <x:v>24</x:v>
      </x:c>
      <x:c r="V108" s="4" t="str">
        <x:f>IF(D108&lt;&gt;"原始汇总核实","未核实；排除合计",IF(F108=0,"无GV不可算",IF(AND(F108&gt;=30000,G108&lt;0.03),"高流量低转化",IF(AND(F108&gt;=3000,F108&lt;30000,G108&gt;=0.08),"高转化待扩流","常规"))))</x:f>
        <x:v>常规</x:v>
      </x:c>
      <x:c r="W108" s="4" t="str">
        <x:v>HYCHIKA Troncarami Telescopico 99CM, Cesoie Lunghe per Potatura, Cesoia da Potatura, Tagliano Rami di Ø50 mm max., Lame Affilate, Troncarami Bypass per La Potatura di Rami Secchi e Umidi</x:v>
      </x:c>
    </x:row>
    <x:row r="109" ht="22" customHeight="1">
      <x:c r="A109" s="4" t="str">
        <x:v>B0DCBYPL2X</x:v>
      </x:c>
      <x:c r="B109" s="4" t="str">
        <x:v>HYCHIKA</x:v>
      </x:c>
      <x:c r="C109" s="4" t="str">
        <x:v>园艺/喷涂</x:v>
      </x:c>
      <x:c r="D109" s="4" t="str">
        <x:v>原始汇总核实</x:v>
      </x:c>
      <x:c r="E109" s="12" t="n">
        <x:v>127</x:v>
      </x:c>
      <x:c r="F109" s="12" t="n">
        <x:v>4417</x:v>
      </x:c>
      <x:c r="G109" s="13" t="n">
        <x:f>IF(F109&gt;0,E109/F109,"")</x:f>
        <x:v>0.0287525469775866</x:v>
      </x:c>
      <x:c r="H109" s="14" t="n">
        <x:v>9018.48</x:v>
      </x:c>
      <x:c r="I109" s="14" t="n">
        <x:f>IF(AND(ISNUMBER(H109),E109&gt;0),H109/E109,"")</x:f>
        <x:v>71.01165354330708</x:v>
      </x:c>
      <x:c r="J109" s="12"/>
      <x:c r="K109" s="13" t="str">
        <x:f>IF(AND(ISNUMBER(J109),F109&gt;0),J109/F109,"")</x:f>
      </x:c>
      <x:c r="L109" s="12"/>
      <x:c r="M109" s="12"/>
      <x:c r="N109" s="12"/>
      <x:c r="O109" s="12" t="n">
        <x:v>3</x:v>
      </x:c>
      <x:c r="P109" s="12" t="n">
        <x:v>126</x:v>
      </x:c>
      <x:c r="Q109" s="13" t="n">
        <x:f>IF(AND(ISNUMBER(O109),P109&gt;0),O109/P109,"")</x:f>
        <x:v>0.023809523809523808</x:v>
      </x:c>
      <x:c r="R109" s="12" t="n">
        <x:v>1</x:v>
      </x:c>
      <x:c r="S109" s="12" t="n">
        <x:v>13</x:v>
      </x:c>
      <x:c r="T109" s="12" t="n">
        <x:v>76</x:v>
      </x:c>
      <x:c r="U109" s="12" t="n">
        <x:v>37</x:v>
      </x:c>
      <x:c r="V109" s="4" t="str">
        <x:f>IF(D109&lt;&gt;"原始汇总核实","未核实；排除合计",IF(F109=0,"无GV不可算",IF(AND(F109&gt;=30000,G109&lt;0.03),"高流量低转化",IF(AND(F109&gt;=3000,F109&lt;30000,G109&gt;=0.08),"高转化待扩流","常规"))))</x:f>
        <x:v>常规</x:v>
      </x:c>
      <x:c r="W109" s="4" t="str">
        <x:v>HICHIKA Schlauchtrommel Gartenschlauch 20m – Schlauchbox für die Wandhalterung, Automatische Verriegelung und Aufrollung, 8-Stufiger Sprühdüse, 180°Schwenkbare Schlauchaufroller</x:v>
      </x:c>
    </x:row>
    <x:row r="110" ht="22" customHeight="1">
      <x:c r="A110" s="4" t="str">
        <x:v>B0BRCXLNGS</x:v>
      </x:c>
      <x:c r="B110" s="4" t="str">
        <x:v>HYCHIKA</x:v>
      </x:c>
      <x:c r="C110" s="4" t="str">
        <x:v>打磨/旋转工具</x:v>
      </x:c>
      <x:c r="D110" s="4" t="str">
        <x:v>原始汇总核实</x:v>
      </x:c>
      <x:c r="E110" s="12" t="n">
        <x:v>126</x:v>
      </x:c>
      <x:c r="F110" s="12" t="n">
        <x:v>1630</x:v>
      </x:c>
      <x:c r="G110" s="13" t="n">
        <x:f>IF(F110&gt;0,E110/F110,"")</x:f>
        <x:v>0.07730061349693251</x:v>
      </x:c>
      <x:c r="H110" s="14" t="n">
        <x:v>874.45</x:v>
      </x:c>
      <x:c r="I110" s="14" t="n">
        <x:f>IF(AND(ISNUMBER(H110),E110&gt;0),H110/E110,"")</x:f>
        <x:v>6.940079365079366</x:v>
      </x:c>
      <x:c r="J110" s="12"/>
      <x:c r="K110" s="13" t="str">
        <x:f>IF(AND(ISNUMBER(J110),F110&gt;0),J110/F110,"")</x:f>
      </x:c>
      <x:c r="L110" s="12"/>
      <x:c r="M110" s="12"/>
      <x:c r="N110" s="12"/>
      <x:c r="O110" s="12" t="n">
        <x:v>4</x:v>
      </x:c>
      <x:c r="P110" s="12" t="n">
        <x:v>127</x:v>
      </x:c>
      <x:c r="Q110" s="13" t="n">
        <x:f>IF(AND(ISNUMBER(O110),P110&gt;0),O110/P110,"")</x:f>
        <x:v>0.031496062992125984</x:v>
      </x:c>
      <x:c r="R110" s="12" t="n">
        <x:v>12</x:v>
      </x:c>
      <x:c r="S110" s="12" t="n">
        <x:v>27</x:v>
      </x:c>
      <x:c r="T110" s="12" t="n">
        <x:v>68</x:v>
      </x:c>
      <x:c r="U110" s="12" t="n">
        <x:v>19</x:v>
      </x:c>
      <x:c r="V110" s="4" t="str">
        <x:f>IF(D110&lt;&gt;"原始汇总核实","未核实；排除合计",IF(F110=0,"无GV不可算",IF(AND(F110&gt;=30000,G110&lt;0.03),"高流量低转化",IF(AND(F110&gt;=3000,F110&lt;30000,G110&gt;=0.08),"高转化待扩流","常规"))))</x:f>
        <x:v>常规</x:v>
      </x:c>
      <x:c r="W110" s="4" t="str">
        <x:v>HYCHIKA Trennscheiben für Metall 10 Stück, Winkelschleifer Scheiben 125 x 1.2 x 22.2mm, Trennscheiben Winkelschleifer Zubehör für Metall, Stahl, Edelstahl</x:v>
      </x:c>
    </x:row>
    <x:row r="111" ht="22" customHeight="1">
      <x:c r="A111" s="4" t="str">
        <x:v>B0DFPKMC6C</x:v>
      </x:c>
      <x:c r="B111" s="4" t="str">
        <x:v>HYCHIKA</x:v>
      </x:c>
      <x:c r="C111" s="4" t="str">
        <x:v>打磨/旋转工具</x:v>
      </x:c>
      <x:c r="D111" s="4" t="str">
        <x:v>原始汇总核实</x:v>
      </x:c>
      <x:c r="E111" s="12" t="n">
        <x:v>111</x:v>
      </x:c>
      <x:c r="F111" s="12" t="n">
        <x:v>3682</x:v>
      </x:c>
      <x:c r="G111" s="13" t="n">
        <x:f>IF(F111&gt;0,E111/F111,"")</x:f>
        <x:v>0.030146659424225963</x:v>
      </x:c>
      <x:c r="H111" s="14" t="n">
        <x:v>7012.3</x:v>
      </x:c>
      <x:c r="I111" s="14" t="n">
        <x:f>IF(AND(ISNUMBER(H111),E111&gt;0),H111/E111,"")</x:f>
        <x:v>63.17387387387387</x:v>
      </x:c>
      <x:c r="J111" s="12"/>
      <x:c r="K111" s="13" t="str">
        <x:f>IF(AND(ISNUMBER(J111),F111&gt;0),J111/F111,"")</x:f>
      </x:c>
      <x:c r="L111" s="12"/>
      <x:c r="M111" s="12"/>
      <x:c r="N111" s="12"/>
      <x:c r="O111" s="12" t="n">
        <x:v>10</x:v>
      </x:c>
      <x:c r="P111" s="12" t="n">
        <x:v>110</x:v>
      </x:c>
      <x:c r="Q111" s="13" t="n">
        <x:f>IF(AND(ISNUMBER(O111),P111&gt;0),O111/P111,"")</x:f>
        <x:v>0.09090909090909091</x:v>
      </x:c>
      <x:c r="R111" s="12" t="n">
        <x:v>12</x:v>
      </x:c>
      <x:c r="S111" s="12" t="n">
        <x:v>51</x:v>
      </x:c>
      <x:c r="T111" s="12" t="n">
        <x:v>31</x:v>
      </x:c>
      <x:c r="U111" s="12" t="n">
        <x:v>17</x:v>
      </x:c>
      <x:c r="V111" s="4" t="str">
        <x:f>IF(D111&lt;&gt;"原始汇总核实","未核实；排除合计",IF(F111=0,"无GV不可算",IF(AND(F111&gt;=30000,G111&lt;0.03),"高流量低转化",IF(AND(F111&gt;=3000,F111&lt;30000,G111&gt;=0.08),"高转化待扩流","常规"))))</x:f>
        <x:v>常规</x:v>
      </x:c>
      <x:c r="W111" s="4" t="str">
        <x:v>HYCHIKA 1400W Satiniermaschine, Bürstenschleifer zur Renovierung von Oberflächen, Holz Renovierungsschleifer 8 Gänge Variabler Drehzahlbereich 600-3600RPM, Metall Schleifmaschine Bürstmaschine</x:v>
      </x:c>
    </x:row>
    <x:row r="112" ht="22" customHeight="1">
      <x:c r="A112" s="4" t="str">
        <x:v>B0DCNPZW4K</x:v>
      </x:c>
      <x:c r="B112" s="4" t="str">
        <x:v>HYCHIKA</x:v>
      </x:c>
      <x:c r="C112" s="4" t="str">
        <x:v>园艺/喷涂</x:v>
      </x:c>
      <x:c r="D112" s="4" t="str">
        <x:v>原始汇总核实</x:v>
      </x:c>
      <x:c r="E112" s="12" t="n">
        <x:v>98</x:v>
      </x:c>
      <x:c r="F112" s="12" t="n">
        <x:v>7247</x:v>
      </x:c>
      <x:c r="G112" s="13" t="n">
        <x:f>IF(F112&gt;0,E112/F112,"")</x:f>
        <x:v>0.013522837036014902</x:v>
      </x:c>
      <x:c r="H112" s="14" t="n">
        <x:v>4902.31</x:v>
      </x:c>
      <x:c r="I112" s="14" t="n">
        <x:f>IF(AND(ISNUMBER(H112),E112&gt;0),H112/E112,"")</x:f>
        <x:v>50.02357142857143</x:v>
      </x:c>
      <x:c r="J112" s="12"/>
      <x:c r="K112" s="13" t="str">
        <x:f>IF(AND(ISNUMBER(J112),F112&gt;0),J112/F112,"")</x:f>
      </x:c>
      <x:c r="L112" s="12"/>
      <x:c r="M112" s="12"/>
      <x:c r="N112" s="12"/>
      <x:c r="O112" s="12" t="n">
        <x:v>4</x:v>
      </x:c>
      <x:c r="P112" s="12" t="n">
        <x:v>99</x:v>
      </x:c>
      <x:c r="Q112" s="13" t="n">
        <x:f>IF(AND(ISNUMBER(O112),P112&gt;0),O112/P112,"")</x:f>
        <x:v>0.04040404040404041</x:v>
      </x:c>
      <x:c r="R112" s="12" t="n">
        <x:v>3</x:v>
      </x:c>
      <x:c r="S112" s="12" t="n">
        <x:v>35</x:v>
      </x:c>
      <x:c r="T112" s="12" t="n">
        <x:v>35</x:v>
      </x:c>
      <x:c r="U112" s="12" t="n">
        <x:v>25</x:v>
      </x:c>
      <x:c r="V112" s="4" t="str">
        <x:f>IF(D112&lt;&gt;"原始汇总核实","未核实；排除合计",IF(F112=0,"无GV不可算",IF(AND(F112&gt;=30000,G112&lt;0.03),"高流量低转化",IF(AND(F112&gt;=3000,F112&lt;30000,G112&gt;=0.08),"高转化待扩流","常规"))))</x:f>
        <x:v>常规</x:v>
      </x:c>
      <x:c r="W112" s="4" t="str">
        <x:v>HYCHIKA Tagliasiepi Elettrico con Filo 550W, Taglia Siepe Elettrico, Tagliasiepe Elettrico, Lunghezza Lama 450MM, Distanza Denti 18MM, Lame a Doppia Azione, per la Potatura di Siepi e Arbusti</x:v>
      </x:c>
    </x:row>
    <x:row r="113" ht="22" customHeight="1">
      <x:c r="A113" s="4" t="str">
        <x:v>B0CGR1Q6BJ</x:v>
      </x:c>
      <x:c r="B113" s="4" t="str">
        <x:v>SORAKO</x:v>
      </x:c>
      <x:c r="C113" s="4" t="str">
        <x:v>扳手/汽修</x:v>
      </x:c>
      <x:c r="D113" s="4" t="str">
        <x:v>原始汇总核实</x:v>
      </x:c>
      <x:c r="E113" s="12" t="n">
        <x:v>90</x:v>
      </x:c>
      <x:c r="F113" s="12" t="n">
        <x:v>1181</x:v>
      </x:c>
      <x:c r="G113" s="13" t="n">
        <x:f>IF(F113&gt;0,E113/F113,"")</x:f>
        <x:v>0.07620660457239628</x:v>
      </x:c>
      <x:c r="H113" s="14" t="n">
        <x:v>452.33</x:v>
      </x:c>
      <x:c r="I113" s="14" t="n">
        <x:f>IF(AND(ISNUMBER(H113),E113&gt;0),H113/E113,"")</x:f>
        <x:v>5.025888888888889</x:v>
      </x:c>
      <x:c r="J113" s="12"/>
      <x:c r="K113" s="13" t="str">
        <x:f>IF(AND(ISNUMBER(J113),F113&gt;0),J113/F113,"")</x:f>
      </x:c>
      <x:c r="L113" s="12"/>
      <x:c r="M113" s="12"/>
      <x:c r="N113" s="12"/>
      <x:c r="O113" s="12" t="n">
        <x:v>2</x:v>
      </x:c>
      <x:c r="P113" s="12" t="n">
        <x:v>90</x:v>
      </x:c>
      <x:c r="Q113" s="13" t="n">
        <x:f>IF(AND(ISNUMBER(O113),P113&gt;0),O113/P113,"")</x:f>
        <x:v>0.022222222222222223</x:v>
      </x:c>
      <x:c r="R113" s="12" t="n">
        <x:v>29</x:v>
      </x:c>
      <x:c r="S113" s="12" t="n">
        <x:v>14</x:v>
      </x:c>
      <x:c r="T113" s="12" t="n">
        <x:v>29</x:v>
      </x:c>
      <x:c r="U113" s="12" t="n">
        <x:v>18</x:v>
      </x:c>
      <x:c r="V113" s="4" t="str">
        <x:f>IF(D113&lt;&gt;"原始汇总核实","未核实；排除合计",IF(F113=0,"无GV不可算",IF(AND(F113&gt;=30000,G113&lt;0.03),"高流量低转化",IF(AND(F113&gt;=3000,F113&lt;30000,G113&gt;=0.08),"高转化待扩流","常规"))))</x:f>
        <x:v>常规</x:v>
      </x:c>
      <x:c r="W113" s="4" t="str">
        <x:v>SORAKO Ratschenschlüssel 15mm</x:v>
      </x:c>
    </x:row>
    <x:row r="114" ht="22" customHeight="1">
      <x:c r="A114" s="4" t="str">
        <x:v>B0BZPLBTM8</x:v>
      </x:c>
      <x:c r="B114" s="4" t="str">
        <x:v>SORAKO</x:v>
      </x:c>
      <x:c r="C114" s="4" t="str">
        <x:v>扳手/汽修</x:v>
      </x:c>
      <x:c r="D114" s="4" t="str">
        <x:v>原始汇总核实</x:v>
      </x:c>
      <x:c r="E114" s="12" t="n">
        <x:v>73</x:v>
      </x:c>
      <x:c r="F114" s="12" t="n">
        <x:v>2702</x:v>
      </x:c>
      <x:c r="G114" s="13" t="n">
        <x:f>IF(F114&gt;0,E114/F114,"")</x:f>
        <x:v>0.02701702442635085</x:v>
      </x:c>
      <x:c r="H114" s="14" t="n">
        <x:v>2079.51</x:v>
      </x:c>
      <x:c r="I114" s="14" t="n">
        <x:f>IF(AND(ISNUMBER(H114),E114&gt;0),H114/E114,"")</x:f>
        <x:v>28.486438356164385</x:v>
      </x:c>
      <x:c r="J114" s="12"/>
      <x:c r="K114" s="13" t="str">
        <x:f>IF(AND(ISNUMBER(J114),F114&gt;0),J114/F114,"")</x:f>
      </x:c>
      <x:c r="L114" s="12"/>
      <x:c r="M114" s="12"/>
      <x:c r="N114" s="12"/>
      <x:c r="O114" s="12" t="n">
        <x:v>1</x:v>
      </x:c>
      <x:c r="P114" s="12" t="n">
        <x:v>74</x:v>
      </x:c>
      <x:c r="Q114" s="13" t="n">
        <x:f>IF(AND(ISNUMBER(O114),P114&gt;0),O114/P114,"")</x:f>
        <x:v>0.013513513513513514</x:v>
      </x:c>
      <x:c r="R114" s="12" t="n">
        <x:v>48</x:v>
      </x:c>
      <x:c r="S114" s="12" t="n">
        <x:v>8</x:v>
      </x:c>
      <x:c r="T114" s="12" t="n">
        <x:v>17</x:v>
      </x:c>
      <x:c r="U114" s="12" t="n">
        <x:v>0</x:v>
      </x:c>
      <x:c r="V114" s="4" t="str">
        <x:f>IF(D114&lt;&gt;"原始汇总核实","未核实；排除合计",IF(F114=0,"无GV不可算",IF(AND(F114&gt;=30000,G114&lt;0.03),"高流量低转化",IF(AND(F114&gt;=3000,F114&lt;30000,G114&gt;=0.08),"高转化待扩流","常规"))))</x:f>
        <x:v>常规</x:v>
      </x:c>
      <x:c r="W114" s="4" t="str">
        <x:v>SORAKO Ratschenschlüssel Set, Ringschlüssel Set Schraubenschlüssel set 8-19 mm, 12Pcs Maulschlüssel Ringmaulschlüssel für Fahrradreparatur Autoreparatur</x:v>
      </x:c>
    </x:row>
    <x:row r="115" ht="22" customHeight="1">
      <x:c r="A115" s="4" t="str">
        <x:v>B0DL2T638V</x:v>
      </x:c>
      <x:c r="B115" s="4" t="str">
        <x:v>HYCHIKA</x:v>
      </x:c>
      <x:c r="C115" s="4" t="str">
        <x:v>电钻/冲击工具</x:v>
      </x:c>
      <x:c r="D115" s="4" t="str">
        <x:v>原始汇总核实</x:v>
      </x:c>
      <x:c r="E115" s="12" t="n">
        <x:v>63</x:v>
      </x:c>
      <x:c r="F115" s="12" t="n">
        <x:v>12603</x:v>
      </x:c>
      <x:c r="G115" s="13" t="n">
        <x:f>IF(F115&gt;0,E115/F115,"")</x:f>
        <x:v>0.0049988098071887645</x:v>
      </x:c>
      <x:c r="H115" s="14" t="n">
        <x:v>3982.24</x:v>
      </x:c>
      <x:c r="I115" s="14" t="n">
        <x:f>IF(AND(ISNUMBER(H115),E115&gt;0),H115/E115,"")</x:f>
        <x:v>63.210158730158724</x:v>
      </x:c>
      <x:c r="J115" s="12"/>
      <x:c r="K115" s="13" t="str">
        <x:f>IF(AND(ISNUMBER(J115),F115&gt;0),J115/F115,"")</x:f>
      </x:c>
      <x:c r="L115" s="12"/>
      <x:c r="M115" s="12"/>
      <x:c r="N115" s="12"/>
      <x:c r="O115" s="12" t="n">
        <x:v>11</x:v>
      </x:c>
      <x:c r="P115" s="12" t="n">
        <x:v>64</x:v>
      </x:c>
      <x:c r="Q115" s="13" t="n">
        <x:f>IF(AND(ISNUMBER(O115),P115&gt;0),O115/P115,"")</x:f>
        <x:v>0.171875</x:v>
      </x:c>
      <x:c r="R115" s="12" t="n">
        <x:v>16</x:v>
      </x:c>
      <x:c r="S115" s="12" t="n">
        <x:v>28</x:v>
      </x:c>
      <x:c r="T115" s="12" t="n">
        <x:v>10</x:v>
      </x:c>
      <x:c r="U115" s="12" t="n">
        <x:v>9</x:v>
      </x:c>
      <x:c r="V115" s="4" t="str">
        <x:f>IF(D115&lt;&gt;"原始汇总核实","未核实；排除合计",IF(F115=0,"无GV不可算",IF(AND(F115&gt;=30000,G115&lt;0.03),"高流量低转化",IF(AND(F115&gt;=3000,F115&lt;30000,G115&gt;=0.08),"高转化待扩流","常规"))))</x:f>
        <x:v>常规</x:v>
      </x:c>
      <x:c r="W115" s="4" t="str">
        <x:v>HYCHIKA Taladro Percutor a Batería 18 V, Taladro Inalámbrico con Batería de 2,0 AH, Taladro de Impacto máx 45 Nm, 2 velocidades, Par 21+3, con 55 Accesorios, con luz de trabajo LED</x:v>
      </x:c>
    </x:row>
    <x:row r="116" ht="22" customHeight="1">
      <x:c r="A116" s="4" t="str">
        <x:v>B0GDXLN9C3</x:v>
      </x:c>
      <x:c r="B116" s="4" t="str">
        <x:v>HYCHIKA</x:v>
      </x:c>
      <x:c r="C116" s="4" t="str">
        <x:v>电动螺丝刀</x:v>
      </x:c>
      <x:c r="D116" s="4" t="str">
        <x:v>原始汇总核实</x:v>
      </x:c>
      <x:c r="E116" s="12" t="n">
        <x:v>47</x:v>
      </x:c>
      <x:c r="F116" s="12" t="n">
        <x:v>4362</x:v>
      </x:c>
      <x:c r="G116" s="13" t="n">
        <x:f>IF(F116&gt;0,E116/F116,"")</x:f>
        <x:v>0.010774873911049978</x:v>
      </x:c>
      <x:c r="H116" s="14" t="n">
        <x:v>2069.82</x:v>
      </x:c>
      <x:c r="I116" s="14" t="n">
        <x:f>IF(AND(ISNUMBER(H116),E116&gt;0),H116/E116,"")</x:f>
        <x:v>44.03872340425532</x:v>
      </x:c>
      <x:c r="J116" s="12"/>
      <x:c r="K116" s="13" t="str">
        <x:f>IF(AND(ISNUMBER(J116),F116&gt;0),J116/F116,"")</x:f>
      </x:c>
      <x:c r="L116" s="12"/>
      <x:c r="M116" s="12"/>
      <x:c r="N116" s="12"/>
      <x:c r="O116" s="12" t="n">
        <x:v>2</x:v>
      </x:c>
      <x:c r="P116" s="12" t="n">
        <x:v>47</x:v>
      </x:c>
      <x:c r="Q116" s="13" t="n">
        <x:f>IF(AND(ISNUMBER(O116),P116&gt;0),O116/P116,"")</x:f>
        <x:v>0.0425531914893617</x:v>
      </x:c>
      <x:c r="R116" s="12"/>
      <x:c r="S116" s="12" t="n">
        <x:v>21</x:v>
      </x:c>
      <x:c r="T116" s="12" t="n">
        <x:v>9</x:v>
      </x:c>
      <x:c r="U116" s="12" t="n">
        <x:v>17</x:v>
      </x:c>
      <x:c r="V116" s="4" t="str">
        <x:f>IF(D116&lt;&gt;"原始汇总核实","未核实；排除合计",IF(F116=0,"无GV不可算",IF(AND(F116&gt;=30000,G116&lt;0.03),"高流量低转化",IF(AND(F116&gt;=3000,F116&lt;30000,G116&gt;=0.08),"高转化待扩流","常规"))))</x:f>
        <x:v>常规</x:v>
      </x:c>
      <x:c r="W116" s="4" t="str">
        <x:v>HYCHIKA Destornillador Electrico, 6 N m Atornillador Electrico con Pantalla LCD, 7 Configuraciones de Torque, Batería de 2200 mAh, Luz LED Adecuado Para Reparaciones de Muebles y Del Hogar</x:v>
      </x:c>
    </x:row>
    <x:row r="117" ht="22" customHeight="1">
      <x:c r="A117" s="4" t="str">
        <x:v>B0GXJMMG49</x:v>
      </x:c>
      <x:c r="B117" s="4" t="str">
        <x:v>HYCHIKA</x:v>
      </x:c>
      <x:c r="C117" s="4" t="str">
        <x:v>园艺/喷涂</x:v>
      </x:c>
      <x:c r="D117" s="4" t="str">
        <x:v>原始汇总核实</x:v>
      </x:c>
      <x:c r="E117" s="12" t="n">
        <x:v>44</x:v>
      </x:c>
      <x:c r="F117" s="12" t="n">
        <x:v>1863</x:v>
      </x:c>
      <x:c r="G117" s="13" t="n">
        <x:f>IF(F117&gt;0,E117/F117,"")</x:f>
        <x:v>0.023617820719269995</x:v>
      </x:c>
      <x:c r="H117" s="14" t="n">
        <x:v>2277.16</x:v>
      </x:c>
      <x:c r="I117" s="14" t="n">
        <x:f>IF(AND(ISNUMBER(H117),E117&gt;0),H117/E117,"")</x:f>
        <x:v>51.75363636363636</x:v>
      </x:c>
      <x:c r="J117" s="12"/>
      <x:c r="K117" s="13" t="str">
        <x:f>IF(AND(ISNUMBER(J117),F117&gt;0),J117/F117,"")</x:f>
      </x:c>
      <x:c r="L117" s="12"/>
      <x:c r="M117" s="12"/>
      <x:c r="N117" s="12"/>
      <x:c r="O117" s="12" t="n">
        <x:v>1</x:v>
      </x:c>
      <x:c r="P117" s="12" t="n">
        <x:v>43</x:v>
      </x:c>
      <x:c r="Q117" s="13" t="n">
        <x:f>IF(AND(ISNUMBER(O117),P117&gt;0),O117/P117,"")</x:f>
        <x:v>0.023255813953488372</x:v>
      </x:c>
      <x:c r="R117" s="12"/>
      <x:c r="S117" s="12"/>
      <x:c r="T117" s="12" t="n">
        <x:v>0</x:v>
      </x:c>
      <x:c r="U117" s="12" t="n">
        <x:v>44</x:v>
      </x:c>
      <x:c r="V117" s="4" t="str">
        <x:f>IF(D117&lt;&gt;"原始汇总核实","未核实；排除合计",IF(F117=0,"无GV不可算",IF(AND(F117&gt;=30000,G117&lt;0.03),"高流量低转化",IF(AND(F117&gt;=3000,F117&lt;30000,G117&gt;=0.08),"高转化待扩流","常规"))))</x:f>
        <x:v>常规</x:v>
      </x:c>
      <x:c r="W117" s="4" t="str">
        <x:v>HYCHIKA forbici potatura a batteria.Due batterie ricaricabili da 1,5 Ah.</x:v>
      </x:c>
    </x:row>
    <x:row r="118" ht="22" customHeight="1">
      <x:c r="A118" s="4" t="str">
        <x:v>B08H1YBG3P</x:v>
      </x:c>
      <x:c r="B118" s="4" t="str">
        <x:v>SORAKO</x:v>
      </x:c>
      <x:c r="C118" s="4" t="str">
        <x:v>锯切/开孔及配件</x:v>
      </x:c>
      <x:c r="D118" s="4" t="str">
        <x:v>原始汇总核实</x:v>
      </x:c>
      <x:c r="E118" s="12" t="n">
        <x:v>38</x:v>
      </x:c>
      <x:c r="F118" s="12" t="n">
        <x:v>1519</x:v>
      </x:c>
      <x:c r="G118" s="13" t="n">
        <x:f>IF(F118&gt;0,E118/F118,"")</x:f>
        <x:v>0.025016458196181698</x:v>
      </x:c>
      <x:c r="H118" s="14" t="n">
        <x:v>2233.17</x:v>
      </x:c>
      <x:c r="I118" s="14" t="n">
        <x:f>IF(AND(ISNUMBER(H118),E118&gt;0),H118/E118,"")</x:f>
        <x:v>58.76763157894737</x:v>
      </x:c>
      <x:c r="J118" s="12"/>
      <x:c r="K118" s="13" t="str">
        <x:f>IF(AND(ISNUMBER(J118),F118&gt;0),J118/F118,"")</x:f>
      </x:c>
      <x:c r="L118" s="12"/>
      <x:c r="M118" s="12"/>
      <x:c r="N118" s="12"/>
      <x:c r="O118" s="12" t="n">
        <x:v>7</x:v>
      </x:c>
      <x:c r="P118" s="12" t="n">
        <x:v>38</x:v>
      </x:c>
      <x:c r="Q118" s="13" t="n">
        <x:f>IF(AND(ISNUMBER(O118),P118&gt;0),O118/P118,"")</x:f>
        <x:v>0.18421052631578946</x:v>
      </x:c>
      <x:c r="R118" s="12" t="n">
        <x:v>13</x:v>
      </x:c>
      <x:c r="S118" s="12" t="n">
        <x:v>10</x:v>
      </x:c>
      <x:c r="T118" s="12" t="n">
        <x:v>13</x:v>
      </x:c>
      <x:c r="U118" s="12" t="n">
        <x:v>2</x:v>
      </x:c>
      <x:c r="V118" s="4" t="str">
        <x:f>IF(D118&lt;&gt;"原始汇总核实","未核实；排除合计",IF(F118=0,"无GV不可算",IF(AND(F118&gt;=30000,G118&lt;0.03),"高流量低转化",IF(AND(F118&gt;=3000,F118&lt;30000,G118&gt;=0.08),"高转化待扩流","常规"))))</x:f>
        <x:v>常规</x:v>
      </x:c>
      <x:c r="W118" s="4" t="str">
        <x:v>SORAKO sierra sable electrica, 18V, con batería de 4,0 Ah ，sierra recíproca de velocidad variable de 0-3000 SPM，cargador,2 cuchillas，ideal para cortar madera y metal, podar</x:v>
      </x:c>
    </x:row>
    <x:row r="119" ht="22" customHeight="1">
      <x:c r="A119" s="4" t="str">
        <x:v>B09959MJ2C</x:v>
      </x:c>
      <x:c r="B119" s="4" t="str">
        <x:v>HYCHIKA</x:v>
      </x:c>
      <x:c r="C119" s="4" t="str">
        <x:v>锯切/开孔及配件</x:v>
      </x:c>
      <x:c r="D119" s="4" t="str">
        <x:v>原始汇总核实</x:v>
      </x:c>
      <x:c r="E119" s="12" t="n">
        <x:v>38</x:v>
      </x:c>
      <x:c r="F119" s="12" t="n">
        <x:v>7121</x:v>
      </x:c>
      <x:c r="G119" s="13" t="n">
        <x:f>IF(F119&gt;0,E119/F119,"")</x:f>
        <x:v>0.0053363291672517904</x:v>
      </x:c>
      <x:c r="H119" s="14" t="n">
        <x:v>4647.79</x:v>
      </x:c>
      <x:c r="I119" s="14" t="n">
        <x:f>IF(AND(ISNUMBER(H119),E119&gt;0),H119/E119,"")</x:f>
        <x:v>122.31026315789474</x:v>
      </x:c>
      <x:c r="J119" s="12"/>
      <x:c r="K119" s="13" t="str">
        <x:f>IF(AND(ISNUMBER(J119),F119&gt;0),J119/F119,"")</x:f>
      </x:c>
      <x:c r="L119" s="12"/>
      <x:c r="M119" s="12"/>
      <x:c r="N119" s="12"/>
      <x:c r="O119" s="12" t="n">
        <x:v>12</x:v>
      </x:c>
      <x:c r="P119" s="12" t="n">
        <x:v>38</x:v>
      </x:c>
      <x:c r="Q119" s="13" t="n">
        <x:f>IF(AND(ISNUMBER(O119),P119&gt;0),O119/P119,"")</x:f>
        <x:v>0.3157894736842105</x:v>
      </x:c>
      <x:c r="R119" s="12" t="n">
        <x:v>17</x:v>
      </x:c>
      <x:c r="S119" s="12" t="n">
        <x:v>18</x:v>
      </x:c>
      <x:c r="T119" s="12" t="n">
        <x:v>2</x:v>
      </x:c>
      <x:c r="U119" s="12" t="n">
        <x:v>1</x:v>
      </x:c>
      <x:c r="V119" s="4" t="str">
        <x:f>IF(D119&lt;&gt;"原始汇总核实","未核实；排除合计",IF(F119=0,"无GV不可算",IF(AND(F119&gt;=30000,G119&lt;0.03),"高流量低转化",IF(AND(F119&gt;=3000,F119&lt;30000,G119&gt;=0.08),"高转化待扩流","常规"))))</x:f>
        <x:v>常规</x:v>
      </x:c>
      <x:c r="W119" s="4" t="str">
        <x:v>HYCHIKA Motosierra Bateria, 8'' Brushless Motosierra Eléctrica con 4.0Ah Batería, 2 Cadenas, Motosierra Bateria para Cortar Madera, Podar Ramas</x:v>
      </x:c>
    </x:row>
    <x:row r="120" ht="22" customHeight="1">
      <x:c r="A120" s="4" t="str">
        <x:v>B0BRCXXMMG</x:v>
      </x:c>
      <x:c r="B120" s="4" t="str">
        <x:v>HYCHIKA</x:v>
      </x:c>
      <x:c r="C120" s="4" t="str">
        <x:v>打磨/旋转工具</x:v>
      </x:c>
      <x:c r="D120" s="4" t="str">
        <x:v>原始汇总核实</x:v>
      </x:c>
      <x:c r="E120" s="12" t="n">
        <x:v>38</x:v>
      </x:c>
      <x:c r="F120" s="12" t="n">
        <x:v>775</x:v>
      </x:c>
      <x:c r="G120" s="13" t="n">
        <x:f>IF(F120&gt;0,E120/F120,"")</x:f>
        <x:v>0.04903225806451613</x:v>
      </x:c>
      <x:c r="H120" s="14" t="n">
        <x:v>450.82</x:v>
      </x:c>
      <x:c r="I120" s="14" t="n">
        <x:f>IF(AND(ISNUMBER(H120),E120&gt;0),H120/E120,"")</x:f>
        <x:v>11.863684210526316</x:v>
      </x:c>
      <x:c r="J120" s="12"/>
      <x:c r="K120" s="13" t="str">
        <x:f>IF(AND(ISNUMBER(J120),F120&gt;0),J120/F120,"")</x:f>
      </x:c>
      <x:c r="L120" s="12"/>
      <x:c r="M120" s="12"/>
      <x:c r="N120" s="12"/>
      <x:c r="O120" s="12" t="n">
        <x:v>0</x:v>
      </x:c>
      <x:c r="P120" s="12" t="n">
        <x:v>38</x:v>
      </x:c>
      <x:c r="Q120" s="13" t="n">
        <x:f>IF(AND(ISNUMBER(O120),P120&gt;0),O120/P120,"")</x:f>
        <x:v>0</x:v>
      </x:c>
      <x:c r="R120" s="12" t="n">
        <x:v>0</x:v>
      </x:c>
      <x:c r="S120" s="12" t="n">
        <x:v>18</x:v>
      </x:c>
      <x:c r="T120" s="12" t="n">
        <x:v>11</x:v>
      </x:c>
      <x:c r="U120" s="12" t="n">
        <x:v>9</x:v>
      </x:c>
      <x:c r="V120" s="4" t="str">
        <x:f>IF(D120&lt;&gt;"原始汇总核实","未核实；排除合计",IF(F120=0,"无GV不可算",IF(AND(F120&gt;=30000,G120&lt;0.03),"高流量低转化",IF(AND(F120&gt;=3000,F120&lt;30000,G120&gt;=0.08),"高转化待扩流","常规"))))</x:f>
        <x:v>常规</x:v>
      </x:c>
      <x:c r="W120" s="4" t="str">
        <x:v>HYCHIKA Fächerschleifer 125 mm Professional gerade Fächerschleifscheiben Set 10 St 125 x 22,23 mm in Profi Qualität, Fächerscheiben, Max 12200 RPM für Edelstahl, INOX, Stahl, Körnung P120</x:v>
      </x:c>
    </x:row>
    <x:row r="121" ht="22" customHeight="1">
      <x:c r="A121" s="4" t="str">
        <x:v>B08DJ4NWHS</x:v>
      </x:c>
      <x:c r="B121" s="4" t="str">
        <x:v>HYCHIKA</x:v>
      </x:c>
      <x:c r="C121" s="4" t="str">
        <x:v>打磨/旋转工具</x:v>
      </x:c>
      <x:c r="D121" s="4" t="str">
        <x:v>原始汇总核实</x:v>
      </x:c>
      <x:c r="E121" s="12" t="n">
        <x:v>36</x:v>
      </x:c>
      <x:c r="F121" s="12" t="n">
        <x:v>1806</x:v>
      </x:c>
      <x:c r="G121" s="13" t="n">
        <x:f>IF(F121&gt;0,E121/F121,"")</x:f>
        <x:v>0.019933554817275746</x:v>
      </x:c>
      <x:c r="H121" s="14" t="n">
        <x:v>2295.23</x:v>
      </x:c>
      <x:c r="I121" s="14" t="n">
        <x:f>IF(AND(ISNUMBER(H121),E121&gt;0),H121/E121,"")</x:f>
        <x:v>63.75638888888889</x:v>
      </x:c>
      <x:c r="J121" s="12"/>
      <x:c r="K121" s="13" t="str">
        <x:f>IF(AND(ISNUMBER(J121),F121&gt;0),J121/F121,"")</x:f>
      </x:c>
      <x:c r="L121" s="12"/>
      <x:c r="M121" s="12"/>
      <x:c r="N121" s="12"/>
      <x:c r="O121" s="12" t="n">
        <x:v>21</x:v>
      </x:c>
      <x:c r="P121" s="12" t="n">
        <x:v>37</x:v>
      </x:c>
      <x:c r="Q121" s="13" t="n">
        <x:f>IF(AND(ISNUMBER(O121),P121&gt;0),O121/P121,"")</x:f>
        <x:v>0.5675675675675675</x:v>
      </x:c>
      <x:c r="R121" s="12" t="n">
        <x:v>34</x:v>
      </x:c>
      <x:c r="S121" s="12" t="n">
        <x:v>0</x:v>
      </x:c>
      <x:c r="T121" s="12" t="n">
        <x:v>0</x:v>
      </x:c>
      <x:c r="U121" s="12" t="n">
        <x:v>2</x:v>
      </x:c>
      <x:c r="V121" s="4" t="str">
        <x:f>IF(D121&lt;&gt;"原始汇总核实","未核实；排除合计",IF(F121=0,"无GV不可算",IF(AND(F121&gt;=30000,G121&lt;0.03),"高流量低转化",IF(AND(F121&gt;=3000,F121&lt;30000,G121&gt;=0.08),"高转化待扩流","常规"))))</x:f>
        <x:v>常规</x:v>
      </x:c>
      <x:c r="W121" s="4" t="str">
        <x:v>HYCHIKA Winkelschleifer, 18V Akku-Winkelschleifer 8500 U/min mit 3 Schleifscheiben, 4,0-Ah-Akku, Hilfsgriff mit 3 Positionen zum Schleifen, Schneiden und Polieren</x:v>
      </x:c>
    </x:row>
    <x:row r="122" ht="22" customHeight="1">
      <x:c r="A122" s="4" t="str">
        <x:v>B0GGR91VFZ</x:v>
      </x:c>
      <x:c r="B122" s="4" t="str">
        <x:v>HYCHIKA</x:v>
      </x:c>
      <x:c r="C122" s="4" t="str">
        <x:v>其他/待核</x:v>
      </x:c>
      <x:c r="D122" s="4" t="str">
        <x:v>原始汇总核实</x:v>
      </x:c>
      <x:c r="E122" s="12" t="n">
        <x:v>34</x:v>
      </x:c>
      <x:c r="F122" s="12" t="n">
        <x:v>882</x:v>
      </x:c>
      <x:c r="G122" s="13" t="n">
        <x:f>IF(F122&gt;0,E122/F122,"")</x:f>
        <x:v>0.03854875283446712</x:v>
      </x:c>
      <x:c r="H122" s="14" t="n">
        <x:v>979.45</x:v>
      </x:c>
      <x:c r="I122" s="14" t="n">
        <x:f>IF(AND(ISNUMBER(H122),E122&gt;0),H122/E122,"")</x:f>
        <x:v>28.80735294117647</x:v>
      </x:c>
      <x:c r="J122" s="12"/>
      <x:c r="K122" s="13" t="str">
        <x:f>IF(AND(ISNUMBER(J122),F122&gt;0),J122/F122,"")</x:f>
      </x:c>
      <x:c r="L122" s="12"/>
      <x:c r="M122" s="12"/>
      <x:c r="N122" s="12"/>
      <x:c r="O122" s="12" t="n">
        <x:v>2</x:v>
      </x:c>
      <x:c r="P122" s="12" t="n">
        <x:v>34</x:v>
      </x:c>
      <x:c r="Q122" s="13" t="n">
        <x:f>IF(AND(ISNUMBER(O122),P122&gt;0),O122/P122,"")</x:f>
        <x:v>0.058823529411764705</x:v>
      </x:c>
      <x:c r="R122" s="12"/>
      <x:c r="S122" s="12"/>
      <x:c r="T122" s="12" t="n">
        <x:v>0</x:v>
      </x:c>
      <x:c r="U122" s="12" t="n">
        <x:v>34</x:v>
      </x:c>
      <x:c r="V122" s="4" t="str">
        <x:f>IF(D122&lt;&gt;"原始汇总核实","未核实；排除合计",IF(F122=0,"无GV不可算",IF(AND(F122&gt;=30000,G122&lt;0.03),"高流量低转化",IF(AND(F122&gt;=3000,F122&lt;30000,G122&gt;=0.08),"高转化待扩流","常规"))))</x:f>
        <x:v>常规</x:v>
      </x:c>
      <x:c r="W122" s="4" t="str">
        <x:v>HYCHIKA Tornillo de Banco 100mm(4 pulgadas), 360 ° Se Puede Girar, Tornillo de Banco de Trabajo de Hierro Fundido, Apto para el Trabajo con Madera, el Mecanizado de Metales, el Pulido y el Taladrado</x:v>
      </x:c>
    </x:row>
    <x:row r="123" ht="22" customHeight="1">
      <x:c r="A123" s="4" t="str">
        <x:v>B0DWFN2T1J</x:v>
      </x:c>
      <x:c r="B123" s="4" t="str">
        <x:v>HYCHIKA</x:v>
      </x:c>
      <x:c r="C123" s="4" t="str">
        <x:v>其他/待核</x:v>
      </x:c>
      <x:c r="D123" s="4" t="str">
        <x:v>原始汇总核实</x:v>
      </x:c>
      <x:c r="E123" s="12" t="n">
        <x:v>31</x:v>
      </x:c>
      <x:c r="F123" s="12" t="n">
        <x:v>419</x:v>
      </x:c>
      <x:c r="G123" s="13" t="n">
        <x:f>IF(F123&gt;0,E123/F123,"")</x:f>
        <x:v>0.07398568019093078</x:v>
      </x:c>
      <x:c r="H123" s="14" t="n">
        <x:v>612.83</x:v>
      </x:c>
      <x:c r="I123" s="14" t="n">
        <x:f>IF(AND(ISNUMBER(H123),E123&gt;0),H123/E123,"")</x:f>
        <x:v>19.768709677419356</x:v>
      </x:c>
      <x:c r="J123" s="12"/>
      <x:c r="K123" s="13" t="str">
        <x:f>IF(AND(ISNUMBER(J123),F123&gt;0),J123/F123,"")</x:f>
      </x:c>
      <x:c r="L123" s="12"/>
      <x:c r="M123" s="12"/>
      <x:c r="N123" s="12"/>
      <x:c r="O123" s="12" t="n">
        <x:v>2</x:v>
      </x:c>
      <x:c r="P123" s="12" t="n">
        <x:v>31</x:v>
      </x:c>
      <x:c r="Q123" s="13" t="n">
        <x:f>IF(AND(ISNUMBER(O123),P123&gt;0),O123/P123,"")</x:f>
        <x:v>0.06451612903225806</x:v>
      </x:c>
      <x:c r="R123" s="12" t="n">
        <x:v>0</x:v>
      </x:c>
      <x:c r="S123" s="12" t="n">
        <x:v>0</x:v>
      </x:c>
      <x:c r="T123" s="12" t="n">
        <x:v>7</x:v>
      </x:c>
      <x:c r="U123" s="12" t="n">
        <x:v>24</x:v>
      </x:c>
      <x:c r="V123" s="4" t="str">
        <x:f>IF(D123&lt;&gt;"原始汇总核实","未核实；排除合计",IF(F123=0,"无GV不可算",IF(AND(F123&gt;=30000,G123&lt;0.03),"高流量低转化",IF(AND(F123&gt;=3000,F123&lt;30000,G123&gt;=0.08),"高转化待扩流","常规"))))</x:f>
        <x:v>常规</x:v>
      </x:c>
      <x:c r="W123" s="4" t="str">
        <x:v>HYCHIKA Rohrschneider 3–50 mm / 0.1–2" mit Entgrater – Vielseitiger Rohrschneider für Alle Gängigen Metalle wie Kupfer, Aluminium Sowie für Verbundrohre</x:v>
      </x:c>
    </x:row>
    <x:row r="124" ht="22" customHeight="1">
      <x:c r="A124" s="4" t="str">
        <x:v>B09DS8VVT1</x:v>
      </x:c>
      <x:c r="B124" s="4" t="str">
        <x:v>SORAKO</x:v>
      </x:c>
      <x:c r="C124" s="4" t="str">
        <x:v>扳手/汽修</x:v>
      </x:c>
      <x:c r="D124" s="4" t="str">
        <x:v>原始汇总核实</x:v>
      </x:c>
      <x:c r="E124" s="12" t="n">
        <x:v>20</x:v>
      </x:c>
      <x:c r="F124" s="12" t="n">
        <x:v>1143</x:v>
      </x:c>
      <x:c r="G124" s="13" t="n">
        <x:f>IF(F124&gt;0,E124/F124,"")</x:f>
        <x:v>0.017497812773403325</x:v>
      </x:c>
      <x:c r="H124" s="14" t="n">
        <x:v>663.16</x:v>
      </x:c>
      <x:c r="I124" s="14" t="n">
        <x:f>IF(AND(ISNUMBER(H124),E124&gt;0),H124/E124,"")</x:f>
        <x:v>33.158</x:v>
      </x:c>
      <x:c r="J124" s="12"/>
      <x:c r="K124" s="13" t="str">
        <x:f>IF(AND(ISNUMBER(J124),F124&gt;0),J124/F124,"")</x:f>
      </x:c>
      <x:c r="L124" s="12"/>
      <x:c r="M124" s="12"/>
      <x:c r="N124" s="12"/>
      <x:c r="O124" s="12" t="n">
        <x:v>0</x:v>
      </x:c>
      <x:c r="P124" s="12" t="n">
        <x:v>20</x:v>
      </x:c>
      <x:c r="Q124" s="13" t="n">
        <x:f>IF(AND(ISNUMBER(O124),P124&gt;0),O124/P124,"")</x:f>
        <x:v>0</x:v>
      </x:c>
      <x:c r="R124" s="12" t="n">
        <x:v>17</x:v>
      </x:c>
      <x:c r="S124" s="12" t="n">
        <x:v>1</x:v>
      </x:c>
      <x:c r="T124" s="12" t="n">
        <x:v>1</x:v>
      </x:c>
      <x:c r="U124" s="12" t="n">
        <x:v>1</x:v>
      </x:c>
      <x:c r="V124" s="4" t="str">
        <x:f>IF(D124&lt;&gt;"原始汇总核实","未核实；排除合计",IF(F124=0,"无GV不可算",IF(AND(F124&gt;=30000,G124&lt;0.03),"高流量低转化",IF(AND(F124&gt;=3000,F124&lt;30000,G124&gt;=0.08),"高转化待扩流","常规"))))</x:f>
        <x:v>常规</x:v>
      </x:c>
      <x:c r="W124" s="4" t="str">
        <x:v>SORAKO Juego de llaves de vaso de impacto，juego de llaves de vaso profesionales de 1/2" de 16 piezas con extensiones de mango de llave en L para herramientas de reparación de máquinas grandes y más</x:v>
      </x:c>
    </x:row>
    <x:row r="125" ht="22" customHeight="1">
      <x:c r="A125" s="4" t="str">
        <x:v>B0CF8F5N5X</x:v>
      </x:c>
      <x:c r="B125" s="4" t="str">
        <x:v>HYCHIKA</x:v>
      </x:c>
      <x:c r="C125" s="4" t="str">
        <x:v>电钻/冲击工具</x:v>
      </x:c>
      <x:c r="D125" s="4" t="str">
        <x:v>原始汇总核实</x:v>
      </x:c>
      <x:c r="E125" s="12" t="n">
        <x:v>17</x:v>
      </x:c>
      <x:c r="F125" s="12" t="n">
        <x:v>2223</x:v>
      </x:c>
      <x:c r="G125" s="13" t="n">
        <x:f>IF(F125&gt;0,E125/F125,"")</x:f>
        <x:v>0.007647323436797121</x:v>
      </x:c>
      <x:c r="H125" s="14" t="n">
        <x:v>826.44</x:v>
      </x:c>
      <x:c r="I125" s="14" t="n">
        <x:f>IF(AND(ISNUMBER(H125),E125&gt;0),H125/E125,"")</x:f>
        <x:v>48.614117647058826</x:v>
      </x:c>
      <x:c r="J125" s="12"/>
      <x:c r="K125" s="13" t="str">
        <x:f>IF(AND(ISNUMBER(J125),F125&gt;0),J125/F125,"")</x:f>
      </x:c>
      <x:c r="L125" s="12"/>
      <x:c r="M125" s="12"/>
      <x:c r="N125" s="12"/>
      <x:c r="O125" s="12" t="n">
        <x:v>0</x:v>
      </x:c>
      <x:c r="P125" s="12" t="n">
        <x:v>16</x:v>
      </x:c>
      <x:c r="Q125" s="13" t="n">
        <x:f>IF(AND(ISNUMBER(O125),P125&gt;0),O125/P125,"")</x:f>
        <x:v>0</x:v>
      </x:c>
      <x:c r="R125" s="12" t="n">
        <x:v>0</x:v>
      </x:c>
      <x:c r="S125" s="12" t="n">
        <x:v>0</x:v>
      </x:c>
      <x:c r="T125" s="12" t="n">
        <x:v>7</x:v>
      </x:c>
      <x:c r="U125" s="12" t="n">
        <x:v>10</x:v>
      </x:c>
      <x:c r="V125" s="4" t="str">
        <x:f>IF(D125&lt;&gt;"原始汇总核实","未核实；排除合计",IF(F125=0,"无GV不可算",IF(AND(F125&gt;=30000,G125&lt;0.03),"高流量低转化",IF(AND(F125&gt;=3000,F125&lt;30000,G125&gt;=0.08),"高转化待扩流","常规"))))</x:f>
        <x:v>常规</x:v>
      </x:c>
      <x:c r="W125" s="4" t="str">
        <x:v>HYCHIKA Professional Akku-Drehschlagschrauber 18V (Nur Schlagschrauber)</x:v>
      </x:c>
    </x:row>
    <x:row r="126" ht="22" customHeight="1">
      <x:c r="A126" s="4" t="str">
        <x:v>B0BLXSRMWM</x:v>
      </x:c>
      <x:c r="B126" s="4" t="str">
        <x:v>SORAKO</x:v>
      </x:c>
      <x:c r="C126" s="4" t="str">
        <x:v>手动螺丝刀/工具套装</x:v>
      </x:c>
      <x:c r="D126" s="4" t="str">
        <x:v>原始汇总核实</x:v>
      </x:c>
      <x:c r="E126" s="12" t="n">
        <x:v>14</x:v>
      </x:c>
      <x:c r="F126" s="12" t="n">
        <x:v>836</x:v>
      </x:c>
      <x:c r="G126" s="13" t="n">
        <x:f>IF(F126&gt;0,E126/F126,"")</x:f>
        <x:v>0.01674641148325359</x:v>
      </x:c>
      <x:c r="H126" s="14" t="n">
        <x:v>335</x:v>
      </x:c>
      <x:c r="I126" s="14" t="n">
        <x:f>IF(AND(ISNUMBER(H126),E126&gt;0),H126/E126,"")</x:f>
        <x:v>23.928571428571427</x:v>
      </x:c>
      <x:c r="J126" s="12"/>
      <x:c r="K126" s="13" t="str">
        <x:f>IF(AND(ISNUMBER(J126),F126&gt;0),J126/F126,"")</x:f>
      </x:c>
      <x:c r="L126" s="12"/>
      <x:c r="M126" s="12"/>
      <x:c r="N126" s="12"/>
      <x:c r="O126" s="12" t="n">
        <x:v>0</x:v>
      </x:c>
      <x:c r="P126" s="12" t="n">
        <x:v>14</x:v>
      </x:c>
      <x:c r="Q126" s="13" t="n">
        <x:f>IF(AND(ISNUMBER(O126),P126&gt;0),O126/P126,"")</x:f>
        <x:v>0</x:v>
      </x:c>
      <x:c r="R126" s="12" t="n">
        <x:v>2</x:v>
      </x:c>
      <x:c r="S126" s="12" t="n">
        <x:v>0</x:v>
      </x:c>
      <x:c r="T126" s="12" t="n">
        <x:v>0</x:v>
      </x:c>
      <x:c r="U126" s="12" t="n">
        <x:v>12</x:v>
      </x:c>
      <x:c r="V126" s="4" t="str">
        <x:f>IF(D126&lt;&gt;"原始汇总核实","未核实；排除合计",IF(F126=0,"无GV不可算",IF(AND(F126&gt;=30000,G126&lt;0.03),"高流量低转化",IF(AND(F126&gt;=3000,F126&lt;30000,G126&gt;=0.08),"高转化待扩流","常规"))))</x:f>
        <x:v>常规</x:v>
      </x:c>
      <x:c r="W126" s="4" t="str">
        <x:v>Werkzeugset für Zuhause, Handwerkzeuge für Reparatur und Wartung Werkzeugkoffer Schrauber Bit Set für Autoreparatur, Garage, Haushalt, Büro, Arbeitsplatz Werkstatt, DIY-Werkzeuge im kompakten Koffer</x:v>
      </x:c>
    </x:row>
    <x:row r="127" ht="22" customHeight="1">
      <x:c r="A127" s="4" t="str">
        <x:v>B08P47W7LL</x:v>
      </x:c>
      <x:c r="B127" s="4" t="str">
        <x:v>HYCHIKA</x:v>
      </x:c>
      <x:c r="C127" s="4" t="str">
        <x:v>电钻/冲击工具</x:v>
      </x:c>
      <x:c r="D127" s="4" t="str">
        <x:v>原始汇总核实</x:v>
      </x:c>
      <x:c r="E127" s="12" t="n">
        <x:v>13</x:v>
      </x:c>
      <x:c r="F127" s="12" t="n">
        <x:v>1400</x:v>
      </x:c>
      <x:c r="G127" s="13" t="n">
        <x:f>IF(F127&gt;0,E127/F127,"")</x:f>
        <x:v>0.009285714285714286</x:v>
      </x:c>
      <x:c r="H127" s="14" t="n">
        <x:v>491.74</x:v>
      </x:c>
      <x:c r="I127" s="14" t="n">
        <x:f>IF(AND(ISNUMBER(H127),E127&gt;0),H127/E127,"")</x:f>
        <x:v>37.826153846153844</x:v>
      </x:c>
      <x:c r="J127" s="12"/>
      <x:c r="K127" s="13" t="str">
        <x:f>IF(AND(ISNUMBER(J127),F127&gt;0),J127/F127,"")</x:f>
      </x:c>
      <x:c r="L127" s="12"/>
      <x:c r="M127" s="12"/>
      <x:c r="N127" s="12"/>
      <x:c r="O127" s="12" t="n">
        <x:v>3</x:v>
      </x:c>
      <x:c r="P127" s="12" t="n">
        <x:v>13</x:v>
      </x:c>
      <x:c r="Q127" s="13" t="n">
        <x:f>IF(AND(ISNUMBER(O127),P127&gt;0),O127/P127,"")</x:f>
        <x:v>0.23076923076923078</x:v>
      </x:c>
      <x:c r="R127" s="12" t="n">
        <x:v>13</x:v>
      </x:c>
      <x:c r="S127" s="12" t="n">
        <x:v>0</x:v>
      </x:c>
      <x:c r="T127" s="12" t="n">
        <x:v>0</x:v>
      </x:c>
      <x:c r="U127" s="12" t="n">
        <x:v>0</x:v>
      </x:c>
      <x:c r="V127" s="4" t="str">
        <x:f>IF(D127&lt;&gt;"原始汇总核实","未核实；排除合计",IF(F127=0,"无GV不可算",IF(AND(F127&gt;=30000,G127&lt;0.03),"高流量低转化",IF(AND(F127&gt;=3000,F127&lt;30000,G127&gt;=0.08),"高转化待扩流","常规"))))</x:f>
        <x:v>常规</x:v>
      </x:c>
      <x:c r="W127" s="4" t="str">
        <x:v>HYCHIKA Trapano Avvitatore 16,8V con batteria da 1,5Ah, 45N-m e 23+1 impostazioni di coppia, mandrino senza chiave da 10mm, 2 velocità variabili, 53PCS accessori.</x:v>
      </x:c>
    </x:row>
    <x:row r="128" ht="22" customHeight="1">
      <x:c r="A128" s="4" t="str">
        <x:v>B0CQLSJ5JM</x:v>
      </x:c>
      <x:c r="B128" s="4" t="str">
        <x:v>HYCHIKA</x:v>
      </x:c>
      <x:c r="C128" s="4" t="str">
        <x:v>锯切/开孔及配件</x:v>
      </x:c>
      <x:c r="D128" s="4" t="str">
        <x:v>原始汇总核实</x:v>
      </x:c>
      <x:c r="E128" s="12" t="n">
        <x:v>12</x:v>
      </x:c>
      <x:c r="F128" s="12" t="n">
        <x:v>237</x:v>
      </x:c>
      <x:c r="G128" s="13" t="n">
        <x:f>IF(F128&gt;0,E128/F128,"")</x:f>
        <x:v>0.05063291139240506</x:v>
      </x:c>
      <x:c r="H128" s="14" t="n">
        <x:v>142.26</x:v>
      </x:c>
      <x:c r="I128" s="14" t="n">
        <x:f>IF(AND(ISNUMBER(H128),E128&gt;0),H128/E128,"")</x:f>
        <x:v>11.854999999999999</x:v>
      </x:c>
      <x:c r="J128" s="12"/>
      <x:c r="K128" s="13" t="str">
        <x:f>IF(AND(ISNUMBER(J128),F128&gt;0),J128/F128,"")</x:f>
      </x:c>
      <x:c r="L128" s="12"/>
      <x:c r="M128" s="12"/>
      <x:c r="N128" s="12"/>
      <x:c r="O128" s="12" t="n">
        <x:v>0</x:v>
      </x:c>
      <x:c r="P128" s="12" t="n">
        <x:v>12</x:v>
      </x:c>
      <x:c r="Q128" s="13" t="n">
        <x:f>IF(AND(ISNUMBER(O128),P128&gt;0),O128/P128,"")</x:f>
        <x:v>0</x:v>
      </x:c>
      <x:c r="R128" s="12" t="n">
        <x:v>0</x:v>
      </x:c>
      <x:c r="S128" s="12" t="n">
        <x:v>9</x:v>
      </x:c>
      <x:c r="T128" s="12" t="n">
        <x:v>2</x:v>
      </x:c>
      <x:c r="U128" s="12" t="n">
        <x:v>1</x:v>
      </x:c>
      <x:c r="V128" s="4" t="str">
        <x:f>IF(D128&lt;&gt;"原始汇总核实","未核实；排除合计",IF(F128=0,"无GV不可算",IF(AND(F128&gt;=30000,G128&lt;0.03),"高流量低转化",IF(AND(F128&gt;=3000,F128&lt;30000,G128&gt;=0.08),"高转化待扩流","常规"))))</x:f>
        <x:v>常规</x:v>
      </x:c>
      <x:c r="W128" s="4" t="str">
        <x:v>HYCHIKA Seghe a Tazza Bi-Metallica 68mm 40mm, Fresa A Tazza per Legno, Iron Alluminio, Cartongesso, Tubi, Plastica, Pannelli di Fibra</x:v>
      </x:c>
    </x:row>
    <x:row r="129" ht="22" customHeight="1">
      <x:c r="A129" s="4" t="str">
        <x:v>B0CST2M7XS</x:v>
      </x:c>
      <x:c r="B129" s="4" t="str">
        <x:v>HYCHIKA</x:v>
      </x:c>
      <x:c r="C129" s="4" t="str">
        <x:v>锯切/开孔及配件</x:v>
      </x:c>
      <x:c r="D129" s="4" t="str">
        <x:v>原始汇总核实</x:v>
      </x:c>
      <x:c r="E129" s="12" t="n">
        <x:v>12</x:v>
      </x:c>
      <x:c r="F129" s="12" t="n">
        <x:v>112</x:v>
      </x:c>
      <x:c r="G129" s="13" t="n">
        <x:f>IF(F129&gt;0,E129/F129,"")</x:f>
        <x:v>0.10714285714285714</x:v>
      </x:c>
      <x:c r="H129" s="14" t="n">
        <x:v>151.44</x:v>
      </x:c>
      <x:c r="I129" s="14" t="n">
        <x:f>IF(AND(ISNUMBER(H129),E129&gt;0),H129/E129,"")</x:f>
        <x:v>12.62</x:v>
      </x:c>
      <x:c r="J129" s="12"/>
      <x:c r="K129" s="13" t="str">
        <x:f>IF(AND(ISNUMBER(J129),F129&gt;0),J129/F129,"")</x:f>
      </x:c>
      <x:c r="L129" s="12"/>
      <x:c r="M129" s="12"/>
      <x:c r="N129" s="12"/>
      <x:c r="O129" s="12" t="n">
        <x:v>1</x:v>
      </x:c>
      <x:c r="P129" s="12" t="n">
        <x:v>12</x:v>
      </x:c>
      <x:c r="Q129" s="13" t="n">
        <x:f>IF(AND(ISNUMBER(O129),P129&gt;0),O129/P129,"")</x:f>
        <x:v>0.08333333333333333</x:v>
      </x:c>
      <x:c r="R129" s="12" t="n">
        <x:v>12</x:v>
      </x:c>
      <x:c r="S129" s="12" t="n">
        <x:v>0</x:v>
      </x:c>
      <x:c r="T129" s="12"/>
      <x:c r="U129" s="12"/>
      <x:c r="V129" s="4" t="str">
        <x:f>IF(D129&lt;&gt;"原始汇总核实","未核实；排除合计",IF(F129=0,"无GV不可算",IF(AND(F129&gt;=30000,G129&lt;0.03),"高流量低转化",IF(AND(F129&gt;=3000,F129&lt;30000,G129&gt;=0.08),"高转化待扩流","常规"))))</x:f>
        <x:v>常规</x:v>
      </x:c>
      <x:c r="W129" s="4" t="str">
        <x:v>HYCHIKA Seghe a Tazza Bi-Metallica 140mm, Fresa A Tazza per Legno, Iron Alluminio, Cartongesso, Tubi, Plastica, Pannelli di Fibra</x:v>
      </x:c>
    </x:row>
    <x:row r="130" ht="22" customHeight="1">
      <x:c r="A130" s="4" t="str">
        <x:v>B099ZT7QC3</x:v>
      </x:c>
      <x:c r="B130" s="4" t="str">
        <x:v>HYCHIKA</x:v>
      </x:c>
      <x:c r="C130" s="4" t="str">
        <x:v>锯切/开孔及配件</x:v>
      </x:c>
      <x:c r="D130" s="4" t="str">
        <x:v>原始汇总核实</x:v>
      </x:c>
      <x:c r="E130" s="12" t="n">
        <x:v>10</x:v>
      </x:c>
      <x:c r="F130" s="12" t="n">
        <x:v>115</x:v>
      </x:c>
      <x:c r="G130" s="13" t="n">
        <x:f>IF(F130&gt;0,E130/F130,"")</x:f>
        <x:v>0.08695652173913043</x:v>
      </x:c>
      <x:c r="H130" s="14" t="n">
        <x:v>143.34</x:v>
      </x:c>
      <x:c r="I130" s="14" t="n">
        <x:f>IF(AND(ISNUMBER(H130),E130&gt;0),H130/E130,"")</x:f>
        <x:v>14.334</x:v>
      </x:c>
      <x:c r="J130" s="12"/>
      <x:c r="K130" s="13" t="str">
        <x:f>IF(AND(ISNUMBER(J130),F130&gt;0),J130/F130,"")</x:f>
      </x:c>
      <x:c r="L130" s="12"/>
      <x:c r="M130" s="12"/>
      <x:c r="N130" s="12"/>
      <x:c r="O130" s="12" t="n">
        <x:v>0</x:v>
      </x:c>
      <x:c r="P130" s="12" t="n">
        <x:v>10</x:v>
      </x:c>
      <x:c r="Q130" s="13" t="n">
        <x:f>IF(AND(ISNUMBER(O130),P130&gt;0),O130/P130,"")</x:f>
        <x:v>0</x:v>
      </x:c>
      <x:c r="R130" s="12" t="n">
        <x:v>0</x:v>
      </x:c>
      <x:c r="S130" s="12" t="n">
        <x:v>0</x:v>
      </x:c>
      <x:c r="T130" s="12" t="n">
        <x:v>4</x:v>
      </x:c>
      <x:c r="U130" s="12" t="n">
        <x:v>6</x:v>
      </x:c>
      <x:c r="V130" s="4" t="str">
        <x:f>IF(D130&lt;&gt;"原始汇总核实","未核实；排除合计",IF(F130=0,"无GV不可算",IF(AND(F130&gt;=30000,G130&lt;0.03),"高流量低转化",IF(AND(F130&gt;=3000,F130&lt;30000,G130&gt;=0.08),"高转化待扩流","常规"))))</x:f>
        <x:v>常规</x:v>
      </x:c>
      <x:c r="W130" s="4" t="str">
        <x:v>Lame per Sega a Gattuccio 16 PCS, HYCHIKA Lama Per Sega a Sciabola Per il Taglio di Metallo, Legno, Plastica, Con Scatola di Immagazzinaggio</x:v>
      </x:c>
    </x:row>
    <x:row r="131" ht="22" customHeight="1">
      <x:c r="A131" s="4" t="str">
        <x:v>B0C94J1HLQ</x:v>
      </x:c>
      <x:c r="B131" s="4" t="str">
        <x:v>HYCHIKA</x:v>
      </x:c>
      <x:c r="C131" s="4" t="str">
        <x:v>吸尘清洁</x:v>
      </x:c>
      <x:c r="D131" s="4" t="str">
        <x:v>原始汇总核实</x:v>
      </x:c>
      <x:c r="E131" s="12" t="n">
        <x:v>8</x:v>
      </x:c>
      <x:c r="F131" s="12" t="n">
        <x:v>1220</x:v>
      </x:c>
      <x:c r="G131" s="13" t="n">
        <x:f>IF(F131&gt;0,E131/F131,"")</x:f>
        <x:v>0.006557377049180328</x:v>
      </x:c>
      <x:c r="H131" s="14" t="n">
        <x:v>307.43</x:v>
      </x:c>
      <x:c r="I131" s="14" t="n">
        <x:f>IF(AND(ISNUMBER(H131),E131&gt;0),H131/E131,"")</x:f>
        <x:v>38.42875</x:v>
      </x:c>
      <x:c r="J131" s="12"/>
      <x:c r="K131" s="13" t="str">
        <x:f>IF(AND(ISNUMBER(J131),F131&gt;0),J131/F131,"")</x:f>
      </x:c>
      <x:c r="L131" s="12"/>
      <x:c r="M131" s="12"/>
      <x:c r="N131" s="12"/>
      <x:c r="O131" s="12" t="n">
        <x:v>1</x:v>
      </x:c>
      <x:c r="P131" s="12" t="n">
        <x:v>9</x:v>
      </x:c>
      <x:c r="Q131" s="13" t="n">
        <x:f>IF(AND(ISNUMBER(O131),P131&gt;0),O131/P131,"")</x:f>
        <x:v>0.1111111111111111</x:v>
      </x:c>
      <x:c r="R131" s="12" t="n">
        <x:v>4</x:v>
      </x:c>
      <x:c r="S131" s="12" t="n">
        <x:v>1</x:v>
      </x:c>
      <x:c r="T131" s="12" t="n">
        <x:v>3</x:v>
      </x:c>
      <x:c r="U131" s="12" t="n">
        <x:v>0</x:v>
      </x:c>
      <x:c r="V131" s="4" t="str">
        <x:f>IF(D131&lt;&gt;"原始汇总核实","未核实；排除合计",IF(F131=0,"无GV不可算",IF(AND(F131&gt;=30000,G131&lt;0.03),"高流量低转化",IF(AND(F131&gt;=3000,F131&lt;30000,G131&gt;=0.08),"高转化待扩流","常规"))))</x:f>
        <x:v>常规</x:v>
      </x:c>
      <x:c r="W131" s="4" t="str">
        <x:v>HYCHIKA Aspiratore Solidi Liquidi, 3 in 1 Aspirapolvere Industriale 1000W, Aspiratori per Umido e Secco con filtro lavabile, Capacità Vano Raccolta 12L per Uso Domestico e Industriale</x:v>
      </x:c>
    </x:row>
    <x:row r="132" ht="22" customHeight="1">
      <x:c r="A132" s="4" t="str">
        <x:v>B0CCN9QZL7</x:v>
      </x:c>
      <x:c r="B132" s="4" t="str">
        <x:v>HYCHIKA</x:v>
      </x:c>
      <x:c r="C132" s="4" t="str">
        <x:v>吸尘清洁</x:v>
      </x:c>
      <x:c r="D132" s="4" t="str">
        <x:v>原始汇总核实</x:v>
      </x:c>
      <x:c r="E132" s="12" t="n">
        <x:v>6</x:v>
      </x:c>
      <x:c r="F132" s="12" t="n">
        <x:v>886</x:v>
      </x:c>
      <x:c r="G132" s="13" t="n">
        <x:f>IF(F132&gt;0,E132/F132,"")</x:f>
        <x:v>0.006772009029345372</x:v>
      </x:c>
      <x:c r="H132" s="14" t="n">
        <x:v>206.16</x:v>
      </x:c>
      <x:c r="I132" s="14" t="n">
        <x:f>IF(AND(ISNUMBER(H132),E132&gt;0),H132/E132,"")</x:f>
        <x:v>34.36</x:v>
      </x:c>
      <x:c r="J132" s="12"/>
      <x:c r="K132" s="13" t="str">
        <x:f>IF(AND(ISNUMBER(J132),F132&gt;0),J132/F132,"")</x:f>
      </x:c>
      <x:c r="L132" s="12"/>
      <x:c r="M132" s="12"/>
      <x:c r="N132" s="12"/>
      <x:c r="O132" s="12" t="n">
        <x:v>4</x:v>
      </x:c>
      <x:c r="P132" s="12" t="n">
        <x:v>6</x:v>
      </x:c>
      <x:c r="Q132" s="13" t="n">
        <x:f>IF(AND(ISNUMBER(O132),P132&gt;0),O132/P132,"")</x:f>
        <x:v>0.6666666666666666</x:v>
      </x:c>
      <x:c r="R132" s="12" t="n">
        <x:v>6</x:v>
      </x:c>
      <x:c r="S132" s="12" t="n">
        <x:v>0</x:v>
      </x:c>
      <x:c r="T132" s="12" t="n">
        <x:v>0</x:v>
      </x:c>
      <x:c r="U132" s="12" t="n">
        <x:v>0</x:v>
      </x:c>
      <x:c r="V132" s="4" t="str">
        <x:f>IF(D132&lt;&gt;"原始汇总核实","未核实；排除合计",IF(F132=0,"无GV不可算",IF(AND(F132&gt;=30000,G132&lt;0.03),"高流量低转化",IF(AND(F132&gt;=3000,F132&lt;30000,G132&gt;=0.08),"高转化待扩流","常规"))))</x:f>
        <x:v>常规</x:v>
      </x:c>
      <x:c r="W132" s="4" t="str">
        <x:v>HYCHIKA Nass Trockensauger, 1200W Industriestaubsauger 20L Edelstahlbehälter, Nass- &amp; Trockensauger Blasen, mit HEPA-Filter und Zubehör ideal für Industrie und Haushalt</x:v>
      </x:c>
    </x:row>
    <x:row r="133" ht="22" customHeight="1">
      <x:c r="A133" s="4" t="str">
        <x:v>B0DCNXR6CJ</x:v>
      </x:c>
      <x:c r="B133" s="4" t="str">
        <x:v>HYCHIKA</x:v>
      </x:c>
      <x:c r="C133" s="4" t="str">
        <x:v>园艺/喷涂</x:v>
      </x:c>
      <x:c r="D133" s="4" t="str">
        <x:v>原始汇总核实</x:v>
      </x:c>
      <x:c r="E133" s="12" t="n">
        <x:v>6</x:v>
      </x:c>
      <x:c r="F133" s="12" t="n">
        <x:v>1186</x:v>
      </x:c>
      <x:c r="G133" s="13" t="n">
        <x:f>IF(F133&gt;0,E133/F133,"")</x:f>
        <x:v>0.00505902192242833</x:v>
      </x:c>
      <x:c r="H133" s="14" t="n">
        <x:v>415.24</x:v>
      </x:c>
      <x:c r="I133" s="14" t="n">
        <x:f>IF(AND(ISNUMBER(H133),E133&gt;0),H133/E133,"")</x:f>
        <x:v>69.20666666666666</x:v>
      </x:c>
      <x:c r="J133" s="12"/>
      <x:c r="K133" s="13" t="str">
        <x:f>IF(AND(ISNUMBER(J133),F133&gt;0),J133/F133,"")</x:f>
      </x:c>
      <x:c r="L133" s="12"/>
      <x:c r="M133" s="12"/>
      <x:c r="N133" s="12"/>
      <x:c r="O133" s="12" t="n">
        <x:v>0</x:v>
      </x:c>
      <x:c r="P133" s="12" t="n">
        <x:v>6</x:v>
      </x:c>
      <x:c r="Q133" s="13" t="n">
        <x:f>IF(AND(ISNUMBER(O133),P133&gt;0),O133/P133,"")</x:f>
        <x:v>0</x:v>
      </x:c>
      <x:c r="R133" s="12" t="n">
        <x:v>0</x:v>
      </x:c>
      <x:c r="S133" s="12" t="n">
        <x:v>0</x:v>
      </x:c>
      <x:c r="T133" s="12" t="n">
        <x:v>0</x:v>
      </x:c>
      <x:c r="U133" s="12" t="n">
        <x:v>6</x:v>
      </x:c>
      <x:c r="V133" s="4" t="str">
        <x:f>IF(D133&lt;&gt;"原始汇总核实","未核实；排除合计",IF(F133=0,"无GV不可算",IF(AND(F133&gt;=30000,G133&lt;0.03),"高流量低转化",IF(AND(F133&gt;=3000,F133&lt;30000,G133&gt;=0.08),"高转化待扩流","常规"))))</x:f>
        <x:v>常规</x:v>
      </x:c>
      <x:c r="W133" s="4" t="str">
        <x:v>HYCHIKA Tagliasiepi Telescopico 750W, Potatore Telescopico Elettrico, Elettrosega Telescopica, Manico Telescopico da 162 CM a 220 CM, Velocità Catena 11 m/s, per Potatura Alberi Piante Siepi</x:v>
      </x:c>
    </x:row>
    <x:row r="134" ht="22" customHeight="1">
      <x:c r="A134" s="4" t="str">
        <x:v>B08DJ4B3KX</x:v>
      </x:c>
      <x:c r="B134" s="4" t="str">
        <x:v>HYCHIKA</x:v>
      </x:c>
      <x:c r="C134" s="4" t="str">
        <x:v>锯切/开孔及配件</x:v>
      </x:c>
      <x:c r="D134" s="4" t="str">
        <x:v>原始汇总核实</x:v>
      </x:c>
      <x:c r="E134" s="12" t="n">
        <x:v>5</x:v>
      </x:c>
      <x:c r="F134" s="12" t="n">
        <x:v>798</x:v>
      </x:c>
      <x:c r="G134" s="13" t="n">
        <x:f>IF(F134&gt;0,E134/F134,"")</x:f>
        <x:v>0.006265664160401002</x:v>
      </x:c>
      <x:c r="H134" s="14" t="n">
        <x:v>327.71</x:v>
      </x:c>
      <x:c r="I134" s="14" t="n">
        <x:f>IF(AND(ISNUMBER(H134),E134&gt;0),H134/E134,"")</x:f>
        <x:v>65.542</x:v>
      </x:c>
      <x:c r="J134" s="12"/>
      <x:c r="K134" s="13" t="str">
        <x:f>IF(AND(ISNUMBER(J134),F134&gt;0),J134/F134,"")</x:f>
      </x:c>
      <x:c r="L134" s="12"/>
      <x:c r="M134" s="12"/>
      <x:c r="N134" s="12"/>
      <x:c r="O134" s="12" t="n">
        <x:v>3</x:v>
      </x:c>
      <x:c r="P134" s="12" t="n">
        <x:v>5</x:v>
      </x:c>
      <x:c r="Q134" s="13" t="n">
        <x:f>IF(AND(ISNUMBER(O134),P134&gt;0),O134/P134,"")</x:f>
        <x:v>0.6</x:v>
      </x:c>
      <x:c r="R134" s="12" t="n">
        <x:v>5</x:v>
      </x:c>
      <x:c r="S134" s="12" t="n">
        <x:v>0</x:v>
      </x:c>
      <x:c r="T134" s="12" t="n">
        <x:v>0</x:v>
      </x:c>
      <x:c r="U134" s="12" t="n">
        <x:v>0</x:v>
      </x:c>
      <x:c r="V134" s="4" t="str">
        <x:f>IF(D134&lt;&gt;"原始汇总核实","未核实；排除合计",IF(F134=0,"无GV不可算",IF(AND(F134&gt;=30000,G134&lt;0.03),"高流量低转化",IF(AND(F134&gt;=3000,F134&lt;30000,G134&gt;=0.08),"高转化待扩流","常规"))))</x:f>
        <x:v>常规</x:v>
      </x:c>
      <x:c r="W134" s="4" t="str">
        <x:v>HYCHIKA Sega circolare a batteria, 18V con 2 lame da 165 mm, profondità di taglio massima 53 mm (90°)/36 mm (45°)</x:v>
      </x:c>
    </x:row>
    <x:row r="135" ht="22" customHeight="1">
      <x:c r="A135" s="4" t="str">
        <x:v>B09CPT3PG3</x:v>
      </x:c>
      <x:c r="B135" s="4" t="str">
        <x:v>HYCHIKA</x:v>
      </x:c>
      <x:c r="C135" s="4" t="str">
        <x:v>锯切/开孔及配件</x:v>
      </x:c>
      <x:c r="D135" s="4" t="str">
        <x:v>原始汇总核实</x:v>
      </x:c>
      <x:c r="E135" s="12" t="n">
        <x:v>4</x:v>
      </x:c>
      <x:c r="F135" s="12" t="n">
        <x:v>339</x:v>
      </x:c>
      <x:c r="G135" s="13" t="n">
        <x:f>IF(F135&gt;0,E135/F135,"")</x:f>
        <x:v>0.011799410029498525</x:v>
      </x:c>
      <x:c r="H135" s="14" t="n">
        <x:v>32.83</x:v>
      </x:c>
      <x:c r="I135" s="14" t="n">
        <x:f>IF(AND(ISNUMBER(H135),E135&gt;0),H135/E135,"")</x:f>
        <x:v>8.2075</x:v>
      </x:c>
      <x:c r="J135" s="12"/>
      <x:c r="K135" s="13" t="str">
        <x:f>IF(AND(ISNUMBER(J135),F135&gt;0),J135/F135,"")</x:f>
      </x:c>
      <x:c r="L135" s="12"/>
      <x:c r="M135" s="12"/>
      <x:c r="N135" s="12"/>
      <x:c r="O135" s="12" t="n">
        <x:v>0</x:v>
      </x:c>
      <x:c r="P135" s="12" t="n">
        <x:v>4</x:v>
      </x:c>
      <x:c r="Q135" s="13" t="n">
        <x:f>IF(AND(ISNUMBER(O135),P135&gt;0),O135/P135,"")</x:f>
        <x:v>0</x:v>
      </x:c>
      <x:c r="R135" s="12" t="n">
        <x:v>0</x:v>
      </x:c>
      <x:c r="S135" s="12" t="n">
        <x:v>0</x:v>
      </x:c>
      <x:c r="T135" s="12" t="n">
        <x:v>4</x:v>
      </x:c>
      <x:c r="U135" s="12" t="n">
        <x:v>0</x:v>
      </x:c>
      <x:c r="V135" s="4" t="str">
        <x:f>IF(D135&lt;&gt;"原始汇总核实","未核实；排除合计",IF(F135=0,"无GV不可算",IF(AND(F135&gt;=30000,G135&lt;0.03),"高流量低转化",IF(AND(F135&gt;=3000,F135&lt;30000,G135&gt;=0.08),"高转化待扩流","常规"))))</x:f>
        <x:v>常规</x:v>
      </x:c>
      <x:c r="W135" s="4" t="str">
        <x:v>HYCHIKA Set di Seghe a Tazza,7 Corone e 5 Corone,Multilama per Legno, Cartongesso, Truciolato Foro</x:v>
      </x:c>
    </x:row>
    <x:row r="136" ht="22" customHeight="1">
      <x:c r="A136" s="4" t="str">
        <x:v>B0CPSFPNBN</x:v>
      </x:c>
      <x:c r="B136" s="4" t="str">
        <x:v>HYCHIKA</x:v>
      </x:c>
      <x:c r="C136" s="4" t="str">
        <x:v>锯切/开孔及配件</x:v>
      </x:c>
      <x:c r="D136" s="4" t="str">
        <x:v>原始汇总核实</x:v>
      </x:c>
      <x:c r="E136" s="12" t="n">
        <x:v>4</x:v>
      </x:c>
      <x:c r="F136" s="12" t="n">
        <x:v>48</x:v>
      </x:c>
      <x:c r="G136" s="13" t="n">
        <x:f>IF(F136&gt;0,E136/F136,"")</x:f>
        <x:v>0.08333333333333333</x:v>
      </x:c>
      <x:c r="H136" s="14" t="n">
        <x:v>38.98</x:v>
      </x:c>
      <x:c r="I136" s="14" t="n">
        <x:f>IF(AND(ISNUMBER(H136),E136&gt;0),H136/E136,"")</x:f>
        <x:v>9.745</x:v>
      </x:c>
      <x:c r="J136" s="12"/>
      <x:c r="K136" s="13" t="str">
        <x:f>IF(AND(ISNUMBER(J136),F136&gt;0),J136/F136,"")</x:f>
      </x:c>
      <x:c r="L136" s="12"/>
      <x:c r="M136" s="12"/>
      <x:c r="N136" s="12"/>
      <x:c r="O136" s="12" t="n">
        <x:v>0</x:v>
      </x:c>
      <x:c r="P136" s="12" t="n">
        <x:v>4</x:v>
      </x:c>
      <x:c r="Q136" s="13" t="n">
        <x:f>IF(AND(ISNUMBER(O136),P136&gt;0),O136/P136,"")</x:f>
        <x:v>0</x:v>
      </x:c>
      <x:c r="R136" s="12" t="n">
        <x:v>0</x:v>
      </x:c>
      <x:c r="S136" s="12" t="n">
        <x:v>0</x:v>
      </x:c>
      <x:c r="T136" s="12" t="n">
        <x:v>2</x:v>
      </x:c>
      <x:c r="U136" s="12" t="n">
        <x:v>2</x:v>
      </x:c>
      <x:c r="V136" s="4" t="str">
        <x:f>IF(D136&lt;&gt;"原始汇总核实","未核实；排除合计",IF(F136=0,"无GV不可算",IF(AND(F136&gt;=30000,G136&lt;0.03),"高流量低转化",IF(AND(F136&gt;=3000,F136&lt;30000,G136&gt;=0.08),"高转化待扩流","常规"))))</x:f>
        <x:v>常规</x:v>
      </x:c>
      <x:c r="W136" s="4" t="str">
        <x:v>Hychika Hojas de Sierra de Sable para Madera 240 mm, 6 Piezas CRV, para Corte de Madera y Plástico</x:v>
      </x:c>
    </x:row>
    <x:row r="137" ht="22" customHeight="1">
      <x:c r="A137" s="4" t="str">
        <x:v>B088BDFTXR</x:v>
      </x:c>
      <x:c r="B137" s="4" t="str">
        <x:v>HYCHIKA</x:v>
      </x:c>
      <x:c r="C137" s="4" t="str">
        <x:v>电钻/冲击工具</x:v>
      </x:c>
      <x:c r="D137" s="4" t="str">
        <x:v>原始汇总核实</x:v>
      </x:c>
      <x:c r="E137" s="12" t="n">
        <x:v>3</x:v>
      </x:c>
      <x:c r="F137" s="12" t="n">
        <x:v>851</x:v>
      </x:c>
      <x:c r="G137" s="13" t="n">
        <x:f>IF(F137&gt;0,E137/F137,"")</x:f>
        <x:v>0.0035252643948296123</x:v>
      </x:c>
      <x:c r="H137" s="14" t="n">
        <x:v>186.27</x:v>
      </x:c>
      <x:c r="I137" s="14" t="n">
        <x:f>IF(AND(ISNUMBER(H137),E137&gt;0),H137/E137,"")</x:f>
        <x:v>62.09</x:v>
      </x:c>
      <x:c r="J137" s="12"/>
      <x:c r="K137" s="13" t="str">
        <x:f>IF(AND(ISNUMBER(J137),F137&gt;0),J137/F137,"")</x:f>
      </x:c>
      <x:c r="L137" s="12"/>
      <x:c r="M137" s="12"/>
      <x:c r="N137" s="12"/>
      <x:c r="O137" s="12" t="n">
        <x:v>7</x:v>
      </x:c>
      <x:c r="P137" s="12" t="n">
        <x:v>3</x:v>
      </x:c>
      <x:c r="Q137" s="13" t="n">
        <x:f>IF(AND(ISNUMBER(O137),P137&gt;0),O137/P137,"")</x:f>
        <x:v>2.3333333333333335</x:v>
      </x:c>
      <x:c r="R137" s="12" t="n">
        <x:v>0</x:v>
      </x:c>
      <x:c r="S137" s="12" t="n">
        <x:v>3</x:v>
      </x:c>
      <x:c r="T137" s="12" t="n">
        <x:v>0</x:v>
      </x:c>
      <x:c r="U137" s="12" t="n">
        <x:v>0</x:v>
      </x:c>
      <x:c r="V137" s="4" t="str">
        <x:f>IF(D137&lt;&gt;"原始汇总核实","未核实；排除合计",IF(F137=0,"无GV不可算",IF(AND(F137&gt;=30000,G137&lt;0.03),"高流量低转化",IF(AND(F137&gt;=3000,F137&lt;30000,G137&gt;=0.08),"高转化待扩流","常规"))))</x:f>
        <x:v>常规</x:v>
      </x:c>
      <x:c r="W137" s="4" t="str">
        <x:v>HYCHIKA Llave de Impacto, 4,0 Ah 18V Pistola de Impacto Baterías, 3 Vasos de Impacto 17, 19, 21 mm, Mandril de 13 mm, Cargador, 1 Adaptador, para Automoción Doméstica</x:v>
      </x:c>
    </x:row>
    <x:row r="138" ht="22" customHeight="1">
      <x:c r="A138" s="4" t="str">
        <x:v>B093GY7279</x:v>
      </x:c>
      <x:c r="B138" s="4" t="str">
        <x:v>HYCHIKA</x:v>
      </x:c>
      <x:c r="C138" s="4" t="str">
        <x:v>打磨/旋转工具</x:v>
      </x:c>
      <x:c r="D138" s="4" t="str">
        <x:v>原始汇总核实</x:v>
      </x:c>
      <x:c r="E138" s="12" t="n">
        <x:v>2</x:v>
      </x:c>
      <x:c r="F138" s="12" t="n">
        <x:v>207</x:v>
      </x:c>
      <x:c r="G138" s="13" t="n">
        <x:f>IF(F138&gt;0,E138/F138,"")</x:f>
        <x:v>0.00966183574879227</x:v>
      </x:c>
      <x:c r="H138" s="14" t="n">
        <x:v>80.53</x:v>
      </x:c>
      <x:c r="I138" s="14" t="n">
        <x:f>IF(AND(ISNUMBER(H138),E138&gt;0),H138/E138,"")</x:f>
        <x:v>40.265</x:v>
      </x:c>
      <x:c r="J138" s="12"/>
      <x:c r="K138" s="13" t="str">
        <x:f>IF(AND(ISNUMBER(J138),F138&gt;0),J138/F138,"")</x:f>
      </x:c>
      <x:c r="L138" s="12"/>
      <x:c r="M138" s="12"/>
      <x:c r="N138" s="12"/>
      <x:c r="O138" s="12" t="n">
        <x:v>5</x:v>
      </x:c>
      <x:c r="P138" s="12" t="n">
        <x:v>2</x:v>
      </x:c>
      <x:c r="Q138" s="13" t="n">
        <x:f>IF(AND(ISNUMBER(O138),P138&gt;0),O138/P138,"")</x:f>
        <x:v>2.5</x:v>
      </x:c>
      <x:c r="R138" s="12" t="n">
        <x:v>0</x:v>
      </x:c>
      <x:c r="S138" s="12" t="n">
        <x:v>1</x:v>
      </x:c>
      <x:c r="T138" s="12" t="n">
        <x:v>1</x:v>
      </x:c>
      <x:c r="U138" s="12" t="n">
        <x:v>0</x:v>
      </x:c>
      <x:c r="V138" s="4" t="str">
        <x:f>IF(D138&lt;&gt;"原始汇总核实","未核实；排除合计",IF(F138=0,"无GV不可算",IF(AND(F138&gt;=30000,G138&lt;0.03),"高流量低转化",IF(AND(F138&gt;=3000,F138&lt;30000,G138&gt;=0.08),"高转化待扩流","常规"))))</x:f>
        <x:v>常规</x:v>
      </x:c>
      <x:c r="W138" s="4" t="str">
        <x:v>HYCHIKA Winkelschleifer 1200W, 3000-10000RPM mit 6 Geschwindigkeiten, Perfekt zum Schleifen Polieren, 2pcs 125mm Schleifscheiben, 1 Seitengriff, 1 Schutzhauben, 1 Schraubenschlüssel</x:v>
      </x:c>
    </x:row>
    <x:row r="139" ht="22" customHeight="1">
      <x:c r="A139" s="4" t="str">
        <x:v>B091Q27CLV</x:v>
      </x:c>
      <x:c r="B139" s="4" t="str">
        <x:v>HYCHIKA</x:v>
      </x:c>
      <x:c r="C139" s="4" t="str">
        <x:v>锯切/开孔及配件</x:v>
      </x:c>
      <x:c r="D139" s="4" t="str">
        <x:v>原始汇总核实</x:v>
      </x:c>
      <x:c r="E139" s="12" t="n">
        <x:v>1</x:v>
      </x:c>
      <x:c r="F139" s="12" t="n">
        <x:v>91</x:v>
      </x:c>
      <x:c r="G139" s="13" t="n">
        <x:f>IF(F139&gt;0,E139/F139,"")</x:f>
        <x:v>0.01098901098901099</x:v>
      </x:c>
      <x:c r="H139" s="14" t="n">
        <x:v>16.39</x:v>
      </x:c>
      <x:c r="I139" s="14" t="n">
        <x:f>IF(AND(ISNUMBER(H139),E139&gt;0),H139/E139,"")</x:f>
        <x:v>16.39</x:v>
      </x:c>
      <x:c r="J139" s="12"/>
      <x:c r="K139" s="13" t="str">
        <x:f>IF(AND(ISNUMBER(J139),F139&gt;0),J139/F139,"")</x:f>
      </x:c>
      <x:c r="L139" s="12"/>
      <x:c r="M139" s="12"/>
      <x:c r="N139" s="12"/>
      <x:c r="O139" s="12" t="n">
        <x:v>0</x:v>
      </x:c>
      <x:c r="P139" s="12" t="n">
        <x:v>0</x:v>
      </x:c>
      <x:c r="Q139" s="13" t="str">
        <x:f>IF(AND(ISNUMBER(O139),P139&gt;0),O139/P139,"")</x:f>
      </x:c>
      <x:c r="R139" s="12" t="n">
        <x:v>0</x:v>
      </x:c>
      <x:c r="S139" s="12"/>
      <x:c r="T139" s="12" t="n">
        <x:v>1</x:v>
      </x:c>
      <x:c r="U139" s="12"/>
      <x:c r="V139" s="4" t="str">
        <x:f>IF(D139&lt;&gt;"原始汇总核实","未核实；排除合计",IF(F139=0,"无GV不可算",IF(AND(F139&gt;=30000,G139&lt;0.03),"高流量低转化",IF(AND(F139&gt;=3000,F139&lt;30000,G139&gt;=0.08),"高转化待扩流","常规"))))</x:f>
        <x:v>常规</x:v>
      </x:c>
      <x:c r="W139" s="4" t="str">
        <x:v>HYCHIKA Schleifpapier 125mm Klett, 100 Stück Mit Körnung 40/60/80/100/120/150/180/240/320/400, 8 Loch Schleifscheiben 125mm Klett für Exzenterschleifer</x:v>
      </x:c>
    </x:row>
    <x:row r="140" ht="22" customHeight="1">
      <x:c r="A140" s="4" t="str">
        <x:v>B0928QT1YC</x:v>
      </x:c>
      <x:c r="B140" s="4" t="str">
        <x:v>SORAKO</x:v>
      </x:c>
      <x:c r="C140" s="4" t="str">
        <x:v>手动螺丝刀/工具套装</x:v>
      </x:c>
      <x:c r="D140" s="4" t="str">
        <x:v>原始汇总核实</x:v>
      </x:c>
      <x:c r="E140" s="12" t="n">
        <x:v>1</x:v>
      </x:c>
      <x:c r="F140" s="12" t="n">
        <x:v>25</x:v>
      </x:c>
      <x:c r="G140" s="13" t="n">
        <x:f>IF(F140&gt;0,E140/F140,"")</x:f>
        <x:v>0.04</x:v>
      </x:c>
      <x:c r="H140" s="14" t="n">
        <x:v>25.2</x:v>
      </x:c>
      <x:c r="I140" s="14" t="n">
        <x:f>IF(AND(ISNUMBER(H140),E140&gt;0),H140/E140,"")</x:f>
        <x:v>25.2</x:v>
      </x:c>
      <x:c r="J140" s="12"/>
      <x:c r="K140" s="13" t="str">
        <x:f>IF(AND(ISNUMBER(J140),F140&gt;0),J140/F140,"")</x:f>
      </x:c>
      <x:c r="L140" s="12"/>
      <x:c r="M140" s="12"/>
      <x:c r="N140" s="12"/>
      <x:c r="O140" s="12" t="n">
        <x:v>0</x:v>
      </x:c>
      <x:c r="P140" s="12" t="n">
        <x:v>1</x:v>
      </x:c>
      <x:c r="Q140" s="13" t="n">
        <x:f>IF(AND(ISNUMBER(O140),P140&gt;0),O140/P140,"")</x:f>
        <x:v>0</x:v>
      </x:c>
      <x:c r="R140" s="12" t="n">
        <x:v>0</x:v>
      </x:c>
      <x:c r="S140" s="12" t="n">
        <x:v>0</x:v>
      </x:c>
      <x:c r="T140" s="12" t="n">
        <x:v>0</x:v>
      </x:c>
      <x:c r="U140" s="12" t="n">
        <x:v>1</x:v>
      </x:c>
      <x:c r="V140" s="4" t="str">
        <x:f>IF(D140&lt;&gt;"原始汇总核实","未核实；排除合计",IF(F140=0,"无GV不可算",IF(AND(F140&gt;=30000,G140&lt;0.03),"高流量低转化",IF(AND(F140&gt;=3000,F140&lt;30000,G140&gt;=0.08),"高转化待扩流","常规"))))</x:f>
        <x:v>常规</x:v>
      </x:c>
      <x:c r="W140" s="4" t="str">
        <x:v>SORAKO Set Cacciaviti, 51 Pezzi set Cacciaviti Professionali, con 30 punte, La forma della testa copre una, croce, prugna, esagonale, quadrata</x:v>
      </x:c>
    </x:row>
    <x:row r="141" ht="22" customHeight="1">
      <x:c r="A141" s="4" t="str">
        <x:v>B0928RBDSH</x:v>
      </x:c>
      <x:c r="B141" s="4" t="str">
        <x:v>SORAKO</x:v>
      </x:c>
      <x:c r="C141" s="4" t="str">
        <x:v>手动螺丝刀/工具套装</x:v>
      </x:c>
      <x:c r="D141" s="4" t="str">
        <x:v>原始汇总核实</x:v>
      </x:c>
      <x:c r="E141" s="12" t="n">
        <x:v>1</x:v>
      </x:c>
      <x:c r="F141" s="12" t="n">
        <x:v>9</x:v>
      </x:c>
      <x:c r="G141" s="13" t="n">
        <x:f>IF(F141&gt;0,E141/F141,"")</x:f>
        <x:v>0.1111111111111111</x:v>
      </x:c>
      <x:c r="H141" s="14" t="n">
        <x:v>29.4</x:v>
      </x:c>
      <x:c r="I141" s="14" t="n">
        <x:f>IF(AND(ISNUMBER(H141),E141&gt;0),H141/E141,"")</x:f>
        <x:v>29.4</x:v>
      </x:c>
      <x:c r="J141" s="12"/>
      <x:c r="K141" s="13" t="str">
        <x:f>IF(AND(ISNUMBER(J141),F141&gt;0),J141/F141,"")</x:f>
      </x:c>
      <x:c r="L141" s="12"/>
      <x:c r="M141" s="12"/>
      <x:c r="N141" s="12"/>
      <x:c r="O141" s="12" t="n">
        <x:v>1</x:v>
      </x:c>
      <x:c r="P141" s="12" t="n">
        <x:v>1</x:v>
      </x:c>
      <x:c r="Q141" s="13" t="n">
        <x:f>IF(AND(ISNUMBER(O141),P141&gt;0),O141/P141,"")</x:f>
        <x:v>1</x:v>
      </x:c>
      <x:c r="R141" s="12" t="n">
        <x:v>1</x:v>
      </x:c>
      <x:c r="S141" s="12" t="n">
        <x:v>0</x:v>
      </x:c>
      <x:c r="T141" s="12" t="n">
        <x:v>0</x:v>
      </x:c>
      <x:c r="U141" s="12" t="n">
        <x:v>0</x:v>
      </x:c>
      <x:c r="V141" s="4" t="str">
        <x:f>IF(D141&lt;&gt;"原始汇总核实","未核实；排除合计",IF(F141=0,"无GV不可算",IF(AND(F141&gt;=30000,G141&lt;0.03),"高流量低转化",IF(AND(F141&gt;=3000,F141&lt;30000,G141&gt;=0.08),"高转化待扩流","常规"))))</x:f>
        <x:v>常规</x:v>
      </x:c>
      <x:c r="W141" s="4" t="str">
        <x:v>SORAKO Werkzeugkoffer 97 teilig Werkzeugset Werkzeugkasten inkl.Schraubenschlüssel Steckschlüsseleinsätze Bitsatz Ratsche und den Schraubendreher mit Starker Tragetasche</x:v>
      </x:c>
    </x:row>
    <x:row r="142" ht="22" customHeight="1">
      <x:c r="A142" s="4" t="str">
        <x:v>B0C5MY4N4Y</x:v>
      </x:c>
      <x:c r="B142" s="4" t="str">
        <x:v>HYCHIKA</x:v>
      </x:c>
      <x:c r="C142" s="4" t="str">
        <x:v>电动螺丝刀</x:v>
      </x:c>
      <x:c r="D142" s="4" t="str">
        <x:v>原始汇总核实</x:v>
      </x:c>
      <x:c r="E142" s="12" t="n">
        <x:v>1</x:v>
      </x:c>
      <x:c r="F142" s="12" t="n">
        <x:v>140</x:v>
      </x:c>
      <x:c r="G142" s="13" t="n">
        <x:f>IF(F142&gt;0,E142/F142,"")</x:f>
        <x:v>0.007142857142857143</x:v>
      </x:c>
      <x:c r="H142" s="14" t="n">
        <x:v>17.84</x:v>
      </x:c>
      <x:c r="I142" s="14" t="n">
        <x:f>IF(AND(ISNUMBER(H142),E142&gt;0),H142/E142,"")</x:f>
        <x:v>17.84</x:v>
      </x:c>
      <x:c r="J142" s="12"/>
      <x:c r="K142" s="13" t="str">
        <x:f>IF(AND(ISNUMBER(J142),F142&gt;0),J142/F142,"")</x:f>
      </x:c>
      <x:c r="L142" s="12"/>
      <x:c r="M142" s="12"/>
      <x:c r="N142" s="12"/>
      <x:c r="O142" s="12" t="n">
        <x:v>1</x:v>
      </x:c>
      <x:c r="P142" s="12" t="n">
        <x:v>1</x:v>
      </x:c>
      <x:c r="Q142" s="13" t="n">
        <x:f>IF(AND(ISNUMBER(O142),P142&gt;0),O142/P142,"")</x:f>
        <x:v>1</x:v>
      </x:c>
      <x:c r="R142" s="12" t="n">
        <x:v>1</x:v>
      </x:c>
      <x:c r="S142" s="12" t="n">
        <x:v>0</x:v>
      </x:c>
      <x:c r="T142" s="12" t="n">
        <x:v>0</x:v>
      </x:c>
      <x:c r="U142" s="12" t="n">
        <x:v>0</x:v>
      </x:c>
      <x:c r="V142" s="4" t="str">
        <x:f>IF(D142&lt;&gt;"原始汇总核实","未核实；排除合计",IF(F142=0,"无GV不可算",IF(AND(F142&gt;=30000,G142&lt;0.03),"高流量低转化",IF(AND(F142&gt;=3000,F142&lt;30000,G142&gt;=0.08),"高转化待扩流","常规"))))</x:f>
        <x:v>常规</x:v>
      </x:c>
      <x:c r="W142" s="4" t="str">
        <x:v>HYCHIKA BETTER TOOLS FOR BETTER LIFE Destornillador eléctrico</x:v>
      </x:c>
    </x:row>
    <x:row r="143" ht="22" customHeight="1">
      <x:c r="A143" s="4" t="str">
        <x:v>B0FFLQSH4G</x:v>
      </x:c>
      <x:c r="B143" s="4" t="str">
        <x:v>HYCHIKA</x:v>
      </x:c>
      <x:c r="C143" s="4" t="str">
        <x:v>扳手/汽修</x:v>
      </x:c>
      <x:c r="D143" s="4" t="str">
        <x:v>原始汇总核实</x:v>
      </x:c>
      <x:c r="E143" s="12" t="n">
        <x:v>1</x:v>
      </x:c>
      <x:c r="F143" s="12" t="n">
        <x:v>34</x:v>
      </x:c>
      <x:c r="G143" s="13" t="n">
        <x:f>IF(F143&gt;0,E143/F143,"")</x:f>
        <x:v>0.029411764705882353</x:v>
      </x:c>
      <x:c r="H143" s="14" t="n">
        <x:v>51.91</x:v>
      </x:c>
      <x:c r="I143" s="14" t="n">
        <x:f>IF(AND(ISNUMBER(H143),E143&gt;0),H143/E143,"")</x:f>
        <x:v>51.91</x:v>
      </x:c>
      <x:c r="J143" s="12"/>
      <x:c r="K143" s="13" t="str">
        <x:f>IF(AND(ISNUMBER(J143),F143&gt;0),J143/F143,"")</x:f>
      </x:c>
      <x:c r="L143" s="12"/>
      <x:c r="M143" s="12"/>
      <x:c r="N143" s="12"/>
      <x:c r="O143" s="12" t="n">
        <x:v>0</x:v>
      </x:c>
      <x:c r="P143" s="12" t="n">
        <x:v>1</x:v>
      </x:c>
      <x:c r="Q143" s="13" t="n">
        <x:f>IF(AND(ISNUMBER(O143),P143&gt;0),O143/P143,"")</x:f>
        <x:v>0</x:v>
      </x:c>
      <x:c r="R143" s="12" t="n">
        <x:v>0</x:v>
      </x:c>
      <x:c r="S143" s="12" t="n">
        <x:v>0</x:v>
      </x:c>
      <x:c r="T143" s="12" t="n">
        <x:v>0</x:v>
      </x:c>
      <x:c r="U143" s="12" t="n">
        <x:v>1</x:v>
      </x:c>
      <x:c r="V143" s="4" t="str">
        <x:f>IF(D143&lt;&gt;"原始汇总核实","未核实；排除合计",IF(F143=0,"无GV不可算",IF(AND(F143&gt;=30000,G143&lt;0.03),"高流量低转化",IF(AND(F143&gt;=3000,F143&lt;30000,G143&gt;=0.08),"高转化待扩流","常规"))))</x:f>
        <x:v>常规</x:v>
      </x:c>
      <x:c r="W143" s="4" t="str">
        <x:v>HYCHIKA Hydraulischer Wagenheber Idraulico 2.0T, Cric con Pompa a Pistone ad Alta Velocità Idraulica, Cric Idraulico, Area di Sollevamento 135-320 MM, per Limousine, SUV, Cambio Pneumatici di Ricambio</x:v>
      </x:c>
    </x:row>
    <x:row r="144" ht="22" customHeight="1">
      <x:c r="A144" s="4" t="str">
        <x:v>B0GJZGZ76C</x:v>
      </x:c>
      <x:c r="B144" s="4" t="str">
        <x:v>HYCHIKA</x:v>
      </x:c>
      <x:c r="C144" s="4" t="str">
        <x:v>其他/待核</x:v>
      </x:c>
      <x:c r="D144" s="4" t="str">
        <x:v>原始汇总核实</x:v>
      </x:c>
      <x:c r="E144" s="12" t="n">
        <x:v>1</x:v>
      </x:c>
      <x:c r="F144" s="12" t="n">
        <x:v>19</x:v>
      </x:c>
      <x:c r="G144" s="13" t="n">
        <x:f>IF(F144&gt;0,E144/F144,"")</x:f>
        <x:v>0.05263157894736842</x:v>
      </x:c>
      <x:c r="H144" s="14" t="n">
        <x:v>27.72</x:v>
      </x:c>
      <x:c r="I144" s="14" t="n">
        <x:f>IF(AND(ISNUMBER(H144),E144&gt;0),H144/E144,"")</x:f>
        <x:v>27.72</x:v>
      </x:c>
      <x:c r="J144" s="12"/>
      <x:c r="K144" s="13" t="str">
        <x:f>IF(AND(ISNUMBER(J144),F144&gt;0),J144/F144,"")</x:f>
      </x:c>
      <x:c r="L144" s="12"/>
      <x:c r="M144" s="12"/>
      <x:c r="N144" s="12"/>
      <x:c r="O144" s="12" t="n">
        <x:v>0</x:v>
      </x:c>
      <x:c r="P144" s="12" t="n">
        <x:v>0</x:v>
      </x:c>
      <x:c r="Q144" s="13" t="str">
        <x:f>IF(AND(ISNUMBER(O144),P144&gt;0),O144/P144,"")</x:f>
      </x:c>
      <x:c r="R144" s="12"/>
      <x:c r="S144" s="12" t="n">
        <x:v>0</x:v>
      </x:c>
      <x:c r="T144" s="12" t="n">
        <x:v>0</x:v>
      </x:c>
      <x:c r="U144" s="12" t="n">
        <x:v>1</x:v>
      </x:c>
      <x:c r="V144" s="4" t="str">
        <x:f>IF(D144&lt;&gt;"原始汇总核实","未核实；排除合计",IF(F144=0,"无GV不可算",IF(AND(F144&gt;=30000,G144&lt;0.03),"高流量低转化",IF(AND(F144&gt;=3000,F144&lt;30000,G144&gt;=0.08),"高转化待扩流","常规"))))</x:f>
        <x:v>常规</x:v>
      </x:c>
      <x:c r="W144" s="4" t="str">
        <x:v>HYCHIKA Tijeras Podar 74CM, Tijeras de Podar de Mano, Podadora Manual, Diámetro de Corte: Ø50 mm max., Tijera de Ahorro de Trabajo con Cuchillas Afiladas, para Ramas Frescas y Marchitas</x:v>
      </x:c>
    </x:row>
    <x:row r="145" ht="22" customHeight="1">
      <x:c r="A145" s="4" t="str">
        <x:v>B07S6S6C1B</x:v>
      </x:c>
      <x:c r="B145" s="4" t="str">
        <x:v>HYCHIKA</x:v>
      </x:c>
      <x:c r="C145" s="4" t="str">
        <x:v>锯切/开孔及配件</x:v>
      </x:c>
      <x:c r="D145" s="4" t="str">
        <x:v>原始汇总核实</x:v>
      </x:c>
      <x:c r="E145" s="12" t="n">
        <x:v>0</x:v>
      </x:c>
      <x:c r="F145" s="12" t="n">
        <x:v>194</x:v>
      </x:c>
      <x:c r="G145" s="13" t="n">
        <x:f>IF(F145&gt;0,E145/F145,"")</x:f>
        <x:v>0</x:v>
      </x:c>
      <x:c r="H145" s="14" t="n">
        <x:v>0</x:v>
      </x:c>
      <x:c r="I145" s="14" t="str">
        <x:f>IF(AND(ISNUMBER(H145),E145&gt;0),H145/E145,"")</x:f>
      </x:c>
      <x:c r="J145" s="12"/>
      <x:c r="K145" s="13" t="str">
        <x:f>IF(AND(ISNUMBER(J145),F145&gt;0),J145/F145,"")</x:f>
      </x:c>
      <x:c r="L145" s="12"/>
      <x:c r="M145" s="12"/>
      <x:c r="N145" s="12"/>
      <x:c r="O145" s="12" t="n">
        <x:v>0</x:v>
      </x:c>
      <x:c r="P145" s="12" t="n">
        <x:v>0</x:v>
      </x:c>
      <x:c r="Q145" s="13" t="str">
        <x:f>IF(AND(ISNUMBER(O145),P145&gt;0),O145/P145,"")</x:f>
      </x:c>
      <x:c r="R145" s="12" t="n">
        <x:v>0</x:v>
      </x:c>
      <x:c r="S145" s="12" t="n">
        <x:v>0</x:v>
      </x:c>
      <x:c r="T145" s="12" t="n">
        <x:v>0</x:v>
      </x:c>
      <x:c r="U145" s="12" t="n">
        <x:v>0</x:v>
      </x:c>
      <x:c r="V145" s="4" t="str">
        <x:f>IF(D145&lt;&gt;"原始汇总核实","未核实；排除合计",IF(F145=0,"无GV不可算",IF(AND(F145&gt;=30000,G145&lt;0.03),"高流量低转化",IF(AND(F145&gt;=3000,F145&lt;30000,G145&gt;=0.08),"高转化待扩流","常规"))))</x:f>
        <x:v>常规</x:v>
      </x:c>
      <x:c r="W145" s="4" t="str">
        <x:v>Kreissäge, HYCHIKA Handkreissäge 1500W 4700RPM, Max. Schnitttiefe: 90°: 65mm/45°: 45mm mit 2 Sägeblättern 190mm(24T/40T), Kupfermotor, Sicherheitsschalter für Holz DIY</x:v>
      </x:c>
    </x:row>
    <x:row r="146" ht="22" customHeight="1">
      <x:c r="A146" s="4" t="str">
        <x:v>B088W9NM18</x:v>
      </x:c>
      <x:c r="B146" s="4" t="str">
        <x:v>HYCHIKA</x:v>
      </x:c>
      <x:c r="C146" s="4" t="str">
        <x:v>工作照明</x:v>
      </x:c>
      <x:c r="D146" s="4" t="str">
        <x:v>原始汇总核实</x:v>
      </x:c>
      <x:c r="E146" s="12" t="n">
        <x:v>0</x:v>
      </x:c>
      <x:c r="F146" s="12" t="n">
        <x:v>93</x:v>
      </x:c>
      <x:c r="G146" s="13" t="n">
        <x:f>IF(F146&gt;0,E146/F146,"")</x:f>
        <x:v>0</x:v>
      </x:c>
      <x:c r="H146" s="14" t="n">
        <x:v>0</x:v>
      </x:c>
      <x:c r="I146" s="14" t="str">
        <x:f>IF(AND(ISNUMBER(H146),E146&gt;0),H146/E146,"")</x:f>
      </x:c>
      <x:c r="J146" s="12"/>
      <x:c r="K146" s="13" t="str">
        <x:f>IF(AND(ISNUMBER(J146),F146&gt;0),J146/F146,"")</x:f>
      </x:c>
      <x:c r="L146" s="12"/>
      <x:c r="M146" s="12"/>
      <x:c r="N146" s="12"/>
      <x:c r="O146" s="12" t="n">
        <x:v>5</x:v>
      </x:c>
      <x:c r="P146" s="12" t="n">
        <x:v>0</x:v>
      </x:c>
      <x:c r="Q146" s="13" t="str">
        <x:f>IF(AND(ISNUMBER(O146),P146&gt;0),O146/P146,"")</x:f>
      </x:c>
      <x:c r="R146" s="12" t="n">
        <x:v>0</x:v>
      </x:c>
      <x:c r="S146" s="12" t="n">
        <x:v>0</x:v>
      </x:c>
      <x:c r="T146" s="12" t="n">
        <x:v>0</x:v>
      </x:c>
      <x:c r="U146" s="12" t="n">
        <x:v>0</x:v>
      </x:c>
      <x:c r="V146" s="4" t="str">
        <x:f>IF(D146&lt;&gt;"原始汇总核实","未核实；排除合计",IF(F146=0,"无GV不可算",IF(AND(F146&gt;=30000,G146&lt;0.03),"高流量低转化",IF(AND(F146&gt;=3000,F146&lt;30000,G146&gt;=0.08),"高转化待扩流","常规"))))</x:f>
        <x:v>常规</x:v>
      </x:c>
      <x:c r="W146" s="4" t="str">
        <x:v>HYCHIKA LED Baustrahler 50W, LED Flutlicht 5500 LM 6500K, Wasserdichtes IP65 Arbeitsleuchter Drehbar, 3 m Kabel mit Stecker für Werkstatt Baustelle</x:v>
      </x:c>
    </x:row>
    <x:row r="147" ht="22" customHeight="1">
      <x:c r="A147" s="4" t="str">
        <x:v>B08DJ59FPM</x:v>
      </x:c>
      <x:c r="B147" s="4" t="str">
        <x:v>HYCHIKA</x:v>
      </x:c>
      <x:c r="C147" s="4" t="str">
        <x:v>充气泵/压缩机</x:v>
      </x:c>
      <x:c r="D147" s="4" t="str">
        <x:v>原始汇总核实</x:v>
      </x:c>
      <x:c r="E147" s="12" t="n">
        <x:v>0</x:v>
      </x:c>
      <x:c r="F147" s="12" t="n">
        <x:v>35</x:v>
      </x:c>
      <x:c r="G147" s="13" t="n">
        <x:f>IF(F147&gt;0,E147/F147,"")</x:f>
        <x:v>0</x:v>
      </x:c>
      <x:c r="H147" s="14" t="n">
        <x:v>0</x:v>
      </x:c>
      <x:c r="I147" s="14" t="str">
        <x:f>IF(AND(ISNUMBER(H147),E147&gt;0),H147/E147,"")</x:f>
      </x:c>
      <x:c r="J147" s="12"/>
      <x:c r="K147" s="13" t="str">
        <x:f>IF(AND(ISNUMBER(J147),F147&gt;0),J147/F147,"")</x:f>
      </x:c>
      <x:c r="L147" s="12"/>
      <x:c r="M147" s="12"/>
      <x:c r="N147" s="12"/>
      <x:c r="O147" s="12" t="n">
        <x:v>0</x:v>
      </x:c>
      <x:c r="P147" s="12" t="n">
        <x:v>0</x:v>
      </x:c>
      <x:c r="Q147" s="13" t="str">
        <x:f>IF(AND(ISNUMBER(O147),P147&gt;0),O147/P147,"")</x:f>
      </x:c>
      <x:c r="R147" s="12" t="n">
        <x:v>0</x:v>
      </x:c>
      <x:c r="S147" s="12" t="n">
        <x:v>0</x:v>
      </x:c>
      <x:c r="T147" s="12" t="n">
        <x:v>0</x:v>
      </x:c>
      <x:c r="U147" s="12" t="n">
        <x:v>0</x:v>
      </x:c>
      <x:c r="V147" s="4" t="str">
        <x:f>IF(D147&lt;&gt;"原始汇总核实","未核实；排除合计",IF(F147=0,"无GV不可算",IF(AND(F147&gt;=30000,G147&lt;0.03),"高流量低转化",IF(AND(F147&gt;=3000,F147&lt;30000,G147&gt;=0.08),"高转化待扩流","常规"))))</x:f>
        <x:v>常规</x:v>
      </x:c>
      <x:c r="W147" s="4" t="str">
        <x:v>HYCHIKA Compressore Aria Portatile 18V, Compressore a Batteria Ricaricabile, 5*Adattatori, 160PSI, Luce LED, Presa Accendisigari 12V, Caricatore, 380L/Min, per Bicicletta, Palla</x:v>
      </x:c>
    </x:row>
    <x:row r="148" ht="22" customHeight="1">
      <x:c r="A148" s="4" t="str">
        <x:v>B08H1MCC9Y</x:v>
      </x:c>
      <x:c r="B148" s="4" t="str">
        <x:v>SORAKO</x:v>
      </x:c>
      <x:c r="C148" s="4" t="str">
        <x:v>锯切/开孔及配件</x:v>
      </x:c>
      <x:c r="D148" s="4" t="str">
        <x:v>原始汇总核实</x:v>
      </x:c>
      <x:c r="E148" s="12" t="n">
        <x:v>0</x:v>
      </x:c>
      <x:c r="F148" s="12" t="n">
        <x:v>43</x:v>
      </x:c>
      <x:c r="G148" s="13" t="n">
        <x:f>IF(F148&gt;0,E148/F148,"")</x:f>
        <x:v>0</x:v>
      </x:c>
      <x:c r="H148" s="14" t="n">
        <x:v>0</x:v>
      </x:c>
      <x:c r="I148" s="14" t="str">
        <x:f>IF(AND(ISNUMBER(H148),E148&gt;0),H148/E148,"")</x:f>
      </x:c>
      <x:c r="J148" s="12"/>
      <x:c r="K148" s="13" t="str">
        <x:f>IF(AND(ISNUMBER(J148),F148&gt;0),J148/F148,"")</x:f>
      </x:c>
      <x:c r="L148" s="12"/>
      <x:c r="M148" s="12"/>
      <x:c r="N148" s="12"/>
      <x:c r="O148" s="12" t="n">
        <x:v>0</x:v>
      </x:c>
      <x:c r="P148" s="12" t="n">
        <x:v>0</x:v>
      </x:c>
      <x:c r="Q148" s="13" t="str">
        <x:f>IF(AND(ISNUMBER(O148),P148&gt;0),O148/P148,"")</x:f>
      </x:c>
      <x:c r="R148" s="12" t="n">
        <x:v>0</x:v>
      </x:c>
      <x:c r="S148" s="12" t="n">
        <x:v>0</x:v>
      </x:c>
      <x:c r="T148" s="12" t="n">
        <x:v>0</x:v>
      </x:c>
      <x:c r="U148" s="12" t="n">
        <x:v>0</x:v>
      </x:c>
      <x:c r="V148" s="4" t="str">
        <x:f>IF(D148&lt;&gt;"原始汇总核实","未核实；排除合计",IF(F148=0,"无GV不可算",IF(AND(F148&gt;=30000,G148&lt;0.03),"高流量低转化",IF(AND(F148&gt;=3000,F148&lt;30000,G148&gt;=0.08),"高转化待扩流","常规"))))</x:f>
        <x:v>常规</x:v>
      </x:c>
      <x:c r="W148" s="4" t="str">
        <x:v>Sierra de calar 600 W, SORAKO caladora eléctrica 800~3000SPM, máx65 mm, 6 engranajes, 4 posiciones de pista, ángulo de corte ± 45°, para madera, PVC, madera contrachapada y metal</x:v>
      </x:c>
    </x:row>
    <x:row r="149" ht="22" customHeight="1">
      <x:c r="A149" s="4" t="str">
        <x:v>B08LVBK2HR</x:v>
      </x:c>
      <x:c r="B149" s="4" t="str">
        <x:v>HYCHIKA</x:v>
      </x:c>
      <x:c r="C149" s="4" t="str">
        <x:v>园艺/喷涂</x:v>
      </x:c>
      <x:c r="D149" s="4" t="str">
        <x:v>原始汇总核实</x:v>
      </x:c>
      <x:c r="E149" s="12" t="n">
        <x:v>0</x:v>
      </x:c>
      <x:c r="F149" s="12" t="n">
        <x:v>0</x:v>
      </x:c>
      <x:c r="G149" s="13" t="str">
        <x:f>IF(F149&gt;0,E149/F149,"")</x:f>
      </x:c>
      <x:c r="H149" s="14" t="n">
        <x:v>0</x:v>
      </x:c>
      <x:c r="I149" s="14" t="str">
        <x:f>IF(AND(ISNUMBER(H149),E149&gt;0),H149/E149,"")</x:f>
      </x:c>
      <x:c r="J149" s="12"/>
      <x:c r="K149" s="13" t="str">
        <x:f>IF(AND(ISNUMBER(J149),F149&gt;0),J149/F149,"")</x:f>
      </x:c>
      <x:c r="L149" s="12"/>
      <x:c r="M149" s="12"/>
      <x:c r="N149" s="12"/>
      <x:c r="O149" s="12" t="n">
        <x:v>0</x:v>
      </x:c>
      <x:c r="P149" s="12" t="n">
        <x:v>0</x:v>
      </x:c>
      <x:c r="Q149" s="13" t="str">
        <x:f>IF(AND(ISNUMBER(O149),P149&gt;0),O149/P149,"")</x:f>
      </x:c>
      <x:c r="R149" s="12" t="n">
        <x:v>0</x:v>
      </x:c>
      <x:c r="S149" s="12" t="n">
        <x:v>0</x:v>
      </x:c>
      <x:c r="T149" s="12" t="n">
        <x:v>0</x:v>
      </x:c>
      <x:c r="U149" s="12" t="n">
        <x:v>0</x:v>
      </x:c>
      <x:c r="V149" s="4" t="str">
        <x:f>IF(D149&lt;&gt;"原始汇总核实","未核实；排除合计",IF(F149=0,"无GV不可算",IF(AND(F149&gt;=30000,G149&lt;0.03),"高流量低转化",IF(AND(F149&gt;=3000,F149&lt;30000,G149&gt;=0.08),"高转化待扩流","常规"))))</x:f>
        <x:v>无GV不可算</x:v>
      </x:c>
      <x:c r="W149" s="4" t="str">
        <x:v>Tagliabordi a Batteria Brushless 36V, HYCHIKA Decespugliatore Elettrico 2 * 2.0Ah Batteria, 35cm Larghezza di Taglio, 2 Velocità, Filo da 2mm, 6000RPM, Angolo di Taglio, Ruota Spigoli, Tagliabordi</x:v>
      </x:c>
    </x:row>
    <x:row r="150" ht="22" customHeight="1">
      <x:c r="A150" s="4" t="str">
        <x:v>B08LVCVQ4C</x:v>
      </x:c>
      <x:c r="B150" s="4" t="str">
        <x:v>HYCHIKA</x:v>
      </x:c>
      <x:c r="C150" s="4" t="str">
        <x:v>园艺/喷涂</x:v>
      </x:c>
      <x:c r="D150" s="4" t="str">
        <x:v>原始汇总核实</x:v>
      </x:c>
      <x:c r="E150" s="12" t="n">
        <x:v>0</x:v>
      </x:c>
      <x:c r="F150" s="12" t="n">
        <x:v>0</x:v>
      </x:c>
      <x:c r="G150" s="13" t="str">
        <x:f>IF(F150&gt;0,E150/F150,"")</x:f>
      </x:c>
      <x:c r="H150" s="14" t="n">
        <x:v>0</x:v>
      </x:c>
      <x:c r="I150" s="14" t="str">
        <x:f>IF(AND(ISNUMBER(H150),E150&gt;0),H150/E150,"")</x:f>
      </x:c>
      <x:c r="J150" s="12"/>
      <x:c r="K150" s="13" t="str">
        <x:f>IF(AND(ISNUMBER(J150),F150&gt;0),J150/F150,"")</x:f>
      </x:c>
      <x:c r="L150" s="12"/>
      <x:c r="M150" s="12"/>
      <x:c r="N150" s="12"/>
      <x:c r="O150" s="12" t="n">
        <x:v>0</x:v>
      </x:c>
      <x:c r="P150" s="12" t="n">
        <x:v>0</x:v>
      </x:c>
      <x:c r="Q150" s="13" t="str">
        <x:f>IF(AND(ISNUMBER(O150),P150&gt;0),O150/P150,"")</x:f>
      </x:c>
      <x:c r="R150" s="12" t="n">
        <x:v>0</x:v>
      </x:c>
      <x:c r="S150" s="12" t="n">
        <x:v>0</x:v>
      </x:c>
      <x:c r="T150" s="12" t="n">
        <x:v>0</x:v>
      </x:c>
      <x:c r="U150" s="12" t="n">
        <x:v>0</x:v>
      </x:c>
      <x:c r="V150" s="4" t="str">
        <x:f>IF(D150&lt;&gt;"原始汇总核实","未核实；排除合计",IF(F150=0,"无GV不可算",IF(AND(F150&gt;=30000,G150&lt;0.03),"高流量低转化",IF(AND(F150&gt;=3000,F150&lt;30000,G150&gt;=0.08),"高转化待扩流","常规"))))</x:f>
        <x:v>无GV不可算</x:v>
      </x:c>
      <x:c r="W150" s="4" t="str">
        <x:v>Soplador de Hojas a Bateria Brushless 36V, HYCHIKA 2x 4.0Ah Batería, 2 Velocidades, 212 Km/h, Cargador Rápido, Soplador de Aire Inalámbrico, para Limpiar Hojas, Polvado de Garaje y Basura Pequeña</x:v>
      </x:c>
    </x:row>
    <x:row r="151" ht="22" customHeight="1">
      <x:c r="A151" s="4" t="str">
        <x:v>B08LVFZRJY</x:v>
      </x:c>
      <x:c r="B151" s="4" t="str">
        <x:v>HYCHIKA</x:v>
      </x:c>
      <x:c r="C151" s="4" t="str">
        <x:v>园艺/喷涂</x:v>
      </x:c>
      <x:c r="D151" s="4" t="str">
        <x:v>原始汇总核实</x:v>
      </x:c>
      <x:c r="E151" s="12" t="n">
        <x:v>0</x:v>
      </x:c>
      <x:c r="F151" s="12" t="n">
        <x:v>0</x:v>
      </x:c>
      <x:c r="G151" s="13" t="str">
        <x:f>IF(F151&gt;0,E151/F151,"")</x:f>
      </x:c>
      <x:c r="H151" s="14" t="n">
        <x:v>0</x:v>
      </x:c>
      <x:c r="I151" s="14" t="str">
        <x:f>IF(AND(ISNUMBER(H151),E151&gt;0),H151/E151,"")</x:f>
      </x:c>
      <x:c r="J151" s="12"/>
      <x:c r="K151" s="13" t="str">
        <x:f>IF(AND(ISNUMBER(J151),F151&gt;0),J151/F151,"")</x:f>
      </x:c>
      <x:c r="L151" s="12"/>
      <x:c r="M151" s="12"/>
      <x:c r="N151" s="12"/>
      <x:c r="O151" s="12" t="n">
        <x:v>0</x:v>
      </x:c>
      <x:c r="P151" s="12" t="n">
        <x:v>0</x:v>
      </x:c>
      <x:c r="Q151" s="13" t="str">
        <x:f>IF(AND(ISNUMBER(O151),P151&gt;0),O151/P151,"")</x:f>
      </x:c>
      <x:c r="R151" s="12" t="n">
        <x:v>0</x:v>
      </x:c>
      <x:c r="S151" s="12" t="n">
        <x:v>0</x:v>
      </x:c>
      <x:c r="T151" s="12" t="n">
        <x:v>0</x:v>
      </x:c>
      <x:c r="U151" s="12" t="n">
        <x:v>0</x:v>
      </x:c>
      <x:c r="V151" s="4" t="str">
        <x:f>IF(D151&lt;&gt;"原始汇总核实","未核实；排除合计",IF(F151=0,"无GV不可算",IF(AND(F151&gt;=30000,G151&lt;0.03),"高流量低转化",IF(AND(F151&gt;=3000,F151&lt;30000,G151&gt;=0.08),"高转化待扩流","常规"))))</x:f>
        <x:v>无GV不可算</x:v>
      </x:c>
      <x:c r="W151" s="4" t="str">
        <x:v>Tagliasiepi senza fili HYCHIKA 36V senza spazzole con batterie agli ioni di litio 2* 2,0 Ah e caricabatterie rapido, lunghezza lama 60 cm, diametro di taglio 26 mm</x:v>
      </x:c>
    </x:row>
    <x:row r="152" ht="22" customHeight="1">
      <x:c r="A152" s="4" t="str">
        <x:v>B08PPB7ZQ3</x:v>
      </x:c>
      <x:c r="B152" s="4" t="str">
        <x:v>HYCHIKA</x:v>
      </x:c>
      <x:c r="C152" s="4" t="str">
        <x:v>园艺/喷涂</x:v>
      </x:c>
      <x:c r="D152" s="4" t="str">
        <x:v>原始汇总核实</x:v>
      </x:c>
      <x:c r="E152" s="12" t="n">
        <x:v>0</x:v>
      </x:c>
      <x:c r="F152" s="12" t="n">
        <x:v>0</x:v>
      </x:c>
      <x:c r="G152" s="13" t="str">
        <x:f>IF(F152&gt;0,E152/F152,"")</x:f>
      </x:c>
      <x:c r="H152" s="14" t="n">
        <x:v>0</x:v>
      </x:c>
      <x:c r="I152" s="14" t="str">
        <x:f>IF(AND(ISNUMBER(H152),E152&gt;0),H152/E152,"")</x:f>
      </x:c>
      <x:c r="J152" s="12"/>
      <x:c r="K152" s="13" t="str">
        <x:f>IF(AND(ISNUMBER(J152),F152&gt;0),J152/F152,"")</x:f>
      </x:c>
      <x:c r="L152" s="12"/>
      <x:c r="M152" s="12"/>
      <x:c r="N152" s="12"/>
      <x:c r="O152" s="12" t="n">
        <x:v>0</x:v>
      </x:c>
      <x:c r="P152" s="12" t="n">
        <x:v>0</x:v>
      </x:c>
      <x:c r="Q152" s="13" t="str">
        <x:f>IF(AND(ISNUMBER(O152),P152&gt;0),O152/P152,"")</x:f>
      </x:c>
      <x:c r="R152" s="12" t="n">
        <x:v>0</x:v>
      </x:c>
      <x:c r="S152" s="12" t="n">
        <x:v>0</x:v>
      </x:c>
      <x:c r="T152" s="12" t="n">
        <x:v>0</x:v>
      </x:c>
      <x:c r="U152" s="12" t="n">
        <x:v>0</x:v>
      </x:c>
      <x:c r="V152" s="4" t="str">
        <x:f>IF(D152&lt;&gt;"原始汇总核实","未核实；排除合计",IF(F152=0,"无GV不可算",IF(AND(F152&gt;=30000,G152&lt;0.03),"高流量低转化",IF(AND(F152&gt;=3000,F152&lt;30000,G152&gt;=0.08),"高转化待扩流","常规"))))</x:f>
        <x:v>无GV不可算</x:v>
      </x:c>
      <x:c r="W152" s="4" t="str">
        <x:v>Robot Cortacésped 24V, HYCHIKA 3500RPM Robot para Superficies hasta 800 m², IPX4 Impermeable, 3 Cuchillas, Altura máx de Corte 55MM, Ancho 200MM, Protección Antirrobo, Cable Delimitador, Ganchos</x:v>
      </x:c>
    </x:row>
    <x:row r="153" ht="22" customHeight="1">
      <x:c r="A153" s="4" t="str">
        <x:v>B08QD6HB6Y</x:v>
      </x:c>
      <x:c r="B153" s="4" t="str">
        <x:v>SORAKO</x:v>
      </x:c>
      <x:c r="C153" s="4" t="str">
        <x:v>电动螺丝刀</x:v>
      </x:c>
      <x:c r="D153" s="4" t="str">
        <x:v>原始汇总核实</x:v>
      </x:c>
      <x:c r="E153" s="12" t="n">
        <x:v>0</x:v>
      </x:c>
      <x:c r="F153" s="12" t="n">
        <x:v>0</x:v>
      </x:c>
      <x:c r="G153" s="13" t="str">
        <x:f>IF(F153&gt;0,E153/F153,"")</x:f>
      </x:c>
      <x:c r="H153" s="14" t="n">
        <x:v>0</x:v>
      </x:c>
      <x:c r="I153" s="14" t="str">
        <x:f>IF(AND(ISNUMBER(H153),E153&gt;0),H153/E153,"")</x:f>
      </x:c>
      <x:c r="J153" s="12"/>
      <x:c r="K153" s="13" t="str">
        <x:f>IF(AND(ISNUMBER(J153),F153&gt;0),J153/F153,"")</x:f>
      </x:c>
      <x:c r="L153" s="12"/>
      <x:c r="M153" s="12"/>
      <x:c r="N153" s="12"/>
      <x:c r="O153" s="12" t="n">
        <x:v>0</x:v>
      </x:c>
      <x:c r="P153" s="12" t="n">
        <x:v>0</x:v>
      </x:c>
      <x:c r="Q153" s="13" t="str">
        <x:f>IF(AND(ISNUMBER(O153),P153&gt;0),O153/P153,"")</x:f>
      </x:c>
      <x:c r="R153" s="12" t="n">
        <x:v>0</x:v>
      </x:c>
      <x:c r="S153" s="12" t="n">
        <x:v>0</x:v>
      </x:c>
      <x:c r="T153" s="12" t="n">
        <x:v>0</x:v>
      </x:c>
      <x:c r="U153" s="12" t="n">
        <x:v>0</x:v>
      </x:c>
      <x:c r="V153" s="4" t="str">
        <x:f>IF(D153&lt;&gt;"原始汇总核实","未核实；排除合计",IF(F153=0,"无GV不可算",IF(AND(F153&gt;=30000,G153&lt;0.03),"高流量低转化",IF(AND(F153&gt;=3000,F153&lt;30000,G153&gt;=0.08),"高转化待扩流","常规"))))</x:f>
        <x:v>无GV不可算</x:v>
      </x:c>
      <x:c r="W153" s="4" t="str">
        <x:v>SORAKO Trapano Avvitatore Batteria 18V, Avvitatore Elettrico 35N.m, Batteria al Litio da 2.0Ah, Ricarica Rapida in 40 minuto, 21+1 Regolazioni Coppia, 12 Accessori Inclusi</x:v>
      </x:c>
    </x:row>
    <x:row r="154" ht="22" customHeight="1">
      <x:c r="A154" s="4" t="str">
        <x:v>B08YYJJJ1W</x:v>
      </x:c>
      <x:c r="B154" s="4" t="str">
        <x:v>SORAKO</x:v>
      </x:c>
      <x:c r="C154" s="4" t="str">
        <x:v>园艺/喷涂</x:v>
      </x:c>
      <x:c r="D154" s="4" t="str">
        <x:v>原始汇总核实</x:v>
      </x:c>
      <x:c r="E154" s="12" t="n">
        <x:v>0</x:v>
      </x:c>
      <x:c r="F154" s="12" t="n">
        <x:v>0</x:v>
      </x:c>
      <x:c r="G154" s="13" t="str">
        <x:f>IF(F154&gt;0,E154/F154,"")</x:f>
      </x:c>
      <x:c r="H154" s="14" t="n">
        <x:v>0</x:v>
      </x:c>
      <x:c r="I154" s="14" t="str">
        <x:f>IF(AND(ISNUMBER(H154),E154&gt;0),H154/E154,"")</x:f>
      </x:c>
      <x:c r="J154" s="12"/>
      <x:c r="K154" s="13" t="str">
        <x:f>IF(AND(ISNUMBER(J154),F154&gt;0),J154/F154,"")</x:f>
      </x:c>
      <x:c r="L154" s="12"/>
      <x:c r="M154" s="12"/>
      <x:c r="N154" s="12"/>
      <x:c r="O154" s="12" t="n">
        <x:v>0</x:v>
      </x:c>
      <x:c r="P154" s="12" t="n">
        <x:v>0</x:v>
      </x:c>
      <x:c r="Q154" s="13" t="str">
        <x:f>IF(AND(ISNUMBER(O154),P154&gt;0),O154/P154,"")</x:f>
      </x:c>
      <x:c r="R154" s="12" t="n">
        <x:v>0</x:v>
      </x:c>
      <x:c r="S154" s="12" t="n">
        <x:v>0</x:v>
      </x:c>
      <x:c r="T154" s="12" t="n">
        <x:v>0</x:v>
      </x:c>
      <x:c r="U154" s="12" t="n">
        <x:v>0</x:v>
      </x:c>
      <x:c r="V154" s="4" t="str">
        <x:f>IF(D154&lt;&gt;"原始汇总核实","未核实；排除合计",IF(F154=0,"无GV不可算",IF(AND(F154&gt;=30000,G154&lt;0.03),"高流量低转化",IF(AND(F154&gt;=3000,F154&lt;30000,G154&gt;=0.08),"高转化待扩流","常规"))))</x:f>
        <x:v>无GV不可算</x:v>
      </x:c>
      <x:c r="W154" s="4" t="str">
        <x:v>Tagliasiepi a Batteria, SORAKO 18V Tagliasiepi Elettrico 2000SPM, con 2000mAh Li-ion e Caricabatterie, Lunghezza Lama 45 cm, Spaziatura Denti 18 mm</x:v>
      </x:c>
    </x:row>
    <x:row r="155" ht="22" customHeight="1">
      <x:c r="A155" s="4" t="str">
        <x:v>B091PZGFC7</x:v>
      </x:c>
      <x:c r="B155" s="4" t="str">
        <x:v>HYCHIKA</x:v>
      </x:c>
      <x:c r="C155" s="4" t="str">
        <x:v>工作照明</x:v>
      </x:c>
      <x:c r="D155" s="4" t="str">
        <x:v>原始汇总核实</x:v>
      </x:c>
      <x:c r="E155" s="12" t="n">
        <x:v>0</x:v>
      </x:c>
      <x:c r="F155" s="12" t="n">
        <x:v>0</x:v>
      </x:c>
      <x:c r="G155" s="13" t="str">
        <x:f>IF(F155&gt;0,E155/F155,"")</x:f>
      </x:c>
      <x:c r="H155" s="14" t="n">
        <x:v>0</x:v>
      </x:c>
      <x:c r="I155" s="14" t="str">
        <x:f>IF(AND(ISNUMBER(H155),E155&gt;0),H155/E155,"")</x:f>
      </x:c>
      <x:c r="J155" s="12"/>
      <x:c r="K155" s="13" t="str">
        <x:f>IF(AND(ISNUMBER(J155),F155&gt;0),J155/F155,"")</x:f>
      </x:c>
      <x:c r="L155" s="12"/>
      <x:c r="M155" s="12"/>
      <x:c r="N155" s="12"/>
      <x:c r="O155" s="12" t="n">
        <x:v>0</x:v>
      </x:c>
      <x:c r="P155" s="12" t="n">
        <x:v>0</x:v>
      </x:c>
      <x:c r="Q155" s="13" t="str">
        <x:f>IF(AND(ISNUMBER(O155),P155&gt;0),O155/P155,"")</x:f>
      </x:c>
      <x:c r="R155" s="12" t="n">
        <x:v>0</x:v>
      </x:c>
      <x:c r="S155" s="12" t="n">
        <x:v>0</x:v>
      </x:c>
      <x:c r="T155" s="12" t="n">
        <x:v>0</x:v>
      </x:c>
      <x:c r="U155" s="12" t="n">
        <x:v>0</x:v>
      </x:c>
      <x:c r="V155" s="4" t="str">
        <x:f>IF(D155&lt;&gt;"原始汇总核实","未核实；排除合计",IF(F155=0,"无GV不可算",IF(AND(F155&gt;=30000,G155&lt;0.03),"高流量低转化",IF(AND(F155&gt;=3000,F155&lt;30000,G155&gt;=0.08),"高转化待扩流","常规"))))</x:f>
        <x:v>无GV不可算</x:v>
      </x:c>
      <x:c r="W155" s="4" t="str">
        <x:v>HYCHIKA LED Baustrahler Arbeitsstrahler mit Stativ 2x60W,LED Strahler mit Stativ 2x7000 Lumen,1.75M Einstellbar Teleskopisch Tripod-Ständer, 360°Grad Drehung 5M Kabel LED Arbeitsleuchte auf Stativ</x:v>
      </x:c>
    </x:row>
    <x:row r="156" ht="22" customHeight="1">
      <x:c r="A156" s="4" t="str">
        <x:v>B091PZLPFS</x:v>
      </x:c>
      <x:c r="B156" s="4" t="str">
        <x:v>HYCHIKA</x:v>
      </x:c>
      <x:c r="C156" s="4" t="str">
        <x:v>打磨/旋转工具</x:v>
      </x:c>
      <x:c r="D156" s="4" t="str">
        <x:v>原始汇总核实</x:v>
      </x:c>
      <x:c r="E156" s="12" t="n">
        <x:v>0</x:v>
      </x:c>
      <x:c r="F156" s="12" t="n">
        <x:v>0</x:v>
      </x:c>
      <x:c r="G156" s="13" t="str">
        <x:f>IF(F156&gt;0,E156/F156,"")</x:f>
      </x:c>
      <x:c r="H156" s="14" t="n">
        <x:v>0</x:v>
      </x:c>
      <x:c r="I156" s="14" t="str">
        <x:f>IF(AND(ISNUMBER(H156),E156&gt;0),H156/E156,"")</x:f>
      </x:c>
      <x:c r="J156" s="12"/>
      <x:c r="K156" s="13" t="str">
        <x:f>IF(AND(ISNUMBER(J156),F156&gt;0),J156/F156,"")</x:f>
      </x:c>
      <x:c r="L156" s="12"/>
      <x:c r="M156" s="12"/>
      <x:c r="N156" s="12"/>
      <x:c r="O156" s="12" t="n">
        <x:v>0</x:v>
      </x:c>
      <x:c r="P156" s="12" t="n">
        <x:v>0</x:v>
      </x:c>
      <x:c r="Q156" s="13" t="str">
        <x:f>IF(AND(ISNUMBER(O156),P156&gt;0),O156/P156,"")</x:f>
      </x:c>
      <x:c r="R156" s="12" t="n">
        <x:v>0</x:v>
      </x:c>
      <x:c r="S156" s="12" t="n">
        <x:v>0</x:v>
      </x:c>
      <x:c r="T156" s="12" t="n">
        <x:v>0</x:v>
      </x:c>
      <x:c r="U156" s="12" t="n">
        <x:v>0</x:v>
      </x:c>
      <x:c r="V156" s="4" t="str">
        <x:f>IF(D156&lt;&gt;"原始汇总核实","未核实；排除合计",IF(F156=0,"无GV不可算",IF(AND(F156&gt;=30000,G156&lt;0.03),"高流量低转化",IF(AND(F156&gt;=3000,F156&lt;30000,G156&gt;=0.08),"高转化待扩流","常规"))))</x:f>
        <x:v>无GV不可算</x:v>
      </x:c>
      <x:c r="W156" s="4" t="str">
        <x:v>HYCHIKA Papeles de Lija, 60 Piezas Grano Cada 10x 60/80/100/120/180/240 con 6 Agujeros, Diseñado Específicamente para HYCHIKA Lijadora Madera(Número Modelo: FL118A/MS200W)</x:v>
      </x:c>
    </x:row>
    <x:row r="157" ht="22" customHeight="1">
      <x:c r="A157" s="4" t="str">
        <x:v>B091PZXJ9M</x:v>
      </x:c>
      <x:c r="B157" s="4" t="str">
        <x:v>HYCHIKA</x:v>
      </x:c>
      <x:c r="C157" s="4" t="str">
        <x:v>工作照明</x:v>
      </x:c>
      <x:c r="D157" s="4" t="str">
        <x:v>原始汇总核实</x:v>
      </x:c>
      <x:c r="E157" s="12" t="n">
        <x:v>0</x:v>
      </x:c>
      <x:c r="F157" s="12" t="n">
        <x:v>56</x:v>
      </x:c>
      <x:c r="G157" s="13" t="n">
        <x:f>IF(F157&gt;0,E157/F157,"")</x:f>
        <x:v>0</x:v>
      </x:c>
      <x:c r="H157" s="14" t="n">
        <x:v>0</x:v>
      </x:c>
      <x:c r="I157" s="14" t="str">
        <x:f>IF(AND(ISNUMBER(H157),E157&gt;0),H157/E157,"")</x:f>
      </x:c>
      <x:c r="J157" s="12"/>
      <x:c r="K157" s="13" t="str">
        <x:f>IF(AND(ISNUMBER(J157),F157&gt;0),J157/F157,"")</x:f>
      </x:c>
      <x:c r="L157" s="12"/>
      <x:c r="M157" s="12"/>
      <x:c r="N157" s="12"/>
      <x:c r="O157" s="12" t="n">
        <x:v>1</x:v>
      </x:c>
      <x:c r="P157" s="12" t="n">
        <x:v>0</x:v>
      </x:c>
      <x:c r="Q157" s="13" t="str">
        <x:f>IF(AND(ISNUMBER(O157),P157&gt;0),O157/P157,"")</x:f>
      </x:c>
      <x:c r="R157" s="12" t="n">
        <x:v>0</x:v>
      </x:c>
      <x:c r="S157" s="12" t="n">
        <x:v>0</x:v>
      </x:c>
      <x:c r="T157" s="12" t="n">
        <x:v>0</x:v>
      </x:c>
      <x:c r="U157" s="12" t="n">
        <x:v>0</x:v>
      </x:c>
      <x:c r="V157" s="4" t="str">
        <x:f>IF(D157&lt;&gt;"原始汇总核实","未核实；排除合计",IF(F157=0,"无GV不可算",IF(AND(F157&gt;=30000,G157&lt;0.03),"高流量低转化",IF(AND(F157&gt;=3000,F157&lt;30000,G157&gt;=0.08),"高转化待扩流","常规"))))</x:f>
        <x:v>常规</x:v>
      </x:c>
      <x:c r="W157" s="4" t="str">
        <x:v>Radio mit LED Taschenlampe, HYCHIKA Tragbares Radio Weltempfänger Bluetooth Lautsprecher Wetter AM/FM/SW Notfallradio, 8000mAh Wiederaufladbare Powerbank, USB-Handy-Lader, 3 Modi LED Taschenlampe</x:v>
      </x:c>
    </x:row>
    <x:row r="158" ht="22" customHeight="1">
      <x:c r="A158" s="4" t="str">
        <x:v>B091Q11982</x:v>
      </x:c>
      <x:c r="B158" s="4" t="str">
        <x:v>HYCHIKA</x:v>
      </x:c>
      <x:c r="C158" s="4" t="str">
        <x:v>工作照明</x:v>
      </x:c>
      <x:c r="D158" s="4" t="str">
        <x:v>原始汇总核实</x:v>
      </x:c>
      <x:c r="E158" s="12" t="n">
        <x:v>0</x:v>
      </x:c>
      <x:c r="F158" s="12" t="n">
        <x:v>121</x:v>
      </x:c>
      <x:c r="G158" s="13" t="n">
        <x:f>IF(F158&gt;0,E158/F158,"")</x:f>
        <x:v>0</x:v>
      </x:c>
      <x:c r="H158" s="14" t="n">
        <x:v>0</x:v>
      </x:c>
      <x:c r="I158" s="14" t="str">
        <x:f>IF(AND(ISNUMBER(H158),E158&gt;0),H158/E158,"")</x:f>
      </x:c>
      <x:c r="J158" s="12"/>
      <x:c r="K158" s="13" t="str">
        <x:f>IF(AND(ISNUMBER(J158),F158&gt;0),J158/F158,"")</x:f>
      </x:c>
      <x:c r="L158" s="12"/>
      <x:c r="M158" s="12"/>
      <x:c r="N158" s="12"/>
      <x:c r="O158" s="12" t="n">
        <x:v>0</x:v>
      </x:c>
      <x:c r="P158" s="12" t="n">
        <x:v>0</x:v>
      </x:c>
      <x:c r="Q158" s="13" t="str">
        <x:f>IF(AND(ISNUMBER(O158),P158&gt;0),O158/P158,"")</x:f>
      </x:c>
      <x:c r="R158" s="12" t="n">
        <x:v>0</x:v>
      </x:c>
      <x:c r="S158" s="12" t="n">
        <x:v>0</x:v>
      </x:c>
      <x:c r="T158" s="12" t="n">
        <x:v>0</x:v>
      </x:c>
      <x:c r="U158" s="12" t="n">
        <x:v>0</x:v>
      </x:c>
      <x:c r="V158" s="4" t="str">
        <x:f>IF(D158&lt;&gt;"原始汇总核实","未核实；排除合计",IF(F158=0,"无GV不可算",IF(AND(F158&gt;=30000,G158&lt;0.03),"高流量低转化",IF(AND(F158&gt;=3000,F158&lt;30000,G158&gt;=0.08),"高转化待扩流","常规"))))</x:f>
        <x:v>常规</x:v>
      </x:c>
      <x:c r="W158" s="4" t="str">
        <x:v>HYCHIKA 4 en 1 multifunción LED Recargable luz 15 W, 8000 mAh, Radio FM, Altavoz Bluetooth, Alarma SOS para Exteriores, Camping, Senderismo</x:v>
      </x:c>
    </x:row>
    <x:row r="159" ht="22" customHeight="1">
      <x:c r="A159" s="4" t="str">
        <x:v>B09335P92G</x:v>
      </x:c>
      <x:c r="B159" s="4" t="str">
        <x:v>SORAKO</x:v>
      </x:c>
      <x:c r="C159" s="4" t="str">
        <x:v>扳手/汽修</x:v>
      </x:c>
      <x:c r="D159" s="4" t="str">
        <x:v>原始汇总核实</x:v>
      </x:c>
      <x:c r="E159" s="12" t="n">
        <x:v>0</x:v>
      </x:c>
      <x:c r="F159" s="12" t="n">
        <x:v>12</x:v>
      </x:c>
      <x:c r="G159" s="13" t="n">
        <x:f>IF(F159&gt;0,E159/F159,"")</x:f>
        <x:v>0</x:v>
      </x:c>
      <x:c r="H159" s="14" t="n">
        <x:v>0</x:v>
      </x:c>
      <x:c r="I159" s="14" t="str">
        <x:f>IF(AND(ISNUMBER(H159),E159&gt;0),H159/E159,"")</x:f>
      </x:c>
      <x:c r="J159" s="12"/>
      <x:c r="K159" s="13" t="str">
        <x:f>IF(AND(ISNUMBER(J159),F159&gt;0),J159/F159,"")</x:f>
      </x:c>
      <x:c r="L159" s="12"/>
      <x:c r="M159" s="12"/>
      <x:c r="N159" s="12"/>
      <x:c r="O159" s="12" t="n">
        <x:v>0</x:v>
      </x:c>
      <x:c r="P159" s="12" t="n">
        <x:v>0</x:v>
      </x:c>
      <x:c r="Q159" s="13" t="str">
        <x:f>IF(AND(ISNUMBER(O159),P159&gt;0),O159/P159,"")</x:f>
      </x:c>
      <x:c r="R159" s="12" t="n">
        <x:v>0</x:v>
      </x:c>
      <x:c r="S159" s="12"/>
      <x:c r="T159" s="12"/>
      <x:c r="U159" s="12" t="n">
        <x:v>0</x:v>
      </x:c>
      <x:c r="V159" s="4" t="str">
        <x:f>IF(D159&lt;&gt;"原始汇总核实","未核实；排除合计",IF(F159=0,"无GV不可算",IF(AND(F159&gt;=30000,G159&lt;0.03),"高流量低转化",IF(AND(F159&gt;=3000,F159&lt;30000,G159&gt;=0.08),"高转化待扩流","常规"))))</x:f>
        <x:v>常规</x:v>
      </x:c>
      <x:c r="W159" s="4" t="str">
        <x:v>SORAKO Set Chiavi Cricchetto 12Pcs, Kit Chiavi a Cricchetto, Metriche 8-19mm, 72 Denti con Design della Corsa di Ritorno di 5°, in Acciaio Cr-V di Grado Industriale, con Custodia Portatile</x:v>
      </x:c>
    </x:row>
    <x:row r="160" ht="22" customHeight="1">
      <x:c r="A160" s="4" t="str">
        <x:v>B09336VHY1</x:v>
      </x:c>
      <x:c r="B160" s="4" t="str">
        <x:v>SORAKO</x:v>
      </x:c>
      <x:c r="C160" s="4" t="str">
        <x:v>电钻/冲击工具</x:v>
      </x:c>
      <x:c r="D160" s="4" t="str">
        <x:v>原始汇总核实</x:v>
      </x:c>
      <x:c r="E160" s="12" t="n">
        <x:v>0</x:v>
      </x:c>
      <x:c r="F160" s="12" t="n">
        <x:v>0</x:v>
      </x:c>
      <x:c r="G160" s="13" t="str">
        <x:f>IF(F160&gt;0,E160/F160,"")</x:f>
      </x:c>
      <x:c r="H160" s="14" t="n">
        <x:v>0</x:v>
      </x:c>
      <x:c r="I160" s="14" t="str">
        <x:f>IF(AND(ISNUMBER(H160),E160&gt;0),H160/E160,"")</x:f>
      </x:c>
      <x:c r="J160" s="12"/>
      <x:c r="K160" s="13" t="str">
        <x:f>IF(AND(ISNUMBER(J160),F160&gt;0),J160/F160,"")</x:f>
      </x:c>
      <x:c r="L160" s="12"/>
      <x:c r="M160" s="12"/>
      <x:c r="N160" s="12"/>
      <x:c r="O160" s="12" t="n">
        <x:v>0</x:v>
      </x:c>
      <x:c r="P160" s="12" t="n">
        <x:v>0</x:v>
      </x:c>
      <x:c r="Q160" s="13" t="str">
        <x:f>IF(AND(ISNUMBER(O160),P160&gt;0),O160/P160,"")</x:f>
      </x:c>
      <x:c r="R160" s="12" t="n">
        <x:v>0</x:v>
      </x:c>
      <x:c r="S160" s="12" t="n">
        <x:v>0</x:v>
      </x:c>
      <x:c r="T160" s="12" t="n">
        <x:v>0</x:v>
      </x:c>
      <x:c r="U160" s="12" t="n">
        <x:v>0</x:v>
      </x:c>
      <x:c r="V160" s="4" t="str">
        <x:f>IF(D160&lt;&gt;"原始汇总核实","未核实；排除合计",IF(F160=0,"无GV不可算",IF(AND(F160&gt;=30000,G160&lt;0.03),"高流量低转化",IF(AND(F160&gt;=3000,F160&lt;30000,G160&gt;=0.08),"高转化待扩流","常规"))))</x:f>
        <x:v>无GV不可算</x:v>
      </x:c>
      <x:c r="W160" s="4" t="str">
        <x:v>Set Cacciaviti da 118 pezzi, Cacciavite di Precisione e Cacciavite a Stella, con Punte Piatte, Manica, Impugnatura a Cricchetto, Punta da Trapano, per Riparazioni Manuali e Fai da Te</x:v>
      </x:c>
    </x:row>
    <x:row r="161" ht="22" customHeight="1">
      <x:c r="A161" s="4" t="str">
        <x:v>B09337GPK2</x:v>
      </x:c>
      <x:c r="B161" s="4" t="str">
        <x:v>SORAKO</x:v>
      </x:c>
      <x:c r="C161" s="4" t="str">
        <x:v>手动螺丝刀/工具套装</x:v>
      </x:c>
      <x:c r="D161" s="4" t="str">
        <x:v>原始汇总核实</x:v>
      </x:c>
      <x:c r="E161" s="12" t="n">
        <x:v>0</x:v>
      </x:c>
      <x:c r="F161" s="12" t="n">
        <x:v>0</x:v>
      </x:c>
      <x:c r="G161" s="13" t="str">
        <x:f>IF(F161&gt;0,E161/F161,"")</x:f>
      </x:c>
      <x:c r="H161" s="14" t="n">
        <x:v>0</x:v>
      </x:c>
      <x:c r="I161" s="14" t="str">
        <x:f>IF(AND(ISNUMBER(H161),E161&gt;0),H161/E161,"")</x:f>
      </x:c>
      <x:c r="J161" s="12"/>
      <x:c r="K161" s="13" t="str">
        <x:f>IF(AND(ISNUMBER(J161),F161&gt;0),J161/F161,"")</x:f>
      </x:c>
      <x:c r="L161" s="12"/>
      <x:c r="M161" s="12"/>
      <x:c r="N161" s="12"/>
      <x:c r="O161" s="12" t="n">
        <x:v>0</x:v>
      </x:c>
      <x:c r="P161" s="12" t="n">
        <x:v>0</x:v>
      </x:c>
      <x:c r="Q161" s="13" t="str">
        <x:f>IF(AND(ISNUMBER(O161),P161&gt;0),O161/P161,"")</x:f>
      </x:c>
      <x:c r="R161" s="12" t="n">
        <x:v>0</x:v>
      </x:c>
      <x:c r="S161" s="12" t="n">
        <x:v>0</x:v>
      </x:c>
      <x:c r="T161" s="12" t="n">
        <x:v>0</x:v>
      </x:c>
      <x:c r="U161" s="12" t="n">
        <x:v>0</x:v>
      </x:c>
      <x:c r="V161" s="4" t="str">
        <x:f>IF(D161&lt;&gt;"原始汇总核实","未核实；排除合计",IF(F161=0,"无GV不可算",IF(AND(F161&gt;=30000,G161&lt;0.03),"高流量低转化",IF(AND(F161&gt;=3000,F161&lt;30000,G161&gt;=0.08),"高转化待扩流","常规"))))</x:f>
        <x:v>无GV不可算</x:v>
      </x:c>
      <x:c r="W161" s="4" t="str">
        <x:v>SORAKO Set Cacciaviti di 44 pezzi, Set Cacciaviti Magnetici, Incluso Magnetizzatore e Smagnetizzatore, Valido Aiuto per la Manutenzione e le Migliorie Domestiche, L'artigianato e il Fai-da-Te</x:v>
      </x:c>
    </x:row>
    <x:row r="162" ht="22" customHeight="1">
      <x:c r="A162" s="4" t="str">
        <x:v>B09337WTF9</x:v>
      </x:c>
      <x:c r="B162" s="4" t="str">
        <x:v>SORAKO</x:v>
      </x:c>
      <x:c r="C162" s="4" t="str">
        <x:v>扳手/汽修</x:v>
      </x:c>
      <x:c r="D162" s="4" t="str">
        <x:v>原始汇总核实</x:v>
      </x:c>
      <x:c r="E162" s="12" t="n">
        <x:v>0</x:v>
      </x:c>
      <x:c r="F162" s="12" t="n">
        <x:v>0</x:v>
      </x:c>
      <x:c r="G162" s="13" t="str">
        <x:f>IF(F162&gt;0,E162/F162,"")</x:f>
      </x:c>
      <x:c r="H162" s="14" t="n">
        <x:v>0</x:v>
      </x:c>
      <x:c r="I162" s="14" t="str">
        <x:f>IF(AND(ISNUMBER(H162),E162&gt;0),H162/E162,"")</x:f>
      </x:c>
      <x:c r="J162" s="12"/>
      <x:c r="K162" s="13" t="str">
        <x:f>IF(AND(ISNUMBER(J162),F162&gt;0),J162/F162,"")</x:f>
      </x:c>
      <x:c r="L162" s="12"/>
      <x:c r="M162" s="12"/>
      <x:c r="N162" s="12"/>
      <x:c r="O162" s="12" t="n">
        <x:v>0</x:v>
      </x:c>
      <x:c r="P162" s="12" t="n">
        <x:v>0</x:v>
      </x:c>
      <x:c r="Q162" s="13" t="str">
        <x:f>IF(AND(ISNUMBER(O162),P162&gt;0),O162/P162,"")</x:f>
      </x:c>
      <x:c r="R162" s="12" t="n">
        <x:v>0</x:v>
      </x:c>
      <x:c r="S162" s="12"/>
      <x:c r="T162" s="12"/>
      <x:c r="U162" s="12"/>
      <x:c r="V162" s="4" t="str">
        <x:f>IF(D162&lt;&gt;"原始汇总核实","未核实；排除合计",IF(F162=0,"无GV不可算",IF(AND(F162&gt;=30000,G162&lt;0.03),"高流量低转化",IF(AND(F162&gt;=3000,F162&lt;30000,G162&gt;=0.08),"高转化待扩流","常规"))))</x:f>
        <x:v>无GV不可算</x:v>
      </x:c>
      <x:c r="W162" s="4" t="str">
        <x:v>SORAKO Juego de llaves de trinquete ajustables, juego de llaves combinadas de 16 piezas, juego de herramientas con bolsa enrollable para reparación de automóviles, mantenimiento industrial y más</x:v>
      </x:c>
    </x:row>
    <x:row r="163" ht="22" customHeight="1">
      <x:c r="A163" s="4" t="str">
        <x:v>B093BQMPC9</x:v>
      </x:c>
      <x:c r="B163" s="4" t="str">
        <x:v>SORAKO</x:v>
      </x:c>
      <x:c r="C163" s="4" t="str">
        <x:v>锯切/开孔及配件</x:v>
      </x:c>
      <x:c r="D163" s="4" t="str">
        <x:v>原始汇总核实</x:v>
      </x:c>
      <x:c r="E163" s="12" t="n">
        <x:v>0</x:v>
      </x:c>
      <x:c r="F163" s="12" t="n">
        <x:v>0</x:v>
      </x:c>
      <x:c r="G163" s="13" t="str">
        <x:f>IF(F163&gt;0,E163/F163,"")</x:f>
      </x:c>
      <x:c r="H163" s="14" t="n">
        <x:v>0</x:v>
      </x:c>
      <x:c r="I163" s="14" t="str">
        <x:f>IF(AND(ISNUMBER(H163),E163&gt;0),H163/E163,"")</x:f>
      </x:c>
      <x:c r="J163" s="12"/>
      <x:c r="K163" s="13" t="str">
        <x:f>IF(AND(ISNUMBER(J163),F163&gt;0),J163/F163,"")</x:f>
      </x:c>
      <x:c r="L163" s="12"/>
      <x:c r="M163" s="12"/>
      <x:c r="N163" s="12"/>
      <x:c r="O163" s="12" t="n">
        <x:v>0</x:v>
      </x:c>
      <x:c r="P163" s="12" t="n">
        <x:v>0</x:v>
      </x:c>
      <x:c r="Q163" s="13" t="str">
        <x:f>IF(AND(ISNUMBER(O163),P163&gt;0),O163/P163,"")</x:f>
      </x:c>
      <x:c r="R163" s="12" t="n">
        <x:v>0</x:v>
      </x:c>
      <x:c r="S163" s="12" t="n">
        <x:v>0</x:v>
      </x:c>
      <x:c r="T163" s="12" t="n">
        <x:v>0</x:v>
      </x:c>
      <x:c r="U163" s="12" t="n">
        <x:v>0</x:v>
      </x:c>
      <x:c r="V163" s="4" t="str">
        <x:f>IF(D163&lt;&gt;"原始汇总核实","未核实；排除合计",IF(F163=0,"无GV不可算",IF(AND(F163&gt;=30000,G163&lt;0.03),"高流量低转化",IF(AND(F163&gt;=3000,F163&lt;30000,G163&gt;=0.08),"高转化待扩流","常规"))))</x:f>
        <x:v>无GV不可算</x:v>
      </x:c>
      <x:c r="W163" s="4" t="str">
        <x:v>Motosierra eléctrica Para Cortar Madera, Árboles, Setos Motosierra Batería de 18V y 10"</x:v>
      </x:c>
    </x:row>
    <x:row r="164" ht="22" customHeight="1">
      <x:c r="A164" s="4" t="str">
        <x:v>B093GXNTPP</x:v>
      </x:c>
      <x:c r="B164" s="4" t="str">
        <x:v>HYCHIKA</x:v>
      </x:c>
      <x:c r="C164" s="4" t="str">
        <x:v>锯切/开孔及配件</x:v>
      </x:c>
      <x:c r="D164" s="4" t="str">
        <x:v>原始汇总核实</x:v>
      </x:c>
      <x:c r="E164" s="12" t="n">
        <x:v>0</x:v>
      </x:c>
      <x:c r="F164" s="12" t="n">
        <x:v>0</x:v>
      </x:c>
      <x:c r="G164" s="13" t="str">
        <x:f>IF(F164&gt;0,E164/F164,"")</x:f>
      </x:c>
      <x:c r="H164" s="14" t="n">
        <x:v>0</x:v>
      </x:c>
      <x:c r="I164" s="14" t="str">
        <x:f>IF(AND(ISNUMBER(H164),E164&gt;0),H164/E164,"")</x:f>
      </x:c>
      <x:c r="J164" s="12"/>
      <x:c r="K164" s="13" t="str">
        <x:f>IF(AND(ISNUMBER(J164),F164&gt;0),J164/F164,"")</x:f>
      </x:c>
      <x:c r="L164" s="12"/>
      <x:c r="M164" s="12"/>
      <x:c r="N164" s="12"/>
      <x:c r="O164" s="12" t="n">
        <x:v>0</x:v>
      </x:c>
      <x:c r="P164" s="12" t="n">
        <x:v>0</x:v>
      </x:c>
      <x:c r="Q164" s="13" t="str">
        <x:f>IF(AND(ISNUMBER(O164),P164&gt;0),O164/P164,"")</x:f>
      </x:c>
      <x:c r="R164" s="12" t="n">
        <x:v>0</x:v>
      </x:c>
      <x:c r="S164" s="12" t="n">
        <x:v>0</x:v>
      </x:c>
      <x:c r="T164" s="12" t="n">
        <x:v>0</x:v>
      </x:c>
      <x:c r="U164" s="12" t="n">
        <x:v>0</x:v>
      </x:c>
      <x:c r="V164" s="4" t="str">
        <x:f>IF(D164&lt;&gt;"原始汇总核实","未核实；排除合计",IF(F164=0,"无GV不可算",IF(AND(F164&gt;=30000,G164&lt;0.03),"高流量低转化",IF(AND(F164&gt;=3000,F164&lt;30000,G164&gt;=0.08),"高转化待扩流","常规"))))</x:f>
        <x:v>无GV不可算</x:v>
      </x:c>
      <x:c r="W164" s="4" t="str">
        <x:v>Troncatrice, 1500W HYCHIKA Troncatrice Radiale Scorrevole, 230mm Diapositiva, 4500RPM e angolo di taglio 45°, Guida laser, lama TCT e Interruttore di sicurezza, Profondità fino a 60 mm</x:v>
      </x:c>
    </x:row>
    <x:row r="165" ht="22" customHeight="1">
      <x:c r="A165" s="4" t="str">
        <x:v>B093H1KGVT</x:v>
      </x:c>
      <x:c r="B165" s="4" t="str">
        <x:v>HYCHIKA</x:v>
      </x:c>
      <x:c r="C165" s="4" t="str">
        <x:v>打磨/旋转工具</x:v>
      </x:c>
      <x:c r="D165" s="4" t="str">
        <x:v>原始汇总核实</x:v>
      </x:c>
      <x:c r="E165" s="12" t="n">
        <x:v>0</x:v>
      </x:c>
      <x:c r="F165" s="12" t="n">
        <x:v>0</x:v>
      </x:c>
      <x:c r="G165" s="13" t="str">
        <x:f>IF(F165&gt;0,E165/F165,"")</x:f>
      </x:c>
      <x:c r="H165" s="14" t="n">
        <x:v>0</x:v>
      </x:c>
      <x:c r="I165" s="14" t="str">
        <x:f>IF(AND(ISNUMBER(H165),E165&gt;0),H165/E165,"")</x:f>
      </x:c>
      <x:c r="J165" s="12"/>
      <x:c r="K165" s="13" t="str">
        <x:f>IF(AND(ISNUMBER(J165),F165&gt;0),J165/F165,"")</x:f>
      </x:c>
      <x:c r="L165" s="12"/>
      <x:c r="M165" s="12"/>
      <x:c r="N165" s="12"/>
      <x:c r="O165" s="12" t="n">
        <x:v>1</x:v>
      </x:c>
      <x:c r="P165" s="12" t="n">
        <x:v>0</x:v>
      </x:c>
      <x:c r="Q165" s="13" t="str">
        <x:f>IF(AND(ISNUMBER(O165),P165&gt;0),O165/P165,"")</x:f>
      </x:c>
      <x:c r="R165" s="12" t="n">
        <x:v>0</x:v>
      </x:c>
      <x:c r="S165" s="12" t="n">
        <x:v>0</x:v>
      </x:c>
      <x:c r="T165" s="12" t="n">
        <x:v>0</x:v>
      </x:c>
      <x:c r="U165" s="12" t="n">
        <x:v>0</x:v>
      </x:c>
      <x:c r="V165" s="4" t="str">
        <x:f>IF(D165&lt;&gt;"原始汇总核实","未核实；排除合计",IF(F165=0,"无GV不可算",IF(AND(F165&gt;=30000,G165&lt;0.03),"高流量低转化",IF(AND(F165&gt;=3000,F165&lt;30000,G165&gt;=0.08),"高转化待扩流","常规"))))</x:f>
        <x:v>无GV不可算</x:v>
      </x:c>
      <x:c r="W165" s="4" t="str">
        <x:v>HYCHIKA Winkelschleifer 125mm, 880W Trennschleifer, 12000 min-1, Zusatzhandgriff, mit 2 Schleifscheiben, 2 Trennscheiben, perfekt zum Schleifen, Schneiden und Polieren</x:v>
      </x:c>
    </x:row>
    <x:row r="166" ht="22" customHeight="1">
      <x:c r="A166" s="4" t="str">
        <x:v>B095WXD5PT</x:v>
      </x:c>
      <x:c r="B166" s="4" t="str">
        <x:v>HYCHIKA</x:v>
      </x:c>
      <x:c r="C166" s="4" t="str">
        <x:v>充气泵/压缩机</x:v>
      </x:c>
      <x:c r="D166" s="4" t="str">
        <x:v>原始汇总核实</x:v>
      </x:c>
      <x:c r="E166" s="12" t="n">
        <x:v>0</x:v>
      </x:c>
      <x:c r="F166" s="12" t="n">
        <x:v>0</x:v>
      </x:c>
      <x:c r="G166" s="13" t="str">
        <x:f>IF(F166&gt;0,E166/F166,"")</x:f>
      </x:c>
      <x:c r="H166" s="14" t="n">
        <x:v>0</x:v>
      </x:c>
      <x:c r="I166" s="14" t="str">
        <x:f>IF(AND(ISNUMBER(H166),E166&gt;0),H166/E166,"")</x:f>
      </x:c>
      <x:c r="J166" s="12"/>
      <x:c r="K166" s="13" t="str">
        <x:f>IF(AND(ISNUMBER(J166),F166&gt;0),J166/F166,"")</x:f>
      </x:c>
      <x:c r="L166" s="12"/>
      <x:c r="M166" s="12"/>
      <x:c r="N166" s="12"/>
      <x:c r="O166" s="12" t="n">
        <x:v>0</x:v>
      </x:c>
      <x:c r="P166" s="12" t="n">
        <x:v>0</x:v>
      </x:c>
      <x:c r="Q166" s="13" t="str">
        <x:f>IF(AND(ISNUMBER(O166),P166&gt;0),O166/P166,"")</x:f>
      </x:c>
      <x:c r="R166" s="12" t="n">
        <x:v>0</x:v>
      </x:c>
      <x:c r="S166" s="12" t="n">
        <x:v>0</x:v>
      </x:c>
      <x:c r="T166" s="12" t="n">
        <x:v>0</x:v>
      </x:c>
      <x:c r="U166" s="12" t="n">
        <x:v>0</x:v>
      </x:c>
      <x:c r="V166" s="4" t="str">
        <x:f>IF(D166&lt;&gt;"原始汇总核实","未核实；排除合计",IF(F166=0,"无GV不可算",IF(AND(F166&gt;=30000,G166&lt;0.03),"高流量低转化",IF(AND(F166&gt;=3000,F166&lt;30000,G166&gt;=0.08),"高转化待扩流","常规"))))</x:f>
        <x:v>无GV不可算</x:v>
      </x:c>
      <x:c r="W166" s="4" t="str">
        <x:v>Luftkompressor 12V, HYCHIKA Auto Luftpumpe 160PSI/1100KPA/11bar mit 2000mAh Akku, LCD-Bildschirm Mini Reifenpumpe Automatische Abschaltung Elektrischer Kompressor für Reifen, Bälle, Ballon</x:v>
      </x:c>
    </x:row>
    <x:row r="167" ht="22" customHeight="1">
      <x:c r="A167" s="4" t="str">
        <x:v>B099K1PFKD</x:v>
      </x:c>
      <x:c r="B167" s="4" t="str">
        <x:v>HYCHIKA</x:v>
      </x:c>
      <x:c r="C167" s="4" t="str">
        <x:v>锯切/开孔及配件</x:v>
      </x:c>
      <x:c r="D167" s="4" t="str">
        <x:v>原始汇总核实</x:v>
      </x:c>
      <x:c r="E167" s="12" t="n">
        <x:v>0</x:v>
      </x:c>
      <x:c r="F167" s="12" t="n">
        <x:v>0</x:v>
      </x:c>
      <x:c r="G167" s="13" t="str">
        <x:f>IF(F167&gt;0,E167/F167,"")</x:f>
      </x:c>
      <x:c r="H167" s="14" t="n">
        <x:v>0</x:v>
      </x:c>
      <x:c r="I167" s="14" t="str">
        <x:f>IF(AND(ISNUMBER(H167),E167&gt;0),H167/E167,"")</x:f>
      </x:c>
      <x:c r="J167" s="12"/>
      <x:c r="K167" s="13" t="str">
        <x:f>IF(AND(ISNUMBER(J167),F167&gt;0),J167/F167,"")</x:f>
      </x:c>
      <x:c r="L167" s="12"/>
      <x:c r="M167" s="12"/>
      <x:c r="N167" s="12"/>
      <x:c r="O167" s="12" t="n">
        <x:v>1</x:v>
      </x:c>
      <x:c r="P167" s="12" t="n">
        <x:v>0</x:v>
      </x:c>
      <x:c r="Q167" s="13" t="str">
        <x:f>IF(AND(ISNUMBER(O167),P167&gt;0),O167/P167,"")</x:f>
      </x:c>
      <x:c r="R167" s="12" t="n">
        <x:v>0</x:v>
      </x:c>
      <x:c r="S167" s="12" t="n">
        <x:v>0</x:v>
      </x:c>
      <x:c r="T167" s="12" t="n">
        <x:v>0</x:v>
      </x:c>
      <x:c r="U167" s="12" t="n">
        <x:v>0</x:v>
      </x:c>
      <x:c r="V167" s="4" t="str">
        <x:f>IF(D167&lt;&gt;"原始汇总核实","未核实；排除合计",IF(F167=0,"无GV不可算",IF(AND(F167&gt;=30000,G167&lt;0.03),"高流量低转化",IF(AND(F167&gt;=3000,F167&lt;30000,G167&gt;=0.08),"高转化待扩流","常规"))))</x:f>
        <x:v>无GV不可算</x:v>
      </x:c>
      <x:c r="W167" s="4" t="str">
        <x:v>Motosierra Bateria Brushless, HYCHIKA Eléctrica, Espada 35.5 CM</x:v>
      </x:c>
    </x:row>
    <x:row r="168" ht="22" customHeight="1">
      <x:c r="A168" s="4" t="str">
        <x:v>B099ZV82FN</x:v>
      </x:c>
      <x:c r="B168" s="4" t="str">
        <x:v>HYCHIKA</x:v>
      </x:c>
      <x:c r="C168" s="4" t="str">
        <x:v>锯切/开孔及配件</x:v>
      </x:c>
      <x:c r="D168" s="4" t="str">
        <x:v>原始汇总核实</x:v>
      </x:c>
      <x:c r="E168" s="12" t="n">
        <x:v>0</x:v>
      </x:c>
      <x:c r="F168" s="12" t="n">
        <x:v>0</x:v>
      </x:c>
      <x:c r="G168" s="13" t="str">
        <x:f>IF(F168&gt;0,E168/F168,"")</x:f>
      </x:c>
      <x:c r="H168" s="14" t="n">
        <x:v>0</x:v>
      </x:c>
      <x:c r="I168" s="14" t="str">
        <x:f>IF(AND(ISNUMBER(H168),E168&gt;0),H168/E168,"")</x:f>
      </x:c>
      <x:c r="J168" s="12"/>
      <x:c r="K168" s="13" t="str">
        <x:f>IF(AND(ISNUMBER(J168),F168&gt;0),J168/F168,"")</x:f>
      </x:c>
      <x:c r="L168" s="12"/>
      <x:c r="M168" s="12"/>
      <x:c r="N168" s="12"/>
      <x:c r="O168" s="12" t="n">
        <x:v>0</x:v>
      </x:c>
      <x:c r="P168" s="12" t="n">
        <x:v>0</x:v>
      </x:c>
      <x:c r="Q168" s="13" t="str">
        <x:f>IF(AND(ISNUMBER(O168),P168&gt;0),O168/P168,"")</x:f>
      </x:c>
      <x:c r="R168" s="12"/>
      <x:c r="S168" s="12"/>
      <x:c r="T168" s="12"/>
      <x:c r="U168" s="12" t="n">
        <x:v>0</x:v>
      </x:c>
      <x:c r="V168" s="4" t="str">
        <x:f>IF(D168&lt;&gt;"原始汇总核实","未核实；排除合计",IF(F168=0,"无GV不可算",IF(AND(F168&gt;=30000,G168&lt;0.03),"高流量低转化",IF(AND(F168&gt;=3000,F168&lt;30000,G168&gt;=0.08),"高转化待扩流","常规"))))</x:f>
        <x:v>无GV不可算</x:v>
      </x:c>
      <x:c r="W168" s="4" t="str">
        <x:v>Hojas de Sierra Sable, Hoja Sierra Sable 8 Pcs Cortar Metal, Madera, Plástico, Con Caja De Almacenamiento</x:v>
      </x:c>
    </x:row>
    <x:row r="169" ht="22" customHeight="1">
      <x:c r="A169" s="4" t="str">
        <x:v>B09BJDLXNC</x:v>
      </x:c>
      <x:c r="B169" s="4" t="str">
        <x:v>HYCHIKA</x:v>
      </x:c>
      <x:c r="C169" s="4" t="str">
        <x:v>锯切/开孔及配件</x:v>
      </x:c>
      <x:c r="D169" s="4" t="str">
        <x:v>原始汇总核实</x:v>
      </x:c>
      <x:c r="E169" s="12" t="n">
        <x:v>0</x:v>
      </x:c>
      <x:c r="F169" s="12" t="n">
        <x:v>0</x:v>
      </x:c>
      <x:c r="G169" s="13" t="str">
        <x:f>IF(F169&gt;0,E169/F169,"")</x:f>
      </x:c>
      <x:c r="H169" s="14" t="n">
        <x:v>0</x:v>
      </x:c>
      <x:c r="I169" s="14" t="str">
        <x:f>IF(AND(ISNUMBER(H169),E169&gt;0),H169/E169,"")</x:f>
      </x:c>
      <x:c r="J169" s="12"/>
      <x:c r="K169" s="13" t="str">
        <x:f>IF(AND(ISNUMBER(J169),F169&gt;0),J169/F169,"")</x:f>
      </x:c>
      <x:c r="L169" s="12"/>
      <x:c r="M169" s="12"/>
      <x:c r="N169" s="12"/>
      <x:c r="O169" s="12" t="n">
        <x:v>0</x:v>
      </x:c>
      <x:c r="P169" s="12" t="n">
        <x:v>0</x:v>
      </x:c>
      <x:c r="Q169" s="13" t="str">
        <x:f>IF(AND(ISNUMBER(O169),P169&gt;0),O169/P169,"")</x:f>
      </x:c>
      <x:c r="R169" s="12" t="n">
        <x:v>0</x:v>
      </x:c>
      <x:c r="S169" s="12"/>
      <x:c r="T169" s="12"/>
      <x:c r="U169" s="12"/>
      <x:c r="V169" s="4" t="str">
        <x:f>IF(D169&lt;&gt;"原始汇总核实","未核实；排除合计",IF(F169=0,"无GV不可算",IF(AND(F169&gt;=30000,G169&lt;0.03),"高流量低转化",IF(AND(F169&gt;=3000,F169&lt;30000,G169&gt;=0.08),"高转化待扩流","常规"))))</x:f>
        <x:v>无GV不可算</x:v>
      </x:c>
      <x:c r="W169" s="4" t="str">
        <x:v>Säbelsäge, HYCHIKA 12V Akku Säbelsäge mit 2x2.0 Ah Batterie, mit variabler Drehzahl von 0 bis 2800SPM, 6 Sägeblätter, Schnellladegerät, LED Licht, Ideal zum Schneiden von Holz und Metall</x:v>
      </x:c>
    </x:row>
    <x:row r="170" ht="22" customHeight="1">
      <x:c r="A170" s="4" t="str">
        <x:v>B09G66F7TZ</x:v>
      </x:c>
      <x:c r="B170" s="4" t="str">
        <x:v>HYCHIKA</x:v>
      </x:c>
      <x:c r="C170" s="4" t="str">
        <x:v>电动螺丝刀</x:v>
      </x:c>
      <x:c r="D170" s="4" t="str">
        <x:v>原始汇总核实</x:v>
      </x:c>
      <x:c r="E170" s="12" t="n">
        <x:v>0</x:v>
      </x:c>
      <x:c r="F170" s="12" t="n">
        <x:v>182</x:v>
      </x:c>
      <x:c r="G170" s="13" t="n">
        <x:f>IF(F170&gt;0,E170/F170,"")</x:f>
        <x:v>0</x:v>
      </x:c>
      <x:c r="H170" s="14" t="n">
        <x:v>0</x:v>
      </x:c>
      <x:c r="I170" s="14" t="str">
        <x:f>IF(AND(ISNUMBER(H170),E170&gt;0),H170/E170,"")</x:f>
      </x:c>
      <x:c r="J170" s="12"/>
      <x:c r="K170" s="13" t="str">
        <x:f>IF(AND(ISNUMBER(J170),F170&gt;0),J170/F170,"")</x:f>
      </x:c>
      <x:c r="L170" s="12"/>
      <x:c r="M170" s="12"/>
      <x:c r="N170" s="12"/>
      <x:c r="O170" s="12" t="n">
        <x:v>3</x:v>
      </x:c>
      <x:c r="P170" s="12" t="n">
        <x:v>0</x:v>
      </x:c>
      <x:c r="Q170" s="13" t="str">
        <x:f>IF(AND(ISNUMBER(O170),P170&gt;0),O170/P170,"")</x:f>
      </x:c>
      <x:c r="R170" s="12" t="n">
        <x:v>0</x:v>
      </x:c>
      <x:c r="S170" s="12" t="n">
        <x:v>0</x:v>
      </x:c>
      <x:c r="T170" s="12" t="n">
        <x:v>0</x:v>
      </x:c>
      <x:c r="U170" s="12" t="n">
        <x:v>0</x:v>
      </x:c>
      <x:c r="V170" s="4" t="str">
        <x:f>IF(D170&lt;&gt;"原始汇总核实","未核实；排除合计",IF(F170=0,"无GV不可算",IF(AND(F170&gt;=30000,G170&lt;0.03),"高流量低转化",IF(AND(F170&gt;=3000,F170&lt;30000,G170&gt;=0.08),"高转化待扩流","常规"))))</x:f>
        <x:v>常规</x:v>
      </x:c>
      <x:c r="W170" s="4" t="str">
        <x:v>HYCHIKA Destornillador Eléctrico 3N.m, Atornillador a Batería 2,0Ah, Juego de 58 Pcs, LED Luz, 3.6V Carga USB, Mini Atornillador Eléctrico, Juego de Destornilladores Recargables,Verde</x:v>
      </x:c>
    </x:row>
    <x:row r="171" ht="22" customHeight="1">
      <x:c r="A171" s="4" t="str">
        <x:v>B09LQM2H7Z</x:v>
      </x:c>
      <x:c r="B171" s="4" t="str">
        <x:v>HYCHIKA</x:v>
      </x:c>
      <x:c r="C171" s="4" t="str">
        <x:v>电钻/冲击工具</x:v>
      </x:c>
      <x:c r="D171" s="4" t="str">
        <x:v>原始汇总核实</x:v>
      </x:c>
      <x:c r="E171" s="12" t="n">
        <x:v>0</x:v>
      </x:c>
      <x:c r="F171" s="12" t="n">
        <x:v>53</x:v>
      </x:c>
      <x:c r="G171" s="13" t="n">
        <x:f>IF(F171&gt;0,E171/F171,"")</x:f>
        <x:v>0</x:v>
      </x:c>
      <x:c r="H171" s="14" t="n">
        <x:v>0</x:v>
      </x:c>
      <x:c r="I171" s="14" t="str">
        <x:f>IF(AND(ISNUMBER(H171),E171&gt;0),H171/E171,"")</x:f>
      </x:c>
      <x:c r="J171" s="12"/>
      <x:c r="K171" s="13" t="str">
        <x:f>IF(AND(ISNUMBER(J171),F171&gt;0),J171/F171,"")</x:f>
      </x:c>
      <x:c r="L171" s="12"/>
      <x:c r="M171" s="12"/>
      <x:c r="N171" s="12"/>
      <x:c r="O171" s="12" t="n">
        <x:v>1</x:v>
      </x:c>
      <x:c r="P171" s="12" t="n">
        <x:v>0</x:v>
      </x:c>
      <x:c r="Q171" s="13" t="str">
        <x:f>IF(AND(ISNUMBER(O171),P171&gt;0),O171/P171,"")</x:f>
      </x:c>
      <x:c r="R171" s="12" t="n">
        <x:v>0</x:v>
      </x:c>
      <x:c r="S171" s="12" t="n">
        <x:v>0</x:v>
      </x:c>
      <x:c r="T171" s="12" t="n">
        <x:v>0</x:v>
      </x:c>
      <x:c r="U171" s="12" t="n">
        <x:v>0</x:v>
      </x:c>
      <x:c r="V171" s="4" t="str">
        <x:f>IF(D171&lt;&gt;"原始汇总核实","未核实；排除合计",IF(F171=0,"无GV不可算",IF(AND(F171&gt;=30000,G171&lt;0.03),"高流量低转化",IF(AND(F171&gt;=3000,F171&lt;30000,G171&gt;=0.08),"高转化待扩流","常规"))))</x:f>
        <x:v>常规</x:v>
      </x:c>
      <x:c r="W171" s="4" t="str">
        <x:v>HYCHIKA Trapano Avvitatore 18V, Trapani Combinati Azionatore a percussione a Impulsi 160Nm, 2,0Ah Batteria, Borsa di Stoccaggio e 22 Accessori Inclusi</x:v>
      </x:c>
    </x:row>
    <x:row r="172" ht="22" customHeight="1">
      <x:c r="A172" s="4" t="str">
        <x:v>B09NCVHY5V</x:v>
      </x:c>
      <x:c r="B172" s="4" t="str">
        <x:v>HYCHIKA</x:v>
      </x:c>
      <x:c r="C172" s="4" t="str">
        <x:v>电动螺丝刀</x:v>
      </x:c>
      <x:c r="D172" s="4" t="str">
        <x:v>原始汇总核实</x:v>
      </x:c>
      <x:c r="E172" s="12" t="n">
        <x:v>0</x:v>
      </x:c>
      <x:c r="F172" s="12" t="n">
        <x:v>0</x:v>
      </x:c>
      <x:c r="G172" s="13" t="str">
        <x:f>IF(F172&gt;0,E172/F172,"")</x:f>
      </x:c>
      <x:c r="H172" s="14" t="n">
        <x:v>0</x:v>
      </x:c>
      <x:c r="I172" s="14" t="str">
        <x:f>IF(AND(ISNUMBER(H172),E172&gt;0),H172/E172,"")</x:f>
      </x:c>
      <x:c r="J172" s="12"/>
      <x:c r="K172" s="13" t="str">
        <x:f>IF(AND(ISNUMBER(J172),F172&gt;0),J172/F172,"")</x:f>
      </x:c>
      <x:c r="L172" s="12"/>
      <x:c r="M172" s="12"/>
      <x:c r="N172" s="12"/>
      <x:c r="O172" s="12" t="n">
        <x:v>1</x:v>
      </x:c>
      <x:c r="P172" s="12" t="n">
        <x:v>0</x:v>
      </x:c>
      <x:c r="Q172" s="13" t="str">
        <x:f>IF(AND(ISNUMBER(O172),P172&gt;0),O172/P172,"")</x:f>
      </x:c>
      <x:c r="R172" s="12" t="n">
        <x:v>0</x:v>
      </x:c>
      <x:c r="S172" s="12" t="n">
        <x:v>0</x:v>
      </x:c>
      <x:c r="T172" s="12" t="n">
        <x:v>0</x:v>
      </x:c>
      <x:c r="U172" s="12" t="n">
        <x:v>0</x:v>
      </x:c>
      <x:c r="V172" s="4" t="str">
        <x:f>IF(D172&lt;&gt;"原始汇总核实","未核实；排除合计",IF(F172=0,"无GV不可算",IF(AND(F172&gt;=30000,G172&lt;0.03),"高流量低转化",IF(AND(F172&gt;=3000,F172&lt;30000,G172&gt;=0.08),"高转化待扩流","常规"))))</x:f>
        <x:v>无GV不可算</x:v>
      </x:c>
      <x:c r="W172" s="4" t="str">
        <x:v>Taladro Atornillador Batería 12V, HYCHIKA Taladro Percutor a Batería con 2 Baterías, 21+1 Ajuste de Par, Destornillador Eléctrico con 23 accesorios</x:v>
      </x:c>
    </x:row>
    <x:row r="173" ht="22" customHeight="1">
      <x:c r="A173" s="4" t="str">
        <x:v>B09NR62S6M</x:v>
      </x:c>
      <x:c r="B173" s="4" t="str">
        <x:v>SORAKO</x:v>
      </x:c>
      <x:c r="C173" s="4" t="str">
        <x:v>电动螺丝刀</x:v>
      </x:c>
      <x:c r="D173" s="4" t="str">
        <x:v>原始汇总核实</x:v>
      </x:c>
      <x:c r="E173" s="12" t="n">
        <x:v>0</x:v>
      </x:c>
      <x:c r="F173" s="12" t="n">
        <x:v>0</x:v>
      </x:c>
      <x:c r="G173" s="13" t="str">
        <x:f>IF(F173&gt;0,E173/F173,"")</x:f>
      </x:c>
      <x:c r="H173" s="14" t="n">
        <x:v>0</x:v>
      </x:c>
      <x:c r="I173" s="14" t="str">
        <x:f>IF(AND(ISNUMBER(H173),E173&gt;0),H173/E173,"")</x:f>
      </x:c>
      <x:c r="J173" s="12"/>
      <x:c r="K173" s="13" t="str">
        <x:f>IF(AND(ISNUMBER(J173),F173&gt;0),J173/F173,"")</x:f>
      </x:c>
      <x:c r="L173" s="12"/>
      <x:c r="M173" s="12"/>
      <x:c r="N173" s="12"/>
      <x:c r="O173" s="12" t="n">
        <x:v>0</x:v>
      </x:c>
      <x:c r="P173" s="12" t="n">
        <x:v>0</x:v>
      </x:c>
      <x:c r="Q173" s="13" t="str">
        <x:f>IF(AND(ISNUMBER(O173),P173&gt;0),O173/P173,"")</x:f>
      </x:c>
      <x:c r="R173" s="12" t="n">
        <x:v>0</x:v>
      </x:c>
      <x:c r="S173" s="12" t="n">
        <x:v>0</x:v>
      </x:c>
      <x:c r="T173" s="12" t="n">
        <x:v>0</x:v>
      </x:c>
      <x:c r="U173" s="12" t="n">
        <x:v>0</x:v>
      </x:c>
      <x:c r="V173" s="4" t="str">
        <x:f>IF(D173&lt;&gt;"原始汇总核实","未核实；排除合计",IF(F173=0,"无GV不可算",IF(AND(F173&gt;=30000,G173&lt;0.03),"高流量低转化",IF(AND(F173&gt;=3000,F173&lt;30000,G173&gt;=0.08),"高转化待扩流","常规"))))</x:f>
        <x:v>无GV不可算</x:v>
      </x:c>
      <x:c r="W173" s="4" t="str">
        <x:v>SORAKO Destornillador Inalámbrico 3.6V, 6Nm, Con Batería 2.0Ah, Mandril Magnético, Luz LED, Rotación Horaria/Antihoraria, Carga USB</x:v>
      </x:c>
    </x:row>
    <x:row r="174" ht="22" customHeight="1">
      <x:c r="A174" s="4" t="str">
        <x:v>B0B1SLBK2P</x:v>
      </x:c>
      <x:c r="B174" s="4" t="str">
        <x:v>HYCHIKA</x:v>
      </x:c>
      <x:c r="C174" s="4" t="str">
        <x:v>电钻/冲击工具</x:v>
      </x:c>
      <x:c r="D174" s="4" t="str">
        <x:v>原始汇总核实</x:v>
      </x:c>
      <x:c r="E174" s="12" t="n">
        <x:v>0</x:v>
      </x:c>
      <x:c r="F174" s="12" t="n">
        <x:v>91</x:v>
      </x:c>
      <x:c r="G174" s="13" t="n">
        <x:f>IF(F174&gt;0,E174/F174,"")</x:f>
        <x:v>0</x:v>
      </x:c>
      <x:c r="H174" s="14" t="n">
        <x:v>0</x:v>
      </x:c>
      <x:c r="I174" s="14" t="str">
        <x:f>IF(AND(ISNUMBER(H174),E174&gt;0),H174/E174,"")</x:f>
      </x:c>
      <x:c r="J174" s="12"/>
      <x:c r="K174" s="13" t="str">
        <x:f>IF(AND(ISNUMBER(J174),F174&gt;0),J174/F174,"")</x:f>
      </x:c>
      <x:c r="L174" s="12"/>
      <x:c r="M174" s="12"/>
      <x:c r="N174" s="12"/>
      <x:c r="O174" s="12" t="n">
        <x:v>0</x:v>
      </x:c>
      <x:c r="P174" s="12" t="n">
        <x:v>0</x:v>
      </x:c>
      <x:c r="Q174" s="13" t="str">
        <x:f>IF(AND(ISNUMBER(O174),P174&gt;0),O174/P174,"")</x:f>
      </x:c>
      <x:c r="R174" s="12" t="n">
        <x:v>0</x:v>
      </x:c>
      <x:c r="S174" s="12" t="n">
        <x:v>0</x:v>
      </x:c>
      <x:c r="T174" s="12" t="n">
        <x:v>0</x:v>
      </x:c>
      <x:c r="U174" s="12" t="n">
        <x:v>0</x:v>
      </x:c>
      <x:c r="V174" s="4" t="str">
        <x:f>IF(D174&lt;&gt;"原始汇总核实","未核实；排除合计",IF(F174=0,"无GV不可算",IF(AND(F174&gt;=30000,G174&lt;0.03),"高流量低转化",IF(AND(F174&gt;=3000,F174&lt;30000,G174&gt;=0.08),"高转化待扩流","常规"))))</x:f>
        <x:v>常规</x:v>
      </x:c>
      <x:c r="W174" s="4" t="str">
        <x:v>Akkuschrauber, HYCHIKA 6N·m Drehmoment 2000mAh 3,6V Akku &amp; Amazon Basics Ratschenschlüssel magnetisch und PräzisionsSchraubendreher für Elektronik, 73 Stück, 1er-Pack, Schwarz/Silber/Rot</x:v>
      </x:c>
    </x:row>
    <x:row r="175" ht="22" customHeight="1">
      <x:c r="A175" s="4" t="str">
        <x:v>B0BJ5TZYXR</x:v>
      </x:c>
      <x:c r="B175" s="4" t="str">
        <x:v>SORAKO</x:v>
      </x:c>
      <x:c r="C175" s="4" t="str">
        <x:v>激光测量</x:v>
      </x:c>
      <x:c r="D175" s="4" t="str">
        <x:v>原始汇总核实</x:v>
      </x:c>
      <x:c r="E175" s="12" t="n">
        <x:v>0</x:v>
      </x:c>
      <x:c r="F175" s="12" t="n">
        <x:v>0</x:v>
      </x:c>
      <x:c r="G175" s="13" t="str">
        <x:f>IF(F175&gt;0,E175/F175,"")</x:f>
      </x:c>
      <x:c r="H175" s="14" t="n">
        <x:v>0</x:v>
      </x:c>
      <x:c r="I175" s="14" t="str">
        <x:f>IF(AND(ISNUMBER(H175),E175&gt;0),H175/E175,"")</x:f>
      </x:c>
      <x:c r="J175" s="12"/>
      <x:c r="K175" s="13" t="str">
        <x:f>IF(AND(ISNUMBER(J175),F175&gt;0),J175/F175,"")</x:f>
      </x:c>
      <x:c r="L175" s="12"/>
      <x:c r="M175" s="12"/>
      <x:c r="N175" s="12"/>
      <x:c r="O175" s="12" t="n">
        <x:v>0</x:v>
      </x:c>
      <x:c r="P175" s="12" t="n">
        <x:v>0</x:v>
      </x:c>
      <x:c r="Q175" s="13" t="str">
        <x:f>IF(AND(ISNUMBER(O175),P175&gt;0),O175/P175,"")</x:f>
      </x:c>
      <x:c r="R175" s="12"/>
      <x:c r="S175" s="12"/>
      <x:c r="T175" s="12" t="n">
        <x:v>0</x:v>
      </x:c>
      <x:c r="U175" s="12"/>
      <x:c r="V175" s="4" t="str">
        <x:f>IF(D175&lt;&gt;"原始汇总核实","未核实；排除合计",IF(F175=0,"无GV不可算",IF(AND(F175&gt;=30000,G175&lt;0.03),"高流量低转化",IF(AND(F175&gt;=3000,F175&lt;30000,G175&gt;=0.08),"高转化待扩流","常规"))))</x:f>
        <x:v>无GV不可算</x:v>
      </x:c>
      <x:c r="W175" s="4" t="str">
        <x:v>Linienlaser</x:v>
      </x:c>
    </x:row>
    <x:row r="176" ht="22" customHeight="1">
      <x:c r="A176" s="4" t="str">
        <x:v>B0BKFN4K33</x:v>
      </x:c>
      <x:c r="B176" s="4" t="str">
        <x:v>SORAKO</x:v>
      </x:c>
      <x:c r="C176" s="4" t="str">
        <x:v>锯切/开孔及配件</x:v>
      </x:c>
      <x:c r="D176" s="4" t="str">
        <x:v>原始汇总核实</x:v>
      </x:c>
      <x:c r="E176" s="12" t="n">
        <x:v>0</x:v>
      </x:c>
      <x:c r="F176" s="12" t="n">
        <x:v>0</x:v>
      </x:c>
      <x:c r="G176" s="13" t="str">
        <x:f>IF(F176&gt;0,E176/F176,"")</x:f>
      </x:c>
      <x:c r="H176" s="14" t="n">
        <x:v>0</x:v>
      </x:c>
      <x:c r="I176" s="14" t="str">
        <x:f>IF(AND(ISNUMBER(H176),E176&gt;0),H176/E176,"")</x:f>
      </x:c>
      <x:c r="J176" s="12"/>
      <x:c r="K176" s="13" t="str">
        <x:f>IF(AND(ISNUMBER(J176),F176&gt;0),J176/F176,"")</x:f>
      </x:c>
      <x:c r="L176" s="12"/>
      <x:c r="M176" s="12"/>
      <x:c r="N176" s="12"/>
      <x:c r="O176" s="12" t="n">
        <x:v>0</x:v>
      </x:c>
      <x:c r="P176" s="12" t="n">
        <x:v>0</x:v>
      </x:c>
      <x:c r="Q176" s="13" t="str">
        <x:f>IF(AND(ISNUMBER(O176),P176&gt;0),O176/P176,"")</x:f>
      </x:c>
      <x:c r="R176" s="12" t="n">
        <x:v>0</x:v>
      </x:c>
      <x:c r="S176" s="12" t="n">
        <x:v>0</x:v>
      </x:c>
      <x:c r="T176" s="12" t="n">
        <x:v>0</x:v>
      </x:c>
      <x:c r="U176" s="12" t="n">
        <x:v>0</x:v>
      </x:c>
      <x:c r="V176" s="4" t="str">
        <x:f>IF(D176&lt;&gt;"原始汇总核实","未核实；排除合计",IF(F176=0,"无GV不可算",IF(AND(F176&gt;=30000,G176&lt;0.03),"高流量低转化",IF(AND(F176&gt;=3000,F176&lt;30000,G176&gt;=0.08),"高转化待扩流","常规"))))</x:f>
        <x:v>无GV不可算</x:v>
      </x:c>
      <x:c r="W176" s="4" t="str">
        <x:v>SORAKO Motosierra Batería, 18V Motosierra Eléctrica con 4.0Ah Batería, barra guía de 25cm, tensión de cadena sin herramientas, autolubricante para cortar madera, árboles</x:v>
      </x:c>
    </x:row>
    <x:row r="177" ht="22" customHeight="1">
      <x:c r="A177" s="4" t="str">
        <x:v>B0BKG6ZCLK</x:v>
      </x:c>
      <x:c r="B177" s="4" t="str">
        <x:v>SORAKO</x:v>
      </x:c>
      <x:c r="C177" s="4" t="str">
        <x:v>激光测量</x:v>
      </x:c>
      <x:c r="D177" s="4" t="str">
        <x:v>原始汇总核实</x:v>
      </x:c>
      <x:c r="E177" s="12" t="n">
        <x:v>0</x:v>
      </x:c>
      <x:c r="F177" s="12" t="n">
        <x:v>50</x:v>
      </x:c>
      <x:c r="G177" s="13" t="n">
        <x:f>IF(F177&gt;0,E177/F177,"")</x:f>
        <x:v>0</x:v>
      </x:c>
      <x:c r="H177" s="14" t="n">
        <x:v>0</x:v>
      </x:c>
      <x:c r="I177" s="14" t="str">
        <x:f>IF(AND(ISNUMBER(H177),E177&gt;0),H177/E177,"")</x:f>
      </x:c>
      <x:c r="J177" s="12"/>
      <x:c r="K177" s="13" t="str">
        <x:f>IF(AND(ISNUMBER(J177),F177&gt;0),J177/F177,"")</x:f>
      </x:c>
      <x:c r="L177" s="12"/>
      <x:c r="M177" s="12"/>
      <x:c r="N177" s="12"/>
      <x:c r="O177" s="12" t="n">
        <x:v>1</x:v>
      </x:c>
      <x:c r="P177" s="12" t="n">
        <x:v>0</x:v>
      </x:c>
      <x:c r="Q177" s="13" t="str">
        <x:f>IF(AND(ISNUMBER(O177),P177&gt;0),O177/P177,"")</x:f>
      </x:c>
      <x:c r="R177" s="12" t="n">
        <x:v>0</x:v>
      </x:c>
      <x:c r="S177" s="12" t="n">
        <x:v>0</x:v>
      </x:c>
      <x:c r="T177" s="12" t="n">
        <x:v>0</x:v>
      </x:c>
      <x:c r="U177" s="12" t="n">
        <x:v>0</x:v>
      </x:c>
      <x:c r="V177" s="4" t="str">
        <x:f>IF(D177&lt;&gt;"原始汇总核实","未核实；排除合计",IF(F177=0,"无GV不可算",IF(AND(F177&gt;=30000,G177&lt;0.03),"高流量低转化",IF(AND(F177&gt;=3000,F177&lt;30000,G177&gt;=0.08),"高转化待扩流","常规"))))</x:f>
        <x:v>常规</x:v>
      </x:c>
      <x:c r="W177" s="4" t="str">
        <x:v>Nivel Laser, SORAKO Nivel Laser Autonivelante Rojo, 15m, Nivel Láser Automático, IP54, Nivel Laser Automático 360°, Herramienta De Nivelación Profesional De Alta Precisión</x:v>
      </x:c>
    </x:row>
    <x:row r="178" ht="22" customHeight="1">
      <x:c r="A178" s="4" t="str">
        <x:v>B0BRCV73YZ</x:v>
      </x:c>
      <x:c r="B178" s="4" t="str">
        <x:v>HYCHIKA</x:v>
      </x:c>
      <x:c r="C178" s="4" t="str">
        <x:v>激光测量</x:v>
      </x:c>
      <x:c r="D178" s="4" t="str">
        <x:v>原始汇总核实</x:v>
      </x:c>
      <x:c r="E178" s="12" t="n">
        <x:v>0</x:v>
      </x:c>
      <x:c r="F178" s="12" t="n">
        <x:v>171</x:v>
      </x:c>
      <x:c r="G178" s="13" t="n">
        <x:f>IF(F178&gt;0,E178/F178,"")</x:f>
        <x:v>0</x:v>
      </x:c>
      <x:c r="H178" s="14" t="n">
        <x:v>0</x:v>
      </x:c>
      <x:c r="I178" s="14" t="str">
        <x:f>IF(AND(ISNUMBER(H178),E178&gt;0),H178/E178,"")</x:f>
      </x:c>
      <x:c r="J178" s="12"/>
      <x:c r="K178" s="13" t="str">
        <x:f>IF(AND(ISNUMBER(J178),F178&gt;0),J178/F178,"")</x:f>
      </x:c>
      <x:c r="L178" s="12"/>
      <x:c r="M178" s="12"/>
      <x:c r="N178" s="12"/>
      <x:c r="O178" s="12" t="n">
        <x:v>2</x:v>
      </x:c>
      <x:c r="P178" s="12" t="n">
        <x:v>0</x:v>
      </x:c>
      <x:c r="Q178" s="13" t="str">
        <x:f>IF(AND(ISNUMBER(O178),P178&gt;0),O178/P178,"")</x:f>
      </x:c>
      <x:c r="R178" s="12" t="n">
        <x:v>0</x:v>
      </x:c>
      <x:c r="S178" s="12" t="n">
        <x:v>0</x:v>
      </x:c>
      <x:c r="T178" s="12" t="n">
        <x:v>0</x:v>
      </x:c>
      <x:c r="U178" s="12" t="n">
        <x:v>0</x:v>
      </x:c>
      <x:c r="V178" s="4" t="str">
        <x:f>IF(D178&lt;&gt;"原始汇总核实","未核实；排除合计",IF(F178=0,"无GV不可算",IF(AND(F178&gt;=30000,G178&lt;0.03),"高流量低转化",IF(AND(F178&gt;=3000,F178&lt;30000,G178&gt;=0.08),"高转化待扩流","常规"))))</x:f>
        <x:v>常规</x:v>
      </x:c>
      <x:c r="W178" s="4" t="str">
        <x:v>HYCHIKA Nivel Láser, 15m Láser Nivel Cruzado Horizontal y Vertical Láser Autonivelación, Soporte Magnético 360° Rotación 2 batería incluida</x:v>
      </x:c>
    </x:row>
    <x:row r="179" ht="22" customHeight="1">
      <x:c r="A179" s="4" t="str">
        <x:v>B0BRP9BCWN</x:v>
      </x:c>
      <x:c r="B179" s="4" t="str">
        <x:v>HYCHIKA</x:v>
      </x:c>
      <x:c r="C179" s="4" t="str">
        <x:v>锯切/开孔及配件</x:v>
      </x:c>
      <x:c r="D179" s="4" t="str">
        <x:v>原始汇总核实</x:v>
      </x:c>
      <x:c r="E179" s="12" t="n">
        <x:v>0</x:v>
      </x:c>
      <x:c r="F179" s="12" t="n">
        <x:v>0</x:v>
      </x:c>
      <x:c r="G179" s="13" t="str">
        <x:f>IF(F179&gt;0,E179/F179,"")</x:f>
      </x:c>
      <x:c r="H179" s="14" t="n">
        <x:v>0</x:v>
      </x:c>
      <x:c r="I179" s="14" t="str">
        <x:f>IF(AND(ISNUMBER(H179),E179&gt;0),H179/E179,"")</x:f>
      </x:c>
      <x:c r="J179" s="12"/>
      <x:c r="K179" s="13" t="str">
        <x:f>IF(AND(ISNUMBER(J179),F179&gt;0),J179/F179,"")</x:f>
      </x:c>
      <x:c r="L179" s="12"/>
      <x:c r="M179" s="12"/>
      <x:c r="N179" s="12"/>
      <x:c r="O179" s="12" t="n">
        <x:v>0</x:v>
      </x:c>
      <x:c r="P179" s="12" t="n">
        <x:v>0</x:v>
      </x:c>
      <x:c r="Q179" s="13" t="str">
        <x:f>IF(AND(ISNUMBER(O179),P179&gt;0),O179/P179,"")</x:f>
      </x:c>
      <x:c r="R179" s="12" t="n">
        <x:v>0</x:v>
      </x:c>
      <x:c r="S179" s="12" t="n">
        <x:v>0</x:v>
      </x:c>
      <x:c r="T179" s="12" t="n">
        <x:v>0</x:v>
      </x:c>
      <x:c r="U179" s="12" t="n">
        <x:v>0</x:v>
      </x:c>
      <x:c r="V179" s="4" t="str">
        <x:f>IF(D179&lt;&gt;"原始汇总核实","未核实；排除合计",IF(F179=0,"无GV不可算",IF(AND(F179&gt;=30000,G179&lt;0.03),"高流量低转化",IF(AND(F179&gt;=3000,F179&lt;30000,G179&gt;=0.08),"高转化待扩流","常规"))))</x:f>
        <x:v>无GV不可算</x:v>
      </x:c>
      <x:c r="W179" s="4" t="str">
        <x:v>Handkreissäge, HYCHIKA 18V Akku Kreissäge mit 4.0Ah Li-Ion, 4000RPM, maximale Schnitttiefe: 90º (53mm)/45º (36mm), 2 Sägeblätter (24T/40T), Parallelführung, Ideal für Holz, Kunststoff, Weichmetall</x:v>
      </x:c>
    </x:row>
    <x:row r="180" ht="22" customHeight="1">
      <x:c r="A180" s="4" t="str">
        <x:v>B0BX2RL52C</x:v>
      </x:c>
      <x:c r="B180" s="4" t="str">
        <x:v>HYCHIKA</x:v>
      </x:c>
      <x:c r="C180" s="4" t="str">
        <x:v>锯切/开孔及配件</x:v>
      </x:c>
      <x:c r="D180" s="4" t="str">
        <x:v>原始汇总核实</x:v>
      </x:c>
      <x:c r="E180" s="12" t="n">
        <x:v>0</x:v>
      </x:c>
      <x:c r="F180" s="12" t="n">
        <x:v>0</x:v>
      </x:c>
      <x:c r="G180" s="13" t="str">
        <x:f>IF(F180&gt;0,E180/F180,"")</x:f>
      </x:c>
      <x:c r="H180" s="14" t="n">
        <x:v>0</x:v>
      </x:c>
      <x:c r="I180" s="14" t="str">
        <x:f>IF(AND(ISNUMBER(H180),E180&gt;0),H180/E180,"")</x:f>
      </x:c>
      <x:c r="J180" s="12"/>
      <x:c r="K180" s="13" t="str">
        <x:f>IF(AND(ISNUMBER(J180),F180&gt;0),J180/F180,"")</x:f>
      </x:c>
      <x:c r="L180" s="12"/>
      <x:c r="M180" s="12"/>
      <x:c r="N180" s="12"/>
      <x:c r="O180" s="12" t="n">
        <x:v>0</x:v>
      </x:c>
      <x:c r="P180" s="12" t="n">
        <x:v>0</x:v>
      </x:c>
      <x:c r="Q180" s="13" t="str">
        <x:f>IF(AND(ISNUMBER(O180),P180&gt;0),O180/P180,"")</x:f>
      </x:c>
      <x:c r="R180" s="12" t="n">
        <x:v>0</x:v>
      </x:c>
      <x:c r="S180" s="12" t="n">
        <x:v>0</x:v>
      </x:c>
      <x:c r="T180" s="12" t="n">
        <x:v>0</x:v>
      </x:c>
      <x:c r="U180" s="12" t="n">
        <x:v>0</x:v>
      </x:c>
      <x:c r="V180" s="4" t="str">
        <x:f>IF(D180&lt;&gt;"原始汇总核实","未核实；排除合计",IF(F180=0,"无GV不可算",IF(AND(F180&gt;=30000,G180&lt;0.03),"高流量低转化",IF(AND(F180&gt;=3000,F180&lt;30000,G180&gt;=0.08),"高转化待扩流","常规"))))</x:f>
        <x:v>无GV不可算</x:v>
      </x:c>
      <x:c r="W180" s="4" t="str">
        <x:v>HYCHIKA Säbelsägeblätter, 6tlg Säbelsägeblätter Holz Für Bambus, PVC, Holz, Trockenbau, Passt für alle Säbelsäge</x:v>
      </x:c>
    </x:row>
    <x:row r="181" ht="22" customHeight="1">
      <x:c r="A181" s="4" t="str">
        <x:v>B0BZP5VPPS</x:v>
      </x:c>
      <x:c r="B181" s="4" t="str">
        <x:v>SORAKO</x:v>
      </x:c>
      <x:c r="C181" s="4" t="str">
        <x:v>扳手/汽修</x:v>
      </x:c>
      <x:c r="D181" s="4" t="str">
        <x:v>原始汇总核实</x:v>
      </x:c>
      <x:c r="E181" s="12" t="n">
        <x:v>0</x:v>
      </x:c>
      <x:c r="F181" s="12" t="n">
        <x:v>0</x:v>
      </x:c>
      <x:c r="G181" s="13" t="str">
        <x:f>IF(F181&gt;0,E181/F181,"")</x:f>
      </x:c>
      <x:c r="H181" s="14" t="n">
        <x:v>0</x:v>
      </x:c>
      <x:c r="I181" s="14" t="str">
        <x:f>IF(AND(ISNUMBER(H181),E181&gt;0),H181/E181,"")</x:f>
      </x:c>
      <x:c r="J181" s="12"/>
      <x:c r="K181" s="13" t="str">
        <x:f>IF(AND(ISNUMBER(J181),F181&gt;0),J181/F181,"")</x:f>
      </x:c>
      <x:c r="L181" s="12"/>
      <x:c r="M181" s="12"/>
      <x:c r="N181" s="12"/>
      <x:c r="O181" s="12" t="n">
        <x:v>0</x:v>
      </x:c>
      <x:c r="P181" s="12" t="n">
        <x:v>0</x:v>
      </x:c>
      <x:c r="Q181" s="13" t="str">
        <x:f>IF(AND(ISNUMBER(O181),P181&gt;0),O181/P181,"")</x:f>
      </x:c>
      <x:c r="R181" s="12" t="n">
        <x:v>0</x:v>
      </x:c>
      <x:c r="S181" s="12" t="n">
        <x:v>0</x:v>
      </x:c>
      <x:c r="T181" s="12"/>
      <x:c r="U181" s="12" t="n">
        <x:v>0</x:v>
      </x:c>
      <x:c r="V181" s="4" t="str">
        <x:f>IF(D181&lt;&gt;"原始汇总核实","未核实；排除合计",IF(F181=0,"无GV不可算",IF(AND(F181&gt;=30000,G181&lt;0.03),"高流量低转化",IF(AND(F181&gt;=3000,F181&lt;30000,G181&gt;=0.08),"高转化待扩流","常规"))))</x:f>
        <x:v>无GV不可算</x:v>
      </x:c>
      <x:c r="W181" s="4" t="str">
        <x:v>SORAKO Juego de Llaves de Vaso 16 piezas, 1/2 Vasos de Impacto 10-24 mm, con Extensiones de Mango de Llave en L para para Reparar Automóviles</x:v>
      </x:c>
    </x:row>
    <x:row r="182" ht="22" customHeight="1">
      <x:c r="A182" s="4" t="str">
        <x:v>B0BZPBZW9R</x:v>
      </x:c>
      <x:c r="B182" s="4" t="str">
        <x:v>SORAKO</x:v>
      </x:c>
      <x:c r="C182" s="4" t="str">
        <x:v>扳手/汽修</x:v>
      </x:c>
      <x:c r="D182" s="4" t="str">
        <x:v>原始汇总核实</x:v>
      </x:c>
      <x:c r="E182" s="12" t="n">
        <x:v>0</x:v>
      </x:c>
      <x:c r="F182" s="12" t="n">
        <x:v>0</x:v>
      </x:c>
      <x:c r="G182" s="13" t="str">
        <x:f>IF(F182&gt;0,E182/F182,"")</x:f>
      </x:c>
      <x:c r="H182" s="14" t="n">
        <x:v>0</x:v>
      </x:c>
      <x:c r="I182" s="14" t="str">
        <x:f>IF(AND(ISNUMBER(H182),E182&gt;0),H182/E182,"")</x:f>
      </x:c>
      <x:c r="J182" s="12"/>
      <x:c r="K182" s="13" t="str">
        <x:f>IF(AND(ISNUMBER(J182),F182&gt;0),J182/F182,"")</x:f>
      </x:c>
      <x:c r="L182" s="12"/>
      <x:c r="M182" s="12"/>
      <x:c r="N182" s="12"/>
      <x:c r="O182" s="12" t="n">
        <x:v>0</x:v>
      </x:c>
      <x:c r="P182" s="12" t="n">
        <x:v>0</x:v>
      </x:c>
      <x:c r="Q182" s="13" t="str">
        <x:f>IF(AND(ISNUMBER(O182),P182&gt;0),O182/P182,"")</x:f>
      </x:c>
      <x:c r="R182" s="12" t="n">
        <x:v>0</x:v>
      </x:c>
      <x:c r="S182" s="12"/>
      <x:c r="T182" s="12" t="n">
        <x:v>0</x:v>
      </x:c>
      <x:c r="U182" s="12"/>
      <x:c r="V182" s="4" t="str">
        <x:f>IF(D182&lt;&gt;"原始汇总核实","未核实；排除合计",IF(F182=0,"无GV不可算",IF(AND(F182&gt;=30000,G182&lt;0.03),"高流量低转化",IF(AND(F182&gt;=3000,F182&lt;30000,G182&gt;=0.08),"高转化待扩流","常规"))))</x:f>
        <x:v>无GV不可算</x:v>
      </x:c>
      <x:c r="W182" s="4" t="str">
        <x:v>SORAKO Ratschenschlüssel 13mm, Schraubenschlüssel Maulschlüssel Ringmaulschlüssel aus CR-V mit mattierter Chromoberfläche</x:v>
      </x:c>
    </x:row>
    <x:row r="183" ht="22" customHeight="1">
      <x:c r="A183" s="4" t="str">
        <x:v>B0C8RYFL4G</x:v>
      </x:c>
      <x:c r="B183" s="4" t="str">
        <x:v>HYCHIKA</x:v>
      </x:c>
      <x:c r="C183" s="4" t="str">
        <x:v>电钻/冲击工具</x:v>
      </x:c>
      <x:c r="D183" s="4" t="str">
        <x:v>原始汇总核实</x:v>
      </x:c>
      <x:c r="E183" s="12" t="n">
        <x:v>0</x:v>
      </x:c>
      <x:c r="F183" s="12" t="n">
        <x:v>0</x:v>
      </x:c>
      <x:c r="G183" s="13" t="str">
        <x:f>IF(F183&gt;0,E183/F183,"")</x:f>
      </x:c>
      <x:c r="H183" s="14" t="n">
        <x:v>0</x:v>
      </x:c>
      <x:c r="I183" s="14" t="str">
        <x:f>IF(AND(ISNUMBER(H183),E183&gt;0),H183/E183,"")</x:f>
      </x:c>
      <x:c r="J183" s="12"/>
      <x:c r="K183" s="13" t="str">
        <x:f>IF(AND(ISNUMBER(J183),F183&gt;0),J183/F183,"")</x:f>
      </x:c>
      <x:c r="L183" s="12"/>
      <x:c r="M183" s="12"/>
      <x:c r="N183" s="12"/>
      <x:c r="O183" s="12" t="n">
        <x:v>0</x:v>
      </x:c>
      <x:c r="P183" s="12" t="n">
        <x:v>0</x:v>
      </x:c>
      <x:c r="Q183" s="13" t="str">
        <x:f>IF(AND(ISNUMBER(O183),P183&gt;0),O183/P183,"")</x:f>
      </x:c>
      <x:c r="R183" s="12" t="n">
        <x:v>0</x:v>
      </x:c>
      <x:c r="S183" s="12" t="n">
        <x:v>0</x:v>
      </x:c>
      <x:c r="T183" s="12" t="n">
        <x:v>0</x:v>
      </x:c>
      <x:c r="U183" s="12" t="n">
        <x:v>0</x:v>
      </x:c>
      <x:c r="V183" s="4" t="str">
        <x:f>IF(D183&lt;&gt;"原始汇总核实","未核实；排除合计",IF(F183=0,"无GV不可算",IF(AND(F183&gt;=30000,G183&lt;0.03),"高流量低转化",IF(AND(F183&gt;=3000,F183&lt;30000,G183&gt;=0.08),"高转化待扩流","常规"))))</x:f>
        <x:v>无GV不可算</x:v>
      </x:c>
      <x:c r="W183" s="4" t="str">
        <x:v>HYCHIKA Trapano Avvitatore Batteria 18V, Avvitatore a Batteria 2 Velocità 35Nm da 2.0AH, Ricarica Rapida in 1 ora, 22 Accessori Inclusi</x:v>
      </x:c>
    </x:row>
    <x:row r="184" ht="22" customHeight="1">
      <x:c r="A184" s="4" t="str">
        <x:v>B0C94K6HB2</x:v>
      </x:c>
      <x:c r="B184" s="4" t="str">
        <x:v>HYCHIKA</x:v>
      </x:c>
      <x:c r="C184" s="4" t="str">
        <x:v>吸尘清洁</x:v>
      </x:c>
      <x:c r="D184" s="4" t="str">
        <x:v>原始汇总核实</x:v>
      </x:c>
      <x:c r="E184" s="12" t="n">
        <x:v>0</x:v>
      </x:c>
      <x:c r="F184" s="12" t="n">
        <x:v>46</x:v>
      </x:c>
      <x:c r="G184" s="13" t="n">
        <x:f>IF(F184&gt;0,E184/F184,"")</x:f>
        <x:v>0</x:v>
      </x:c>
      <x:c r="H184" s="14" t="n">
        <x:v>0</x:v>
      </x:c>
      <x:c r="I184" s="14" t="str">
        <x:f>IF(AND(ISNUMBER(H184),E184&gt;0),H184/E184,"")</x:f>
      </x:c>
      <x:c r="J184" s="12"/>
      <x:c r="K184" s="13" t="str">
        <x:f>IF(AND(ISNUMBER(J184),F184&gt;0),J184/F184,"")</x:f>
      </x:c>
      <x:c r="L184" s="12"/>
      <x:c r="M184" s="12"/>
      <x:c r="N184" s="12"/>
      <x:c r="O184" s="12" t="n">
        <x:v>0</x:v>
      </x:c>
      <x:c r="P184" s="12" t="n">
        <x:v>0</x:v>
      </x:c>
      <x:c r="Q184" s="13" t="str">
        <x:f>IF(AND(ISNUMBER(O184),P184&gt;0),O184/P184,"")</x:f>
      </x:c>
      <x:c r="R184" s="12" t="n">
        <x:v>0</x:v>
      </x:c>
      <x:c r="S184" s="12" t="n">
        <x:v>0</x:v>
      </x:c>
      <x:c r="T184" s="12" t="n">
        <x:v>0</x:v>
      </x:c>
      <x:c r="U184" s="12" t="n">
        <x:v>0</x:v>
      </x:c>
      <x:c r="V184" s="4" t="str">
        <x:f>IF(D184&lt;&gt;"原始汇总核实","未核实；排除合计",IF(F184=0,"无GV不可算",IF(AND(F184&gt;=30000,G184&lt;0.03),"高流量低转化",IF(AND(F184&gt;=3000,F184&lt;30000,G184&gt;=0.08),"高转化待扩流","常规"))))</x:f>
        <x:v>常规</x:v>
      </x:c>
      <x:c r="W184" s="4" t="str">
        <x:v>HYCHIKA Aspiratore Solidi-Liquidi, 18V Aspirapolvere A Batteria,150W 15L, Applica A Piscina/Auto/Famiglia, Con Filtro, Sacchetto Filtro, Funzione Di Soffiaggio, Bocchetta Per Pavimenti E Fessure.</x:v>
      </x:c>
    </x:row>
    <x:row r="185" ht="22" customHeight="1">
      <x:c r="A185" s="4" t="str">
        <x:v>B0CCJD18QB</x:v>
      </x:c>
      <x:c r="B185" s="4" t="str">
        <x:v>HYCHIKA</x:v>
      </x:c>
      <x:c r="C185" s="4" t="str">
        <x:v>锯切/开孔及配件</x:v>
      </x:c>
      <x:c r="D185" s="4" t="str">
        <x:v>原始汇总核实</x:v>
      </x:c>
      <x:c r="E185" s="12" t="n">
        <x:v>0</x:v>
      </x:c>
      <x:c r="F185" s="12" t="n">
        <x:v>0</x:v>
      </x:c>
      <x:c r="G185" s="13" t="str">
        <x:f>IF(F185&gt;0,E185/F185,"")</x:f>
      </x:c>
      <x:c r="H185" s="14" t="n">
        <x:v>0</x:v>
      </x:c>
      <x:c r="I185" s="14" t="str">
        <x:f>IF(AND(ISNUMBER(H185),E185&gt;0),H185/E185,"")</x:f>
      </x:c>
      <x:c r="J185" s="12"/>
      <x:c r="K185" s="13" t="str">
        <x:f>IF(AND(ISNUMBER(J185),F185&gt;0),J185/F185,"")</x:f>
      </x:c>
      <x:c r="L185" s="12"/>
      <x:c r="M185" s="12"/>
      <x:c r="N185" s="12"/>
      <x:c r="O185" s="12" t="n">
        <x:v>0</x:v>
      </x:c>
      <x:c r="P185" s="12" t="n">
        <x:v>0</x:v>
      </x:c>
      <x:c r="Q185" s="13" t="str">
        <x:f>IF(AND(ISNUMBER(O185),P185&gt;0),O185/P185,"")</x:f>
      </x:c>
      <x:c r="R185" s="12" t="n">
        <x:v>0</x:v>
      </x:c>
      <x:c r="S185" s="12" t="n">
        <x:v>0</x:v>
      </x:c>
      <x:c r="T185" s="12" t="n">
        <x:v>0</x:v>
      </x:c>
      <x:c r="U185" s="12"/>
      <x:c r="V185" s="4" t="str">
        <x:f>IF(D185&lt;&gt;"原始汇总核实","未核实；排除合计",IF(F185=0,"无GV不可算",IF(AND(F185&gt;=30000,G185&lt;0.03),"高流量低转化",IF(AND(F185&gt;=3000,F185&lt;30000,G185&gt;=0.08),"高转化待扩流","常规"))))</x:f>
        <x:v>无GV不可算</x:v>
      </x:c>
      <x:c r="W185" s="4" t="str">
        <x:v>Sierra de Calar 800W, 800-3000SPM, HYCHIKA Sierra Calar Eléctrica</x:v>
      </x:c>
    </x:row>
    <x:row r="186" ht="22" customHeight="1">
      <x:c r="A186" s="4" t="str">
        <x:v>B0CG6N2845</x:v>
      </x:c>
      <x:c r="B186" s="4" t="str">
        <x:v>HYCHIKA</x:v>
      </x:c>
      <x:c r="C186" s="4" t="str">
        <x:v>电钻/冲击工具</x:v>
      </x:c>
      <x:c r="D186" s="4" t="str">
        <x:v>原始汇总核实</x:v>
      </x:c>
      <x:c r="E186" s="12" t="n">
        <x:v>0</x:v>
      </x:c>
      <x:c r="F186" s="12" t="n">
        <x:v>28</x:v>
      </x:c>
      <x:c r="G186" s="13" t="n">
        <x:f>IF(F186&gt;0,E186/F186,"")</x:f>
        <x:v>0</x:v>
      </x:c>
      <x:c r="H186" s="14" t="n">
        <x:v>0</x:v>
      </x:c>
      <x:c r="I186" s="14" t="str">
        <x:f>IF(AND(ISNUMBER(H186),E186&gt;0),H186/E186,"")</x:f>
      </x:c>
      <x:c r="J186" s="12"/>
      <x:c r="K186" s="13" t="str">
        <x:f>IF(AND(ISNUMBER(J186),F186&gt;0),J186/F186,"")</x:f>
      </x:c>
      <x:c r="L186" s="12"/>
      <x:c r="M186" s="12"/>
      <x:c r="N186" s="12"/>
      <x:c r="O186" s="12" t="n">
        <x:v>0</x:v>
      </x:c>
      <x:c r="P186" s="12" t="n">
        <x:v>0</x:v>
      </x:c>
      <x:c r="Q186" s="13" t="str">
        <x:f>IF(AND(ISNUMBER(O186),P186&gt;0),O186/P186,"")</x:f>
      </x:c>
      <x:c r="R186" s="12" t="n">
        <x:v>0</x:v>
      </x:c>
      <x:c r="S186" s="12"/>
      <x:c r="T186" s="12"/>
      <x:c r="U186" s="12"/>
      <x:c r="V186" s="4" t="str">
        <x:f>IF(D186&lt;&gt;"原始汇总核实","未核实；排除合计",IF(F186=0,"无GV不可算",IF(AND(F186&gt;=30000,G186&lt;0.03),"高流量低转化",IF(AND(F186&gt;=3000,F186&lt;30000,G186&gt;=0.08),"高转化待扩流","常规"))))</x:f>
        <x:v>常规</x:v>
      </x:c>
      <x:c r="W186" s="4" t="str">
        <x:v>Akkuschrauber, HYCHIKA 18V 35N·m Akku Bohrschrauber mit 2.0 Ah Akku &amp; Selbstnivellierend 15M mit Dualem Lasermodul 360°Umschaltbar Horizontal/Vertikal mit Halterung, 2 x AA Batterie IP54 Schutzlevel</x:v>
      </x:c>
    </x:row>
    <x:row r="187" ht="22" customHeight="1">
      <x:c r="A187" s="4" t="str">
        <x:v>B0CG6NYF55</x:v>
      </x:c>
      <x:c r="B187" s="4" t="str">
        <x:v>HYCHIKA</x:v>
      </x:c>
      <x:c r="C187" s="4" t="str">
        <x:v>电钻/冲击工具</x:v>
      </x:c>
      <x:c r="D187" s="4" t="str">
        <x:v>原始汇总核实</x:v>
      </x:c>
      <x:c r="E187" s="12" t="n">
        <x:v>0</x:v>
      </x:c>
      <x:c r="F187" s="12" t="n">
        <x:v>220</x:v>
      </x:c>
      <x:c r="G187" s="13" t="n">
        <x:f>IF(F187&gt;0,E187/F187,"")</x:f>
        <x:v>0</x:v>
      </x:c>
      <x:c r="H187" s="14" t="n">
        <x:v>0</x:v>
      </x:c>
      <x:c r="I187" s="14" t="str">
        <x:f>IF(AND(ISNUMBER(H187),E187&gt;0),H187/E187,"")</x:f>
      </x:c>
      <x:c r="J187" s="12"/>
      <x:c r="K187" s="13" t="str">
        <x:f>IF(AND(ISNUMBER(J187),F187&gt;0),J187/F187,"")</x:f>
      </x:c>
      <x:c r="L187" s="12"/>
      <x:c r="M187" s="12"/>
      <x:c r="N187" s="12"/>
      <x:c r="O187" s="12" t="n">
        <x:v>0</x:v>
      </x:c>
      <x:c r="P187" s="12" t="n">
        <x:v>0</x:v>
      </x:c>
      <x:c r="Q187" s="13" t="str">
        <x:f>IF(AND(ISNUMBER(O187),P187&gt;0),O187/P187,"")</x:f>
      </x:c>
      <x:c r="R187" s="12" t="n">
        <x:v>0</x:v>
      </x:c>
      <x:c r="S187" s="12" t="n">
        <x:v>0</x:v>
      </x:c>
      <x:c r="T187" s="12" t="n">
        <x:v>0</x:v>
      </x:c>
      <x:c r="U187" s="12" t="n">
        <x:v>0</x:v>
      </x:c>
      <x:c r="V187" s="4" t="str">
        <x:f>IF(D187&lt;&gt;"原始汇总核实","未核实；排除合计",IF(F187=0,"无GV不可算",IF(AND(F187&gt;=30000,G187&lt;0.03),"高流量低转化",IF(AND(F187&gt;=3000,F187&lt;30000,G187&gt;=0.08),"高转化待扩流","常规"))))</x:f>
        <x:v>常规</x:v>
      </x:c>
      <x:c r="W187" s="4" t="str">
        <x:v>Akkuschrauber HYCHIKA 12V Akku bohrschrauber mit 30 N.m Max Akkuschrauber Set &amp; H+H Werkzeug 45200 45500 VDE Standardprüfer 45200/45500 Spannungsprüfer/Phasenprüfer-Set</x:v>
      </x:c>
    </x:row>
    <x:row r="188" ht="22" customHeight="1">
      <x:c r="A188" s="4" t="str">
        <x:v>B0CG6P3RBN</x:v>
      </x:c>
      <x:c r="B188" s="4" t="str">
        <x:v>HYCHIKA</x:v>
      </x:c>
      <x:c r="C188" s="4" t="str">
        <x:v>电钻/冲击工具</x:v>
      </x:c>
      <x:c r="D188" s="4" t="str">
        <x:v>原始汇总核实</x:v>
      </x:c>
      <x:c r="E188" s="12" t="n">
        <x:v>0</x:v>
      </x:c>
      <x:c r="F188" s="12" t="n">
        <x:v>69</x:v>
      </x:c>
      <x:c r="G188" s="13" t="n">
        <x:f>IF(F188&gt;0,E188/F188,"")</x:f>
        <x:v>0</x:v>
      </x:c>
      <x:c r="H188" s="14" t="n">
        <x:v>0</x:v>
      </x:c>
      <x:c r="I188" s="14" t="str">
        <x:f>IF(AND(ISNUMBER(H188),E188&gt;0),H188/E188,"")</x:f>
      </x:c>
      <x:c r="J188" s="12"/>
      <x:c r="K188" s="13" t="str">
        <x:f>IF(AND(ISNUMBER(J188),F188&gt;0),J188/F188,"")</x:f>
      </x:c>
      <x:c r="L188" s="12"/>
      <x:c r="M188" s="12"/>
      <x:c r="N188" s="12"/>
      <x:c r="O188" s="12" t="n">
        <x:v>0</x:v>
      </x:c>
      <x:c r="P188" s="12" t="n">
        <x:v>0</x:v>
      </x:c>
      <x:c r="Q188" s="13" t="str">
        <x:f>IF(AND(ISNUMBER(O188),P188&gt;0),O188/P188,"")</x:f>
      </x:c>
      <x:c r="R188" s="12" t="n">
        <x:v>0</x:v>
      </x:c>
      <x:c r="S188" s="12" t="n">
        <x:v>0</x:v>
      </x:c>
      <x:c r="T188" s="12"/>
      <x:c r="U188" s="12"/>
      <x:c r="V188" s="4" t="str">
        <x:f>IF(D188&lt;&gt;"原始汇总核实","未核实；排除合计",IF(F188=0,"无GV不可算",IF(AND(F188&gt;=30000,G188&lt;0.03),"高流量低转化",IF(AND(F188&gt;=3000,F188&lt;30000,G188&gt;=0.08),"高转化待扩流","常规"))))</x:f>
        <x:v>常规</x:v>
      </x:c>
      <x:c r="W188" s="4" t="str">
        <x:v>Akkuschrauber, HYCHIKA 18V 35N·m Akku Bohrschrauber mit 2.0 Ah Akku &amp; kwb Werkzeug-Koffer inkl. Schrauber-Bits, 42-teilig, gefüllt, robust und hochwertig</x:v>
      </x:c>
    </x:row>
    <x:row r="189" ht="22" customHeight="1">
      <x:c r="A189" s="4" t="str">
        <x:v>B0CL3X5MNQ</x:v>
      </x:c>
      <x:c r="B189" s="4" t="str">
        <x:v>HYCHIKA</x:v>
      </x:c>
      <x:c r="C189" s="4" t="str">
        <x:v>锯切/开孔及配件</x:v>
      </x:c>
      <x:c r="D189" s="4" t="str">
        <x:v>原始汇总核实</x:v>
      </x:c>
      <x:c r="E189" s="12" t="n">
        <x:v>0</x:v>
      </x:c>
      <x:c r="F189" s="12" t="n">
        <x:v>0</x:v>
      </x:c>
      <x:c r="G189" s="13" t="str">
        <x:f>IF(F189&gt;0,E189/F189,"")</x:f>
      </x:c>
      <x:c r="H189" s="14" t="n">
        <x:v>0</x:v>
      </x:c>
      <x:c r="I189" s="14" t="str">
        <x:f>IF(AND(ISNUMBER(H189),E189&gt;0),H189/E189,"")</x:f>
      </x:c>
      <x:c r="J189" s="12"/>
      <x:c r="K189" s="13" t="str">
        <x:f>IF(AND(ISNUMBER(J189),F189&gt;0),J189/F189,"")</x:f>
      </x:c>
      <x:c r="L189" s="12"/>
      <x:c r="M189" s="12"/>
      <x:c r="N189" s="12"/>
      <x:c r="O189" s="12" t="n">
        <x:v>3</x:v>
      </x:c>
      <x:c r="P189" s="12" t="n">
        <x:v>0</x:v>
      </x:c>
      <x:c r="Q189" s="13" t="str">
        <x:f>IF(AND(ISNUMBER(O189),P189&gt;0),O189/P189,"")</x:f>
      </x:c>
      <x:c r="R189" s="12" t="n">
        <x:v>0</x:v>
      </x:c>
      <x:c r="S189" s="12" t="n">
        <x:v>0</x:v>
      </x:c>
      <x:c r="T189" s="12"/>
      <x:c r="U189" s="12"/>
      <x:c r="V189" s="4" t="str">
        <x:f>IF(D189&lt;&gt;"原始汇总核实","未核实；排除合计",IF(F189=0,"无GV不可算",IF(AND(F189&gt;=30000,G189&lt;0.03),"高流量低转化",IF(AND(F189&gt;=3000,F189&lt;30000,G189&gt;=0.08),"高转化待扩流","常规"))))</x:f>
        <x:v>无GV不可算</x:v>
      </x:c>
      <x:c r="W189" s="4" t="str">
        <x:v>HYCHIKA 18V Sierra Sable Inalámbrica, Sierra Alternativa, 0-2800 RPM, Ideal para Cortar Madera y Metal</x:v>
      </x:c>
    </x:row>
    <x:row r="190" ht="22" customHeight="1">
      <x:c r="A190" s="4" t="str">
        <x:v>B0CPF4DDV4</x:v>
      </x:c>
      <x:c r="B190" s="4" t="str">
        <x:v>HYCHIKA</x:v>
      </x:c>
      <x:c r="C190" s="4" t="str">
        <x:v>其他/待核</x:v>
      </x:c>
      <x:c r="D190" s="4" t="str">
        <x:v>原始汇总核实</x:v>
      </x:c>
      <x:c r="E190" s="12" t="n">
        <x:v>0</x:v>
      </x:c>
      <x:c r="F190" s="12" t="n">
        <x:v>18</x:v>
      </x:c>
      <x:c r="G190" s="13" t="n">
        <x:f>IF(F190&gt;0,E190/F190,"")</x:f>
        <x:v>0</x:v>
      </x:c>
      <x:c r="H190" s="14" t="n">
        <x:v>0</x:v>
      </x:c>
      <x:c r="I190" s="14" t="str">
        <x:f>IF(AND(ISNUMBER(H190),E190&gt;0),H190/E190,"")</x:f>
      </x:c>
      <x:c r="J190" s="12"/>
      <x:c r="K190" s="13" t="str">
        <x:f>IF(AND(ISNUMBER(J190),F190&gt;0),J190/F190,"")</x:f>
      </x:c>
      <x:c r="L190" s="12"/>
      <x:c r="M190" s="12"/>
      <x:c r="N190" s="12"/>
      <x:c r="O190" s="12" t="n">
        <x:v>0</x:v>
      </x:c>
      <x:c r="P190" s="12" t="n">
        <x:v>0</x:v>
      </x:c>
      <x:c r="Q190" s="13" t="str">
        <x:f>IF(AND(ISNUMBER(O190),P190&gt;0),O190/P190,"")</x:f>
      </x:c>
      <x:c r="R190" s="12" t="n">
        <x:v>0</x:v>
      </x:c>
      <x:c r="S190" s="12" t="n">
        <x:v>0</x:v>
      </x:c>
      <x:c r="T190" s="12" t="n">
        <x:v>0</x:v>
      </x:c>
      <x:c r="U190" s="12" t="n">
        <x:v>0</x:v>
      </x:c>
      <x:c r="V190" s="4" t="str">
        <x:f>IF(D190&lt;&gt;"原始汇总核实","未核实；排除合计",IF(F190=0,"无GV不可算",IF(AND(F190&gt;=30000,G190&lt;0.03),"高流量低转化",IF(AND(F190&gt;=3000,F190&lt;30000,G190&gt;=0.08),"高转化待扩流","常规"))))</x:f>
        <x:v>常规</x:v>
      </x:c>
      <x:c r="W190" s="4" t="str">
        <x:v>HYCHIKA Schraubstock, Mehrzweck-Kombinationsrohr-Schraubstock, Drehfußbank für Holzbearbeitung (11,4 cm)</x:v>
      </x:c>
    </x:row>
    <x:row r="191" ht="22" customHeight="1">
      <x:c r="A191" s="4" t="str">
        <x:v>B0D8T88D8K</x:v>
      </x:c>
      <x:c r="B191" s="4" t="str">
        <x:v>HYCHIKA</x:v>
      </x:c>
      <x:c r="C191" s="4" t="str">
        <x:v>电钻/冲击工具</x:v>
      </x:c>
      <x:c r="D191" s="4" t="str">
        <x:v>原始汇总核实</x:v>
      </x:c>
      <x:c r="E191" s="12" t="n">
        <x:v>0</x:v>
      </x:c>
      <x:c r="F191" s="12" t="n">
        <x:v>17</x:v>
      </x:c>
      <x:c r="G191" s="13" t="n">
        <x:f>IF(F191&gt;0,E191/F191,"")</x:f>
        <x:v>0</x:v>
      </x:c>
      <x:c r="H191" s="14" t="n">
        <x:v>0</x:v>
      </x:c>
      <x:c r="I191" s="14" t="str">
        <x:f>IF(AND(ISNUMBER(H191),E191&gt;0),H191/E191,"")</x:f>
      </x:c>
      <x:c r="J191" s="12"/>
      <x:c r="K191" s="13" t="str">
        <x:f>IF(AND(ISNUMBER(J191),F191&gt;0),J191/F191,"")</x:f>
      </x:c>
      <x:c r="L191" s="12"/>
      <x:c r="M191" s="12"/>
      <x:c r="N191" s="12"/>
      <x:c r="O191" s="12" t="n">
        <x:v>0</x:v>
      </x:c>
      <x:c r="P191" s="12" t="n">
        <x:v>0</x:v>
      </x:c>
      <x:c r="Q191" s="13" t="str">
        <x:f>IF(AND(ISNUMBER(O191),P191&gt;0),O191/P191,"")</x:f>
      </x:c>
      <x:c r="R191" s="12" t="n">
        <x:v>0</x:v>
      </x:c>
      <x:c r="S191" s="12" t="n">
        <x:v>0</x:v>
      </x:c>
      <x:c r="T191" s="12" t="n">
        <x:v>0</x:v>
      </x:c>
      <x:c r="U191" s="12" t="n">
        <x:v>0</x:v>
      </x:c>
      <x:c r="V191" s="4" t="str">
        <x:f>IF(D191&lt;&gt;"原始汇总核实","未核实；排除合计",IF(F191=0,"无GV不可算",IF(AND(F191&gt;=30000,G191&lt;0.03),"高流量低转化",IF(AND(F191&gt;=3000,F191&lt;30000,G191&gt;=0.08),"高转化待扩流","常规"))))</x:f>
        <x:v>常规</x:v>
      </x:c>
      <x:c r="W191" s="4" t="str">
        <x:v>HYCHIKA Taladro Percutor a Batería 18 V, Taladro Inalámbrico con Batería de 2,0 AH, Taladro de Impacto máx 45 Nm, 2 velocidades, Par 21+3, con 27 Accesorios</x:v>
      </x:c>
    </x:row>
    <x:row r="192" ht="22" customHeight="1">
      <x:c r="A192" s="4" t="str">
        <x:v>B0DB1Z1T7Z</x:v>
      </x:c>
      <x:c r="B192" s="4" t="str">
        <x:v>HYCHIKA</x:v>
      </x:c>
      <x:c r="C192" s="4" t="str">
        <x:v>打磨/旋转工具</x:v>
      </x:c>
      <x:c r="D192" s="4" t="str">
        <x:v>原始汇总核实</x:v>
      </x:c>
      <x:c r="E192" s="12" t="n">
        <x:v>0</x:v>
      </x:c>
      <x:c r="F192" s="12" t="n">
        <x:v>181</x:v>
      </x:c>
      <x:c r="G192" s="13" t="n">
        <x:f>IF(F192&gt;0,E192/F192,"")</x:f>
        <x:v>0</x:v>
      </x:c>
      <x:c r="H192" s="14" t="n">
        <x:v>0</x:v>
      </x:c>
      <x:c r="I192" s="14" t="str">
        <x:f>IF(AND(ISNUMBER(H192),E192&gt;0),H192/E192,"")</x:f>
      </x:c>
      <x:c r="J192" s="12"/>
      <x:c r="K192" s="13" t="str">
        <x:f>IF(AND(ISNUMBER(J192),F192&gt;0),J192/F192,"")</x:f>
      </x:c>
      <x:c r="L192" s="12"/>
      <x:c r="M192" s="12"/>
      <x:c r="N192" s="12"/>
      <x:c r="O192" s="12" t="n">
        <x:v>0</x:v>
      </x:c>
      <x:c r="P192" s="12" t="n">
        <x:v>0</x:v>
      </x:c>
      <x:c r="Q192" s="13" t="str">
        <x:f>IF(AND(ISNUMBER(O192),P192&gt;0),O192/P192,"")</x:f>
      </x:c>
      <x:c r="R192" s="12" t="n">
        <x:v>0</x:v>
      </x:c>
      <x:c r="S192" s="12" t="n">
        <x:v>0</x:v>
      </x:c>
      <x:c r="T192" s="12" t="n">
        <x:v>0</x:v>
      </x:c>
      <x:c r="U192" s="12" t="n">
        <x:v>0</x:v>
      </x:c>
      <x:c r="V192" s="4" t="str">
        <x:f>IF(D192&lt;&gt;"原始汇总核实","未核实；排除合计",IF(F192=0,"无GV不可算",IF(AND(F192&gt;=30000,G192&lt;0.03),"高流量低转化",IF(AND(F192&gt;=3000,F192&lt;30000,G192&gt;=0.08),"高转化待扩流","常规"))))</x:f>
        <x:v>常规</x:v>
      </x:c>
      <x:c r="W192" s="4" t="str">
        <x:v>HYCHIKA Schleifpapier für Deltaschleifer 60 Stück, 6 Löcher Klettverschluss, Körnung 60/80/100/120/180/240, Kompatibel mit HYCHIKA 140W Deltaschleifer (Modellnummer: TX104)</x:v>
      </x:c>
    </x:row>
    <x:row r="193" ht="22" customHeight="1">
      <x:c r="A193" s="4" t="str">
        <x:v>B0F5HSHTZP</x:v>
      </x:c>
      <x:c r="B193" s="4" t="str">
        <x:v>HYCHIKA</x:v>
      </x:c>
      <x:c r="C193" s="4" t="str">
        <x:v>工作照明</x:v>
      </x:c>
      <x:c r="D193" s="4" t="str">
        <x:v>原始汇总核实</x:v>
      </x:c>
      <x:c r="E193" s="12" t="n">
        <x:v>0</x:v>
      </x:c>
      <x:c r="F193" s="12" t="n">
        <x:v>17</x:v>
      </x:c>
      <x:c r="G193" s="13" t="n">
        <x:f>IF(F193&gt;0,E193/F193,"")</x:f>
        <x:v>0</x:v>
      </x:c>
      <x:c r="H193" s="14" t="n">
        <x:v>0</x:v>
      </x:c>
      <x:c r="I193" s="14" t="str">
        <x:f>IF(AND(ISNUMBER(H193),E193&gt;0),H193/E193,"")</x:f>
      </x:c>
      <x:c r="J193" s="12"/>
      <x:c r="K193" s="13" t="str">
        <x:f>IF(AND(ISNUMBER(J193),F193&gt;0),J193/F193,"")</x:f>
      </x:c>
      <x:c r="L193" s="12"/>
      <x:c r="M193" s="12"/>
      <x:c r="N193" s="12"/>
      <x:c r="O193" s="12" t="n">
        <x:v>0</x:v>
      </x:c>
      <x:c r="P193" s="12" t="n">
        <x:v>0</x:v>
      </x:c>
      <x:c r="Q193" s="13" t="str">
        <x:f>IF(AND(ISNUMBER(O193),P193&gt;0),O193/P193,"")</x:f>
      </x:c>
      <x:c r="R193" s="12"/>
      <x:c r="S193" s="12"/>
      <x:c r="T193" s="12"/>
      <x:c r="U193" s="12" t="n">
        <x:v>0</x:v>
      </x:c>
      <x:c r="V193" s="4" t="str">
        <x:f>IF(D193&lt;&gt;"原始汇总核实","未核实；排除合计",IF(F193=0,"无GV不可算",IF(AND(F193&gt;=30000,G193&lt;0.03),"高流量低转化",IF(AND(F193&gt;=3000,F193&lt;30000,G193&gt;=0.08),"高转化待扩流","常规"))))</x:f>
        <x:v>常规</x:v>
      </x:c>
      <x:c r="W193" s="4" t="str">
        <x:v>HYCHIKA LED Baustrahler 30W, Baustellen Strahler 3500 LM 6500K kaltweiß, IP65 Wasserdicht, Tragbare Arbeitsleuchte, Arbeitsbeleuchtung mit 2m Netzkabel und Stecker (Packung mit 2)</x:v>
      </x:c>
    </x:row>
    <x:row r="194" ht="22" customHeight="1">
      <x:c r="A194" s="4" t="str">
        <x:v>B0F7RH5M61</x:v>
      </x:c>
      <x:c r="B194" s="4" t="str">
        <x:v>HYCHIKA</x:v>
      </x:c>
      <x:c r="C194" s="4" t="str">
        <x:v>打磨/旋转工具</x:v>
      </x:c>
      <x:c r="D194" s="4" t="str">
        <x:v>原始汇总核实</x:v>
      </x:c>
      <x:c r="E194" s="12" t="n">
        <x:v>0</x:v>
      </x:c>
      <x:c r="F194" s="12" t="n">
        <x:v>7</x:v>
      </x:c>
      <x:c r="G194" s="13" t="n">
        <x:f>IF(F194&gt;0,E194/F194,"")</x:f>
        <x:v>0</x:v>
      </x:c>
      <x:c r="H194" s="14" t="n">
        <x:v>0</x:v>
      </x:c>
      <x:c r="I194" s="14" t="str">
        <x:f>IF(AND(ISNUMBER(H194),E194&gt;0),H194/E194,"")</x:f>
      </x:c>
      <x:c r="J194" s="12"/>
      <x:c r="K194" s="13" t="str">
        <x:f>IF(AND(ISNUMBER(J194),F194&gt;0),J194/F194,"")</x:f>
      </x:c>
      <x:c r="L194" s="12"/>
      <x:c r="M194" s="12"/>
      <x:c r="N194" s="12"/>
      <x:c r="O194" s="12" t="n">
        <x:v>0</x:v>
      </x:c>
      <x:c r="P194" s="12" t="n">
        <x:v>0</x:v>
      </x:c>
      <x:c r="Q194" s="13" t="str">
        <x:f>IF(AND(ISNUMBER(O194),P194&gt;0),O194/P194,"")</x:f>
      </x:c>
      <x:c r="R194" s="12" t="n">
        <x:v>0</x:v>
      </x:c>
      <x:c r="S194" s="12"/>
      <x:c r="T194" s="12" t="n">
        <x:v>0</x:v>
      </x:c>
      <x:c r="U194" s="12"/>
      <x:c r="V194" s="4" t="str">
        <x:f>IF(D194&lt;&gt;"原始汇总核实","未核实；排除合计",IF(F194=0,"无GV不可算",IF(AND(F194&gt;=30000,G194&lt;0.03),"高流量低转化",IF(AND(F194&gt;=3000,F194&lt;30000,G194&gt;=0.08),"高转化待扩流","常规"))))</x:f>
        <x:v>常规</x:v>
      </x:c>
      <x:c r="W194" s="4" t="str">
        <x:v>HYCHIKA Winkelschleifer, 18V Akku-Winkelschleifer 8500 U/min mit 3 Schleifscheiben, 4,0-Ah-Akku, Hilfsgriff mit 3 Positionen + Fächerschleifscheiben Fächerscheiben Set 10 St, 115 x 22,23 mm</x:v>
      </x:c>
    </x:row>
    <x:row r="195" ht="22" customHeight="1">
      <x:c r="A195" s="4" t="str">
        <x:v>B0FFGLFC4X</x:v>
      </x:c>
      <x:c r="B195" s="4" t="str">
        <x:v>HYCHIKA</x:v>
      </x:c>
      <x:c r="C195" s="4" t="str">
        <x:v>电动螺丝刀</x:v>
      </x:c>
      <x:c r="D195" s="4" t="str">
        <x:v>原始汇总核实</x:v>
      </x:c>
      <x:c r="E195" s="12" t="n">
        <x:v>0</x:v>
      </x:c>
      <x:c r="F195" s="12" t="n">
        <x:v>0</x:v>
      </x:c>
      <x:c r="G195" s="13" t="str">
        <x:f>IF(F195&gt;0,E195/F195,"")</x:f>
      </x:c>
      <x:c r="H195" s="14" t="n">
        <x:v>0</x:v>
      </x:c>
      <x:c r="I195" s="14" t="str">
        <x:f>IF(AND(ISNUMBER(H195),E195&gt;0),H195/E195,"")</x:f>
      </x:c>
      <x:c r="J195" s="12"/>
      <x:c r="K195" s="13" t="str">
        <x:f>IF(AND(ISNUMBER(J195),F195&gt;0),J195/F195,"")</x:f>
      </x:c>
      <x:c r="L195" s="12"/>
      <x:c r="M195" s="12"/>
      <x:c r="N195" s="12"/>
      <x:c r="O195" s="12" t="n">
        <x:v>0</x:v>
      </x:c>
      <x:c r="P195" s="12" t="n">
        <x:v>0</x:v>
      </x:c>
      <x:c r="Q195" s="13" t="str">
        <x:f>IF(AND(ISNUMBER(O195),P195&gt;0),O195/P195,"")</x:f>
      </x:c>
      <x:c r="R195" s="12" t="n">
        <x:v>0</x:v>
      </x:c>
      <x:c r="S195" s="12"/>
      <x:c r="T195" s="12"/>
      <x:c r="U195" s="12" t="n">
        <x:v>0</x:v>
      </x:c>
      <x:c r="V195" s="4" t="str">
        <x:f>IF(D195&lt;&gt;"原始汇总核实","未核实；排除合计",IF(F195=0,"无GV不可算",IF(AND(F195&gt;=30000,G195&lt;0.03),"高流量低转化",IF(AND(F195&gt;=3000,F195&lt;30000,G195&gt;=0.08),"高转化待扩流","常规"))))</x:f>
        <x:v>无GV不可算</x:v>
      </x:c>
      <x:c r="W195" s="4" t="str">
        <x:v>HYCHIKA Cacciavite a batteria piccolo, 6 N· m con display, 7 coppie, batteria da 2200 mAh, trapano a batteria con luce LED, adatto per mobili e riparazioni domestiche</x:v>
      </x:c>
    </x:row>
    <x:row r="196" ht="22" customHeight="1">
      <x:c r="A196" s="4" t="str">
        <x:v>B0FFM7G9YF</x:v>
      </x:c>
      <x:c r="B196" s="4" t="str">
        <x:v>HYCHIKA</x:v>
      </x:c>
      <x:c r="C196" s="4" t="str">
        <x:v>扳手/汽修</x:v>
      </x:c>
      <x:c r="D196" s="4" t="str">
        <x:v>原始汇总核实</x:v>
      </x:c>
      <x:c r="E196" s="12" t="n">
        <x:v>0</x:v>
      </x:c>
      <x:c r="F196" s="12" t="n">
        <x:v>0</x:v>
      </x:c>
      <x:c r="G196" s="13" t="str">
        <x:f>IF(F196&gt;0,E196/F196,"")</x:f>
      </x:c>
      <x:c r="H196" s="14" t="n">
        <x:v>0</x:v>
      </x:c>
      <x:c r="I196" s="14" t="str">
        <x:f>IF(AND(ISNUMBER(H196),E196&gt;0),H196/E196,"")</x:f>
      </x:c>
      <x:c r="J196" s="12"/>
      <x:c r="K196" s="13" t="str">
        <x:f>IF(AND(ISNUMBER(J196),F196&gt;0),J196/F196,"")</x:f>
      </x:c>
      <x:c r="L196" s="12"/>
      <x:c r="M196" s="12"/>
      <x:c r="N196" s="12"/>
      <x:c r="O196" s="12" t="n">
        <x:v>0</x:v>
      </x:c>
      <x:c r="P196" s="12" t="n">
        <x:v>0</x:v>
      </x:c>
      <x:c r="Q196" s="13" t="str">
        <x:f>IF(AND(ISNUMBER(O196),P196&gt;0),O196/P196,"")</x:f>
      </x:c>
      <x:c r="R196" s="12" t="n">
        <x:v>0</x:v>
      </x:c>
      <x:c r="S196" s="12" t="n">
        <x:v>0</x:v>
      </x:c>
      <x:c r="T196" s="12" t="n">
        <x:v>0</x:v>
      </x:c>
      <x:c r="U196" s="12" t="n">
        <x:v>0</x:v>
      </x:c>
      <x:c r="V196" s="4" t="str">
        <x:f>IF(D196&lt;&gt;"原始汇总核实","未核实；排除合计",IF(F196=0,"无GV不可算",IF(AND(F196&gt;=30000,G196&lt;0.03),"高流量低转化",IF(AND(F196&gt;=3000,F196&lt;30000,G196&gt;=0.08),"高转化待扩流","常规"))))</x:f>
        <x:v>无GV不可算</x:v>
      </x:c>
      <x:c r="W196" s="4" t="str">
        <x:v>HYCHIKA Hydraulischer Wagenheber Hydraulisch 2.5T, Rangierwagenheber mit Hydraulischer Kolben-Schnellhubpumpe, Hydraulikheber, 135-370 MM Hubbereich, für Limousine, SUV, Reifenwechsel Ersatz</x:v>
      </x:c>
    </x:row>
    <x:row r="197" ht="22" customHeight="1">
      <x:c r="A197" s="4" t="str">
        <x:v>B0FFM7Z2LZ</x:v>
      </x:c>
      <x:c r="B197" s="4" t="str">
        <x:v>HYCHIKA</x:v>
      </x:c>
      <x:c r="C197" s="4" t="str">
        <x:v>扳手/汽修</x:v>
      </x:c>
      <x:c r="D197" s="4" t="str">
        <x:v>原始汇总核实</x:v>
      </x:c>
      <x:c r="E197" s="12" t="n">
        <x:v>0</x:v>
      </x:c>
      <x:c r="F197" s="12" t="n">
        <x:v>16</x:v>
      </x:c>
      <x:c r="G197" s="13" t="n">
        <x:f>IF(F197&gt;0,E197/F197,"")</x:f>
        <x:v>0</x:v>
      </x:c>
      <x:c r="H197" s="14" t="n">
        <x:v>0</x:v>
      </x:c>
      <x:c r="I197" s="14" t="str">
        <x:f>IF(AND(ISNUMBER(H197),E197&gt;0),H197/E197,"")</x:f>
      </x:c>
      <x:c r="J197" s="12"/>
      <x:c r="K197" s="13" t="str">
        <x:f>IF(AND(ISNUMBER(J197),F197&gt;0),J197/F197,"")</x:f>
      </x:c>
      <x:c r="L197" s="12"/>
      <x:c r="M197" s="12"/>
      <x:c r="N197" s="12"/>
      <x:c r="O197" s="12" t="n">
        <x:v>0</x:v>
      </x:c>
      <x:c r="P197" s="12" t="n">
        <x:v>0</x:v>
      </x:c>
      <x:c r="Q197" s="13" t="str">
        <x:f>IF(AND(ISNUMBER(O197),P197&gt;0),O197/P197,"")</x:f>
      </x:c>
      <x:c r="R197" s="12" t="n">
        <x:v>0</x:v>
      </x:c>
      <x:c r="S197" s="12" t="n">
        <x:v>0</x:v>
      </x:c>
      <x:c r="T197" s="12" t="n">
        <x:v>0</x:v>
      </x:c>
      <x:c r="U197" s="12" t="n">
        <x:v>0</x:v>
      </x:c>
      <x:c r="V197" s="4" t="str">
        <x:f>IF(D197&lt;&gt;"原始汇总核实","未核实；排除合计",IF(F197=0,"无GV不可算",IF(AND(F197&gt;=30000,G197&lt;0.03),"高流量低转化",IF(AND(F197&gt;=3000,F197&lt;30000,G197&gt;=0.08),"高转化待扩流","常规"))))</x:f>
        <x:v>常规</x:v>
      </x:c>
      <x:c r="W197" s="4" t="str">
        <x:v>HYCHIKA Hydraulischer Wagenheber Hydraulisch 1.5T, Rangierwagenheber mit Hydraulischer Kolben-Schnellhubpumpe, Hydraulikheber, 135-320 MM Hubbereich, für Limousine, SUV, Reifenwechsel Ersatz</x:v>
      </x:c>
    </x:row>
    <x:row r="198" ht="22" customHeight="1">
      <x:c r="A198" s="4" t="str">
        <x:v>B0G5BDWDG3</x:v>
      </x:c>
      <x:c r="B198" s="4" t="str">
        <x:v>HYCHIKA</x:v>
      </x:c>
      <x:c r="C198" s="4" t="str">
        <x:v>锯切/开孔及配件</x:v>
      </x:c>
      <x:c r="D198" s="4" t="str">
        <x:v>原始汇总核实</x:v>
      </x:c>
      <x:c r="E198" s="12" t="n">
        <x:v>0</x:v>
      </x:c>
      <x:c r="F198" s="12" t="n">
        <x:v>13</x:v>
      </x:c>
      <x:c r="G198" s="13" t="n">
        <x:f>IF(F198&gt;0,E198/F198,"")</x:f>
        <x:v>0</x:v>
      </x:c>
      <x:c r="H198" s="14" t="n">
        <x:v>0</x:v>
      </x:c>
      <x:c r="I198" s="14" t="str">
        <x:f>IF(AND(ISNUMBER(H198),E198&gt;0),H198/E198,"")</x:f>
      </x:c>
      <x:c r="J198" s="12"/>
      <x:c r="K198" s="13" t="str">
        <x:f>IF(AND(ISNUMBER(J198),F198&gt;0),J198/F198,"")</x:f>
      </x:c>
      <x:c r="L198" s="12"/>
      <x:c r="M198" s="12"/>
      <x:c r="N198" s="12"/>
      <x:c r="O198" s="12" t="n">
        <x:v>0</x:v>
      </x:c>
      <x:c r="P198" s="12" t="n">
        <x:v>0</x:v>
      </x:c>
      <x:c r="Q198" s="13" t="str">
        <x:f>IF(AND(ISNUMBER(O198),P198&gt;0),O198/P198,"")</x:f>
      </x:c>
      <x:c r="R198" s="12"/>
      <x:c r="S198" s="12" t="n">
        <x:v>0</x:v>
      </x:c>
      <x:c r="T198" s="12" t="n">
        <x:v>0</x:v>
      </x:c>
      <x:c r="U198" s="12" t="n">
        <x:v>0</x:v>
      </x:c>
      <x:c r="V198" s="4" t="str">
        <x:f>IF(D198&lt;&gt;"原始汇总核实","未核实；排除合计",IF(F198=0,"无GV不可算",IF(AND(F198&gt;=30000,G198&lt;0.03),"高流量低转化",IF(AND(F198&gt;=3000,F198&lt;30000,G198&gt;=0.08),"高转化待扩流","常规"))))</x:f>
        <x:v>常规</x:v>
      </x:c>
      <x:c r="W198" s="4" t="str">
        <x:v>HYCHIKA Corona Perforadoras 68mm, Sierra Corona Serras Perfuradoras, Ideal Para Sierra Perforación Para, Aluminio, Madera, PVC (Paquete de 4)</x:v>
      </x:c>
    </x:row>
    <x:row r="199" ht="22" customHeight="1">
      <x:c r="A199" s="4" t="str">
        <x:v>B0HFLRH66Q</x:v>
      </x:c>
      <x:c r="B199" s="4" t="str">
        <x:v>HYCHIKA</x:v>
      </x:c>
      <x:c r="C199" s="4" t="str">
        <x:v>激光测量</x:v>
      </x:c>
      <x:c r="D199" s="4" t="str">
        <x:v>原始汇总核实</x:v>
      </x:c>
      <x:c r="E199" s="12" t="n">
        <x:v>0</x:v>
      </x:c>
      <x:c r="F199" s="12" t="n">
        <x:v>0</x:v>
      </x:c>
      <x:c r="G199" s="13" t="str">
        <x:f>IF(F199&gt;0,E199/F199,"")</x:f>
      </x:c>
      <x:c r="H199" s="14" t="n">
        <x:v>0</x:v>
      </x:c>
      <x:c r="I199" s="14" t="str">
        <x:f>IF(AND(ISNUMBER(H199),E199&gt;0),H199/E199,"")</x:f>
      </x:c>
      <x:c r="J199" s="12"/>
      <x:c r="K199" s="13" t="str">
        <x:f>IF(AND(ISNUMBER(J199),F199&gt;0),J199/F199,"")</x:f>
      </x:c>
      <x:c r="L199" s="12"/>
      <x:c r="M199" s="12"/>
      <x:c r="N199" s="12"/>
      <x:c r="O199" s="12" t="n">
        <x:v>0</x:v>
      </x:c>
      <x:c r="P199" s="12" t="n">
        <x:v>0</x:v>
      </x:c>
      <x:c r="Q199" s="13" t="str">
        <x:f>IF(AND(ISNUMBER(O199),P199&gt;0),O199/P199,"")</x:f>
      </x:c>
      <x:c r="R199" s="12"/>
      <x:c r="S199" s="12"/>
      <x:c r="T199" s="12"/>
      <x:c r="U199" s="12" t="n">
        <x:v>0</x:v>
      </x:c>
      <x:c r="V199" s="4" t="str">
        <x:f>IF(D199&lt;&gt;"原始汇总核实","未核实；排除合计",IF(F199=0,"无GV不可算",IF(AND(F199&gt;=30000,G199&lt;0.03),"高流量低转化",IF(AND(F199&gt;=3000,F199&lt;30000,G199&gt;=0.08),"高转化待扩流","常规"))))</x:f>
        <x:v>无GV不可算</x:v>
      </x:c>
      <x:c r="W199" s="4" t="str">
        <x:v>HYCHIKA Nivel Laser</x:v>
      </x:c>
    </x:row>
    <x:row r="200" ht="22" customHeight="1">
      <x:c r="A200" s="4" t="str">
        <x:v>B0HJNP31QW</x:v>
      </x:c>
      <x:c r="B200" s="4" t="str">
        <x:v>HYCHIKA</x:v>
      </x:c>
      <x:c r="C200" s="4" t="str">
        <x:v>吸尘清洁</x:v>
      </x:c>
      <x:c r="D200" s="4" t="str">
        <x:v>原始汇总核实</x:v>
      </x:c>
      <x:c r="E200" s="12" t="n">
        <x:v>0</x:v>
      </x:c>
      <x:c r="F200" s="12" t="n">
        <x:v>0</x:v>
      </x:c>
      <x:c r="G200" s="13" t="str">
        <x:f>IF(F200&gt;0,E200/F200,"")</x:f>
      </x:c>
      <x:c r="H200" s="14" t="n">
        <x:v>0</x:v>
      </x:c>
      <x:c r="I200" s="14" t="str">
        <x:f>IF(AND(ISNUMBER(H200),E200&gt;0),H200/E200,"")</x:f>
      </x:c>
      <x:c r="J200" s="12"/>
      <x:c r="K200" s="13" t="str">
        <x:f>IF(AND(ISNUMBER(J200),F200&gt;0),J200/F200,"")</x:f>
      </x:c>
      <x:c r="L200" s="12"/>
      <x:c r="M200" s="12"/>
      <x:c r="N200" s="12"/>
      <x:c r="O200" s="12" t="n">
        <x:v>0</x:v>
      </x:c>
      <x:c r="P200" s="12" t="n">
        <x:v>0</x:v>
      </x:c>
      <x:c r="Q200" s="13" t="str">
        <x:f>IF(AND(ISNUMBER(O200),P200&gt;0),O200/P200,"")</x:f>
      </x:c>
      <x:c r="R200" s="12"/>
      <x:c r="S200" s="12"/>
      <x:c r="T200" s="12"/>
      <x:c r="U200" s="12" t="n">
        <x:v>0</x:v>
      </x:c>
      <x:c r="V200" s="4" t="str">
        <x:f>IF(D200&lt;&gt;"原始汇总核实","未核实；排除合计",IF(F200=0,"无GV不可算",IF(AND(F200&gt;=30000,G200&lt;0.03),"高流量低转化",IF(AND(F200&gt;=3000,F200&lt;30000,G200&gt;=0.08),"高转化待扩流","常规"))))</x:f>
        <x:v>无GV不可算</x:v>
      </x:c>
      <x:c r="W200" s="4" t="str">
        <x:v>HYCHIKA Lava tappezzeria 1800W, 17kPa Lavatappeti e Divani Portatile, Doppio Serbatoio e Autopulizia, Lavatappeti pulitore per Divano, Tappeti, Zerbini, Auto e Famiglie con Animali</x:v>
      </x:c>
    </x:row>
    <x:row r="201" ht="22" customHeight="1">
      <x:c r="A201" s="23" t="str">
        <x:v>B014SPNQV2</x:v>
      </x:c>
      <x:c r="B201" s="23" t="str">
        <x:v>未核实</x:v>
      </x:c>
      <x:c r="C201" s="23" t="str">
        <x:v>未核实</x:v>
      </x:c>
      <x:c r="D201" s="27" t="str">
        <x:v>手工区未核实</x:v>
      </x:c>
      <x:c r="E201" s="24" t="n">
        <x:v>21000</x:v>
      </x:c>
      <x:c r="F201" s="24" t="n">
        <x:v>477146</x:v>
      </x:c>
      <x:c r="G201" s="25" t="n">
        <x:f>IF(F201&gt;0,E201/F201,"")</x:f>
        <x:v>0.044011686150570266</x:v>
      </x:c>
      <x:c r="H201" s="26"/>
      <x:c r="I201" s="26" t="str">
        <x:f>IF(AND(ISNUMBER(H201),E201&gt;0),H201/E201,"")</x:f>
      </x:c>
      <x:c r="J201" s="24" t="n">
        <x:v>81074</x:v>
      </x:c>
      <x:c r="K201" s="25" t="n">
        <x:f>IF(AND(ISNUMBER(J201),F201&gt;0),J201/F201,"")</x:f>
        <x:v>0.16991444966530161</x:v>
      </x:c>
      <x:c r="L201" s="24" t="n">
        <x:v>35431</x:v>
      </x:c>
      <x:c r="M201" s="24"/>
      <x:c r="N201" s="24"/>
      <x:c r="O201" s="24"/>
      <x:c r="P201" s="24"/>
      <x:c r="Q201" s="25" t="str">
        <x:f>IF(AND(ISNUMBER(O201),P201&gt;0),O201/P201,"")</x:f>
      </x:c>
      <x:c r="R201" s="24"/>
      <x:c r="S201" s="24"/>
      <x:c r="T201" s="24"/>
      <x:c r="U201" s="24"/>
      <x:c r="V201" s="23" t="str">
        <x:f>IF(D201&lt;&gt;"原始汇总核实","未核实；排除合计",IF(F201=0,"无GV不可算",IF(AND(F201&gt;=30000,G201&lt;0.03),"高流量低转化",IF(AND(F201&gt;=3000,F201&lt;30000,G201&gt;=0.08),"高转化待扩流","常规"))))</x:f>
        <x:v>未核实；排除合计</x:v>
      </x:c>
      <x:c r="W201" s="23" t="str">
        <x:v>原始季度与 Sheet2/Sheet3 均无此 ASIN</x:v>
      </x:c>
    </x:row>
  </x:sheetData>
  <x:pageMargins left="0.7" right="0.7" top="0.75" bottom="0.75" header="0.3" footer="0.3"/>
  <x:tableParts count="1">
    <x:tablePart xmlns:r="http://schemas.openxmlformats.org/officeDocument/2006/relationships" r:id="R26978ecfe2764f52"/>
  </x:tableParts>
</x:worksheet>
</file>

<file path=xl/worksheets/sheet3.xml><?xml version="1.0" encoding="utf-8"?>
<x:worksheet xmlns:x="http://schemas.openxmlformats.org/spreadsheetml/2006/main">
  <x:sheetPr>
    <x:tabColor rgb="FFA7B7C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2" ht="29" customHeight="1">
      <x:c r="A2" s="1" t="str">
        <x:v>逐 ASIN 四季度趋势与对账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2" t="str">
        <x:v>来源：metric-data 的四个季度行；年度核对值来自 Sheet3。空白=此季度未列出该ASIN。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2" t="str">
        <x:v>季度 CVR = 该季度 Ordered units／该季度 GV；四季度与年汇总逐 ASIN 对账。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11" t="str">
        <x:v>ASIN</x:v>
      </x:c>
      <x:c r="B6" s="11" t="str">
        <x:v>品牌</x:v>
      </x:c>
      <x:c r="C6" s="11" t="str">
        <x:v>Q4件数</x:v>
      </x:c>
      <x:c r="D6" s="11" t="str">
        <x:v>Q4 GV</x:v>
      </x:c>
      <x:c r="E6" s="11" t="str">
        <x:v>Q4单位转化率</x:v>
      </x:c>
      <x:c r="F6" s="11" t="str">
        <x:v>Q1件数</x:v>
      </x:c>
      <x:c r="G6" s="11" t="str">
        <x:v>Q1 GV</x:v>
      </x:c>
      <x:c r="H6" s="11" t="str">
        <x:v>Q1单位转化率</x:v>
      </x:c>
      <x:c r="I6" s="11" t="str">
        <x:v>Q2件数</x:v>
      </x:c>
      <x:c r="J6" s="11" t="str">
        <x:v>Q2 GV</x:v>
      </x:c>
      <x:c r="K6" s="11" t="str">
        <x:v>Q2单位转化率</x:v>
      </x:c>
      <x:c r="L6" s="11" t="str">
        <x:v>Q3件数</x:v>
      </x:c>
      <x:c r="M6" s="11" t="str">
        <x:v>Q3 GV</x:v>
      </x:c>
      <x:c r="N6" s="11" t="str">
        <x:v>Q3单位转化率</x:v>
      </x:c>
      <x:c r="O6" s="11" t="str">
        <x:v>四季合计件数</x:v>
      </x:c>
      <x:c r="P6" s="11" t="str">
        <x:v>四季合计GV</x:v>
      </x:c>
      <x:c r="Q6" s="11" t="str">
        <x:v>年汇总件数</x:v>
      </x:c>
      <x:c r="R6" s="11" t="str">
        <x:v>年汇总GV</x:v>
      </x:c>
      <x:c r="S6" s="11" t="str">
        <x:v>件数差</x:v>
      </x:c>
      <x:c r="T6" s="11" t="str">
        <x:v>GV差</x:v>
      </x:c>
    </x:row>
    <x:row r="7" ht="22" customHeight="1">
      <x:c r="A7" s="4" t="str">
        <x:v>B07RGK11RY</x:v>
      </x:c>
      <x:c r="B7" s="4" t="str">
        <x:v>HYCHIKA</x:v>
      </x:c>
      <x:c r="C7" s="12" t="n">
        <x:v>7694</x:v>
      </x:c>
      <x:c r="D7" s="12" t="n">
        <x:v>95872</x:v>
      </x:c>
      <x:c r="E7" s="13" t="n">
        <x:f>IF(D7&gt;0,C7/D7,"")</x:f>
        <x:v>0.08025283711615487</x:v>
      </x:c>
      <x:c r="F7" s="12" t="n">
        <x:v>6044</x:v>
      </x:c>
      <x:c r="G7" s="12" t="n">
        <x:v>94552</x:v>
      </x:c>
      <x:c r="H7" s="13" t="n">
        <x:f>IF(G7&gt;0,F7/G7,"")</x:f>
        <x:v>0.063922497673238</x:v>
      </x:c>
      <x:c r="I7" s="12" t="n">
        <x:v>5689</x:v>
      </x:c>
      <x:c r="J7" s="12" t="n">
        <x:v>75694</x:v>
      </x:c>
      <x:c r="K7" s="13" t="n">
        <x:f>IF(J7&gt;0,I7/J7,"")</x:f>
        <x:v>0.07515787248659074</x:v>
      </x:c>
      <x:c r="L7" s="12" t="n">
        <x:v>5604</x:v>
      </x:c>
      <x:c r="M7" s="12" t="n">
        <x:v>79066</x:v>
      </x:c>
      <x:c r="N7" s="13" t="n">
        <x:f>IF(M7&gt;0,L7/M7,"")</x:f>
        <x:v>0.0708774947512205</x:v>
      </x:c>
      <x:c r="O7" s="12" t="n">
        <x:f>SUM(C7,F7,I7,L7)</x:f>
        <x:v>25031</x:v>
      </x:c>
      <x:c r="P7" s="12" t="n">
        <x:f>SUM(D7,G7,J7,M7)</x:f>
        <x:v>345184</x:v>
      </x:c>
      <x:c r="Q7" s="12" t="n">
        <x:v>25031</x:v>
      </x:c>
      <x:c r="R7" s="12" t="n">
        <x:v>345184</x:v>
      </x:c>
      <x:c r="S7" s="12" t="n">
        <x:f>O7-Q7</x:f>
        <x:v>0</x:v>
      </x:c>
      <x:c r="T7" s="12" t="n">
        <x:f>P7-R7</x:f>
        <x:v>0</x:v>
      </x:c>
    </x:row>
    <x:row r="8" ht="22" customHeight="1">
      <x:c r="A8" s="4" t="str">
        <x:v>B0F542C2DH</x:v>
      </x:c>
      <x:c r="B8" s="4" t="str">
        <x:v>HYCHIKA</x:v>
      </x:c>
      <x:c r="C8" s="12" t="n">
        <x:v>1521</x:v>
      </x:c>
      <x:c r="D8" s="12" t="n">
        <x:v>35251</x:v>
      </x:c>
      <x:c r="E8" s="13" t="n">
        <x:f>IF(D8&gt;0,C8/D8,"")</x:f>
        <x:v>0.04314771212164194</x:v>
      </x:c>
      <x:c r="F8" s="12" t="n">
        <x:v>1823</x:v>
      </x:c>
      <x:c r="G8" s="12" t="n">
        <x:v>41296</x:v>
      </x:c>
      <x:c r="H8" s="13" t="n">
        <x:f>IF(G8&gt;0,F8/G8,"")</x:f>
        <x:v>0.04414471135218907</x:v>
      </x:c>
      <x:c r="I8" s="12" t="n">
        <x:v>4032</x:v>
      </x:c>
      <x:c r="J8" s="12" t="n">
        <x:v>80615</x:v>
      </x:c>
      <x:c r="K8" s="13" t="n">
        <x:f>IF(J8&gt;0,I8/J8,"")</x:f>
        <x:v>0.05001550579916889</x:v>
      </x:c>
      <x:c r="L8" s="12" t="n">
        <x:v>3573</x:v>
      </x:c>
      <x:c r="M8" s="12" t="n">
        <x:v>61500</x:v>
      </x:c>
      <x:c r="N8" s="13" t="n">
        <x:f>IF(M8&gt;0,L8/M8,"")</x:f>
        <x:v>0.05809756097560976</x:v>
      </x:c>
      <x:c r="O8" s="12" t="n">
        <x:f>SUM(C8,F8,I8,L8)</x:f>
        <x:v>10949</x:v>
      </x:c>
      <x:c r="P8" s="12" t="n">
        <x:f>SUM(D8,G8,J8,M8)</x:f>
        <x:v>218662</x:v>
      </x:c>
      <x:c r="Q8" s="12" t="n">
        <x:v>10949</x:v>
      </x:c>
      <x:c r="R8" s="12" t="n">
        <x:v>218662</x:v>
      </x:c>
      <x:c r="S8" s="12" t="n">
        <x:f>O8-Q8</x:f>
        <x:v>0</x:v>
      </x:c>
      <x:c r="T8" s="12" t="n">
        <x:f>P8-R8</x:f>
        <x:v>0</x:v>
      </x:c>
    </x:row>
    <x:row r="9" ht="22" customHeight="1">
      <x:c r="A9" s="4" t="str">
        <x:v>B086SQK2RK</x:v>
      </x:c>
      <x:c r="B9" s="4" t="str">
        <x:v>HYCHIKA</x:v>
      </x:c>
      <x:c r="C9" s="12" t="n">
        <x:v>3465</x:v>
      </x:c>
      <x:c r="D9" s="12" t="n">
        <x:v>45307</x:v>
      </x:c>
      <x:c r="E9" s="13" t="n">
        <x:f>IF(D9&gt;0,C9/D9,"")</x:f>
        <x:v>0.07647824839428786</x:v>
      </x:c>
      <x:c r="F9" s="12" t="n">
        <x:v>3560</x:v>
      </x:c>
      <x:c r="G9" s="12" t="n">
        <x:v>45424</x:v>
      </x:c>
      <x:c r="H9" s="13" t="n">
        <x:f>IF(G9&gt;0,F9/G9,"")</x:f>
        <x:v>0.0783726664318422</x:v>
      </x:c>
      <x:c r="I9" s="12" t="n">
        <x:v>2644</x:v>
      </x:c>
      <x:c r="J9" s="12" t="n">
        <x:v>36850</x:v>
      </x:c>
      <x:c r="K9" s="13" t="n">
        <x:f>IF(J9&gt;0,I9/J9,"")</x:f>
        <x:v>0.07175033921302577</x:v>
      </x:c>
      <x:c r="L9" s="12" t="n">
        <x:v>1034</x:v>
      </x:c>
      <x:c r="M9" s="12" t="n">
        <x:v>21970</x:v>
      </x:c>
      <x:c r="N9" s="13" t="n">
        <x:f>IF(M9&gt;0,L9/M9,"")</x:f>
        <x:v>0.04706417842512517</x:v>
      </x:c>
      <x:c r="O9" s="12" t="n">
        <x:f>SUM(C9,F9,I9,L9)</x:f>
        <x:v>10703</x:v>
      </x:c>
      <x:c r="P9" s="12" t="n">
        <x:f>SUM(D9,G9,J9,M9)</x:f>
        <x:v>149551</x:v>
      </x:c>
      <x:c r="Q9" s="12" t="n">
        <x:v>10703</x:v>
      </x:c>
      <x:c r="R9" s="12" t="n">
        <x:v>149551</x:v>
      </x:c>
      <x:c r="S9" s="12" t="n">
        <x:f>O9-Q9</x:f>
        <x:v>0</x:v>
      </x:c>
      <x:c r="T9" s="12" t="n">
        <x:f>P9-R9</x:f>
        <x:v>0</x:v>
      </x:c>
    </x:row>
    <x:row r="10" ht="22" customHeight="1">
      <x:c r="A10" s="4" t="str">
        <x:v>B0D5CX7SFL</x:v>
      </x:c>
      <x:c r="B10" s="4" t="str">
        <x:v>HYCHIKA</x:v>
      </x:c>
      <x:c r="C10" s="12" t="n">
        <x:v>2041</x:v>
      </x:c>
      <x:c r="D10" s="12" t="n">
        <x:v>34149</x:v>
      </x:c>
      <x:c r="E10" s="13" t="n">
        <x:f>IF(D10&gt;0,C10/D10,"")</x:f>
        <x:v>0.05976748953117222</x:v>
      </x:c>
      <x:c r="F10" s="12" t="n">
        <x:v>2600</x:v>
      </x:c>
      <x:c r="G10" s="12" t="n">
        <x:v>56632</x:v>
      </x:c>
      <x:c r="H10" s="13" t="n">
        <x:f>IF(G10&gt;0,F10/G10,"")</x:f>
        <x:v>0.04591043932758864</x:v>
      </x:c>
      <x:c r="I10" s="12" t="n">
        <x:v>1995</x:v>
      </x:c>
      <x:c r="J10" s="12" t="n">
        <x:v>33062</x:v>
      </x:c>
      <x:c r="K10" s="13" t="n">
        <x:f>IF(J10&gt;0,I10/J10,"")</x:f>
        <x:v>0.060341177182263624</x:v>
      </x:c>
      <x:c r="L10" s="12" t="n">
        <x:v>3399</x:v>
      </x:c>
      <x:c r="M10" s="12" t="n">
        <x:v>52749</x:v>
      </x:c>
      <x:c r="N10" s="13" t="n">
        <x:f>IF(M10&gt;0,L10/M10,"")</x:f>
        <x:v>0.0644372405164079</x:v>
      </x:c>
      <x:c r="O10" s="12" t="n">
        <x:f>SUM(C10,F10,I10,L10)</x:f>
        <x:v>10035</x:v>
      </x:c>
      <x:c r="P10" s="12" t="n">
        <x:f>SUM(D10,G10,J10,M10)</x:f>
        <x:v>176592</x:v>
      </x:c>
      <x:c r="Q10" s="12" t="n">
        <x:v>10035</x:v>
      </x:c>
      <x:c r="R10" s="12" t="n">
        <x:v>176592</x:v>
      </x:c>
      <x:c r="S10" s="12" t="n">
        <x:f>O10-Q10</x:f>
        <x:v>0</x:v>
      </x:c>
      <x:c r="T10" s="12" t="n">
        <x:f>P10-R10</x:f>
        <x:v>0</x:v>
      </x:c>
    </x:row>
    <x:row r="11" ht="22" customHeight="1">
      <x:c r="A11" s="4" t="str">
        <x:v>B0F1F7J8V3</x:v>
      </x:c>
      <x:c r="B11" s="4" t="str">
        <x:v>HYCHIKA</x:v>
      </x:c>
      <x:c r="C11" s="12" t="n">
        <x:v>2213</x:v>
      </x:c>
      <x:c r="D11" s="12" t="n">
        <x:v>85110</x:v>
      </x:c>
      <x:c r="E11" s="13" t="n">
        <x:f>IF(D11&gt;0,C11/D11,"")</x:f>
        <x:v>0.02600164493009047</x:v>
      </x:c>
      <x:c r="F11" s="12" t="n">
        <x:v>2490</x:v>
      </x:c>
      <x:c r="G11" s="12" t="n">
        <x:v>65052</x:v>
      </x:c>
      <x:c r="H11" s="13" t="n">
        <x:f>IF(G11&gt;0,F11/G11,"")</x:f>
        <x:v>0.03827707065117137</x:v>
      </x:c>
      <x:c r="I11" s="12" t="n">
        <x:v>2926</x:v>
      </x:c>
      <x:c r="J11" s="12" t="n">
        <x:v>66162</x:v>
      </x:c>
      <x:c r="K11" s="13" t="n">
        <x:f>IF(J11&gt;0,I11/J11,"")</x:f>
        <x:v>0.04422478159668692</x:v>
      </x:c>
      <x:c r="L11" s="12" t="n">
        <x:v>1981</x:v>
      </x:c>
      <x:c r="M11" s="12" t="n">
        <x:v>60822</x:v>
      </x:c>
      <x:c r="N11" s="13" t="n">
        <x:f>IF(M11&gt;0,L11/M11,"")</x:f>
        <x:v>0.03257045148137187</x:v>
      </x:c>
      <x:c r="O11" s="12" t="n">
        <x:f>SUM(C11,F11,I11,L11)</x:f>
        <x:v>9610</x:v>
      </x:c>
      <x:c r="P11" s="12" t="n">
        <x:f>SUM(D11,G11,J11,M11)</x:f>
        <x:v>277146</x:v>
      </x:c>
      <x:c r="Q11" s="12" t="n">
        <x:v>9610</x:v>
      </x:c>
      <x:c r="R11" s="12" t="n">
        <x:v>277146</x:v>
      </x:c>
      <x:c r="S11" s="12" t="n">
        <x:f>O11-Q11</x:f>
        <x:v>0</x:v>
      </x:c>
      <x:c r="T11" s="12" t="n">
        <x:f>P11-R11</x:f>
        <x:v>0</x:v>
      </x:c>
    </x:row>
    <x:row r="12" ht="22" customHeight="1">
      <x:c r="A12" s="4" t="str">
        <x:v>B0CNXDVYZN</x:v>
      </x:c>
      <x:c r="B12" s="4" t="str">
        <x:v>HYCHIKA</x:v>
      </x:c>
      <x:c r="C12" s="12" t="n">
        <x:v>2095</x:v>
      </x:c>
      <x:c r="D12" s="12" t="n">
        <x:v>49201</x:v>
      </x:c>
      <x:c r="E12" s="13" t="n">
        <x:f>IF(D12&gt;0,C12/D12,"")</x:f>
        <x:v>0.04258043535700494</x:v>
      </x:c>
      <x:c r="F12" s="12" t="n">
        <x:v>2734</x:v>
      </x:c>
      <x:c r="G12" s="12" t="n">
        <x:v>59661</x:v>
      </x:c>
      <x:c r="H12" s="13" t="n">
        <x:f>IF(G12&gt;0,F12/G12,"")</x:f>
        <x:v>0.0458255812004492</x:v>
      </x:c>
      <x:c r="I12" s="12" t="n">
        <x:v>1589</x:v>
      </x:c>
      <x:c r="J12" s="12" t="n">
        <x:v>40918</x:v>
      </x:c>
      <x:c r="K12" s="13" t="n">
        <x:f>IF(J12&gt;0,I12/J12,"")</x:f>
        <x:v>0.03883376509115793</x:v>
      </x:c>
      <x:c r="L12" s="12" t="n">
        <x:v>2272</x:v>
      </x:c>
      <x:c r="M12" s="12" t="n">
        <x:v>45200</x:v>
      </x:c>
      <x:c r="N12" s="13" t="n">
        <x:f>IF(M12&gt;0,L12/M12,"")</x:f>
        <x:v>0.050265486725663715</x:v>
      </x:c>
      <x:c r="O12" s="12" t="n">
        <x:f>SUM(C12,F12,I12,L12)</x:f>
        <x:v>8690</x:v>
      </x:c>
      <x:c r="P12" s="12" t="n">
        <x:f>SUM(D12,G12,J12,M12)</x:f>
        <x:v>194980</x:v>
      </x:c>
      <x:c r="Q12" s="12" t="n">
        <x:v>8690</x:v>
      </x:c>
      <x:c r="R12" s="12" t="n">
        <x:v>194980</x:v>
      </x:c>
      <x:c r="S12" s="12" t="n">
        <x:f>O12-Q12</x:f>
        <x:v>0</x:v>
      </x:c>
      <x:c r="T12" s="12" t="n">
        <x:f>P12-R12</x:f>
        <x:v>0</x:v>
      </x:c>
    </x:row>
    <x:row r="13" ht="22" customHeight="1">
      <x:c r="A13" s="4" t="str">
        <x:v>B08DJ3YH9J</x:v>
      </x:c>
      <x:c r="B13" s="4" t="str">
        <x:v>HYCHIKA</x:v>
      </x:c>
      <x:c r="C13" s="12" t="n">
        <x:v>1938</x:v>
      </x:c>
      <x:c r="D13" s="12" t="n">
        <x:v>29756</x:v>
      </x:c>
      <x:c r="E13" s="13" t="n">
        <x:f>IF(D13&gt;0,C13/D13,"")</x:f>
        <x:v>0.06512972173679257</x:v>
      </x:c>
      <x:c r="F13" s="12" t="n">
        <x:v>2232</x:v>
      </x:c>
      <x:c r="G13" s="12" t="n">
        <x:v>32366</x:v>
      </x:c>
      <x:c r="H13" s="13" t="n">
        <x:f>IF(G13&gt;0,F13/G13,"")</x:f>
        <x:v>0.06896125563863313</x:v>
      </x:c>
      <x:c r="I13" s="12" t="n">
        <x:v>2296</x:v>
      </x:c>
      <x:c r="J13" s="12" t="n">
        <x:v>33391</x:v>
      </x:c>
      <x:c r="K13" s="13" t="n">
        <x:f>IF(J13&gt;0,I13/J13,"")</x:f>
        <x:v>0.06876104339492678</x:v>
      </x:c>
      <x:c r="L13" s="12" t="n">
        <x:v>1672</x:v>
      </x:c>
      <x:c r="M13" s="12" t="n">
        <x:v>25738</x:v>
      </x:c>
      <x:c r="N13" s="13" t="n">
        <x:f>IF(M13&gt;0,L13/M13,"")</x:f>
        <x:v>0.06496231253399642</x:v>
      </x:c>
      <x:c r="O13" s="12" t="n">
        <x:f>SUM(C13,F13,I13,L13)</x:f>
        <x:v>8138</x:v>
      </x:c>
      <x:c r="P13" s="12" t="n">
        <x:f>SUM(D13,G13,J13,M13)</x:f>
        <x:v>121251</x:v>
      </x:c>
      <x:c r="Q13" s="12" t="n">
        <x:v>8138</x:v>
      </x:c>
      <x:c r="R13" s="12" t="n">
        <x:v>121251</x:v>
      </x:c>
      <x:c r="S13" s="12" t="n">
        <x:f>O13-Q13</x:f>
        <x:v>0</x:v>
      </x:c>
      <x:c r="T13" s="12" t="n">
        <x:f>P13-R13</x:f>
        <x:v>0</x:v>
      </x:c>
    </x:row>
    <x:row r="14" ht="22" customHeight="1">
      <x:c r="A14" s="4" t="str">
        <x:v>B0FGQ77SRF</x:v>
      </x:c>
      <x:c r="B14" s="4" t="str">
        <x:v>HYCHIKA</x:v>
      </x:c>
      <x:c r="C14" s="12" t="n">
        <x:v>1257</x:v>
      </x:c>
      <x:c r="D14" s="12" t="n">
        <x:v>16212</x:v>
      </x:c>
      <x:c r="E14" s="13" t="n">
        <x:f>IF(D14&gt;0,C14/D14,"")</x:f>
        <x:v>0.07753515914137676</x:v>
      </x:c>
      <x:c r="F14" s="12" t="n">
        <x:v>2863</x:v>
      </x:c>
      <x:c r="G14" s="12" t="n">
        <x:v>34789</x:v>
      </x:c>
      <x:c r="H14" s="13" t="n">
        <x:f>IF(G14&gt;0,F14/G14,"")</x:f>
        <x:v>0.08229612808646411</x:v>
      </x:c>
      <x:c r="I14" s="12" t="n">
        <x:v>1411</x:v>
      </x:c>
      <x:c r="J14" s="12" t="n">
        <x:v>20878</x:v>
      </x:c>
      <x:c r="K14" s="13" t="n">
        <x:f>IF(J14&gt;0,I14/J14,"")</x:f>
        <x:v>0.06758310182967717</x:v>
      </x:c>
      <x:c r="L14" s="12" t="n">
        <x:v>2554</x:v>
      </x:c>
      <x:c r="M14" s="12" t="n">
        <x:v>33224</x:v>
      </x:c>
      <x:c r="N14" s="13" t="n">
        <x:f>IF(M14&gt;0,L14/M14,"")</x:f>
        <x:v>0.07687214062123766</x:v>
      </x:c>
      <x:c r="O14" s="12" t="n">
        <x:f>SUM(C14,F14,I14,L14)</x:f>
        <x:v>8085</x:v>
      </x:c>
      <x:c r="P14" s="12" t="n">
        <x:f>SUM(D14,G14,J14,M14)</x:f>
        <x:v>105103</x:v>
      </x:c>
      <x:c r="Q14" s="12" t="n">
        <x:v>8085</x:v>
      </x:c>
      <x:c r="R14" s="12" t="n">
        <x:v>105103</x:v>
      </x:c>
      <x:c r="S14" s="12" t="n">
        <x:f>O14-Q14</x:f>
        <x:v>0</x:v>
      </x:c>
      <x:c r="T14" s="12" t="n">
        <x:f>P14-R14</x:f>
        <x:v>0</x:v>
      </x:c>
    </x:row>
    <x:row r="15" ht="22" customHeight="1">
      <x:c r="A15" s="4" t="str">
        <x:v>B0D6RG5DS5</x:v>
      </x:c>
      <x:c r="B15" s="4" t="str">
        <x:v>HYCHIKA</x:v>
      </x:c>
      <x:c r="C15" s="12" t="n">
        <x:v>2511</x:v>
      </x:c>
      <x:c r="D15" s="12" t="n">
        <x:v>29333</x:v>
      </x:c>
      <x:c r="E15" s="13" t="n">
        <x:f>IF(D15&gt;0,C15/D15,"")</x:f>
        <x:v>0.08560324549142603</x:v>
      </x:c>
      <x:c r="F15" s="12" t="n">
        <x:v>1793</x:v>
      </x:c>
      <x:c r="G15" s="12" t="n">
        <x:v>18951</x:v>
      </x:c>
      <x:c r="H15" s="13" t="n">
        <x:f>IF(G15&gt;0,F15/G15,"")</x:f>
        <x:v>0.09461242150809984</x:v>
      </x:c>
      <x:c r="I15" s="12" t="n">
        <x:v>2116</x:v>
      </x:c>
      <x:c r="J15" s="12" t="n">
        <x:v>20540</x:v>
      </x:c>
      <x:c r="K15" s="13" t="n">
        <x:f>IF(J15&gt;0,I15/J15,"")</x:f>
        <x:v>0.10301850048685492</x:v>
      </x:c>
      <x:c r="L15" s="12" t="n">
        <x:v>1055</x:v>
      </x:c>
      <x:c r="M15" s="12" t="n">
        <x:v>14253</x:v>
      </x:c>
      <x:c r="N15" s="13" t="n">
        <x:f>IF(M15&gt;0,L15/M15,"")</x:f>
        <x:v>0.07401950466568442</x:v>
      </x:c>
      <x:c r="O15" s="12" t="n">
        <x:f>SUM(C15,F15,I15,L15)</x:f>
        <x:v>7475</x:v>
      </x:c>
      <x:c r="P15" s="12" t="n">
        <x:f>SUM(D15,G15,J15,M15)</x:f>
        <x:v>83077</x:v>
      </x:c>
      <x:c r="Q15" s="12" t="n">
        <x:v>7475</x:v>
      </x:c>
      <x:c r="R15" s="12" t="n">
        <x:v>83077</x:v>
      </x:c>
      <x:c r="S15" s="12" t="n">
        <x:f>O15-Q15</x:f>
        <x:v>0</x:v>
      </x:c>
      <x:c r="T15" s="12" t="n">
        <x:f>P15-R15</x:f>
        <x:v>0</x:v>
      </x:c>
    </x:row>
    <x:row r="16" ht="22" customHeight="1">
      <x:c r="A16" s="4" t="str">
        <x:v>B07Y1K7L2K</x:v>
      </x:c>
      <x:c r="B16" s="4" t="str">
        <x:v>HYCHIKA</x:v>
      </x:c>
      <x:c r="C16" s="12" t="n">
        <x:v>1505</x:v>
      </x:c>
      <x:c r="D16" s="12" t="n">
        <x:v>25680</x:v>
      </x:c>
      <x:c r="E16" s="13" t="n">
        <x:f>IF(D16&gt;0,C16/D16,"")</x:f>
        <x:v>0.058605919003115264</x:v>
      </x:c>
      <x:c r="F16" s="12" t="n">
        <x:v>1536</x:v>
      </x:c>
      <x:c r="G16" s="12" t="n">
        <x:v>27665</x:v>
      </x:c>
      <x:c r="H16" s="13" t="n">
        <x:f>IF(G16&gt;0,F16/G16,"")</x:f>
        <x:v>0.05552141695282849</x:v>
      </x:c>
      <x:c r="I16" s="12" t="n">
        <x:v>1963</x:v>
      </x:c>
      <x:c r="J16" s="12" t="n">
        <x:v>30944</x:v>
      </x:c>
      <x:c r="K16" s="13" t="n">
        <x:f>IF(J16&gt;0,I16/J16,"")</x:f>
        <x:v>0.06343717683557394</x:v>
      </x:c>
      <x:c r="L16" s="12" t="n">
        <x:v>1703</x:v>
      </x:c>
      <x:c r="M16" s="12" t="n">
        <x:v>31692</x:v>
      </x:c>
      <x:c r="N16" s="13" t="n">
        <x:f>IF(M16&gt;0,L16/M16,"")</x:f>
        <x:v>0.05373595860153982</x:v>
      </x:c>
      <x:c r="O16" s="12" t="n">
        <x:f>SUM(C16,F16,I16,L16)</x:f>
        <x:v>6707</x:v>
      </x:c>
      <x:c r="P16" s="12" t="n">
        <x:f>SUM(D16,G16,J16,M16)</x:f>
        <x:v>115981</x:v>
      </x:c>
      <x:c r="Q16" s="12" t="n">
        <x:v>6707</x:v>
      </x:c>
      <x:c r="R16" s="12" t="n">
        <x:v>115981</x:v>
      </x:c>
      <x:c r="S16" s="12" t="n">
        <x:f>O16-Q16</x:f>
        <x:v>0</x:v>
      </x:c>
      <x:c r="T16" s="12" t="n">
        <x:f>P16-R16</x:f>
        <x:v>0</x:v>
      </x:c>
    </x:row>
    <x:row r="17" ht="22" customHeight="1">
      <x:c r="A17" s="4" t="str">
        <x:v>B0CGM1N7WJ</x:v>
      </x:c>
      <x:c r="B17" s="4" t="str">
        <x:v>SORAKO</x:v>
      </x:c>
      <x:c r="C17" s="12" t="n">
        <x:v>3466</x:v>
      </x:c>
      <x:c r="D17" s="12" t="n">
        <x:v>31019</x:v>
      </x:c>
      <x:c r="E17" s="13" t="n">
        <x:f>IF(D17&gt;0,C17/D17,"")</x:f>
        <x:v>0.11173796705245172</x:v>
      </x:c>
      <x:c r="F17" s="12" t="n">
        <x:v>779</x:v>
      </x:c>
      <x:c r="G17" s="12" t="n">
        <x:v>7893</x:v>
      </x:c>
      <x:c r="H17" s="13" t="n">
        <x:f>IF(G17&gt;0,F17/G17,"")</x:f>
        <x:v>0.0986950462435069</x:v>
      </x:c>
      <x:c r="I17" s="12" t="n">
        <x:v>171</x:v>
      </x:c>
      <x:c r="J17" s="12" t="n">
        <x:v>1541</x:v>
      </x:c>
      <x:c r="K17" s="13" t="n">
        <x:f>IF(J17&gt;0,I17/J17,"")</x:f>
        <x:v>0.11096690460739779</x:v>
      </x:c>
      <x:c r="L17" s="12" t="n">
        <x:v>1869</x:v>
      </x:c>
      <x:c r="M17" s="12" t="n">
        <x:v>15226</x:v>
      </x:c>
      <x:c r="N17" s="13" t="n">
        <x:f>IF(M17&gt;0,L17/M17,"")</x:f>
        <x:v>0.1227505582556154</x:v>
      </x:c>
      <x:c r="O17" s="12" t="n">
        <x:f>SUM(C17,F17,I17,L17)</x:f>
        <x:v>6285</x:v>
      </x:c>
      <x:c r="P17" s="12" t="n">
        <x:f>SUM(D17,G17,J17,M17)</x:f>
        <x:v>55679</x:v>
      </x:c>
      <x:c r="Q17" s="12" t="n">
        <x:v>6285</x:v>
      </x:c>
      <x:c r="R17" s="12" t="n">
        <x:v>55679</x:v>
      </x:c>
      <x:c r="S17" s="12" t="n">
        <x:f>O17-Q17</x:f>
        <x:v>0</x:v>
      </x:c>
      <x:c r="T17" s="12" t="n">
        <x:f>P17-R17</x:f>
        <x:v>0</x:v>
      </x:c>
    </x:row>
    <x:row r="18" ht="22" customHeight="1">
      <x:c r="A18" s="4" t="str">
        <x:v>B0998L12KH</x:v>
      </x:c>
      <x:c r="B18" s="4" t="str">
        <x:v>HYCHIKA</x:v>
      </x:c>
      <x:c r="C18" s="12" t="n">
        <x:v>1515</x:v>
      </x:c>
      <x:c r="D18" s="12" t="n">
        <x:v>28179</x:v>
      </x:c>
      <x:c r="E18" s="13" t="n">
        <x:f>IF(D18&gt;0,C18/D18,"")</x:f>
        <x:v>0.053763440860215055</x:v>
      </x:c>
      <x:c r="F18" s="12" t="n">
        <x:v>1897</x:v>
      </x:c>
      <x:c r="G18" s="12" t="n">
        <x:v>29405</x:v>
      </x:c>
      <x:c r="H18" s="13" t="n">
        <x:f>IF(G18&gt;0,F18/G18,"")</x:f>
        <x:v>0.06451283795272912</x:v>
      </x:c>
      <x:c r="I18" s="12" t="n">
        <x:v>1475</x:v>
      </x:c>
      <x:c r="J18" s="12" t="n">
        <x:v>22646</x:v>
      </x:c>
      <x:c r="K18" s="13" t="n">
        <x:f>IF(J18&gt;0,I18/J18,"")</x:f>
        <x:v>0.06513291530513114</x:v>
      </x:c>
      <x:c r="L18" s="12" t="n">
        <x:v>1298</x:v>
      </x:c>
      <x:c r="M18" s="12" t="n">
        <x:v>18219</x:v>
      </x:c>
      <x:c r="N18" s="13" t="n">
        <x:f>IF(M18&gt;0,L18/M18,"")</x:f>
        <x:v>0.07124430539546626</x:v>
      </x:c>
      <x:c r="O18" s="12" t="n">
        <x:f>SUM(C18,F18,I18,L18)</x:f>
        <x:v>6185</x:v>
      </x:c>
      <x:c r="P18" s="12" t="n">
        <x:f>SUM(D18,G18,J18,M18)</x:f>
        <x:v>98449</x:v>
      </x:c>
      <x:c r="Q18" s="12" t="n">
        <x:v>6185</x:v>
      </x:c>
      <x:c r="R18" s="12" t="n">
        <x:v>98449</x:v>
      </x:c>
      <x:c r="S18" s="12" t="n">
        <x:f>O18-Q18</x:f>
        <x:v>0</x:v>
      </x:c>
      <x:c r="T18" s="12" t="n">
        <x:f>P18-R18</x:f>
        <x:v>0</x:v>
      </x:c>
    </x:row>
    <x:row r="19" ht="22" customHeight="1">
      <x:c r="A19" s="4" t="str">
        <x:v>B07S4KB14N</x:v>
      </x:c>
      <x:c r="B19" s="4" t="str">
        <x:v>HYCHIKA</x:v>
      </x:c>
      <x:c r="C19" s="12" t="n">
        <x:v>1943</x:v>
      </x:c>
      <x:c r="D19" s="12" t="n">
        <x:v>31618</x:v>
      </x:c>
      <x:c r="E19" s="13" t="n">
        <x:f>IF(D19&gt;0,C19/D19,"")</x:f>
        <x:v>0.06145233727623506</x:v>
      </x:c>
      <x:c r="F19" s="12" t="n">
        <x:v>1963</x:v>
      </x:c>
      <x:c r="G19" s="12" t="n">
        <x:v>31657</x:v>
      </x:c>
      <x:c r="H19" s="13" t="n">
        <x:f>IF(G19&gt;0,F19/G19,"")</x:f>
        <x:v>0.06200840256499352</x:v>
      </x:c>
      <x:c r="I19" s="12" t="n">
        <x:v>975</x:v>
      </x:c>
      <x:c r="J19" s="12" t="n">
        <x:v>19017</x:v>
      </x:c>
      <x:c r="K19" s="13" t="n">
        <x:f>IF(J19&gt;0,I19/J19,"")</x:f>
        <x:v>0.051269916390597886</x:v>
      </x:c>
      <x:c r="L19" s="12" t="n">
        <x:v>873</x:v>
      </x:c>
      <x:c r="M19" s="12" t="n">
        <x:v>20018</x:v>
      </x:c>
      <x:c r="N19" s="13" t="n">
        <x:f>IF(M19&gt;0,L19/M19,"")</x:f>
        <x:v>0.043610750324707764</x:v>
      </x:c>
      <x:c r="O19" s="12" t="n">
        <x:f>SUM(C19,F19,I19,L19)</x:f>
        <x:v>5754</x:v>
      </x:c>
      <x:c r="P19" s="12" t="n">
        <x:f>SUM(D19,G19,J19,M19)</x:f>
        <x:v>102310</x:v>
      </x:c>
      <x:c r="Q19" s="12" t="n">
        <x:v>5754</x:v>
      </x:c>
      <x:c r="R19" s="12" t="n">
        <x:v>102310</x:v>
      </x:c>
      <x:c r="S19" s="12" t="n">
        <x:f>O19-Q19</x:f>
        <x:v>0</x:v>
      </x:c>
      <x:c r="T19" s="12" t="n">
        <x:f>P19-R19</x:f>
        <x:v>0</x:v>
      </x:c>
    </x:row>
    <x:row r="20" ht="22" customHeight="1">
      <x:c r="A20" s="4" t="str">
        <x:v>B086SRGF6M</x:v>
      </x:c>
      <x:c r="B20" s="4" t="str">
        <x:v>HYCHIKA</x:v>
      </x:c>
      <x:c r="C20" s="12" t="n">
        <x:v>1441</x:v>
      </x:c>
      <x:c r="D20" s="12" t="n">
        <x:v>23818</x:v>
      </x:c>
      <x:c r="E20" s="13" t="n">
        <x:f>IF(D20&gt;0,C20/D20,"")</x:f>
        <x:v>0.06050046183558653</x:v>
      </x:c>
      <x:c r="F20" s="12" t="n">
        <x:v>973</x:v>
      </x:c>
      <x:c r="G20" s="12" t="n">
        <x:v>21765</x:v>
      </x:c>
      <x:c r="H20" s="13" t="n">
        <x:f>IF(G20&gt;0,F20/G20,"")</x:f>
        <x:v>0.0447048012864691</x:v>
      </x:c>
      <x:c r="I20" s="12" t="n">
        <x:v>1482</x:v>
      </x:c>
      <x:c r="J20" s="12" t="n">
        <x:v>21784</x:v>
      </x:c>
      <x:c r="K20" s="13" t="n">
        <x:f>IF(J20&gt;0,I20/J20,"")</x:f>
        <x:v>0.06803158281307381</x:v>
      </x:c>
      <x:c r="L20" s="12" t="n">
        <x:v>1665</x:v>
      </x:c>
      <x:c r="M20" s="12" t="n">
        <x:v>24506</x:v>
      </x:c>
      <x:c r="N20" s="13" t="n">
        <x:f>IF(M20&gt;0,L20/M20,"")</x:f>
        <x:v>0.06794254468293479</x:v>
      </x:c>
      <x:c r="O20" s="12" t="n">
        <x:f>SUM(C20,F20,I20,L20)</x:f>
        <x:v>5561</x:v>
      </x:c>
      <x:c r="P20" s="12" t="n">
        <x:f>SUM(D20,G20,J20,M20)</x:f>
        <x:v>91873</x:v>
      </x:c>
      <x:c r="Q20" s="12" t="n">
        <x:v>5561</x:v>
      </x:c>
      <x:c r="R20" s="12" t="n">
        <x:v>91873</x:v>
      </x:c>
      <x:c r="S20" s="12" t="n">
        <x:f>O20-Q20</x:f>
        <x:v>0</x:v>
      </x:c>
      <x:c r="T20" s="12" t="n">
        <x:f>P20-R20</x:f>
        <x:v>0</x:v>
      </x:c>
    </x:row>
    <x:row r="21" ht="22" customHeight="1">
      <x:c r="A21" s="4" t="str">
        <x:v>B0D4M1P52S</x:v>
      </x:c>
      <x:c r="B21" s="4" t="str">
        <x:v>HYCHIKA</x:v>
      </x:c>
      <x:c r="C21" s="12" t="n">
        <x:v>2320</x:v>
      </x:c>
      <x:c r="D21" s="12" t="n">
        <x:v>16214</x:v>
      </x:c>
      <x:c r="E21" s="13" t="n">
        <x:f>IF(D21&gt;0,C21/D21,"")</x:f>
        <x:v>0.14308622178364377</x:v>
      </x:c>
      <x:c r="F21" s="12" t="n">
        <x:v>1721</x:v>
      </x:c>
      <x:c r="G21" s="12" t="n">
        <x:v>15384</x:v>
      </x:c>
      <x:c r="H21" s="13" t="n">
        <x:f>IF(G21&gt;0,F21/G21,"")</x:f>
        <x:v>0.11186947477899116</x:v>
      </x:c>
      <x:c r="I21" s="12" t="n">
        <x:v>406</x:v>
      </x:c>
      <x:c r="J21" s="12" t="n">
        <x:v>5280</x:v>
      </x:c>
      <x:c r="K21" s="13" t="n">
        <x:f>IF(J21&gt;0,I21/J21,"")</x:f>
        <x:v>0.07689393939393939</x:v>
      </x:c>
      <x:c r="L21" s="12" t="n">
        <x:v>469</x:v>
      </x:c>
      <x:c r="M21" s="12" t="n">
        <x:v>4716</x:v>
      </x:c>
      <x:c r="N21" s="13" t="n">
        <x:f>IF(M21&gt;0,L21/M21,"")</x:f>
        <x:v>0.09944868532654792</x:v>
      </x:c>
      <x:c r="O21" s="12" t="n">
        <x:f>SUM(C21,F21,I21,L21)</x:f>
        <x:v>4916</x:v>
      </x:c>
      <x:c r="P21" s="12" t="n">
        <x:f>SUM(D21,G21,J21,M21)</x:f>
        <x:v>41594</x:v>
      </x:c>
      <x:c r="Q21" s="12" t="n">
        <x:v>4916</x:v>
      </x:c>
      <x:c r="R21" s="12" t="n">
        <x:v>41594</x:v>
      </x:c>
      <x:c r="S21" s="12" t="n">
        <x:f>O21-Q21</x:f>
        <x:v>0</x:v>
      </x:c>
      <x:c r="T21" s="12" t="n">
        <x:f>P21-R21</x:f>
        <x:v>0</x:v>
      </x:c>
    </x:row>
    <x:row r="22" ht="22" customHeight="1">
      <x:c r="A22" s="4" t="str">
        <x:v>B08DHP1D2X</x:v>
      </x:c>
      <x:c r="B22" s="4" t="str">
        <x:v>HYCHIKA</x:v>
      </x:c>
      <x:c r="C22" s="12" t="n">
        <x:v>658</x:v>
      </x:c>
      <x:c r="D22" s="12" t="n">
        <x:v>13515</x:v>
      </x:c>
      <x:c r="E22" s="13" t="n">
        <x:f>IF(D22&gt;0,C22/D22,"")</x:f>
        <x:v>0.0486866444691084</x:v>
      </x:c>
      <x:c r="F22" s="12" t="n">
        <x:v>1769</x:v>
      </x:c>
      <x:c r="G22" s="12" t="n">
        <x:v>30663</x:v>
      </x:c>
      <x:c r="H22" s="13" t="n">
        <x:f>IF(G22&gt;0,F22/G22,"")</x:f>
        <x:v>0.057691680527019534</x:v>
      </x:c>
      <x:c r="I22" s="12" t="n">
        <x:v>1230</x:v>
      </x:c>
      <x:c r="J22" s="12" t="n">
        <x:v>19866</x:v>
      </x:c>
      <x:c r="K22" s="13" t="n">
        <x:f>IF(J22&gt;0,I22/J22,"")</x:f>
        <x:v>0.06191482935668982</x:v>
      </x:c>
      <x:c r="L22" s="12" t="n">
        <x:v>820</x:v>
      </x:c>
      <x:c r="M22" s="12" t="n">
        <x:v>16518</x:v>
      </x:c>
      <x:c r="N22" s="13" t="n">
        <x:f>IF(M22&gt;0,L22/M22,"")</x:f>
        <x:v>0.04964281389998789</x:v>
      </x:c>
      <x:c r="O22" s="12" t="n">
        <x:f>SUM(C22,F22,I22,L22)</x:f>
        <x:v>4477</x:v>
      </x:c>
      <x:c r="P22" s="12" t="n">
        <x:f>SUM(D22,G22,J22,M22)</x:f>
        <x:v>80562</x:v>
      </x:c>
      <x:c r="Q22" s="12" t="n">
        <x:v>4477</x:v>
      </x:c>
      <x:c r="R22" s="12" t="n">
        <x:v>80562</x:v>
      </x:c>
      <x:c r="S22" s="12" t="n">
        <x:f>O22-Q22</x:f>
        <x:v>0</x:v>
      </x:c>
      <x:c r="T22" s="12" t="n">
        <x:f>P22-R22</x:f>
        <x:v>0</x:v>
      </x:c>
    </x:row>
    <x:row r="23" ht="22" customHeight="1">
      <x:c r="A23" s="4" t="str">
        <x:v>B0F1F6W85W</x:v>
      </x:c>
      <x:c r="B23" s="4" t="str">
        <x:v>HYCHIKA</x:v>
      </x:c>
      <x:c r="C23" s="12" t="n">
        <x:v>1239</x:v>
      </x:c>
      <x:c r="D23" s="12" t="n">
        <x:v>18393</x:v>
      </x:c>
      <x:c r="E23" s="13" t="n">
        <x:f>IF(D23&gt;0,C23/D23,"")</x:f>
        <x:v>0.06736258359158376</x:v>
      </x:c>
      <x:c r="F23" s="12" t="n">
        <x:v>1473</x:v>
      </x:c>
      <x:c r="G23" s="12" t="n">
        <x:v>18810</x:v>
      </x:c>
      <x:c r="H23" s="13" t="n">
        <x:f>IF(G23&gt;0,F23/G23,"")</x:f>
        <x:v>0.07830940988835726</x:v>
      </x:c>
      <x:c r="I23" s="12" t="n">
        <x:v>706</x:v>
      </x:c>
      <x:c r="J23" s="12" t="n">
        <x:v>10435</x:v>
      </x:c>
      <x:c r="K23" s="13" t="n">
        <x:f>IF(J23&gt;0,I23/J23,"")</x:f>
        <x:v>0.06765692381408721</x:v>
      </x:c>
      <x:c r="L23" s="12" t="n">
        <x:v>719</x:v>
      </x:c>
      <x:c r="M23" s="12" t="n">
        <x:v>9079</x:v>
      </x:c>
      <x:c r="N23" s="13" t="n">
        <x:f>IF(M23&gt;0,L23/M23,"")</x:f>
        <x:v>0.07919374380438374</x:v>
      </x:c>
      <x:c r="O23" s="12" t="n">
        <x:f>SUM(C23,F23,I23,L23)</x:f>
        <x:v>4137</x:v>
      </x:c>
      <x:c r="P23" s="12" t="n">
        <x:f>SUM(D23,G23,J23,M23)</x:f>
        <x:v>56717</x:v>
      </x:c>
      <x:c r="Q23" s="12" t="n">
        <x:v>4137</x:v>
      </x:c>
      <x:c r="R23" s="12" t="n">
        <x:v>56717</x:v>
      </x:c>
      <x:c r="S23" s="12" t="n">
        <x:f>O23-Q23</x:f>
        <x:v>0</x:v>
      </x:c>
      <x:c r="T23" s="12" t="n">
        <x:f>P23-R23</x:f>
        <x:v>0</x:v>
      </x:c>
    </x:row>
    <x:row r="24" ht="22" customHeight="1">
      <x:c r="A24" s="4" t="str">
        <x:v>B0BWXJ6DF3</x:v>
      </x:c>
      <x:c r="B24" s="4" t="str">
        <x:v>HYCHIKA</x:v>
      </x:c>
      <x:c r="C24" s="12" t="n">
        <x:v>995</x:v>
      </x:c>
      <x:c r="D24" s="12" t="n">
        <x:v>25521</x:v>
      </x:c>
      <x:c r="E24" s="13" t="n">
        <x:f>IF(D24&gt;0,C24/D24,"")</x:f>
        <x:v>0.03898750048979272</x:v>
      </x:c>
      <x:c r="F24" s="12" t="n">
        <x:v>1445</x:v>
      </x:c>
      <x:c r="G24" s="12" t="n">
        <x:v>32863</x:v>
      </x:c>
      <x:c r="H24" s="13" t="n">
        <x:f>IF(G24&gt;0,F24/G24,"")</x:f>
        <x:v>0.04397042266378602</x:v>
      </x:c>
      <x:c r="I24" s="12" t="n">
        <x:v>912</x:v>
      </x:c>
      <x:c r="J24" s="12" t="n">
        <x:v>22193</x:v>
      </x:c>
      <x:c r="K24" s="13" t="n">
        <x:f>IF(J24&gt;0,I24/J24,"")</x:f>
        <x:v>0.041094038660839</x:v>
      </x:c>
      <x:c r="L24" s="12" t="n">
        <x:v>699</x:v>
      </x:c>
      <x:c r="M24" s="12" t="n">
        <x:v>22959</x:v>
      </x:c>
      <x:c r="N24" s="13" t="n">
        <x:f>IF(M24&gt;0,L24/M24,"")</x:f>
        <x:v>0.030445576897948516</x:v>
      </x:c>
      <x:c r="O24" s="12" t="n">
        <x:f>SUM(C24,F24,I24,L24)</x:f>
        <x:v>4051</x:v>
      </x:c>
      <x:c r="P24" s="12" t="n">
        <x:f>SUM(D24,G24,J24,M24)</x:f>
        <x:v>103536</x:v>
      </x:c>
      <x:c r="Q24" s="12" t="n">
        <x:v>4051</x:v>
      </x:c>
      <x:c r="R24" s="12" t="n">
        <x:v>103536</x:v>
      </x:c>
      <x:c r="S24" s="12" t="n">
        <x:f>O24-Q24</x:f>
        <x:v>0</x:v>
      </x:c>
      <x:c r="T24" s="12" t="n">
        <x:f>P24-R24</x:f>
        <x:v>0</x:v>
      </x:c>
    </x:row>
    <x:row r="25" ht="22" customHeight="1">
      <x:c r="A25" s="4" t="str">
        <x:v>B0CQYQD426</x:v>
      </x:c>
      <x:c r="B25" s="4" t="str">
        <x:v>HYCHIKA</x:v>
      </x:c>
      <x:c r="C25" s="12" t="n">
        <x:v>1429</x:v>
      </x:c>
      <x:c r="D25" s="12" t="n">
        <x:v>12137</x:v>
      </x:c>
      <x:c r="E25" s="13" t="n">
        <x:f>IF(D25&gt;0,C25/D25,"")</x:f>
        <x:v>0.11773914476394497</x:v>
      </x:c>
      <x:c r="F25" s="12" t="n">
        <x:v>910</x:v>
      </x:c>
      <x:c r="G25" s="12" t="n">
        <x:v>11338</x:v>
      </x:c>
      <x:c r="H25" s="13" t="n">
        <x:f>IF(G25&gt;0,F25/G25,"")</x:f>
        <x:v>0.08026106897159993</x:v>
      </x:c>
      <x:c r="I25" s="12" t="n">
        <x:v>924</x:v>
      </x:c>
      <x:c r="J25" s="12" t="n">
        <x:v>8980</x:v>
      </x:c>
      <x:c r="K25" s="13" t="n">
        <x:f>IF(J25&gt;0,I25/J25,"")</x:f>
        <x:v>0.10289532293986638</x:v>
      </x:c>
      <x:c r="L25" s="12" t="n">
        <x:v>715</x:v>
      </x:c>
      <x:c r="M25" s="12" t="n">
        <x:v>8563</x:v>
      </x:c>
      <x:c r="N25" s="13" t="n">
        <x:f>IF(M25&gt;0,L25/M25,"")</x:f>
        <x:v>0.083498773794231</x:v>
      </x:c>
      <x:c r="O25" s="12" t="n">
        <x:f>SUM(C25,F25,I25,L25)</x:f>
        <x:v>3978</x:v>
      </x:c>
      <x:c r="P25" s="12" t="n">
        <x:f>SUM(D25,G25,J25,M25)</x:f>
        <x:v>41018</x:v>
      </x:c>
      <x:c r="Q25" s="12" t="n">
        <x:v>3978</x:v>
      </x:c>
      <x:c r="R25" s="12" t="n">
        <x:v>41018</x:v>
      </x:c>
      <x:c r="S25" s="12" t="n">
        <x:f>O25-Q25</x:f>
        <x:v>0</x:v>
      </x:c>
      <x:c r="T25" s="12" t="n">
        <x:f>P25-R25</x:f>
        <x:v>0</x:v>
      </x:c>
    </x:row>
    <x:row r="26" ht="22" customHeight="1">
      <x:c r="A26" s="4" t="str">
        <x:v>B0BZDBR3WM</x:v>
      </x:c>
      <x:c r="B26" s="4" t="str">
        <x:v>SORAKO</x:v>
      </x:c>
      <x:c r="C26" s="12" t="n">
        <x:v>1647</x:v>
      </x:c>
      <x:c r="D26" s="12" t="n">
        <x:v>36041</x:v>
      </x:c>
      <x:c r="E26" s="13" t="n">
        <x:f>IF(D26&gt;0,C26/D26,"")</x:f>
        <x:v>0.045697955106684056</x:v>
      </x:c>
      <x:c r="F26" s="12" t="n">
        <x:v>849</x:v>
      </x:c>
      <x:c r="G26" s="12" t="n">
        <x:v>25317</x:v>
      </x:c>
      <x:c r="H26" s="13" t="n">
        <x:f>IF(G26&gt;0,F26/G26,"")</x:f>
        <x:v>0.03353477900225145</x:v>
      </x:c>
      <x:c r="I26" s="12" t="n">
        <x:v>860</x:v>
      </x:c>
      <x:c r="J26" s="12" t="n">
        <x:v>20150</x:v>
      </x:c>
      <x:c r="K26" s="13" t="n">
        <x:f>IF(J26&gt;0,I26/J26,"")</x:f>
        <x:v>0.042679900744416875</x:v>
      </x:c>
      <x:c r="L26" s="12" t="n">
        <x:v>615</x:v>
      </x:c>
      <x:c r="M26" s="12" t="n">
        <x:v>15782</x:v>
      </x:c>
      <x:c r="N26" s="13" t="n">
        <x:f>IF(M26&gt;0,L26/M26,"")</x:f>
        <x:v>0.03896844506399696</x:v>
      </x:c>
      <x:c r="O26" s="12" t="n">
        <x:f>SUM(C26,F26,I26,L26)</x:f>
        <x:v>3971</x:v>
      </x:c>
      <x:c r="P26" s="12" t="n">
        <x:f>SUM(D26,G26,J26,M26)</x:f>
        <x:v>97290</x:v>
      </x:c>
      <x:c r="Q26" s="12" t="n">
        <x:v>3971</x:v>
      </x:c>
      <x:c r="R26" s="12" t="n">
        <x:v>97290</x:v>
      </x:c>
      <x:c r="S26" s="12" t="n">
        <x:f>O26-Q26</x:f>
        <x:v>0</x:v>
      </x:c>
      <x:c r="T26" s="12" t="n">
        <x:f>P26-R26</x:f>
        <x:v>0</x:v>
      </x:c>
    </x:row>
    <x:row r="27" ht="22" customHeight="1">
      <x:c r="A27" s="4" t="str">
        <x:v>B0FL7TKJL3</x:v>
      </x:c>
      <x:c r="B27" s="4" t="str">
        <x:v>HYCHIKA</x:v>
      </x:c>
      <x:c r="C27" s="12" t="n">
        <x:v>106</x:v>
      </x:c>
      <x:c r="D27" s="12" t="n">
        <x:v>2958</x:v>
      </x:c>
      <x:c r="E27" s="13" t="n">
        <x:f>IF(D27&gt;0,C27/D27,"")</x:f>
        <x:v>0.03583502366463827</x:v>
      </x:c>
      <x:c r="F27" s="12" t="n">
        <x:v>520</x:v>
      </x:c>
      <x:c r="G27" s="12" t="n">
        <x:v>24630</x:v>
      </x:c>
      <x:c r="H27" s="13" t="n">
        <x:f>IF(G27&gt;0,F27/G27,"")</x:f>
        <x:v>0.021112464474218433</x:v>
      </x:c>
      <x:c r="I27" s="12" t="n">
        <x:v>1865</x:v>
      </x:c>
      <x:c r="J27" s="12" t="n">
        <x:v>43296</x:v>
      </x:c>
      <x:c r="K27" s="13" t="n">
        <x:f>IF(J27&gt;0,I27/J27,"")</x:f>
        <x:v>0.04307557280118256</x:v>
      </x:c>
      <x:c r="L27" s="12" t="n">
        <x:v>1403</x:v>
      </x:c>
      <x:c r="M27" s="12" t="n">
        <x:v>39322</x:v>
      </x:c>
      <x:c r="N27" s="13" t="n">
        <x:f>IF(M27&gt;0,L27/M27,"")</x:f>
        <x:v>0.0356797721377346</x:v>
      </x:c>
      <x:c r="O27" s="12" t="n">
        <x:f>SUM(C27,F27,I27,L27)</x:f>
        <x:v>3894</x:v>
      </x:c>
      <x:c r="P27" s="12" t="n">
        <x:f>SUM(D27,G27,J27,M27)</x:f>
        <x:v>110206</x:v>
      </x:c>
      <x:c r="Q27" s="12" t="n">
        <x:v>3894</x:v>
      </x:c>
      <x:c r="R27" s="12" t="n">
        <x:v>110206</x:v>
      </x:c>
      <x:c r="S27" s="12" t="n">
        <x:f>O27-Q27</x:f>
        <x:v>0</x:v>
      </x:c>
      <x:c r="T27" s="12" t="n">
        <x:f>P27-R27</x:f>
        <x:v>0</x:v>
      </x:c>
    </x:row>
    <x:row r="28" ht="22" customHeight="1">
      <x:c r="A28" s="4" t="str">
        <x:v>B0F215BDYQ</x:v>
      </x:c>
      <x:c r="B28" s="4" t="str">
        <x:v>HYCHIKA</x:v>
      </x:c>
      <x:c r="C28" s="12" t="n">
        <x:v>928</x:v>
      </x:c>
      <x:c r="D28" s="12" t="n">
        <x:v>18741</x:v>
      </x:c>
      <x:c r="E28" s="13" t="n">
        <x:f>IF(D28&gt;0,C28/D28,"")</x:f>
        <x:v>0.049517101542073526</x:v>
      </x:c>
      <x:c r="F28" s="12" t="n">
        <x:v>860</x:v>
      </x:c>
      <x:c r="G28" s="12" t="n">
        <x:v>21514</x:v>
      </x:c>
      <x:c r="H28" s="13" t="n">
        <x:f>IF(G28&gt;0,F28/G28,"")</x:f>
        <x:v>0.03997397043785442</x:v>
      </x:c>
      <x:c r="I28" s="12" t="n">
        <x:v>766</x:v>
      </x:c>
      <x:c r="J28" s="12" t="n">
        <x:v>16994</x:v>
      </x:c>
      <x:c r="K28" s="13" t="n">
        <x:f>IF(J28&gt;0,I28/J28,"")</x:f>
        <x:v>0.045074732258444154</x:v>
      </x:c>
      <x:c r="L28" s="12" t="n">
        <x:v>1112</x:v>
      </x:c>
      <x:c r="M28" s="12" t="n">
        <x:v>25618</x:v>
      </x:c>
      <x:c r="N28" s="13" t="n">
        <x:f>IF(M28&gt;0,L28/M28,"")</x:f>
        <x:v>0.04340697946756187</x:v>
      </x:c>
      <x:c r="O28" s="12" t="n">
        <x:f>SUM(C28,F28,I28,L28)</x:f>
        <x:v>3666</x:v>
      </x:c>
      <x:c r="P28" s="12" t="n">
        <x:f>SUM(D28,G28,J28,M28)</x:f>
        <x:v>82867</x:v>
      </x:c>
      <x:c r="Q28" s="12" t="n">
        <x:v>3666</x:v>
      </x:c>
      <x:c r="R28" s="12" t="n">
        <x:v>82867</x:v>
      </x:c>
      <x:c r="S28" s="12" t="n">
        <x:f>O28-Q28</x:f>
        <x:v>0</x:v>
      </x:c>
      <x:c r="T28" s="12" t="n">
        <x:f>P28-R28</x:f>
        <x:v>0</x:v>
      </x:c>
    </x:row>
    <x:row r="29" ht="22" customHeight="1">
      <x:c r="A29" s="4" t="str">
        <x:v>B0CYZCGXM3</x:v>
      </x:c>
      <x:c r="B29" s="4" t="str">
        <x:v>HYCHIKA</x:v>
      </x:c>
      <x:c r="C29" s="12" t="n">
        <x:v>459</x:v>
      </x:c>
      <x:c r="D29" s="12" t="n">
        <x:v>9942</x:v>
      </x:c>
      <x:c r="E29" s="13" t="n">
        <x:f>IF(D29&gt;0,C29/D29,"")</x:f>
        <x:v>0.04616777308388654</x:v>
      </x:c>
      <x:c r="F29" s="12" t="n">
        <x:v>885</x:v>
      </x:c>
      <x:c r="G29" s="12" t="n">
        <x:v>16554</x:v>
      </x:c>
      <x:c r="H29" s="13" t="n">
        <x:f>IF(G29&gt;0,F29/G29,"")</x:f>
        <x:v>0.053461399057629574</x:v>
      </x:c>
      <x:c r="I29" s="12" t="n">
        <x:v>867</x:v>
      </x:c>
      <x:c r="J29" s="12" t="n">
        <x:v>14707</x:v>
      </x:c>
      <x:c r="K29" s="13" t="n">
        <x:f>IF(J29&gt;0,I29/J29,"")</x:f>
        <x:v>0.058951519684503975</x:v>
      </x:c>
      <x:c r="L29" s="12" t="n">
        <x:v>1404</x:v>
      </x:c>
      <x:c r="M29" s="12" t="n">
        <x:v>18825</x:v>
      </x:c>
      <x:c r="N29" s="13" t="n">
        <x:f>IF(M29&gt;0,L29/M29,"")</x:f>
        <x:v>0.07458167330677291</x:v>
      </x:c>
      <x:c r="O29" s="12" t="n">
        <x:f>SUM(C29,F29,I29,L29)</x:f>
        <x:v>3615</x:v>
      </x:c>
      <x:c r="P29" s="12" t="n">
        <x:f>SUM(D29,G29,J29,M29)</x:f>
        <x:v>60028</x:v>
      </x:c>
      <x:c r="Q29" s="12" t="n">
        <x:v>3615</x:v>
      </x:c>
      <x:c r="R29" s="12" t="n">
        <x:v>60028</x:v>
      </x:c>
      <x:c r="S29" s="12" t="n">
        <x:f>O29-Q29</x:f>
        <x:v>0</x:v>
      </x:c>
      <x:c r="T29" s="12" t="n">
        <x:f>P29-R29</x:f>
        <x:v>0</x:v>
      </x:c>
    </x:row>
    <x:row r="30" ht="22" customHeight="1">
      <x:c r="A30" s="4" t="str">
        <x:v>B0F5B71822</x:v>
      </x:c>
      <x:c r="B30" s="4" t="str">
        <x:v>HYCHIKA</x:v>
      </x:c>
      <x:c r="C30" s="12" t="n">
        <x:v>1267</x:v>
      </x:c>
      <x:c r="D30" s="12" t="n">
        <x:v>28931</x:v>
      </x:c>
      <x:c r="E30" s="13" t="n">
        <x:f>IF(D30&gt;0,C30/D30,"")</x:f>
        <x:v>0.04379385434309219</x:v>
      </x:c>
      <x:c r="F30" s="12" t="n">
        <x:v>834</x:v>
      </x:c>
      <x:c r="G30" s="12" t="n">
        <x:v>26079</x:v>
      </x:c>
      <x:c r="H30" s="13" t="n">
        <x:f>IF(G30&gt;0,F30/G30,"")</x:f>
        <x:v>0.0319797538249166</x:v>
      </x:c>
      <x:c r="I30" s="12" t="n">
        <x:v>950</x:v>
      </x:c>
      <x:c r="J30" s="12" t="n">
        <x:v>24245</x:v>
      </x:c>
      <x:c r="K30" s="13" t="n">
        <x:f>IF(J30&gt;0,I30/J30,"")</x:f>
        <x:v>0.03918333677046814</x:v>
      </x:c>
      <x:c r="L30" s="12" t="n">
        <x:v>546</x:v>
      </x:c>
      <x:c r="M30" s="12" t="n">
        <x:v>14533</x:v>
      </x:c>
      <x:c r="N30" s="13" t="n">
        <x:f>IF(M30&gt;0,L30/M30,"")</x:f>
        <x:v>0.03756966902910617</x:v>
      </x:c>
      <x:c r="O30" s="12" t="n">
        <x:f>SUM(C30,F30,I30,L30)</x:f>
        <x:v>3597</x:v>
      </x:c>
      <x:c r="P30" s="12" t="n">
        <x:f>SUM(D30,G30,J30,M30)</x:f>
        <x:v>93788</x:v>
      </x:c>
      <x:c r="Q30" s="12" t="n">
        <x:v>3597</x:v>
      </x:c>
      <x:c r="R30" s="12" t="n">
        <x:v>93788</x:v>
      </x:c>
      <x:c r="S30" s="12" t="n">
        <x:f>O30-Q30</x:f>
        <x:v>0</x:v>
      </x:c>
      <x:c r="T30" s="12" t="n">
        <x:f>P30-R30</x:f>
        <x:v>0</x:v>
      </x:c>
    </x:row>
    <x:row r="31" ht="22" customHeight="1">
      <x:c r="A31" s="4" t="str">
        <x:v>B0FL7GNPQF</x:v>
      </x:c>
      <x:c r="B31" s="4" t="str">
        <x:v>HYCHIKA</x:v>
      </x:c>
      <x:c r="C31" s="12" t="n">
        <x:v>76</x:v>
      </x:c>
      <x:c r="D31" s="12" t="n">
        <x:v>1429</x:v>
      </x:c>
      <x:c r="E31" s="13" t="n">
        <x:f>IF(D31&gt;0,C31/D31,"")</x:f>
        <x:v>0.05318404478656403</x:v>
      </x:c>
      <x:c r="F31" s="12" t="n">
        <x:v>661</x:v>
      </x:c>
      <x:c r="G31" s="12" t="n">
        <x:v>19346</x:v>
      </x:c>
      <x:c r="H31" s="13" t="n">
        <x:f>IF(G31&gt;0,F31/G31,"")</x:f>
        <x:v>0.03416726971983872</x:v>
      </x:c>
      <x:c r="I31" s="12" t="n">
        <x:v>1242</x:v>
      </x:c>
      <x:c r="J31" s="12" t="n">
        <x:v>28462</x:v>
      </x:c>
      <x:c r="K31" s="13" t="n">
        <x:f>IF(J31&gt;0,I31/J31,"")</x:f>
        <x:v>0.04363713020869932</x:v>
      </x:c>
      <x:c r="L31" s="12" t="n">
        <x:v>1534</x:v>
      </x:c>
      <x:c r="M31" s="12" t="n">
        <x:v>33449</x:v>
      </x:c>
      <x:c r="N31" s="13" t="n">
        <x:f>IF(M31&gt;0,L31/M31,"")</x:f>
        <x:v>0.04586086280606296</x:v>
      </x:c>
      <x:c r="O31" s="12" t="n">
        <x:f>SUM(C31,F31,I31,L31)</x:f>
        <x:v>3513</x:v>
      </x:c>
      <x:c r="P31" s="12" t="n">
        <x:f>SUM(D31,G31,J31,M31)</x:f>
        <x:v>82686</x:v>
      </x:c>
      <x:c r="Q31" s="12" t="n">
        <x:v>3513</x:v>
      </x:c>
      <x:c r="R31" s="12" t="n">
        <x:v>82686</x:v>
      </x:c>
      <x:c r="S31" s="12" t="n">
        <x:f>O31-Q31</x:f>
        <x:v>0</x:v>
      </x:c>
      <x:c r="T31" s="12" t="n">
        <x:f>P31-R31</x:f>
        <x:v>0</x:v>
      </x:c>
    </x:row>
    <x:row r="32" ht="22" customHeight="1">
      <x:c r="A32" s="4" t="str">
        <x:v>B0FL7FQD6Q</x:v>
      </x:c>
      <x:c r="B32" s="4" t="str">
        <x:v>HYCHIKA</x:v>
      </x:c>
      <x:c r="C32" s="12" t="n">
        <x:v>122</x:v>
      </x:c>
      <x:c r="D32" s="12" t="n">
        <x:v>2980</x:v>
      </x:c>
      <x:c r="E32" s="13" t="n">
        <x:f>IF(D32&gt;0,C32/D32,"")</x:f>
        <x:v>0.04093959731543624</x:v>
      </x:c>
      <x:c r="F32" s="12" t="n">
        <x:v>663</x:v>
      </x:c>
      <x:c r="G32" s="12" t="n">
        <x:v>19914</x:v>
      </x:c>
      <x:c r="H32" s="13" t="n">
        <x:f>IF(G32&gt;0,F32/G32,"")</x:f>
        <x:v>0.03329316059053932</x:v>
      </x:c>
      <x:c r="I32" s="12" t="n">
        <x:v>1584</x:v>
      </x:c>
      <x:c r="J32" s="12" t="n">
        <x:v>42621</x:v>
      </x:c>
      <x:c r="K32" s="13" t="n">
        <x:f>IF(J32&gt;0,I32/J32,"")</x:f>
        <x:v>0.03716477792637432</x:v>
      </x:c>
      <x:c r="L32" s="12" t="n">
        <x:v>1137</x:v>
      </x:c>
      <x:c r="M32" s="12" t="n">
        <x:v>33246</x:v>
      </x:c>
      <x:c r="N32" s="13" t="n">
        <x:f>IF(M32&gt;0,L32/M32,"")</x:f>
        <x:v>0.034199602959754556</x:v>
      </x:c>
      <x:c r="O32" s="12" t="n">
        <x:f>SUM(C32,F32,I32,L32)</x:f>
        <x:v>3506</x:v>
      </x:c>
      <x:c r="P32" s="12" t="n">
        <x:f>SUM(D32,G32,J32,M32)</x:f>
        <x:v>98761</x:v>
      </x:c>
      <x:c r="Q32" s="12" t="n">
        <x:v>3506</x:v>
      </x:c>
      <x:c r="R32" s="12" t="n">
        <x:v>98761</x:v>
      </x:c>
      <x:c r="S32" s="12" t="n">
        <x:f>O32-Q32</x:f>
        <x:v>0</x:v>
      </x:c>
      <x:c r="T32" s="12" t="n">
        <x:f>P32-R32</x:f>
        <x:v>0</x:v>
      </x:c>
    </x:row>
    <x:row r="33" ht="22" customHeight="1">
      <x:c r="A33" s="4" t="str">
        <x:v>B0BBKGF7PN</x:v>
      </x:c>
      <x:c r="B33" s="4" t="str">
        <x:v>HYCHIKA</x:v>
      </x:c>
      <x:c r="C33" s="12" t="n">
        <x:v>1044</x:v>
      </x:c>
      <x:c r="D33" s="12" t="n">
        <x:v>18906</x:v>
      </x:c>
      <x:c r="E33" s="13" t="n">
        <x:f>IF(D33&gt;0,C33/D33,"")</x:f>
        <x:v>0.055220564900031736</x:v>
      </x:c>
      <x:c r="F33" s="12" t="n">
        <x:v>798</x:v>
      </x:c>
      <x:c r="G33" s="12" t="n">
        <x:v>13656</x:v>
      </x:c>
      <x:c r="H33" s="13" t="n">
        <x:f>IF(G33&gt;0,F33/G33,"")</x:f>
        <x:v>0.05843585237258348</x:v>
      </x:c>
      <x:c r="I33" s="12" t="n">
        <x:v>860</x:v>
      </x:c>
      <x:c r="J33" s="12" t="n">
        <x:v>14668</x:v>
      </x:c>
      <x:c r="K33" s="13" t="n">
        <x:f>IF(J33&gt;0,I33/J33,"")</x:f>
        <x:v>0.05863103354240524</x:v>
      </x:c>
      <x:c r="L33" s="12" t="n">
        <x:v>598</x:v>
      </x:c>
      <x:c r="M33" s="12" t="n">
        <x:v>12100</x:v>
      </x:c>
      <x:c r="N33" s="13" t="n">
        <x:f>IF(M33&gt;0,L33/M33,"")</x:f>
        <x:v>0.04942148760330579</x:v>
      </x:c>
      <x:c r="O33" s="12" t="n">
        <x:f>SUM(C33,F33,I33,L33)</x:f>
        <x:v>3300</x:v>
      </x:c>
      <x:c r="P33" s="12" t="n">
        <x:f>SUM(D33,G33,J33,M33)</x:f>
        <x:v>59330</x:v>
      </x:c>
      <x:c r="Q33" s="12" t="n">
        <x:v>3300</x:v>
      </x:c>
      <x:c r="R33" s="12" t="n">
        <x:v>59330</x:v>
      </x:c>
      <x:c r="S33" s="12" t="n">
        <x:f>O33-Q33</x:f>
        <x:v>0</x:v>
      </x:c>
      <x:c r="T33" s="12" t="n">
        <x:f>P33-R33</x:f>
        <x:v>0</x:v>
      </x:c>
    </x:row>
    <x:row r="34" ht="22" customHeight="1">
      <x:c r="A34" s="4" t="str">
        <x:v>B0DRCVC3FG</x:v>
      </x:c>
      <x:c r="B34" s="4" t="str">
        <x:v>SORAKO</x:v>
      </x:c>
      <x:c r="C34" s="12" t="n">
        <x:v>597</x:v>
      </x:c>
      <x:c r="D34" s="12" t="n">
        <x:v>9701</x:v>
      </x:c>
      <x:c r="E34" s="13" t="n">
        <x:f>IF(D34&gt;0,C34/D34,"")</x:f>
        <x:v>0.06154004741779198</x:v>
      </x:c>
      <x:c r="F34" s="12" t="n">
        <x:v>915</x:v>
      </x:c>
      <x:c r="G34" s="12" t="n">
        <x:v>12477</x:v>
      </x:c>
      <x:c r="H34" s="13" t="n">
        <x:f>IF(G34&gt;0,F34/G34,"")</x:f>
        <x:v>0.07333493628276028</x:v>
      </x:c>
      <x:c r="I34" s="12" t="n">
        <x:v>1170</x:v>
      </x:c>
      <x:c r="J34" s="12" t="n">
        <x:v>14991</x:v>
      </x:c>
      <x:c r="K34" s="13" t="n">
        <x:f>IF(J34&gt;0,I34/J34,"")</x:f>
        <x:v>0.07804682809685812</x:v>
      </x:c>
      <x:c r="L34" s="12" t="n">
        <x:v>431</x:v>
      </x:c>
      <x:c r="M34" s="12" t="n">
        <x:v>7611</x:v>
      </x:c>
      <x:c r="N34" s="13" t="n">
        <x:f>IF(M34&gt;0,L34/M34,"")</x:f>
        <x:v>0.056628563920641174</x:v>
      </x:c>
      <x:c r="O34" s="12" t="n">
        <x:f>SUM(C34,F34,I34,L34)</x:f>
        <x:v>3113</x:v>
      </x:c>
      <x:c r="P34" s="12" t="n">
        <x:f>SUM(D34,G34,J34,M34)</x:f>
        <x:v>44780</x:v>
      </x:c>
      <x:c r="Q34" s="12" t="n">
        <x:v>3113</x:v>
      </x:c>
      <x:c r="R34" s="12" t="n">
        <x:v>44780</x:v>
      </x:c>
      <x:c r="S34" s="12" t="n">
        <x:f>O34-Q34</x:f>
        <x:v>0</x:v>
      </x:c>
      <x:c r="T34" s="12" t="n">
        <x:f>P34-R34</x:f>
        <x:v>0</x:v>
      </x:c>
    </x:row>
    <x:row r="35" ht="22" customHeight="1">
      <x:c r="A35" s="4" t="str">
        <x:v>B0F1TQRVJK</x:v>
      </x:c>
      <x:c r="B35" s="4" t="str">
        <x:v>HYCHIKA</x:v>
      </x:c>
      <x:c r="C35" s="12" t="n">
        <x:v>882</x:v>
      </x:c>
      <x:c r="D35" s="12" t="n">
        <x:v>10494</x:v>
      </x:c>
      <x:c r="E35" s="13" t="n">
        <x:f>IF(D35&gt;0,C35/D35,"")</x:f>
        <x:v>0.08404802744425385</x:v>
      </x:c>
      <x:c r="F35" s="12" t="n">
        <x:v>893</x:v>
      </x:c>
      <x:c r="G35" s="12" t="n">
        <x:v>12716</x:v>
      </x:c>
      <x:c r="H35" s="13" t="n">
        <x:f>IF(G35&gt;0,F35/G35,"")</x:f>
        <x:v>0.07022648631645172</x:v>
      </x:c>
      <x:c r="I35" s="12" t="n">
        <x:v>832</x:v>
      </x:c>
      <x:c r="J35" s="12" t="n">
        <x:v>10587</x:v>
      </x:c>
      <x:c r="K35" s="13" t="n">
        <x:f>IF(J35&gt;0,I35/J35,"")</x:f>
        <x:v>0.07858694625484085</x:v>
      </x:c>
      <x:c r="L35" s="12" t="n">
        <x:v>313</x:v>
      </x:c>
      <x:c r="M35" s="12" t="n">
        <x:v>6037</x:v>
      </x:c>
      <x:c r="N35" s="13" t="n">
        <x:f>IF(M35&gt;0,L35/M35,"")</x:f>
        <x:v>0.05184694384628127</x:v>
      </x:c>
      <x:c r="O35" s="12" t="n">
        <x:f>SUM(C35,F35,I35,L35)</x:f>
        <x:v>2920</x:v>
      </x:c>
      <x:c r="P35" s="12" t="n">
        <x:f>SUM(D35,G35,J35,M35)</x:f>
        <x:v>39834</x:v>
      </x:c>
      <x:c r="Q35" s="12" t="n">
        <x:v>2920</x:v>
      </x:c>
      <x:c r="R35" s="12" t="n">
        <x:v>39834</x:v>
      </x:c>
      <x:c r="S35" s="12" t="n">
        <x:f>O35-Q35</x:f>
        <x:v>0</x:v>
      </x:c>
      <x:c r="T35" s="12" t="n">
        <x:f>P35-R35</x:f>
        <x:v>0</x:v>
      </x:c>
    </x:row>
    <x:row r="36" ht="22" customHeight="1">
      <x:c r="A36" s="4" t="str">
        <x:v>B0G51L6JQM</x:v>
      </x:c>
      <x:c r="B36" s="4" t="str">
        <x:v>HYCHIKA</x:v>
      </x:c>
      <x:c r="C36" s="12"/>
      <x:c r="D36" s="12"/>
      <x:c r="E36" s="13" t="str">
        <x:f>IF(D36&gt;0,C36/D36,"")</x:f>
      </x:c>
      <x:c r="F36" s="12" t="n">
        <x:v>252</x:v>
      </x:c>
      <x:c r="G36" s="12" t="n">
        <x:v>5777</x:v>
      </x:c>
      <x:c r="H36" s="13" t="n">
        <x:f>IF(G36&gt;0,F36/G36,"")</x:f>
        <x:v>0.04362125670763372</x:v>
      </x:c>
      <x:c r="I36" s="12" t="n">
        <x:v>1474</x:v>
      </x:c>
      <x:c r="J36" s="12" t="n">
        <x:v>37701</x:v>
      </x:c>
      <x:c r="K36" s="13" t="n">
        <x:f>IF(J36&gt;0,I36/J36,"")</x:f>
        <x:v>0.03909710617755497</x:v>
      </x:c>
      <x:c r="L36" s="12" t="n">
        <x:v>1173</x:v>
      </x:c>
      <x:c r="M36" s="12" t="n">
        <x:v>38111</x:v>
      </x:c>
      <x:c r="N36" s="13" t="n">
        <x:f>IF(M36&gt;0,L36/M36,"")</x:f>
        <x:v>0.030778515389257695</x:v>
      </x:c>
      <x:c r="O36" s="12" t="n">
        <x:f>SUM(C36,F36,I36,L36)</x:f>
        <x:v>2899</x:v>
      </x:c>
      <x:c r="P36" s="12" t="n">
        <x:f>SUM(D36,G36,J36,M36)</x:f>
        <x:v>81589</x:v>
      </x:c>
      <x:c r="Q36" s="12" t="n">
        <x:v>2899</x:v>
      </x:c>
      <x:c r="R36" s="12" t="n">
        <x:v>81589</x:v>
      </x:c>
      <x:c r="S36" s="12" t="n">
        <x:f>O36-Q36</x:f>
        <x:v>0</x:v>
      </x:c>
      <x:c r="T36" s="12" t="n">
        <x:f>P36-R36</x:f>
        <x:v>0</x:v>
      </x:c>
    </x:row>
    <x:row r="37" ht="22" customHeight="1">
      <x:c r="A37" s="4" t="str">
        <x:v>B086SR9KVQ</x:v>
      </x:c>
      <x:c r="B37" s="4" t="str">
        <x:v>HYCHIKA</x:v>
      </x:c>
      <x:c r="C37" s="12" t="n">
        <x:v>776</x:v>
      </x:c>
      <x:c r="D37" s="12" t="n">
        <x:v>42890</x:v>
      </x:c>
      <x:c r="E37" s="13" t="n">
        <x:f>IF(D37&gt;0,C37/D37,"")</x:f>
        <x:v>0.018092795523432036</x:v>
      </x:c>
      <x:c r="F37" s="12" t="n">
        <x:v>822</x:v>
      </x:c>
      <x:c r="G37" s="12" t="n">
        <x:v>54808</x:v>
      </x:c>
      <x:c r="H37" s="13" t="n">
        <x:f>IF(G37&gt;0,F37/G37,"")</x:f>
        <x:v>0.014997810538607503</x:v>
      </x:c>
      <x:c r="I37" s="12" t="n">
        <x:v>705</x:v>
      </x:c>
      <x:c r="J37" s="12" t="n">
        <x:v>34702</x:v>
      </x:c>
      <x:c r="K37" s="13" t="n">
        <x:f>IF(J37&gt;0,I37/J37,"")</x:f>
        <x:v>0.02031583194052216</x:v>
      </x:c>
      <x:c r="L37" s="12" t="n">
        <x:v>568</x:v>
      </x:c>
      <x:c r="M37" s="12" t="n">
        <x:v>23405</x:v>
      </x:c>
      <x:c r="N37" s="13" t="n">
        <x:f>IF(M37&gt;0,L37/M37,"")</x:f>
        <x:v>0.024268318735312967</x:v>
      </x:c>
      <x:c r="O37" s="12" t="n">
        <x:f>SUM(C37,F37,I37,L37)</x:f>
        <x:v>2871</x:v>
      </x:c>
      <x:c r="P37" s="12" t="n">
        <x:f>SUM(D37,G37,J37,M37)</x:f>
        <x:v>155805</x:v>
      </x:c>
      <x:c r="Q37" s="12" t="n">
        <x:v>2871</x:v>
      </x:c>
      <x:c r="R37" s="12" t="n">
        <x:v>155805</x:v>
      </x:c>
      <x:c r="S37" s="12" t="n">
        <x:f>O37-Q37</x:f>
        <x:v>0</x:v>
      </x:c>
      <x:c r="T37" s="12" t="n">
        <x:f>P37-R37</x:f>
        <x:v>0</x:v>
      </x:c>
    </x:row>
    <x:row r="38" ht="22" customHeight="1">
      <x:c r="A38" s="4" t="str">
        <x:v>B0CYYWY1C2</x:v>
      </x:c>
      <x:c r="B38" s="4" t="str">
        <x:v>HYCHIKA</x:v>
      </x:c>
      <x:c r="C38" s="12" t="n">
        <x:v>579</x:v>
      </x:c>
      <x:c r="D38" s="12" t="n">
        <x:v>10972</x:v>
      </x:c>
      <x:c r="E38" s="13" t="n">
        <x:f>IF(D38&gt;0,C38/D38,"")</x:f>
        <x:v>0.0527706890266132</x:v>
      </x:c>
      <x:c r="F38" s="12" t="n">
        <x:v>772</x:v>
      </x:c>
      <x:c r="G38" s="12" t="n">
        <x:v>15840</x:v>
      </x:c>
      <x:c r="H38" s="13" t="n">
        <x:f>IF(G38&gt;0,F38/G38,"")</x:f>
        <x:v>0.04873737373737374</x:v>
      </x:c>
      <x:c r="I38" s="12" t="n">
        <x:v>776</x:v>
      </x:c>
      <x:c r="J38" s="12" t="n">
        <x:v>13019</x:v>
      </x:c>
      <x:c r="K38" s="13" t="n">
        <x:f>IF(J38&gt;0,I38/J38,"")</x:f>
        <x:v>0.05960519241109148</x:v>
      </x:c>
      <x:c r="L38" s="12" t="n">
        <x:v>683</x:v>
      </x:c>
      <x:c r="M38" s="12" t="n">
        <x:v>12589</x:v>
      </x:c>
      <x:c r="N38" s="13" t="n">
        <x:f>IF(M38&gt;0,L38/M38,"")</x:f>
        <x:v>0.05425371355945667</x:v>
      </x:c>
      <x:c r="O38" s="12" t="n">
        <x:f>SUM(C38,F38,I38,L38)</x:f>
        <x:v>2810</x:v>
      </x:c>
      <x:c r="P38" s="12" t="n">
        <x:f>SUM(D38,G38,J38,M38)</x:f>
        <x:v>52420</x:v>
      </x:c>
      <x:c r="Q38" s="12" t="n">
        <x:v>2810</x:v>
      </x:c>
      <x:c r="R38" s="12" t="n">
        <x:v>52420</x:v>
      </x:c>
      <x:c r="S38" s="12" t="n">
        <x:f>O38-Q38</x:f>
        <x:v>0</x:v>
      </x:c>
      <x:c r="T38" s="12" t="n">
        <x:f>P38-R38</x:f>
        <x:v>0</x:v>
      </x:c>
    </x:row>
    <x:row r="39" ht="22" customHeight="1">
      <x:c r="A39" s="4" t="str">
        <x:v>B088WQLM4L</x:v>
      </x:c>
      <x:c r="B39" s="4" t="str">
        <x:v>HYCHIKA</x:v>
      </x:c>
      <x:c r="C39" s="12" t="n">
        <x:v>1053</x:v>
      </x:c>
      <x:c r="D39" s="12" t="n">
        <x:v>9881</x:v>
      </x:c>
      <x:c r="E39" s="13" t="n">
        <x:f>IF(D39&gt;0,C39/D39,"")</x:f>
        <x:v>0.10656816111729582</x:v>
      </x:c>
      <x:c r="F39" s="12" t="n">
        <x:v>726</x:v>
      </x:c>
      <x:c r="G39" s="12" t="n">
        <x:v>8808</x:v>
      </x:c>
      <x:c r="H39" s="13" t="n">
        <x:f>IF(G39&gt;0,F39/G39,"")</x:f>
        <x:v>0.082425068119891</x:v>
      </x:c>
      <x:c r="I39" s="12" t="n">
        <x:v>462</x:v>
      </x:c>
      <x:c r="J39" s="12" t="n">
        <x:v>5926</x:v>
      </x:c>
      <x:c r="K39" s="13" t="n">
        <x:f>IF(J39&gt;0,I39/J39,"")</x:f>
        <x:v>0.07796152548093149</x:v>
      </x:c>
      <x:c r="L39" s="12" t="n">
        <x:v>259</x:v>
      </x:c>
      <x:c r="M39" s="12" t="n">
        <x:v>3063</x:v>
      </x:c>
      <x:c r="N39" s="13" t="n">
        <x:f>IF(M39&gt;0,L39/M39,"")</x:f>
        <x:v>0.08455762324518445</x:v>
      </x:c>
      <x:c r="O39" s="12" t="n">
        <x:f>SUM(C39,F39,I39,L39)</x:f>
        <x:v>2500</x:v>
      </x:c>
      <x:c r="P39" s="12" t="n">
        <x:f>SUM(D39,G39,J39,M39)</x:f>
        <x:v>27678</x:v>
      </x:c>
      <x:c r="Q39" s="12" t="n">
        <x:v>2500</x:v>
      </x:c>
      <x:c r="R39" s="12" t="n">
        <x:v>27678</x:v>
      </x:c>
      <x:c r="S39" s="12" t="n">
        <x:f>O39-Q39</x:f>
        <x:v>0</x:v>
      </x:c>
      <x:c r="T39" s="12" t="n">
        <x:f>P39-R39</x:f>
        <x:v>0</x:v>
      </x:c>
    </x:row>
    <x:row r="40" ht="22" customHeight="1">
      <x:c r="A40" s="4" t="str">
        <x:v>B08NB15B8B</x:v>
      </x:c>
      <x:c r="B40" s="4" t="str">
        <x:v>HYCHIKA</x:v>
      </x:c>
      <x:c r="C40" s="12" t="n">
        <x:v>783</x:v>
      </x:c>
      <x:c r="D40" s="12" t="n">
        <x:v>29292</x:v>
      </x:c>
      <x:c r="E40" s="13" t="n">
        <x:f>IF(D40&gt;0,C40/D40,"")</x:f>
        <x:v>0.026730848013109383</x:v>
      </x:c>
      <x:c r="F40" s="12" t="n">
        <x:v>701</x:v>
      </x:c>
      <x:c r="G40" s="12" t="n">
        <x:v>29226</x:v>
      </x:c>
      <x:c r="H40" s="13" t="n">
        <x:f>IF(G40&gt;0,F40/G40,"")</x:f>
        <x:v>0.023985492369807706</x:v>
      </x:c>
      <x:c r="I40" s="12" t="n">
        <x:v>454</x:v>
      </x:c>
      <x:c r="J40" s="12" t="n">
        <x:v>16337</x:v>
      </x:c>
      <x:c r="K40" s="13" t="n">
        <x:f>IF(J40&gt;0,I40/J40,"")</x:f>
        <x:v>0.027789679867784783</x:v>
      </x:c>
      <x:c r="L40" s="12" t="n">
        <x:v>492</x:v>
      </x:c>
      <x:c r="M40" s="12" t="n">
        <x:v>19270</x:v>
      </x:c>
      <x:c r="N40" s="13" t="n">
        <x:f>IF(M40&gt;0,L40/M40,"")</x:f>
        <x:v>0.02553191489361702</x:v>
      </x:c>
      <x:c r="O40" s="12" t="n">
        <x:f>SUM(C40,F40,I40,L40)</x:f>
        <x:v>2430</x:v>
      </x:c>
      <x:c r="P40" s="12" t="n">
        <x:f>SUM(D40,G40,J40,M40)</x:f>
        <x:v>94125</x:v>
      </x:c>
      <x:c r="Q40" s="12" t="n">
        <x:v>2430</x:v>
      </x:c>
      <x:c r="R40" s="12" t="n">
        <x:v>94125</x:v>
      </x:c>
      <x:c r="S40" s="12" t="n">
        <x:f>O40-Q40</x:f>
        <x:v>0</x:v>
      </x:c>
      <x:c r="T40" s="12" t="n">
        <x:f>P40-R40</x:f>
        <x:v>0</x:v>
      </x:c>
    </x:row>
    <x:row r="41" ht="22" customHeight="1">
      <x:c r="A41" s="4" t="str">
        <x:v>B07RZK3CVP</x:v>
      </x:c>
      <x:c r="B41" s="4" t="str">
        <x:v>HYCHIKA</x:v>
      </x:c>
      <x:c r="C41" s="12" t="n">
        <x:v>660</x:v>
      </x:c>
      <x:c r="D41" s="12" t="n">
        <x:v>49455</x:v>
      </x:c>
      <x:c r="E41" s="13" t="n">
        <x:f>IF(D41&gt;0,C41/D41,"")</x:f>
        <x:v>0.013345465574764938</x:v>
      </x:c>
      <x:c r="F41" s="12" t="n">
        <x:v>666</x:v>
      </x:c>
      <x:c r="G41" s="12" t="n">
        <x:v>45622</x:v>
      </x:c>
      <x:c r="H41" s="13" t="n">
        <x:f>IF(G41&gt;0,F41/G41,"")</x:f>
        <x:v>0.014598220156941826</x:v>
      </x:c>
      <x:c r="I41" s="12" t="n">
        <x:v>605</x:v>
      </x:c>
      <x:c r="J41" s="12" t="n">
        <x:v>26550</x:v>
      </x:c>
      <x:c r="K41" s="13" t="n">
        <x:f>IF(J41&gt;0,I41/J41,"")</x:f>
        <x:v>0.022787193973634653</x:v>
      </x:c>
      <x:c r="L41" s="12" t="n">
        <x:v>483</x:v>
      </x:c>
      <x:c r="M41" s="12" t="n">
        <x:v>26538</x:v>
      </x:c>
      <x:c r="N41" s="13" t="n">
        <x:f>IF(M41&gt;0,L41/M41,"")</x:f>
        <x:v>0.01820031652724395</x:v>
      </x:c>
      <x:c r="O41" s="12" t="n">
        <x:f>SUM(C41,F41,I41,L41)</x:f>
        <x:v>2414</x:v>
      </x:c>
      <x:c r="P41" s="12" t="n">
        <x:f>SUM(D41,G41,J41,M41)</x:f>
        <x:v>148165</x:v>
      </x:c>
      <x:c r="Q41" s="12" t="n">
        <x:v>2414</x:v>
      </x:c>
      <x:c r="R41" s="12" t="n">
        <x:v>148165</x:v>
      </x:c>
      <x:c r="S41" s="12" t="n">
        <x:f>O41-Q41</x:f>
        <x:v>0</x:v>
      </x:c>
      <x:c r="T41" s="12" t="n">
        <x:f>P41-R41</x:f>
        <x:v>0</x:v>
      </x:c>
    </x:row>
    <x:row r="42" ht="22" customHeight="1">
      <x:c r="A42" s="4" t="str">
        <x:v>B0DM91VF98</x:v>
      </x:c>
      <x:c r="B42" s="4" t="str">
        <x:v>SORAKO</x:v>
      </x:c>
      <x:c r="C42" s="12" t="n">
        <x:v>156</x:v>
      </x:c>
      <x:c r="D42" s="12" t="n">
        <x:v>4066</x:v>
      </x:c>
      <x:c r="E42" s="13" t="n">
        <x:f>IF(D42&gt;0,C42/D42,"")</x:f>
        <x:v>0.038366945400885394</x:v>
      </x:c>
      <x:c r="F42" s="12" t="n">
        <x:v>412</x:v>
      </x:c>
      <x:c r="G42" s="12" t="n">
        <x:v>6957</x:v>
      </x:c>
      <x:c r="H42" s="13" t="n">
        <x:f>IF(G42&gt;0,F42/G42,"")</x:f>
        <x:v>0.05922092856116142</x:v>
      </x:c>
      <x:c r="I42" s="12" t="n">
        <x:v>1689</x:v>
      </x:c>
      <x:c r="J42" s="12" t="n">
        <x:v>27322</x:v>
      </x:c>
      <x:c r="K42" s="13" t="n">
        <x:f>IF(J42&gt;0,I42/J42,"")</x:f>
        <x:v>0.061818314911060684</x:v>
      </x:c>
      <x:c r="L42" s="12" t="n">
        <x:v>113</x:v>
      </x:c>
      <x:c r="M42" s="12" t="n">
        <x:v>2850</x:v>
      </x:c>
      <x:c r="N42" s="13" t="n">
        <x:f>IF(M42&gt;0,L42/M42,"")</x:f>
        <x:v>0.039649122807017545</x:v>
      </x:c>
      <x:c r="O42" s="12" t="n">
        <x:f>SUM(C42,F42,I42,L42)</x:f>
        <x:v>2370</x:v>
      </x:c>
      <x:c r="P42" s="12" t="n">
        <x:f>SUM(D42,G42,J42,M42)</x:f>
        <x:v>41195</x:v>
      </x:c>
      <x:c r="Q42" s="12" t="n">
        <x:v>2370</x:v>
      </x:c>
      <x:c r="R42" s="12" t="n">
        <x:v>41195</x:v>
      </x:c>
      <x:c r="S42" s="12" t="n">
        <x:f>O42-Q42</x:f>
        <x:v>0</x:v>
      </x:c>
      <x:c r="T42" s="12" t="n">
        <x:f>P42-R42</x:f>
        <x:v>0</x:v>
      </x:c>
    </x:row>
    <x:row r="43" ht="22" customHeight="1">
      <x:c r="A43" s="4" t="str">
        <x:v>B0CG9MBTMF</x:v>
      </x:c>
      <x:c r="B43" s="4" t="str">
        <x:v>HYCHIKA</x:v>
      </x:c>
      <x:c r="C43" s="12" t="n">
        <x:v>798</x:v>
      </x:c>
      <x:c r="D43" s="12" t="n">
        <x:v>11225</x:v>
      </x:c>
      <x:c r="E43" s="13" t="n">
        <x:f>IF(D43&gt;0,C43/D43,"")</x:f>
        <x:v>0.0710913140311804</x:v>
      </x:c>
      <x:c r="F43" s="12" t="n">
        <x:v>1431</x:v>
      </x:c>
      <x:c r="G43" s="12" t="n">
        <x:v>17132</x:v>
      </x:c>
      <x:c r="H43" s="13" t="n">
        <x:f>IF(G43&gt;0,F43/G43,"")</x:f>
        <x:v>0.08352790100396917</x:v>
      </x:c>
      <x:c r="I43" s="12" t="n">
        <x:v>101</x:v>
      </x:c>
      <x:c r="J43" s="12" t="n">
        <x:v>1956</x:v>
      </x:c>
      <x:c r="K43" s="13" t="n">
        <x:f>IF(J43&gt;0,I43/J43,"")</x:f>
        <x:v>0.0516359918200409</x:v>
      </x:c>
      <x:c r="L43" s="12" t="n">
        <x:v>1</x:v>
      </x:c>
      <x:c r="M43" s="12" t="n">
        <x:v>34</x:v>
      </x:c>
      <x:c r="N43" s="13" t="n">
        <x:f>IF(M43&gt;0,L43/M43,"")</x:f>
        <x:v>0.029411764705882353</x:v>
      </x:c>
      <x:c r="O43" s="12" t="n">
        <x:f>SUM(C43,F43,I43,L43)</x:f>
        <x:v>2331</x:v>
      </x:c>
      <x:c r="P43" s="12" t="n">
        <x:f>SUM(D43,G43,J43,M43)</x:f>
        <x:v>30347</x:v>
      </x:c>
      <x:c r="Q43" s="12" t="n">
        <x:v>2331</x:v>
      </x:c>
      <x:c r="R43" s="12" t="n">
        <x:v>30347</x:v>
      </x:c>
      <x:c r="S43" s="12" t="n">
        <x:f>O43-Q43</x:f>
        <x:v>0</x:v>
      </x:c>
      <x:c r="T43" s="12" t="n">
        <x:f>P43-R43</x:f>
        <x:v>0</x:v>
      </x:c>
    </x:row>
    <x:row r="44" ht="22" customHeight="1">
      <x:c r="A44" s="4" t="str">
        <x:v>B0BYMQ4B8Q</x:v>
      </x:c>
      <x:c r="B44" s="4" t="str">
        <x:v>HYCHIKA</x:v>
      </x:c>
      <x:c r="C44" s="12" t="n">
        <x:v>1074</x:v>
      </x:c>
      <x:c r="D44" s="12" t="n">
        <x:v>20067</x:v>
      </x:c>
      <x:c r="E44" s="13" t="n">
        <x:f>IF(D44&gt;0,C44/D44,"")</x:f>
        <x:v>0.053520705636119</x:v>
      </x:c>
      <x:c r="F44" s="12" t="n">
        <x:v>666</x:v>
      </x:c>
      <x:c r="G44" s="12" t="n">
        <x:v>17982</x:v>
      </x:c>
      <x:c r="H44" s="13" t="n">
        <x:f>IF(G44&gt;0,F44/G44,"")</x:f>
        <x:v>0.037037037037037035</x:v>
      </x:c>
      <x:c r="I44" s="12" t="n">
        <x:v>352</x:v>
      </x:c>
      <x:c r="J44" s="12" t="n">
        <x:v>9085</x:v>
      </x:c>
      <x:c r="K44" s="13" t="n">
        <x:f>IF(J44&gt;0,I44/J44,"")</x:f>
        <x:v>0.038745184369840396</x:v>
      </x:c>
      <x:c r="L44" s="12" t="n">
        <x:v>170</x:v>
      </x:c>
      <x:c r="M44" s="12" t="n">
        <x:v>5974</x:v>
      </x:c>
      <x:c r="N44" s="13" t="n">
        <x:f>IF(M44&gt;0,L44/M44,"")</x:f>
        <x:v>0.02845664546367593</x:v>
      </x:c>
      <x:c r="O44" s="12" t="n">
        <x:f>SUM(C44,F44,I44,L44)</x:f>
        <x:v>2262</x:v>
      </x:c>
      <x:c r="P44" s="12" t="n">
        <x:f>SUM(D44,G44,J44,M44)</x:f>
        <x:v>53108</x:v>
      </x:c>
      <x:c r="Q44" s="12" t="n">
        <x:v>2262</x:v>
      </x:c>
      <x:c r="R44" s="12" t="n">
        <x:v>53108</x:v>
      </x:c>
      <x:c r="S44" s="12" t="n">
        <x:f>O44-Q44</x:f>
        <x:v>0</x:v>
      </x:c>
      <x:c r="T44" s="12" t="n">
        <x:f>P44-R44</x:f>
        <x:v>0</x:v>
      </x:c>
    </x:row>
    <x:row r="45" ht="22" customHeight="1">
      <x:c r="A45" s="4" t="str">
        <x:v>B0F1CZSFHM</x:v>
      </x:c>
      <x:c r="B45" s="4" t="str">
        <x:v>HYCHIKA</x:v>
      </x:c>
      <x:c r="C45" s="12" t="n">
        <x:v>340</x:v>
      </x:c>
      <x:c r="D45" s="12" t="n">
        <x:v>7532</x:v>
      </x:c>
      <x:c r="E45" s="13" t="n">
        <x:f>IF(D45&gt;0,C45/D45,"")</x:f>
        <x:v>0.04514073287307488</x:v>
      </x:c>
      <x:c r="F45" s="12" t="n">
        <x:v>598</x:v>
      </x:c>
      <x:c r="G45" s="12" t="n">
        <x:v>12814</x:v>
      </x:c>
      <x:c r="H45" s="13" t="n">
        <x:f>IF(G45&gt;0,F45/G45,"")</x:f>
        <x:v>0.04666770719525519</x:v>
      </x:c>
      <x:c r="I45" s="12" t="n">
        <x:v>608</x:v>
      </x:c>
      <x:c r="J45" s="12" t="n">
        <x:v>10085</x:v>
      </x:c>
      <x:c r="K45" s="13" t="n">
        <x:f>IF(J45&gt;0,I45/J45,"")</x:f>
        <x:v>0.06028755577590481</x:v>
      </x:c>
      <x:c r="L45" s="12" t="n">
        <x:v>616</x:v>
      </x:c>
      <x:c r="M45" s="12" t="n">
        <x:v>10645</x:v>
      </x:c>
      <x:c r="N45" s="13" t="n">
        <x:f>IF(M45&gt;0,L45/M45,"")</x:f>
        <x:v>0.057867543447628</x:v>
      </x:c>
      <x:c r="O45" s="12" t="n">
        <x:f>SUM(C45,F45,I45,L45)</x:f>
        <x:v>2162</x:v>
      </x:c>
      <x:c r="P45" s="12" t="n">
        <x:f>SUM(D45,G45,J45,M45)</x:f>
        <x:v>41076</x:v>
      </x:c>
      <x:c r="Q45" s="12" t="n">
        <x:v>2162</x:v>
      </x:c>
      <x:c r="R45" s="12" t="n">
        <x:v>41076</x:v>
      </x:c>
      <x:c r="S45" s="12" t="n">
        <x:f>O45-Q45</x:f>
        <x:v>0</x:v>
      </x:c>
      <x:c r="T45" s="12" t="n">
        <x:f>P45-R45</x:f>
        <x:v>0</x:v>
      </x:c>
    </x:row>
    <x:row r="46" ht="22" customHeight="1">
      <x:c r="A46" s="4" t="str">
        <x:v>B0FXLSB51W</x:v>
      </x:c>
      <x:c r="B46" s="4" t="str">
        <x:v>HYCHIKA</x:v>
      </x:c>
      <x:c r="C46" s="12" t="n">
        <x:v>132</x:v>
      </x:c>
      <x:c r="D46" s="12" t="n">
        <x:v>1826</x:v>
      </x:c>
      <x:c r="E46" s="13" t="n">
        <x:f>IF(D46&gt;0,C46/D46,"")</x:f>
        <x:v>0.07228915662650602</x:v>
      </x:c>
      <x:c r="F46" s="12" t="n">
        <x:v>563</x:v>
      </x:c>
      <x:c r="G46" s="12" t="n">
        <x:v>6136</x:v>
      </x:c>
      <x:c r="H46" s="13" t="n">
        <x:f>IF(G46&gt;0,F46/G46,"")</x:f>
        <x:v>0.0917535853976532</x:v>
      </x:c>
      <x:c r="I46" s="12" t="n">
        <x:v>642</x:v>
      </x:c>
      <x:c r="J46" s="12" t="n">
        <x:v>9020</x:v>
      </x:c>
      <x:c r="K46" s="13" t="n">
        <x:f>IF(J46&gt;0,I46/J46,"")</x:f>
        <x:v>0.07117516629711752</x:v>
      </x:c>
      <x:c r="L46" s="12" t="n">
        <x:v>749</x:v>
      </x:c>
      <x:c r="M46" s="12" t="n">
        <x:v>10679</x:v>
      </x:c>
      <x:c r="N46" s="13" t="n">
        <x:f>IF(M46&gt;0,L46/M46,"")</x:f>
        <x:v>0.07013765333832755</x:v>
      </x:c>
      <x:c r="O46" s="12" t="n">
        <x:f>SUM(C46,F46,I46,L46)</x:f>
        <x:v>2086</x:v>
      </x:c>
      <x:c r="P46" s="12" t="n">
        <x:f>SUM(D46,G46,J46,M46)</x:f>
        <x:v>27661</x:v>
      </x:c>
      <x:c r="Q46" s="12" t="n">
        <x:v>2086</x:v>
      </x:c>
      <x:c r="R46" s="12" t="n">
        <x:v>27661</x:v>
      </x:c>
      <x:c r="S46" s="12" t="n">
        <x:f>O46-Q46</x:f>
        <x:v>0</x:v>
      </x:c>
      <x:c r="T46" s="12" t="n">
        <x:f>P46-R46</x:f>
        <x:v>0</x:v>
      </x:c>
    </x:row>
    <x:row r="47" ht="22" customHeight="1">
      <x:c r="A47" s="4" t="str">
        <x:v>B0D7HVPSPQ</x:v>
      </x:c>
      <x:c r="B47" s="4" t="str">
        <x:v>HYCHIKA</x:v>
      </x:c>
      <x:c r="C47" s="12" t="n">
        <x:v>582</x:v>
      </x:c>
      <x:c r="D47" s="12" t="n">
        <x:v>14350</x:v>
      </x:c>
      <x:c r="E47" s="13" t="n">
        <x:f>IF(D47&gt;0,C47/D47,"")</x:f>
        <x:v>0.040557491289198604</x:v>
      </x:c>
      <x:c r="F47" s="12" t="n">
        <x:v>685</x:v>
      </x:c>
      <x:c r="G47" s="12" t="n">
        <x:v>19274</x:v>
      </x:c>
      <x:c r="H47" s="13" t="n">
        <x:f>IF(G47&gt;0,F47/G47,"")</x:f>
        <x:v>0.03554010584206704</x:v>
      </x:c>
      <x:c r="I47" s="12" t="n">
        <x:v>557</x:v>
      </x:c>
      <x:c r="J47" s="12" t="n">
        <x:v>17819</x:v>
      </x:c>
      <x:c r="K47" s="13" t="n">
        <x:f>IF(J47&gt;0,I47/J47,"")</x:f>
        <x:v>0.0312587687300073</x:v>
      </x:c>
      <x:c r="L47" s="12" t="n">
        <x:v>246</x:v>
      </x:c>
      <x:c r="M47" s="12" t="n">
        <x:v>8745</x:v>
      </x:c>
      <x:c r="N47" s="13" t="n">
        <x:f>IF(M47&gt;0,L47/M47,"")</x:f>
        <x:v>0.028130360205831904</x:v>
      </x:c>
      <x:c r="O47" s="12" t="n">
        <x:f>SUM(C47,F47,I47,L47)</x:f>
        <x:v>2070</x:v>
      </x:c>
      <x:c r="P47" s="12" t="n">
        <x:f>SUM(D47,G47,J47,M47)</x:f>
        <x:v>60188</x:v>
      </x:c>
      <x:c r="Q47" s="12" t="n">
        <x:v>2070</x:v>
      </x:c>
      <x:c r="R47" s="12" t="n">
        <x:v>60188</x:v>
      </x:c>
      <x:c r="S47" s="12" t="n">
        <x:f>O47-Q47</x:f>
        <x:v>0</x:v>
      </x:c>
      <x:c r="T47" s="12" t="n">
        <x:f>P47-R47</x:f>
        <x:v>0</x:v>
      </x:c>
    </x:row>
    <x:row r="48" ht="22" customHeight="1">
      <x:c r="A48" s="4" t="str">
        <x:v>B0FNMBQFBC</x:v>
      </x:c>
      <x:c r="B48" s="4" t="str">
        <x:v>HYCHIKA</x:v>
      </x:c>
      <x:c r="C48" s="12" t="n">
        <x:v>1</x:v>
      </x:c>
      <x:c r="D48" s="12" t="n">
        <x:v>16</x:v>
      </x:c>
      <x:c r="E48" s="13" t="n">
        <x:f>IF(D48&gt;0,C48/D48,"")</x:f>
        <x:v>0.0625</x:v>
      </x:c>
      <x:c r="F48" s="12" t="n">
        <x:v>690</x:v>
      </x:c>
      <x:c r="G48" s="12" t="n">
        <x:v>23941</x:v>
      </x:c>
      <x:c r="H48" s="13" t="n">
        <x:f>IF(G48&gt;0,F48/G48,"")</x:f>
        <x:v>0.028820851259345893</x:v>
      </x:c>
      <x:c r="I48" s="12" t="n">
        <x:v>821</x:v>
      </x:c>
      <x:c r="J48" s="12" t="n">
        <x:v>22007</x:v>
      </x:c>
      <x:c r="K48" s="13" t="n">
        <x:f>IF(J48&gt;0,I48/J48,"")</x:f>
        <x:v>0.03730631162811832</x:v>
      </x:c>
      <x:c r="L48" s="12" t="n">
        <x:v>476</x:v>
      </x:c>
      <x:c r="M48" s="12" t="n">
        <x:v>14574</x:v>
      </x:c>
      <x:c r="N48" s="13" t="n">
        <x:f>IF(M48&gt;0,L48/M48,"")</x:f>
        <x:v>0.03266090297790586</x:v>
      </x:c>
      <x:c r="O48" s="12" t="n">
        <x:f>SUM(C48,F48,I48,L48)</x:f>
        <x:v>1988</x:v>
      </x:c>
      <x:c r="P48" s="12" t="n">
        <x:f>SUM(D48,G48,J48,M48)</x:f>
        <x:v>60538</x:v>
      </x:c>
      <x:c r="Q48" s="12" t="n">
        <x:v>1988</x:v>
      </x:c>
      <x:c r="R48" s="12" t="n">
        <x:v>60538</x:v>
      </x:c>
      <x:c r="S48" s="12" t="n">
        <x:f>O48-Q48</x:f>
        <x:v>0</x:v>
      </x:c>
      <x:c r="T48" s="12" t="n">
        <x:f>P48-R48</x:f>
        <x:v>0</x:v>
      </x:c>
    </x:row>
    <x:row r="49" ht="22" customHeight="1">
      <x:c r="A49" s="4" t="str">
        <x:v>B0CRDK814K</x:v>
      </x:c>
      <x:c r="B49" s="4" t="str">
        <x:v>HYCHIKA</x:v>
      </x:c>
      <x:c r="C49" s="12" t="n">
        <x:v>315</x:v>
      </x:c>
      <x:c r="D49" s="12" t="n">
        <x:v>3223</x:v>
      </x:c>
      <x:c r="E49" s="13" t="n">
        <x:f>IF(D49&gt;0,C49/D49,"")</x:f>
        <x:v>0.09773502947564382</x:v>
      </x:c>
      <x:c r="F49" s="12" t="n">
        <x:v>513</x:v>
      </x:c>
      <x:c r="G49" s="12" t="n">
        <x:v>6396</x:v>
      </x:c>
      <x:c r="H49" s="13" t="n">
        <x:f>IF(G49&gt;0,F49/G49,"")</x:f>
        <x:v>0.08020637898686679</x:v>
      </x:c>
      <x:c r="I49" s="12" t="n">
        <x:v>341</x:v>
      </x:c>
      <x:c r="J49" s="12" t="n">
        <x:v>4703</x:v>
      </x:c>
      <x:c r="K49" s="13" t="n">
        <x:f>IF(J49&gt;0,I49/J49,"")</x:f>
        <x:v>0.07250691048267063</x:v>
      </x:c>
      <x:c r="L49" s="12" t="n">
        <x:v>577</x:v>
      </x:c>
      <x:c r="M49" s="12" t="n">
        <x:v>9783</x:v>
      </x:c>
      <x:c r="N49" s="13" t="n">
        <x:f>IF(M49&gt;0,L49/M49,"")</x:f>
        <x:v>0.05897986302770111</x:v>
      </x:c>
      <x:c r="O49" s="12" t="n">
        <x:f>SUM(C49,F49,I49,L49)</x:f>
        <x:v>1746</x:v>
      </x:c>
      <x:c r="P49" s="12" t="n">
        <x:f>SUM(D49,G49,J49,M49)</x:f>
        <x:v>24105</x:v>
      </x:c>
      <x:c r="Q49" s="12" t="n">
        <x:v>1746</x:v>
      </x:c>
      <x:c r="R49" s="12" t="n">
        <x:v>24105</x:v>
      </x:c>
      <x:c r="S49" s="12" t="n">
        <x:f>O49-Q49</x:f>
        <x:v>0</x:v>
      </x:c>
      <x:c r="T49" s="12" t="n">
        <x:f>P49-R49</x:f>
        <x:v>0</x:v>
      </x:c>
    </x:row>
    <x:row r="50" ht="22" customHeight="1">
      <x:c r="A50" s="4" t="str">
        <x:v>B0F9YCJ1FS</x:v>
      </x:c>
      <x:c r="B50" s="4" t="str">
        <x:v>HYCHIKA</x:v>
      </x:c>
      <x:c r="C50" s="12" t="n">
        <x:v>467</x:v>
      </x:c>
      <x:c r="D50" s="12" t="n">
        <x:v>8354</x:v>
      </x:c>
      <x:c r="E50" s="13" t="n">
        <x:f>IF(D50&gt;0,C50/D50,"")</x:f>
        <x:v>0.05590136461575293</x:v>
      </x:c>
      <x:c r="F50" s="12" t="n">
        <x:v>434</x:v>
      </x:c>
      <x:c r="G50" s="12" t="n">
        <x:v>9044</x:v>
      </x:c>
      <x:c r="H50" s="13" t="n">
        <x:f>IF(G50&gt;0,F50/G50,"")</x:f>
        <x:v>0.047987616099071206</x:v>
      </x:c>
      <x:c r="I50" s="12" t="n">
        <x:v>202</x:v>
      </x:c>
      <x:c r="J50" s="12" t="n">
        <x:v>4572</x:v>
      </x:c>
      <x:c r="K50" s="13" t="n">
        <x:f>IF(J50&gt;0,I50/J50,"")</x:f>
        <x:v>0.044181977252843396</x:v>
      </x:c>
      <x:c r="L50" s="12" t="n">
        <x:v>561</x:v>
      </x:c>
      <x:c r="M50" s="12" t="n">
        <x:v>7310</x:v>
      </x:c>
      <x:c r="N50" s="13" t="n">
        <x:f>IF(M50&gt;0,L50/M50,"")</x:f>
        <x:v>0.07674418604651163</x:v>
      </x:c>
      <x:c r="O50" s="12" t="n">
        <x:f>SUM(C50,F50,I50,L50)</x:f>
        <x:v>1664</x:v>
      </x:c>
      <x:c r="P50" s="12" t="n">
        <x:f>SUM(D50,G50,J50,M50)</x:f>
        <x:v>29280</x:v>
      </x:c>
      <x:c r="Q50" s="12" t="n">
        <x:v>1664</x:v>
      </x:c>
      <x:c r="R50" s="12" t="n">
        <x:v>29280</x:v>
      </x:c>
      <x:c r="S50" s="12" t="n">
        <x:f>O50-Q50</x:f>
        <x:v>0</x:v>
      </x:c>
      <x:c r="T50" s="12" t="n">
        <x:f>P50-R50</x:f>
        <x:v>0</x:v>
      </x:c>
    </x:row>
    <x:row r="51" ht="22" customHeight="1">
      <x:c r="A51" s="4" t="str">
        <x:v>B091Q2N3GT</x:v>
      </x:c>
      <x:c r="B51" s="4" t="str">
        <x:v>HYCHIKA</x:v>
      </x:c>
      <x:c r="C51" s="12" t="n">
        <x:v>758</x:v>
      </x:c>
      <x:c r="D51" s="12" t="n">
        <x:v>7750</x:v>
      </x:c>
      <x:c r="E51" s="13" t="n">
        <x:f>IF(D51&gt;0,C51/D51,"")</x:f>
        <x:v>0.09780645161290323</x:v>
      </x:c>
      <x:c r="F51" s="12" t="n">
        <x:v>309</x:v>
      </x:c>
      <x:c r="G51" s="12" t="n">
        <x:v>4815</x:v>
      </x:c>
      <x:c r="H51" s="13" t="n">
        <x:f>IF(G51&gt;0,F51/G51,"")</x:f>
        <x:v>0.06417445482866044</x:v>
      </x:c>
      <x:c r="I51" s="12" t="n">
        <x:v>295</x:v>
      </x:c>
      <x:c r="J51" s="12" t="n">
        <x:v>4191</x:v>
      </x:c>
      <x:c r="K51" s="13" t="n">
        <x:f>IF(J51&gt;0,I51/J51,"")</x:f>
        <x:v>0.07038892865664519</x:v>
      </x:c>
      <x:c r="L51" s="12" t="n">
        <x:v>268</x:v>
      </x:c>
      <x:c r="M51" s="12" t="n">
        <x:v>3459</x:v>
      </x:c>
      <x:c r="N51" s="13" t="n">
        <x:f>IF(M51&gt;0,L51/M51,"")</x:f>
        <x:v>0.07747904018502458</x:v>
      </x:c>
      <x:c r="O51" s="12" t="n">
        <x:f>SUM(C51,F51,I51,L51)</x:f>
        <x:v>1630</x:v>
      </x:c>
      <x:c r="P51" s="12" t="n">
        <x:f>SUM(D51,G51,J51,M51)</x:f>
        <x:v>20215</x:v>
      </x:c>
      <x:c r="Q51" s="12" t="n">
        <x:v>1630</x:v>
      </x:c>
      <x:c r="R51" s="12" t="n">
        <x:v>20215</x:v>
      </x:c>
      <x:c r="S51" s="12" t="n">
        <x:f>O51-Q51</x:f>
        <x:v>0</x:v>
      </x:c>
      <x:c r="T51" s="12" t="n">
        <x:f>P51-R51</x:f>
        <x:v>0</x:v>
      </x:c>
    </x:row>
    <x:row r="52" ht="22" customHeight="1">
      <x:c r="A52" s="4" t="str">
        <x:v>B0D2XH63MM</x:v>
      </x:c>
      <x:c r="B52" s="4" t="str">
        <x:v>HYCHIKA</x:v>
      </x:c>
      <x:c r="C52" s="12" t="n">
        <x:v>426</x:v>
      </x:c>
      <x:c r="D52" s="12" t="n">
        <x:v>14233</x:v>
      </x:c>
      <x:c r="E52" s="13" t="n">
        <x:f>IF(D52&gt;0,C52/D52,"")</x:f>
        <x:v>0.029930443335909506</x:v>
      </x:c>
      <x:c r="F52" s="12" t="n">
        <x:v>245</x:v>
      </x:c>
      <x:c r="G52" s="12" t="n">
        <x:v>7640</x:v>
      </x:c>
      <x:c r="H52" s="13" t="n">
        <x:f>IF(G52&gt;0,F52/G52,"")</x:f>
        <x:v>0.03206806282722513</x:v>
      </x:c>
      <x:c r="I52" s="12" t="n">
        <x:v>450</x:v>
      </x:c>
      <x:c r="J52" s="12" t="n">
        <x:v>9994</x:v>
      </x:c>
      <x:c r="K52" s="13" t="n">
        <x:f>IF(J52&gt;0,I52/J52,"")</x:f>
        <x:v>0.04502701620972584</x:v>
      </x:c>
      <x:c r="L52" s="12" t="n">
        <x:v>451</x:v>
      </x:c>
      <x:c r="M52" s="12" t="n">
        <x:v>12725</x:v>
      </x:c>
      <x:c r="N52" s="13" t="n">
        <x:f>IF(M52&gt;0,L52/M52,"")</x:f>
        <x:v>0.03544204322200393</x:v>
      </x:c>
      <x:c r="O52" s="12" t="n">
        <x:f>SUM(C52,F52,I52,L52)</x:f>
        <x:v>1572</x:v>
      </x:c>
      <x:c r="P52" s="12" t="n">
        <x:f>SUM(D52,G52,J52,M52)</x:f>
        <x:v>44592</x:v>
      </x:c>
      <x:c r="Q52" s="12" t="n">
        <x:v>1572</x:v>
      </x:c>
      <x:c r="R52" s="12" t="n">
        <x:v>44592</x:v>
      </x:c>
      <x:c r="S52" s="12" t="n">
        <x:f>O52-Q52</x:f>
        <x:v>0</x:v>
      </x:c>
      <x:c r="T52" s="12" t="n">
        <x:f>P52-R52</x:f>
        <x:v>0</x:v>
      </x:c>
    </x:row>
    <x:row r="53" ht="22" customHeight="1">
      <x:c r="A53" s="4" t="str">
        <x:v>B07ZFNCBXX</x:v>
      </x:c>
      <x:c r="B53" s="4" t="str">
        <x:v>HYCHIKA</x:v>
      </x:c>
      <x:c r="C53" s="12" t="n">
        <x:v>445</x:v>
      </x:c>
      <x:c r="D53" s="12" t="n">
        <x:v>5677</x:v>
      </x:c>
      <x:c r="E53" s="13" t="n">
        <x:f>IF(D53&gt;0,C53/D53,"")</x:f>
        <x:v>0.07838647172802536</x:v>
      </x:c>
      <x:c r="F53" s="12" t="n">
        <x:v>444</x:v>
      </x:c>
      <x:c r="G53" s="12" t="n">
        <x:v>4642</x:v>
      </x:c>
      <x:c r="H53" s="13" t="n">
        <x:f>IF(G53&gt;0,F53/G53,"")</x:f>
        <x:v>0.0956484274019819</x:v>
      </x:c>
      <x:c r="I53" s="12" t="n">
        <x:v>262</x:v>
      </x:c>
      <x:c r="J53" s="12" t="n">
        <x:v>2702</x:v>
      </x:c>
      <x:c r="K53" s="13" t="n">
        <x:f>IF(J53&gt;0,I53/J53,"")</x:f>
        <x:v>0.09696521095484827</x:v>
      </x:c>
      <x:c r="L53" s="12" t="n">
        <x:v>283</x:v>
      </x:c>
      <x:c r="M53" s="12" t="n">
        <x:v>4143</x:v>
      </x:c>
      <x:c r="N53" s="13" t="n">
        <x:f>IF(M53&gt;0,L53/M53,"")</x:f>
        <x:v>0.06830798937967657</x:v>
      </x:c>
      <x:c r="O53" s="12" t="n">
        <x:f>SUM(C53,F53,I53,L53)</x:f>
        <x:v>1434</x:v>
      </x:c>
      <x:c r="P53" s="12" t="n">
        <x:f>SUM(D53,G53,J53,M53)</x:f>
        <x:v>17164</x:v>
      </x:c>
      <x:c r="Q53" s="12" t="n">
        <x:v>1434</x:v>
      </x:c>
      <x:c r="R53" s="12" t="n">
        <x:v>17164</x:v>
      </x:c>
      <x:c r="S53" s="12" t="n">
        <x:f>O53-Q53</x:f>
        <x:v>0</x:v>
      </x:c>
      <x:c r="T53" s="12" t="n">
        <x:f>P53-R53</x:f>
        <x:v>0</x:v>
      </x:c>
    </x:row>
    <x:row r="54" ht="22" customHeight="1">
      <x:c r="A54" s="4" t="str">
        <x:v>B0FHPR9TV5</x:v>
      </x:c>
      <x:c r="B54" s="4" t="str">
        <x:v>HYCHIKA</x:v>
      </x:c>
      <x:c r="C54" s="12" t="n">
        <x:v>357</x:v>
      </x:c>
      <x:c r="D54" s="12" t="n">
        <x:v>8273</x:v>
      </x:c>
      <x:c r="E54" s="13" t="n">
        <x:f>IF(D54&gt;0,C54/D54,"")</x:f>
        <x:v>0.04315242354647649</x:v>
      </x:c>
      <x:c r="F54" s="12" t="n">
        <x:v>515</x:v>
      </x:c>
      <x:c r="G54" s="12" t="n">
        <x:v>22389</x:v>
      </x:c>
      <x:c r="H54" s="13" t="n">
        <x:f>IF(G54&gt;0,F54/G54,"")</x:f>
        <x:v>0.02300236723390951</x:v>
      </x:c>
      <x:c r="I54" s="12" t="n">
        <x:v>431</x:v>
      </x:c>
      <x:c r="J54" s="12" t="n">
        <x:v>14349</x:v>
      </x:c>
      <x:c r="K54" s="13" t="n">
        <x:f>IF(J54&gt;0,I54/J54,"")</x:f>
        <x:v>0.030036936371872606</x:v>
      </x:c>
      <x:c r="L54" s="12" t="n">
        <x:v>120</x:v>
      </x:c>
      <x:c r="M54" s="12" t="n">
        <x:v>3765</x:v>
      </x:c>
      <x:c r="N54" s="13" t="n">
        <x:f>IF(M54&gt;0,L54/M54,"")</x:f>
        <x:v>0.03187250996015936</x:v>
      </x:c>
      <x:c r="O54" s="12" t="n">
        <x:f>SUM(C54,F54,I54,L54)</x:f>
        <x:v>1423</x:v>
      </x:c>
      <x:c r="P54" s="12" t="n">
        <x:f>SUM(D54,G54,J54,M54)</x:f>
        <x:v>48776</x:v>
      </x:c>
      <x:c r="Q54" s="12" t="n">
        <x:v>1423</x:v>
      </x:c>
      <x:c r="R54" s="12" t="n">
        <x:v>48776</x:v>
      </x:c>
      <x:c r="S54" s="12" t="n">
        <x:f>O54-Q54</x:f>
        <x:v>0</x:v>
      </x:c>
      <x:c r="T54" s="12" t="n">
        <x:f>P54-R54</x:f>
        <x:v>0</x:v>
      </x:c>
    </x:row>
    <x:row r="55" ht="22" customHeight="1">
      <x:c r="A55" s="4" t="str">
        <x:v>B0FHH6H76D</x:v>
      </x:c>
      <x:c r="B55" s="4" t="str">
        <x:v>HYCHIKA</x:v>
      </x:c>
      <x:c r="C55" s="12" t="n">
        <x:v>269</x:v>
      </x:c>
      <x:c r="D55" s="12" t="n">
        <x:v>6538</x:v>
      </x:c>
      <x:c r="E55" s="13" t="n">
        <x:f>IF(D55&gt;0,C55/D55,"")</x:f>
        <x:v>0.04114408075864179</x:v>
      </x:c>
      <x:c r="F55" s="12" t="n">
        <x:v>549</x:v>
      </x:c>
      <x:c r="G55" s="12" t="n">
        <x:v>17453</x:v>
      </x:c>
      <x:c r="H55" s="13" t="n">
        <x:f>IF(G55&gt;0,F55/G55,"")</x:f>
        <x:v>0.03145591015871197</x:v>
      </x:c>
      <x:c r="I55" s="12" t="n">
        <x:v>423</x:v>
      </x:c>
      <x:c r="J55" s="12" t="n">
        <x:v>15514</x:v>
      </x:c>
      <x:c r="K55" s="13" t="n">
        <x:f>IF(J55&gt;0,I55/J55,"")</x:f>
        <x:v>0.027265695500837954</x:v>
      </x:c>
      <x:c r="L55" s="12" t="n">
        <x:v>129</x:v>
      </x:c>
      <x:c r="M55" s="12" t="n">
        <x:v>7338</x:v>
      </x:c>
      <x:c r="N55" s="13" t="n">
        <x:f>IF(M55&gt;0,L55/M55,"")</x:f>
        <x:v>0.01757972199509403</x:v>
      </x:c>
      <x:c r="O55" s="12" t="n">
        <x:f>SUM(C55,F55,I55,L55)</x:f>
        <x:v>1370</x:v>
      </x:c>
      <x:c r="P55" s="12" t="n">
        <x:f>SUM(D55,G55,J55,M55)</x:f>
        <x:v>46843</x:v>
      </x:c>
      <x:c r="Q55" s="12" t="n">
        <x:v>1370</x:v>
      </x:c>
      <x:c r="R55" s="12" t="n">
        <x:v>46843</x:v>
      </x:c>
      <x:c r="S55" s="12" t="n">
        <x:f>O55-Q55</x:f>
        <x:v>0</x:v>
      </x:c>
      <x:c r="T55" s="12" t="n">
        <x:f>P55-R55</x:f>
        <x:v>0</x:v>
      </x:c>
    </x:row>
    <x:row r="56" ht="22" customHeight="1">
      <x:c r="A56" s="4" t="str">
        <x:v>B09G6BDHFP</x:v>
      </x:c>
      <x:c r="B56" s="4" t="str">
        <x:v>HYCHIKA</x:v>
      </x:c>
      <x:c r="C56" s="12" t="n">
        <x:v>650</x:v>
      </x:c>
      <x:c r="D56" s="12" t="n">
        <x:v>20937</x:v>
      </x:c>
      <x:c r="E56" s="13" t="n">
        <x:f>IF(D56&gt;0,C56/D56,"")</x:f>
        <x:v>0.03104551750489564</x:v>
      </x:c>
      <x:c r="F56" s="12" t="n">
        <x:v>322</x:v>
      </x:c>
      <x:c r="G56" s="12" t="n">
        <x:v>25956</x:v>
      </x:c>
      <x:c r="H56" s="13" t="n">
        <x:f>IF(G56&gt;0,F56/G56,"")</x:f>
        <x:v>0.012405609492988134</x:v>
      </x:c>
      <x:c r="I56" s="12" t="n">
        <x:v>96</x:v>
      </x:c>
      <x:c r="J56" s="12" t="n">
        <x:v>7696</x:v>
      </x:c>
      <x:c r="K56" s="13" t="n">
        <x:f>IF(J56&gt;0,I56/J56,"")</x:f>
        <x:v>0.012474012474012475</x:v>
      </x:c>
      <x:c r="L56" s="12" t="n">
        <x:v>15</x:v>
      </x:c>
      <x:c r="M56" s="12" t="n">
        <x:v>1208</x:v>
      </x:c>
      <x:c r="N56" s="13" t="n">
        <x:f>IF(M56&gt;0,L56/M56,"")</x:f>
        <x:v>0.012417218543046357</x:v>
      </x:c>
      <x:c r="O56" s="12" t="n">
        <x:f>SUM(C56,F56,I56,L56)</x:f>
        <x:v>1083</x:v>
      </x:c>
      <x:c r="P56" s="12" t="n">
        <x:f>SUM(D56,G56,J56,M56)</x:f>
        <x:v>55797</x:v>
      </x:c>
      <x:c r="Q56" s="12" t="n">
        <x:v>1083</x:v>
      </x:c>
      <x:c r="R56" s="12" t="n">
        <x:v>55797</x:v>
      </x:c>
      <x:c r="S56" s="12" t="n">
        <x:f>O56-Q56</x:f>
        <x:v>0</x:v>
      </x:c>
      <x:c r="T56" s="12" t="n">
        <x:f>P56-R56</x:f>
        <x:v>0</x:v>
      </x:c>
    </x:row>
    <x:row r="57" ht="22" customHeight="1">
      <x:c r="A57" s="4" t="str">
        <x:v>B0BZDCFBWV</x:v>
      </x:c>
      <x:c r="B57" s="4" t="str">
        <x:v>SORAKO</x:v>
      </x:c>
      <x:c r="C57" s="12" t="n">
        <x:v>230</x:v>
      </x:c>
      <x:c r="D57" s="12" t="n">
        <x:v>7280</x:v>
      </x:c>
      <x:c r="E57" s="13" t="n">
        <x:f>IF(D57&gt;0,C57/D57,"")</x:f>
        <x:v>0.03159340659340659</x:v>
      </x:c>
      <x:c r="F57" s="12" t="n">
        <x:v>456</x:v>
      </x:c>
      <x:c r="G57" s="12" t="n">
        <x:v>12867</x:v>
      </x:c>
      <x:c r="H57" s="13" t="n">
        <x:f>IF(G57&gt;0,F57/G57,"")</x:f>
        <x:v>0.03543949638610399</x:v>
      </x:c>
      <x:c r="I57" s="12" t="n">
        <x:v>242</x:v>
      </x:c>
      <x:c r="J57" s="12" t="n">
        <x:v>6935</x:v>
      </x:c>
      <x:c r="K57" s="13" t="n">
        <x:f>IF(J57&gt;0,I57/J57,"")</x:f>
        <x:v>0.03489545782263879</x:v>
      </x:c>
      <x:c r="L57" s="12" t="n">
        <x:v>153</x:v>
      </x:c>
      <x:c r="M57" s="12" t="n">
        <x:v>5582</x:v>
      </x:c>
      <x:c r="N57" s="13" t="n">
        <x:f>IF(M57&gt;0,L57/M57,"")</x:f>
        <x:v>0.027409530634181296</x:v>
      </x:c>
      <x:c r="O57" s="12" t="n">
        <x:f>SUM(C57,F57,I57,L57)</x:f>
        <x:v>1081</x:v>
      </x:c>
      <x:c r="P57" s="12" t="n">
        <x:f>SUM(D57,G57,J57,M57)</x:f>
        <x:v>32664</x:v>
      </x:c>
      <x:c r="Q57" s="12" t="n">
        <x:v>1081</x:v>
      </x:c>
      <x:c r="R57" s="12" t="n">
        <x:v>32664</x:v>
      </x:c>
      <x:c r="S57" s="12" t="n">
        <x:f>O57-Q57</x:f>
        <x:v>0</x:v>
      </x:c>
      <x:c r="T57" s="12" t="n">
        <x:f>P57-R57</x:f>
        <x:v>0</x:v>
      </x:c>
    </x:row>
    <x:row r="58" ht="22" customHeight="1">
      <x:c r="A58" s="4" t="str">
        <x:v>B0GDCZ7BWK</x:v>
      </x:c>
      <x:c r="B58" s="4" t="str">
        <x:v>HYCHIKA</x:v>
      </x:c>
      <x:c r="C58" s="12"/>
      <x:c r="D58" s="12"/>
      <x:c r="E58" s="13" t="str">
        <x:f>IF(D58&gt;0,C58/D58,"")</x:f>
      </x:c>
      <x:c r="F58" s="12"/>
      <x:c r="G58" s="12"/>
      <x:c r="H58" s="13" t="str">
        <x:f>IF(G58&gt;0,F58/G58,"")</x:f>
      </x:c>
      <x:c r="I58" s="12" t="n">
        <x:v>317</x:v>
      </x:c>
      <x:c r="J58" s="12" t="n">
        <x:v>15917</x:v>
      </x:c>
      <x:c r="K58" s="13" t="n">
        <x:f>IF(J58&gt;0,I58/J58,"")</x:f>
        <x:v>0.019915813281397247</x:v>
      </x:c>
      <x:c r="L58" s="12" t="n">
        <x:v>678</x:v>
      </x:c>
      <x:c r="M58" s="12" t="n">
        <x:v>37210</x:v>
      </x:c>
      <x:c r="N58" s="13" t="n">
        <x:f>IF(M58&gt;0,L58/M58,"")</x:f>
        <x:v>0.018220908357968288</x:v>
      </x:c>
      <x:c r="O58" s="12" t="n">
        <x:f>SUM(C58,F58,I58,L58)</x:f>
        <x:v>995</x:v>
      </x:c>
      <x:c r="P58" s="12" t="n">
        <x:f>SUM(D58,G58,J58,M58)</x:f>
        <x:v>53127</x:v>
      </x:c>
      <x:c r="Q58" s="12" t="n">
        <x:v>995</x:v>
      </x:c>
      <x:c r="R58" s="12" t="n">
        <x:v>53127</x:v>
      </x:c>
      <x:c r="S58" s="12" t="n">
        <x:f>O58-Q58</x:f>
        <x:v>0</x:v>
      </x:c>
      <x:c r="T58" s="12" t="n">
        <x:f>P58-R58</x:f>
        <x:v>0</x:v>
      </x:c>
    </x:row>
    <x:row r="59" ht="22" customHeight="1">
      <x:c r="A59" s="4" t="str">
        <x:v>B0F1N5Y29H</x:v>
      </x:c>
      <x:c r="B59" s="4" t="str">
        <x:v>HYCHIKA</x:v>
      </x:c>
      <x:c r="C59" s="12" t="n">
        <x:v>86</x:v>
      </x:c>
      <x:c r="D59" s="12" t="n">
        <x:v>3480</x:v>
      </x:c>
      <x:c r="E59" s="13" t="n">
        <x:f>IF(D59&gt;0,C59/D59,"")</x:f>
        <x:v>0.02471264367816092</x:v>
      </x:c>
      <x:c r="F59" s="12" t="n">
        <x:v>188</x:v>
      </x:c>
      <x:c r="G59" s="12" t="n">
        <x:v>6812</x:v>
      </x:c>
      <x:c r="H59" s="13" t="n">
        <x:f>IF(G59&gt;0,F59/G59,"")</x:f>
        <x:v>0.02759835584263065</x:v>
      </x:c>
      <x:c r="I59" s="12" t="n">
        <x:v>518</x:v>
      </x:c>
      <x:c r="J59" s="12" t="n">
        <x:v>13853</x:v>
      </x:c>
      <x:c r="K59" s="13" t="n">
        <x:f>IF(J59&gt;0,I59/J59,"")</x:f>
        <x:v>0.03739262253663466</x:v>
      </x:c>
      <x:c r="L59" s="12" t="n">
        <x:v>194</x:v>
      </x:c>
      <x:c r="M59" s="12" t="n">
        <x:v>6471</x:v>
      </x:c>
      <x:c r="N59" s="13" t="n">
        <x:f>IF(M59&gt;0,L59/M59,"")</x:f>
        <x:v>0.029979910369340133</x:v>
      </x:c>
      <x:c r="O59" s="12" t="n">
        <x:f>SUM(C59,F59,I59,L59)</x:f>
        <x:v>986</x:v>
      </x:c>
      <x:c r="P59" s="12" t="n">
        <x:f>SUM(D59,G59,J59,M59)</x:f>
        <x:v>30616</x:v>
      </x:c>
      <x:c r="Q59" s="12" t="n">
        <x:v>986</x:v>
      </x:c>
      <x:c r="R59" s="12" t="n">
        <x:v>30616</x:v>
      </x:c>
      <x:c r="S59" s="12" t="n">
        <x:f>O59-Q59</x:f>
        <x:v>0</x:v>
      </x:c>
      <x:c r="T59" s="12" t="n">
        <x:f>P59-R59</x:f>
        <x:v>0</x:v>
      </x:c>
    </x:row>
    <x:row r="60" ht="22" customHeight="1">
      <x:c r="A60" s="4" t="str">
        <x:v>B0BRN59B36</x:v>
      </x:c>
      <x:c r="B60" s="4" t="str">
        <x:v>HYCHIKA</x:v>
      </x:c>
      <x:c r="C60" s="12" t="n">
        <x:v>619</x:v>
      </x:c>
      <x:c r="D60" s="12" t="n">
        <x:v>19561</x:v>
      </x:c>
      <x:c r="E60" s="13" t="n">
        <x:f>IF(D60&gt;0,C60/D60,"")</x:f>
        <x:v>0.03164459894688411</x:v>
      </x:c>
      <x:c r="F60" s="12" t="n">
        <x:v>335</x:v>
      </x:c>
      <x:c r="G60" s="12" t="n">
        <x:v>14846</x:v>
      </x:c>
      <x:c r="H60" s="13" t="n">
        <x:f>IF(G60&gt;0,F60/G60,"")</x:f>
        <x:v>0.02256500067358211</x:v>
      </x:c>
      <x:c r="I60" s="12" t="n">
        <x:v>0</x:v>
      </x:c>
      <x:c r="J60" s="12" t="n">
        <x:v>149</x:v>
      </x:c>
      <x:c r="K60" s="13" t="n">
        <x:f>IF(J60&gt;0,I60/J60,"")</x:f>
        <x:v>0</x:v>
      </x:c>
      <x:c r="L60" s="12" t="n">
        <x:v>0</x:v>
      </x:c>
      <x:c r="M60" s="12" t="n">
        <x:v>0</x:v>
      </x:c>
      <x:c r="N60" s="13" t="str">
        <x:f>IF(M60&gt;0,L60/M60,"")</x:f>
      </x:c>
      <x:c r="O60" s="12" t="n">
        <x:f>SUM(C60,F60,I60,L60)</x:f>
        <x:v>954</x:v>
      </x:c>
      <x:c r="P60" s="12" t="n">
        <x:f>SUM(D60,G60,J60,M60)</x:f>
        <x:v>34556</x:v>
      </x:c>
      <x:c r="Q60" s="12" t="n">
        <x:v>954</x:v>
      </x:c>
      <x:c r="R60" s="12" t="n">
        <x:v>34556</x:v>
      </x:c>
      <x:c r="S60" s="12" t="n">
        <x:f>O60-Q60</x:f>
        <x:v>0</x:v>
      </x:c>
      <x:c r="T60" s="12" t="n">
        <x:f>P60-R60</x:f>
        <x:v>0</x:v>
      </x:c>
    </x:row>
    <x:row r="61" ht="22" customHeight="1">
      <x:c r="A61" s="4" t="str">
        <x:v>B0FX9ZCTX9</x:v>
      </x:c>
      <x:c r="B61" s="4" t="str">
        <x:v>HYCHIKA</x:v>
      </x:c>
      <x:c r="C61" s="12" t="n">
        <x:v>0</x:v>
      </x:c>
      <x:c r="D61" s="12" t="n">
        <x:v>0</x:v>
      </x:c>
      <x:c r="E61" s="13" t="str">
        <x:f>IF(D61&gt;0,C61/D61,"")</x:f>
      </x:c>
      <x:c r="F61" s="12" t="n">
        <x:v>14</x:v>
      </x:c>
      <x:c r="G61" s="12" t="n">
        <x:v>95</x:v>
      </x:c>
      <x:c r="H61" s="13" t="n">
        <x:f>IF(G61&gt;0,F61/G61,"")</x:f>
        <x:v>0.14736842105263157</x:v>
      </x:c>
      <x:c r="I61" s="12" t="n">
        <x:v>481</x:v>
      </x:c>
      <x:c r="J61" s="12" t="n">
        <x:v>5151</x:v>
      </x:c>
      <x:c r="K61" s="13" t="n">
        <x:f>IF(J61&gt;0,I61/J61,"")</x:f>
        <x:v>0.09337992622791691</x:v>
      </x:c>
      <x:c r="L61" s="12" t="n">
        <x:v>445</x:v>
      </x:c>
      <x:c r="M61" s="12" t="n">
        <x:v>4344</x:v>
      </x:c>
      <x:c r="N61" s="13" t="n">
        <x:f>IF(M61&gt;0,L61/M61,"")</x:f>
        <x:v>0.1024401473296501</x:v>
      </x:c>
      <x:c r="O61" s="12" t="n">
        <x:f>SUM(C61,F61,I61,L61)</x:f>
        <x:v>940</x:v>
      </x:c>
      <x:c r="P61" s="12" t="n">
        <x:f>SUM(D61,G61,J61,M61)</x:f>
        <x:v>9590</x:v>
      </x:c>
      <x:c r="Q61" s="12" t="n">
        <x:v>940</x:v>
      </x:c>
      <x:c r="R61" s="12" t="n">
        <x:v>9590</x:v>
      </x:c>
      <x:c r="S61" s="12" t="n">
        <x:f>O61-Q61</x:f>
        <x:v>0</x:v>
      </x:c>
      <x:c r="T61" s="12" t="n">
        <x:f>P61-R61</x:f>
        <x:v>0</x:v>
      </x:c>
    </x:row>
    <x:row r="62" ht="22" customHeight="1">
      <x:c r="A62" s="4" t="str">
        <x:v>B088JXZ55T</x:v>
      </x:c>
      <x:c r="B62" s="4" t="str">
        <x:v>HYCHIKA</x:v>
      </x:c>
      <x:c r="C62" s="12" t="n">
        <x:v>228</x:v>
      </x:c>
      <x:c r="D62" s="12" t="n">
        <x:v>12137</x:v>
      </x:c>
      <x:c r="E62" s="13" t="n">
        <x:f>IF(D62&gt;0,C62/D62,"")</x:f>
        <x:v>0.018785531844772184</x:v>
      </x:c>
      <x:c r="F62" s="12" t="n">
        <x:v>276</x:v>
      </x:c>
      <x:c r="G62" s="12" t="n">
        <x:v>13208</x:v>
      </x:c>
      <x:c r="H62" s="13" t="n">
        <x:f>IF(G62&gt;0,F62/G62,"")</x:f>
        <x:v>0.020896426408237433</x:v>
      </x:c>
      <x:c r="I62" s="12" t="n">
        <x:v>246</x:v>
      </x:c>
      <x:c r="J62" s="12" t="n">
        <x:v>13773</x:v>
      </x:c>
      <x:c r="K62" s="13" t="n">
        <x:f>IF(J62&gt;0,I62/J62,"")</x:f>
        <x:v>0.017861032454802875</x:v>
      </x:c>
      <x:c r="L62" s="12" t="n">
        <x:v>160</x:v>
      </x:c>
      <x:c r="M62" s="12" t="n">
        <x:v>7877</x:v>
      </x:c>
      <x:c r="N62" s="13" t="n">
        <x:f>IF(M62&gt;0,L62/M62,"")</x:f>
        <x:v>0.02031230163767932</x:v>
      </x:c>
      <x:c r="O62" s="12" t="n">
        <x:f>SUM(C62,F62,I62,L62)</x:f>
        <x:v>910</x:v>
      </x:c>
      <x:c r="P62" s="12" t="n">
        <x:f>SUM(D62,G62,J62,M62)</x:f>
        <x:v>46995</x:v>
      </x:c>
      <x:c r="Q62" s="12" t="n">
        <x:v>910</x:v>
      </x:c>
      <x:c r="R62" s="12" t="n">
        <x:v>46995</x:v>
      </x:c>
      <x:c r="S62" s="12" t="n">
        <x:f>O62-Q62</x:f>
        <x:v>0</x:v>
      </x:c>
      <x:c r="T62" s="12" t="n">
        <x:f>P62-R62</x:f>
        <x:v>0</x:v>
      </x:c>
    </x:row>
    <x:row r="63" ht="22" customHeight="1">
      <x:c r="A63" s="4" t="str">
        <x:v>B0FJ21PPPJ</x:v>
      </x:c>
      <x:c r="B63" s="4" t="str">
        <x:v>HYCHIKA</x:v>
      </x:c>
      <x:c r="C63" s="12" t="n">
        <x:v>73</x:v>
      </x:c>
      <x:c r="D63" s="12" t="n">
        <x:v>1020</x:v>
      </x:c>
      <x:c r="E63" s="13" t="n">
        <x:f>IF(D63&gt;0,C63/D63,"")</x:f>
        <x:v>0.07156862745098039</x:v>
      </x:c>
      <x:c r="F63" s="12" t="n">
        <x:v>270</x:v>
      </x:c>
      <x:c r="G63" s="12" t="n">
        <x:v>7696</x:v>
      </x:c>
      <x:c r="H63" s="13" t="n">
        <x:f>IF(G63&gt;0,F63/G63,"")</x:f>
        <x:v>0.035083160083160085</x:v>
      </x:c>
      <x:c r="I63" s="12" t="n">
        <x:v>332</x:v>
      </x:c>
      <x:c r="J63" s="12" t="n">
        <x:v>9168</x:v>
      </x:c>
      <x:c r="K63" s="13" t="n">
        <x:f>IF(J63&gt;0,I63/J63,"")</x:f>
        <x:v>0.036212914485165795</x:v>
      </x:c>
      <x:c r="L63" s="12" t="n">
        <x:v>233</x:v>
      </x:c>
      <x:c r="M63" s="12" t="n">
        <x:v>8468</x:v>
      </x:c>
      <x:c r="N63" s="13" t="n">
        <x:f>IF(M63&gt;0,L63/M63,"")</x:f>
        <x:v>0.027515351913084553</x:v>
      </x:c>
      <x:c r="O63" s="12" t="n">
        <x:f>SUM(C63,F63,I63,L63)</x:f>
        <x:v>908</x:v>
      </x:c>
      <x:c r="P63" s="12" t="n">
        <x:f>SUM(D63,G63,J63,M63)</x:f>
        <x:v>26352</x:v>
      </x:c>
      <x:c r="Q63" s="12" t="n">
        <x:v>908</x:v>
      </x:c>
      <x:c r="R63" s="12" t="n">
        <x:v>26352</x:v>
      </x:c>
      <x:c r="S63" s="12" t="n">
        <x:f>O63-Q63</x:f>
        <x:v>0</x:v>
      </x:c>
      <x:c r="T63" s="12" t="n">
        <x:f>P63-R63</x:f>
        <x:v>0</x:v>
      </x:c>
    </x:row>
    <x:row r="64" ht="22" customHeight="1">
      <x:c r="A64" s="4" t="str">
        <x:v>B0BRCX7H1W</x:v>
      </x:c>
      <x:c r="B64" s="4" t="str">
        <x:v>HYCHIKA</x:v>
      </x:c>
      <x:c r="C64" s="12" t="n">
        <x:v>242</x:v>
      </x:c>
      <x:c r="D64" s="12" t="n">
        <x:v>1414</x:v>
      </x:c>
      <x:c r="E64" s="13" t="n">
        <x:f>IF(D64&gt;0,C64/D64,"")</x:f>
        <x:v>0.17114568599717114</x:v>
      </x:c>
      <x:c r="F64" s="12" t="n">
        <x:v>110</x:v>
      </x:c>
      <x:c r="G64" s="12" t="n">
        <x:v>1247</x:v>
      </x:c>
      <x:c r="H64" s="13" t="n">
        <x:f>IF(G64&gt;0,F64/G64,"")</x:f>
        <x:v>0.08821170809943865</x:v>
      </x:c>
      <x:c r="I64" s="12" t="n">
        <x:v>206</x:v>
      </x:c>
      <x:c r="J64" s="12" t="n">
        <x:v>2634</x:v>
      </x:c>
      <x:c r="K64" s="13" t="n">
        <x:f>IF(J64&gt;0,I64/J64,"")</x:f>
        <x:v>0.07820804859529233</x:v>
      </x:c>
      <x:c r="L64" s="12" t="n">
        <x:v>266</x:v>
      </x:c>
      <x:c r="M64" s="12" t="n">
        <x:v>5122</x:v>
      </x:c>
      <x:c r="N64" s="13" t="n">
        <x:f>IF(M64&gt;0,L64/M64,"")</x:f>
        <x:v>0.05193283873486919</x:v>
      </x:c>
      <x:c r="O64" s="12" t="n">
        <x:f>SUM(C64,F64,I64,L64)</x:f>
        <x:v>824</x:v>
      </x:c>
      <x:c r="P64" s="12" t="n">
        <x:f>SUM(D64,G64,J64,M64)</x:f>
        <x:v>10417</x:v>
      </x:c>
      <x:c r="Q64" s="12" t="n">
        <x:v>824</x:v>
      </x:c>
      <x:c r="R64" s="12" t="n">
        <x:v>10417</x:v>
      </x:c>
      <x:c r="S64" s="12" t="n">
        <x:f>O64-Q64</x:f>
        <x:v>0</x:v>
      </x:c>
      <x:c r="T64" s="12" t="n">
        <x:f>P64-R64</x:f>
        <x:v>0</x:v>
      </x:c>
    </x:row>
    <x:row r="65" ht="22" customHeight="1">
      <x:c r="A65" s="4" t="str">
        <x:v>B07QXSGNYH</x:v>
      </x:c>
      <x:c r="B65" s="4" t="str">
        <x:v>HYCHIKA</x:v>
      </x:c>
      <x:c r="C65" s="12" t="n">
        <x:v>281</x:v>
      </x:c>
      <x:c r="D65" s="12" t="n">
        <x:v>8452</x:v>
      </x:c>
      <x:c r="E65" s="13" t="n">
        <x:f>IF(D65&gt;0,C65/D65,"")</x:f>
        <x:v>0.03324656885944155</x:v>
      </x:c>
      <x:c r="F65" s="12" t="n">
        <x:v>245</x:v>
      </x:c>
      <x:c r="G65" s="12" t="n">
        <x:v>6169</x:v>
      </x:c>
      <x:c r="H65" s="13" t="n">
        <x:f>IF(G65&gt;0,F65/G65,"")</x:f>
        <x:v>0.03971470254498298</x:v>
      </x:c>
      <x:c r="I65" s="12" t="n">
        <x:v>186</x:v>
      </x:c>
      <x:c r="J65" s="12" t="n">
        <x:v>4896</x:v>
      </x:c>
      <x:c r="K65" s="13" t="n">
        <x:f>IF(J65&gt;0,I65/J65,"")</x:f>
        <x:v>0.03799019607843137</x:v>
      </x:c>
      <x:c r="L65" s="12" t="n">
        <x:v>98</x:v>
      </x:c>
      <x:c r="M65" s="12" t="n">
        <x:v>5184</x:v>
      </x:c>
      <x:c r="N65" s="13" t="n">
        <x:f>IF(M65&gt;0,L65/M65,"")</x:f>
        <x:v>0.01890432098765432</x:v>
      </x:c>
      <x:c r="O65" s="12" t="n">
        <x:f>SUM(C65,F65,I65,L65)</x:f>
        <x:v>810</x:v>
      </x:c>
      <x:c r="P65" s="12" t="n">
        <x:f>SUM(D65,G65,J65,M65)</x:f>
        <x:v>24701</x:v>
      </x:c>
      <x:c r="Q65" s="12" t="n">
        <x:v>810</x:v>
      </x:c>
      <x:c r="R65" s="12" t="n">
        <x:v>24701</x:v>
      </x:c>
      <x:c r="S65" s="12" t="n">
        <x:f>O65-Q65</x:f>
        <x:v>0</x:v>
      </x:c>
      <x:c r="T65" s="12" t="n">
        <x:f>P65-R65</x:f>
        <x:v>0</x:v>
      </x:c>
    </x:row>
    <x:row r="66" ht="22" customHeight="1">
      <x:c r="A66" s="4" t="str">
        <x:v>B0FFGM2W7H</x:v>
      </x:c>
      <x:c r="B66" s="4" t="str">
        <x:v>HYCHIKA</x:v>
      </x:c>
      <x:c r="C66" s="12" t="n">
        <x:v>0</x:v>
      </x:c>
      <x:c r="D66" s="12" t="n">
        <x:v>23</x:v>
      </x:c>
      <x:c r="E66" s="13" t="n">
        <x:f>IF(D66&gt;0,C66/D66,"")</x:f>
        <x:v>0</x:v>
      </x:c>
      <x:c r="F66" s="12" t="n">
        <x:v>191</x:v>
      </x:c>
      <x:c r="G66" s="12" t="n">
        <x:v>4118</x:v>
      </x:c>
      <x:c r="H66" s="13" t="n">
        <x:f>IF(G66&gt;0,F66/G66,"")</x:f>
        <x:v>0.046381738708110735</x:v>
      </x:c>
      <x:c r="I66" s="12" t="n">
        <x:v>385</x:v>
      </x:c>
      <x:c r="J66" s="12" t="n">
        <x:v>7189</x:v>
      </x:c>
      <x:c r="K66" s="13" t="n">
        <x:f>IF(J66&gt;0,I66/J66,"")</x:f>
        <x:v>0.053554040895813046</x:v>
      </x:c>
      <x:c r="L66" s="12" t="n">
        <x:v>219</x:v>
      </x:c>
      <x:c r="M66" s="12" t="n">
        <x:v>5867</x:v>
      </x:c>
      <x:c r="N66" s="13" t="n">
        <x:f>IF(M66&gt;0,L66/M66,"")</x:f>
        <x:v>0.03732742457814897</x:v>
      </x:c>
      <x:c r="O66" s="12" t="n">
        <x:f>SUM(C66,F66,I66,L66)</x:f>
        <x:v>795</x:v>
      </x:c>
      <x:c r="P66" s="12" t="n">
        <x:f>SUM(D66,G66,J66,M66)</x:f>
        <x:v>17197</x:v>
      </x:c>
      <x:c r="Q66" s="12" t="n">
        <x:v>795</x:v>
      </x:c>
      <x:c r="R66" s="12" t="n">
        <x:v>17197</x:v>
      </x:c>
      <x:c r="S66" s="12" t="n">
        <x:f>O66-Q66</x:f>
        <x:v>0</x:v>
      </x:c>
      <x:c r="T66" s="12" t="n">
        <x:f>P66-R66</x:f>
        <x:v>0</x:v>
      </x:c>
    </x:row>
    <x:row r="67" ht="22" customHeight="1">
      <x:c r="A67" s="4" t="str">
        <x:v>B0DRFDJHTM</x:v>
      </x:c>
      <x:c r="B67" s="4" t="str">
        <x:v>HYCHIKA</x:v>
      </x:c>
      <x:c r="C67" s="12" t="n">
        <x:v>265</x:v>
      </x:c>
      <x:c r="D67" s="12" t="n">
        <x:v>7394</x:v>
      </x:c>
      <x:c r="E67" s="13" t="n">
        <x:f>IF(D67&gt;0,C67/D67,"")</x:f>
        <x:v>0.03583987016499865</x:v>
      </x:c>
      <x:c r="F67" s="12" t="n">
        <x:v>198</x:v>
      </x:c>
      <x:c r="G67" s="12" t="n">
        <x:v>6669</x:v>
      </x:c>
      <x:c r="H67" s="13" t="n">
        <x:f>IF(G67&gt;0,F67/G67,"")</x:f>
        <x:v>0.029689608636977057</x:v>
      </x:c>
      <x:c r="I67" s="12" t="n">
        <x:v>265</x:v>
      </x:c>
      <x:c r="J67" s="12" t="n">
        <x:v>6160</x:v>
      </x:c>
      <x:c r="K67" s="13" t="n">
        <x:f>IF(J67&gt;0,I67/J67,"")</x:f>
        <x:v>0.04301948051948052</x:v>
      </x:c>
      <x:c r="L67" s="12" t="n">
        <x:v>64</x:v>
      </x:c>
      <x:c r="M67" s="12" t="n">
        <x:v>3314</x:v>
      </x:c>
      <x:c r="N67" s="13" t="n">
        <x:f>IF(M67&gt;0,L67/M67,"")</x:f>
        <x:v>0.01931200965600483</x:v>
      </x:c>
      <x:c r="O67" s="12" t="n">
        <x:f>SUM(C67,F67,I67,L67)</x:f>
        <x:v>792</x:v>
      </x:c>
      <x:c r="P67" s="12" t="n">
        <x:f>SUM(D67,G67,J67,M67)</x:f>
        <x:v>23537</x:v>
      </x:c>
      <x:c r="Q67" s="12" t="n">
        <x:v>792</x:v>
      </x:c>
      <x:c r="R67" s="12" t="n">
        <x:v>23537</x:v>
      </x:c>
      <x:c r="S67" s="12" t="n">
        <x:f>O67-Q67</x:f>
        <x:v>0</x:v>
      </x:c>
      <x:c r="T67" s="12" t="n">
        <x:f>P67-R67</x:f>
        <x:v>0</x:v>
      </x:c>
    </x:row>
    <x:row r="68" ht="22" customHeight="1">
      <x:c r="A68" s="4" t="str">
        <x:v>B0BZPHPHS5</x:v>
      </x:c>
      <x:c r="B68" s="4" t="str">
        <x:v>SORAKO</x:v>
      </x:c>
      <x:c r="C68" s="12" t="n">
        <x:v>344</x:v>
      </x:c>
      <x:c r="D68" s="12" t="n">
        <x:v>7894</x:v>
      </x:c>
      <x:c r="E68" s="13" t="n">
        <x:f>IF(D68&gt;0,C68/D68,"")</x:f>
        <x:v>0.043577400557385355</x:v>
      </x:c>
      <x:c r="F68" s="12" t="n">
        <x:v>259</x:v>
      </x:c>
      <x:c r="G68" s="12" t="n">
        <x:v>7727</x:v>
      </x:c>
      <x:c r="H68" s="13" t="n">
        <x:f>IF(G68&gt;0,F68/G68,"")</x:f>
        <x:v>0.03351883007635564</x:v>
      </x:c>
      <x:c r="I68" s="12" t="n">
        <x:v>95</x:v>
      </x:c>
      <x:c r="J68" s="12" t="n">
        <x:v>2839</x:v>
      </x:c>
      <x:c r="K68" s="13" t="n">
        <x:f>IF(J68&gt;0,I68/J68,"")</x:f>
        <x:v>0.03346248679112364</x:v>
      </x:c>
      <x:c r="L68" s="12" t="n">
        <x:v>65</x:v>
      </x:c>
      <x:c r="M68" s="12" t="n">
        <x:v>1661</x:v>
      </x:c>
      <x:c r="N68" s="13" t="n">
        <x:f>IF(M68&gt;0,L68/M68,"")</x:f>
        <x:v>0.03913305237808549</x:v>
      </x:c>
      <x:c r="O68" s="12" t="n">
        <x:f>SUM(C68,F68,I68,L68)</x:f>
        <x:v>763</x:v>
      </x:c>
      <x:c r="P68" s="12" t="n">
        <x:f>SUM(D68,G68,J68,M68)</x:f>
        <x:v>20121</x:v>
      </x:c>
      <x:c r="Q68" s="12" t="n">
        <x:v>763</x:v>
      </x:c>
      <x:c r="R68" s="12" t="n">
        <x:v>20121</x:v>
      </x:c>
      <x:c r="S68" s="12" t="n">
        <x:f>O68-Q68</x:f>
        <x:v>0</x:v>
      </x:c>
      <x:c r="T68" s="12" t="n">
        <x:f>P68-R68</x:f>
        <x:v>0</x:v>
      </x:c>
    </x:row>
    <x:row r="69" ht="22" customHeight="1">
      <x:c r="A69" s="4" t="str">
        <x:v>B0H5PY47GP</x:v>
      </x:c>
      <x:c r="B69" s="4" t="str">
        <x:v>HYCHIKA</x:v>
      </x:c>
      <x:c r="C69" s="12"/>
      <x:c r="D69" s="12"/>
      <x:c r="E69" s="13" t="str">
        <x:f>IF(D69&gt;0,C69/D69,"")</x:f>
      </x:c>
      <x:c r="F69" s="12"/>
      <x:c r="G69" s="12"/>
      <x:c r="H69" s="13" t="str">
        <x:f>IF(G69&gt;0,F69/G69,"")</x:f>
      </x:c>
      <x:c r="I69" s="12" t="n">
        <x:v>0</x:v>
      </x:c>
      <x:c r="J69" s="12" t="n">
        <x:v>0</x:v>
      </x:c>
      <x:c r="K69" s="13" t="str">
        <x:f>IF(J69&gt;0,I69/J69,"")</x:f>
      </x:c>
      <x:c r="L69" s="12" t="n">
        <x:v>717</x:v>
      </x:c>
      <x:c r="M69" s="12" t="n">
        <x:v>10470</x:v>
      </x:c>
      <x:c r="N69" s="13" t="n">
        <x:f>IF(M69&gt;0,L69/M69,"")</x:f>
        <x:v>0.06848137535816619</x:v>
      </x:c>
      <x:c r="O69" s="12" t="n">
        <x:f>SUM(C69,F69,I69,L69)</x:f>
        <x:v>717</x:v>
      </x:c>
      <x:c r="P69" s="12" t="n">
        <x:f>SUM(D69,G69,J69,M69)</x:f>
        <x:v>10470</x:v>
      </x:c>
      <x:c r="Q69" s="12" t="n">
        <x:v>717</x:v>
      </x:c>
      <x:c r="R69" s="12" t="n">
        <x:v>10470</x:v>
      </x:c>
      <x:c r="S69" s="12" t="n">
        <x:f>O69-Q69</x:f>
        <x:v>0</x:v>
      </x:c>
      <x:c r="T69" s="12" t="n">
        <x:f>P69-R69</x:f>
        <x:v>0</x:v>
      </x:c>
    </x:row>
    <x:row r="70" ht="22" customHeight="1">
      <x:c r="A70" s="4" t="str">
        <x:v>B0D4DHHTHQ</x:v>
      </x:c>
      <x:c r="B70" s="4" t="str">
        <x:v>HYCHIKA</x:v>
      </x:c>
      <x:c r="C70" s="12" t="n">
        <x:v>636</x:v>
      </x:c>
      <x:c r="D70" s="12" t="n">
        <x:v>10403</x:v>
      </x:c>
      <x:c r="E70" s="13" t="n">
        <x:f>IF(D70&gt;0,C70/D70,"")</x:f>
        <x:v>0.06113621070844948</x:v>
      </x:c>
      <x:c r="F70" s="12" t="n">
        <x:v>61</x:v>
      </x:c>
      <x:c r="G70" s="12" t="n">
        <x:v>1350</x:v>
      </x:c>
      <x:c r="H70" s="13" t="n">
        <x:f>IF(G70&gt;0,F70/G70,"")</x:f>
        <x:v>0.04518518518518518</x:v>
      </x:c>
      <x:c r="I70" s="12" t="n">
        <x:v>15</x:v>
      </x:c>
      <x:c r="J70" s="12" t="n">
        <x:v>386</x:v>
      </x:c>
      <x:c r="K70" s="13" t="n">
        <x:f>IF(J70&gt;0,I70/J70,"")</x:f>
        <x:v>0.038860103626943004</x:v>
      </x:c>
      <x:c r="L70" s="12" t="n">
        <x:v>0</x:v>
      </x:c>
      <x:c r="M70" s="12" t="n">
        <x:v>5</x:v>
      </x:c>
      <x:c r="N70" s="13" t="n">
        <x:f>IF(M70&gt;0,L70/M70,"")</x:f>
        <x:v>0</x:v>
      </x:c>
      <x:c r="O70" s="12" t="n">
        <x:f>SUM(C70,F70,I70,L70)</x:f>
        <x:v>712</x:v>
      </x:c>
      <x:c r="P70" s="12" t="n">
        <x:f>SUM(D70,G70,J70,M70)</x:f>
        <x:v>12144</x:v>
      </x:c>
      <x:c r="Q70" s="12" t="n">
        <x:v>712</x:v>
      </x:c>
      <x:c r="R70" s="12" t="n">
        <x:v>12144</x:v>
      </x:c>
      <x:c r="S70" s="12" t="n">
        <x:f>O70-Q70</x:f>
        <x:v>0</x:v>
      </x:c>
      <x:c r="T70" s="12" t="n">
        <x:f>P70-R70</x:f>
        <x:v>0</x:v>
      </x:c>
    </x:row>
    <x:row r="71" ht="22" customHeight="1">
      <x:c r="A71" s="4" t="str">
        <x:v>B0811CNVCJ</x:v>
      </x:c>
      <x:c r="B71" s="4" t="str">
        <x:v>HYCHIKA</x:v>
      </x:c>
      <x:c r="C71" s="12" t="n">
        <x:v>206</x:v>
      </x:c>
      <x:c r="D71" s="12" t="n">
        <x:v>10799</x:v>
      </x:c>
      <x:c r="E71" s="13" t="n">
        <x:f>IF(D71&gt;0,C71/D71,"")</x:f>
        <x:v>0.01907584035558848</x:v>
      </x:c>
      <x:c r="F71" s="12" t="n">
        <x:v>229</x:v>
      </x:c>
      <x:c r="G71" s="12" t="n">
        <x:v>12721</x:v>
      </x:c>
      <x:c r="H71" s="13" t="n">
        <x:f>IF(G71&gt;0,F71/G71,"")</x:f>
        <x:v>0.018001729423787437</x:v>
      </x:c>
      <x:c r="I71" s="12" t="n">
        <x:v>94</x:v>
      </x:c>
      <x:c r="J71" s="12" t="n">
        <x:v>6170</x:v>
      </x:c>
      <x:c r="K71" s="13" t="n">
        <x:f>IF(J71&gt;0,I71/J71,"")</x:f>
        <x:v>0.015235008103727715</x:v>
      </x:c>
      <x:c r="L71" s="12" t="n">
        <x:v>175</x:v>
      </x:c>
      <x:c r="M71" s="12" t="n">
        <x:v>10574</x:v>
      </x:c>
      <x:c r="N71" s="13" t="n">
        <x:f>IF(M71&gt;0,L71/M71,"")</x:f>
        <x:v>0.016550028371477208</x:v>
      </x:c>
      <x:c r="O71" s="12" t="n">
        <x:f>SUM(C71,F71,I71,L71)</x:f>
        <x:v>704</x:v>
      </x:c>
      <x:c r="P71" s="12" t="n">
        <x:f>SUM(D71,G71,J71,M71)</x:f>
        <x:v>40264</x:v>
      </x:c>
      <x:c r="Q71" s="12" t="n">
        <x:v>704</x:v>
      </x:c>
      <x:c r="R71" s="12" t="n">
        <x:v>40264</x:v>
      </x:c>
      <x:c r="S71" s="12" t="n">
        <x:f>O71-Q71</x:f>
        <x:v>0</x:v>
      </x:c>
      <x:c r="T71" s="12" t="n">
        <x:f>P71-R71</x:f>
        <x:v>0</x:v>
      </x:c>
    </x:row>
    <x:row r="72" ht="22" customHeight="1">
      <x:c r="A72" s="4" t="str">
        <x:v>B0F65V6Q55</x:v>
      </x:c>
      <x:c r="B72" s="4" t="str">
        <x:v>HYCHIKA</x:v>
      </x:c>
      <x:c r="C72" s="12" t="n">
        <x:v>135</x:v>
      </x:c>
      <x:c r="D72" s="12" t="n">
        <x:v>7793</x:v>
      </x:c>
      <x:c r="E72" s="13" t="n">
        <x:f>IF(D72&gt;0,C72/D72,"")</x:f>
        <x:v>0.01732323880405492</x:v>
      </x:c>
      <x:c r="F72" s="12" t="n">
        <x:v>202</x:v>
      </x:c>
      <x:c r="G72" s="12" t="n">
        <x:v>12513</x:v>
      </x:c>
      <x:c r="H72" s="13" t="n">
        <x:f>IF(G72&gt;0,F72/G72,"")</x:f>
        <x:v>0.016143211060497084</x:v>
      </x:c>
      <x:c r="I72" s="12" t="n">
        <x:v>103</x:v>
      </x:c>
      <x:c r="J72" s="12" t="n">
        <x:v>5224</x:v>
      </x:c>
      <x:c r="K72" s="13" t="n">
        <x:f>IF(J72&gt;0,I72/J72,"")</x:f>
        <x:v>0.019716692189892804</x:v>
      </x:c>
      <x:c r="L72" s="12" t="n">
        <x:v>238</x:v>
      </x:c>
      <x:c r="M72" s="12" t="n">
        <x:v>8129</x:v>
      </x:c>
      <x:c r="N72" s="13" t="n">
        <x:f>IF(M72&gt;0,L72/M72,"")</x:f>
        <x:v>0.029277893959896665</x:v>
      </x:c>
      <x:c r="O72" s="12" t="n">
        <x:f>SUM(C72,F72,I72,L72)</x:f>
        <x:v>678</x:v>
      </x:c>
      <x:c r="P72" s="12" t="n">
        <x:f>SUM(D72,G72,J72,M72)</x:f>
        <x:v>33659</x:v>
      </x:c>
      <x:c r="Q72" s="12" t="n">
        <x:v>678</x:v>
      </x:c>
      <x:c r="R72" s="12" t="n">
        <x:v>33659</x:v>
      </x:c>
      <x:c r="S72" s="12" t="n">
        <x:f>O72-Q72</x:f>
        <x:v>0</x:v>
      </x:c>
      <x:c r="T72" s="12" t="n">
        <x:f>P72-R72</x:f>
        <x:v>0</x:v>
      </x:c>
    </x:row>
    <x:row r="73" ht="22" customHeight="1">
      <x:c r="A73" s="4" t="str">
        <x:v>B0F218K5BD</x:v>
      </x:c>
      <x:c r="B73" s="4" t="str">
        <x:v>HYCHIKA</x:v>
      </x:c>
      <x:c r="C73" s="12" t="n">
        <x:v>127</x:v>
      </x:c>
      <x:c r="D73" s="12" t="n">
        <x:v>3812</x:v>
      </x:c>
      <x:c r="E73" s="13" t="n">
        <x:f>IF(D73&gt;0,C73/D73,"")</x:f>
        <x:v>0.03331584470094438</x:v>
      </x:c>
      <x:c r="F73" s="12" t="n">
        <x:v>151</x:v>
      </x:c>
      <x:c r="G73" s="12" t="n">
        <x:v>5468</x:v>
      </x:c>
      <x:c r="H73" s="13" t="n">
        <x:f>IF(G73&gt;0,F73/G73,"")</x:f>
        <x:v>0.02761521580102414</x:v>
      </x:c>
      <x:c r="I73" s="12" t="n">
        <x:v>140</x:v>
      </x:c>
      <x:c r="J73" s="12" t="n">
        <x:v>4877</x:v>
      </x:c>
      <x:c r="K73" s="13" t="n">
        <x:f>IF(J73&gt;0,I73/J73,"")</x:f>
        <x:v>0.02870617182694279</x:v>
      </x:c>
      <x:c r="L73" s="12" t="n">
        <x:v>251</x:v>
      </x:c>
      <x:c r="M73" s="12" t="n">
        <x:v>8842</x:v>
      </x:c>
      <x:c r="N73" s="13" t="n">
        <x:f>IF(M73&gt;0,L73/M73,"")</x:f>
        <x:v>0.0283872427052703</x:v>
      </x:c>
      <x:c r="O73" s="12" t="n">
        <x:f>SUM(C73,F73,I73,L73)</x:f>
        <x:v>669</x:v>
      </x:c>
      <x:c r="P73" s="12" t="n">
        <x:f>SUM(D73,G73,J73,M73)</x:f>
        <x:v>22999</x:v>
      </x:c>
      <x:c r="Q73" s="12" t="n">
        <x:v>669</x:v>
      </x:c>
      <x:c r="R73" s="12" t="n">
        <x:v>22999</x:v>
      </x:c>
      <x:c r="S73" s="12" t="n">
        <x:f>O73-Q73</x:f>
        <x:v>0</x:v>
      </x:c>
      <x:c r="T73" s="12" t="n">
        <x:f>P73-R73</x:f>
        <x:v>0</x:v>
      </x:c>
    </x:row>
    <x:row r="74" ht="22" customHeight="1">
      <x:c r="A74" s="4" t="str">
        <x:v>B0CGR2VPRL</x:v>
      </x:c>
      <x:c r="B74" s="4" t="str">
        <x:v>SORAKO</x:v>
      </x:c>
      <x:c r="C74" s="12" t="n">
        <x:v>224</x:v>
      </x:c>
      <x:c r="D74" s="12" t="n">
        <x:v>1576</x:v>
      </x:c>
      <x:c r="E74" s="13" t="n">
        <x:f>IF(D74&gt;0,C74/D74,"")</x:f>
        <x:v>0.14213197969543148</x:v>
      </x:c>
      <x:c r="F74" s="12" t="n">
        <x:v>216</x:v>
      </x:c>
      <x:c r="G74" s="12" t="n">
        <x:v>1380</x:v>
      </x:c>
      <x:c r="H74" s="13" t="n">
        <x:f>IF(G74&gt;0,F74/G74,"")</x:f>
        <x:v>0.1565217391304348</x:v>
      </x:c>
      <x:c r="I74" s="12" t="n">
        <x:v>61</x:v>
      </x:c>
      <x:c r="J74" s="12" t="n">
        <x:v>459</x:v>
      </x:c>
      <x:c r="K74" s="13" t="n">
        <x:f>IF(J74&gt;0,I74/J74,"")</x:f>
        <x:v>0.1328976034858388</x:v>
      </x:c>
      <x:c r="L74" s="12" t="n">
        <x:v>155</x:v>
      </x:c>
      <x:c r="M74" s="12" t="n">
        <x:v>803</x:v>
      </x:c>
      <x:c r="N74" s="13" t="n">
        <x:f>IF(M74&gt;0,L74/M74,"")</x:f>
        <x:v>0.1930261519302615</x:v>
      </x:c>
      <x:c r="O74" s="12" t="n">
        <x:f>SUM(C74,F74,I74,L74)</x:f>
        <x:v>656</x:v>
      </x:c>
      <x:c r="P74" s="12" t="n">
        <x:f>SUM(D74,G74,J74,M74)</x:f>
        <x:v>4218</x:v>
      </x:c>
      <x:c r="Q74" s="12" t="n">
        <x:v>656</x:v>
      </x:c>
      <x:c r="R74" s="12" t="n">
        <x:v>4218</x:v>
      </x:c>
      <x:c r="S74" s="12" t="n">
        <x:f>O74-Q74</x:f>
        <x:v>0</x:v>
      </x:c>
      <x:c r="T74" s="12" t="n">
        <x:f>P74-R74</x:f>
        <x:v>0</x:v>
      </x:c>
    </x:row>
    <x:row r="75" ht="22" customHeight="1">
      <x:c r="A75" s="4" t="str">
        <x:v>B0DBZFJ46V</x:v>
      </x:c>
      <x:c r="B75" s="4" t="str">
        <x:v>HYCHIKA</x:v>
      </x:c>
      <x:c r="C75" s="12" t="n">
        <x:v>86</x:v>
      </x:c>
      <x:c r="D75" s="12" t="n">
        <x:v>1924</x:v>
      </x:c>
      <x:c r="E75" s="13" t="n">
        <x:f>IF(D75&gt;0,C75/D75,"")</x:f>
        <x:v>0.0446985446985447</x:v>
      </x:c>
      <x:c r="F75" s="12" t="n">
        <x:v>110</x:v>
      </x:c>
      <x:c r="G75" s="12" t="n">
        <x:v>2158</x:v>
      </x:c>
      <x:c r="H75" s="13" t="n">
        <x:f>IF(G75&gt;0,F75/G75,"")</x:f>
        <x:v>0.05097312326227989</x:v>
      </x:c>
      <x:c r="I75" s="12" t="n">
        <x:v>254</x:v>
      </x:c>
      <x:c r="J75" s="12" t="n">
        <x:v>3841</x:v>
      </x:c>
      <x:c r="K75" s="13" t="n">
        <x:f>IF(J75&gt;0,I75/J75,"")</x:f>
        <x:v>0.06612861234053632</x:v>
      </x:c>
      <x:c r="L75" s="12" t="n">
        <x:v>200</x:v>
      </x:c>
      <x:c r="M75" s="12" t="n">
        <x:v>2984</x:v>
      </x:c>
      <x:c r="N75" s="13" t="n">
        <x:f>IF(M75&gt;0,L75/M75,"")</x:f>
        <x:v>0.06702412868632708</x:v>
      </x:c>
      <x:c r="O75" s="12" t="n">
        <x:f>SUM(C75,F75,I75,L75)</x:f>
        <x:v>650</x:v>
      </x:c>
      <x:c r="P75" s="12" t="n">
        <x:f>SUM(D75,G75,J75,M75)</x:f>
        <x:v>10907</x:v>
      </x:c>
      <x:c r="Q75" s="12" t="n">
        <x:v>650</x:v>
      </x:c>
      <x:c r="R75" s="12" t="n">
        <x:v>10907</x:v>
      </x:c>
      <x:c r="S75" s="12" t="n">
        <x:f>O75-Q75</x:f>
        <x:v>0</x:v>
      </x:c>
      <x:c r="T75" s="12" t="n">
        <x:f>P75-R75</x:f>
        <x:v>0</x:v>
      </x:c>
    </x:row>
    <x:row r="76" ht="22" customHeight="1">
      <x:c r="A76" s="4" t="str">
        <x:v>B0CSSLQPZL</x:v>
      </x:c>
      <x:c r="B76" s="4" t="str">
        <x:v>HYCHIKA</x:v>
      </x:c>
      <x:c r="C76" s="12" t="n">
        <x:v>42</x:v>
      </x:c>
      <x:c r="D76" s="12" t="n">
        <x:v>561</x:v>
      </x:c>
      <x:c r="E76" s="13" t="n">
        <x:f>IF(D76&gt;0,C76/D76,"")</x:f>
        <x:v>0.0748663101604278</x:v>
      </x:c>
      <x:c r="F76" s="12" t="n">
        <x:v>159</x:v>
      </x:c>
      <x:c r="G76" s="12" t="n">
        <x:v>1099</x:v>
      </x:c>
      <x:c r="H76" s="13" t="n">
        <x:f>IF(G76&gt;0,F76/G76,"")</x:f>
        <x:v>0.14467697907188354</x:v>
      </x:c>
      <x:c r="I76" s="12" t="n">
        <x:v>230</x:v>
      </x:c>
      <x:c r="J76" s="12" t="n">
        <x:v>1522</x:v>
      </x:c>
      <x:c r="K76" s="13" t="n">
        <x:f>IF(J76&gt;0,I76/J76,"")</x:f>
        <x:v>0.15111695137976347</x:v>
      </x:c>
      <x:c r="L76" s="12" t="n">
        <x:v>214</x:v>
      </x:c>
      <x:c r="M76" s="12" t="n">
        <x:v>1620</x:v>
      </x:c>
      <x:c r="N76" s="13" t="n">
        <x:f>IF(M76&gt;0,L76/M76,"")</x:f>
        <x:v>0.13209876543209875</x:v>
      </x:c>
      <x:c r="O76" s="12" t="n">
        <x:f>SUM(C76,F76,I76,L76)</x:f>
        <x:v>645</x:v>
      </x:c>
      <x:c r="P76" s="12" t="n">
        <x:f>SUM(D76,G76,J76,M76)</x:f>
        <x:v>4802</x:v>
      </x:c>
      <x:c r="Q76" s="12" t="n">
        <x:v>645</x:v>
      </x:c>
      <x:c r="R76" s="12" t="n">
        <x:v>4802</x:v>
      </x:c>
      <x:c r="S76" s="12" t="n">
        <x:f>O76-Q76</x:f>
        <x:v>0</x:v>
      </x:c>
      <x:c r="T76" s="12" t="n">
        <x:f>P76-R76</x:f>
        <x:v>0</x:v>
      </x:c>
    </x:row>
    <x:row r="77" ht="22" customHeight="1">
      <x:c r="A77" s="4" t="str">
        <x:v>B0924CRTTH</x:v>
      </x:c>
      <x:c r="B77" s="4" t="str">
        <x:v>HYCHIKA</x:v>
      </x:c>
      <x:c r="C77" s="12" t="n">
        <x:v>142</x:v>
      </x:c>
      <x:c r="D77" s="12" t="n">
        <x:v>3860</x:v>
      </x:c>
      <x:c r="E77" s="13" t="n">
        <x:f>IF(D77&gt;0,C77/D77,"")</x:f>
        <x:v>0.03678756476683938</x:v>
      </x:c>
      <x:c r="F77" s="12" t="n">
        <x:v>183</x:v>
      </x:c>
      <x:c r="G77" s="12" t="n">
        <x:v>4904</x:v>
      </x:c>
      <x:c r="H77" s="13" t="n">
        <x:f>IF(G77&gt;0,F77/G77,"")</x:f>
        <x:v>0.03731647634584013</x:v>
      </x:c>
      <x:c r="I77" s="12" t="n">
        <x:v>155</x:v>
      </x:c>
      <x:c r="J77" s="12" t="n">
        <x:v>3446</x:v>
      </x:c>
      <x:c r="K77" s="13" t="n">
        <x:f>IF(J77&gt;0,I77/J77,"")</x:f>
        <x:v>0.04497968659315148</x:v>
      </x:c>
      <x:c r="L77" s="12" t="n">
        <x:v>163</x:v>
      </x:c>
      <x:c r="M77" s="12" t="n">
        <x:v>4540</x:v>
      </x:c>
      <x:c r="N77" s="13" t="n">
        <x:f>IF(M77&gt;0,L77/M77,"")</x:f>
        <x:v>0.03590308370044053</x:v>
      </x:c>
      <x:c r="O77" s="12" t="n">
        <x:f>SUM(C77,F77,I77,L77)</x:f>
        <x:v>643</x:v>
      </x:c>
      <x:c r="P77" s="12" t="n">
        <x:f>SUM(D77,G77,J77,M77)</x:f>
        <x:v>16750</x:v>
      </x:c>
      <x:c r="Q77" s="12" t="n">
        <x:v>643</x:v>
      </x:c>
      <x:c r="R77" s="12" t="n">
        <x:v>16750</x:v>
      </x:c>
      <x:c r="S77" s="12" t="n">
        <x:f>O77-Q77</x:f>
        <x:v>0</x:v>
      </x:c>
      <x:c r="T77" s="12" t="n">
        <x:f>P77-R77</x:f>
        <x:v>0</x:v>
      </x:c>
    </x:row>
    <x:row r="78" ht="22" customHeight="1">
      <x:c r="A78" s="4" t="str">
        <x:v>B0CRDR4R4K</x:v>
      </x:c>
      <x:c r="B78" s="4" t="str">
        <x:v>HYCHIKA</x:v>
      </x:c>
      <x:c r="C78" s="12" t="n">
        <x:v>152</x:v>
      </x:c>
      <x:c r="D78" s="12" t="n">
        <x:v>1284</x:v>
      </x:c>
      <x:c r="E78" s="13" t="n">
        <x:f>IF(D78&gt;0,C78/D78,"")</x:f>
        <x:v>0.11838006230529595</x:v>
      </x:c>
      <x:c r="F78" s="12" t="n">
        <x:v>92</x:v>
      </x:c>
      <x:c r="G78" s="12" t="n">
        <x:v>1059</x:v>
      </x:c>
      <x:c r="H78" s="13" t="n">
        <x:f>IF(G78&gt;0,F78/G78,"")</x:f>
        <x:v>0.08687440982058546</x:v>
      </x:c>
      <x:c r="I78" s="12" t="n">
        <x:v>216</x:v>
      </x:c>
      <x:c r="J78" s="12" t="n">
        <x:v>1932</x:v>
      </x:c>
      <x:c r="K78" s="13" t="n">
        <x:f>IF(J78&gt;0,I78/J78,"")</x:f>
        <x:v>0.11180124223602485</x:v>
      </x:c>
      <x:c r="L78" s="12" t="n">
        <x:v>138</x:v>
      </x:c>
      <x:c r="M78" s="12" t="n">
        <x:v>1501</x:v>
      </x:c>
      <x:c r="N78" s="13" t="n">
        <x:f>IF(M78&gt;0,L78/M78,"")</x:f>
        <x:v>0.09193870752831446</x:v>
      </x:c>
      <x:c r="O78" s="12" t="n">
        <x:f>SUM(C78,F78,I78,L78)</x:f>
        <x:v>598</x:v>
      </x:c>
      <x:c r="P78" s="12" t="n">
        <x:f>SUM(D78,G78,J78,M78)</x:f>
        <x:v>5776</x:v>
      </x:c>
      <x:c r="Q78" s="12" t="n">
        <x:v>598</x:v>
      </x:c>
      <x:c r="R78" s="12" t="n">
        <x:v>5776</x:v>
      </x:c>
      <x:c r="S78" s="12" t="n">
        <x:f>O78-Q78</x:f>
        <x:v>0</x:v>
      </x:c>
      <x:c r="T78" s="12" t="n">
        <x:f>P78-R78</x:f>
        <x:v>0</x:v>
      </x:c>
    </x:row>
    <x:row r="79" ht="22" customHeight="1">
      <x:c r="A79" s="4" t="str">
        <x:v>B0FSD48CPH</x:v>
      </x:c>
      <x:c r="B79" s="4" t="str">
        <x:v>HYCHIKA</x:v>
      </x:c>
      <x:c r="C79" s="12"/>
      <x:c r="D79" s="12"/>
      <x:c r="E79" s="13" t="str">
        <x:f>IF(D79&gt;0,C79/D79,"")</x:f>
      </x:c>
      <x:c r="F79" s="12" t="n">
        <x:v>300</x:v>
      </x:c>
      <x:c r="G79" s="12" t="n">
        <x:v>16911</x:v>
      </x:c>
      <x:c r="H79" s="13" t="n">
        <x:f>IF(G79&gt;0,F79/G79,"")</x:f>
        <x:v>0.017739932588256166</x:v>
      </x:c>
      <x:c r="I79" s="12" t="n">
        <x:v>68</x:v>
      </x:c>
      <x:c r="J79" s="12" t="n">
        <x:v>4196</x:v>
      </x:c>
      <x:c r="K79" s="13" t="n">
        <x:f>IF(J79&gt;0,I79/J79,"")</x:f>
        <x:v>0.016205910390848427</x:v>
      </x:c>
      <x:c r="L79" s="12" t="n">
        <x:v>157</x:v>
      </x:c>
      <x:c r="M79" s="12" t="n">
        <x:v>8598</x:v>
      </x:c>
      <x:c r="N79" s="13" t="n">
        <x:f>IF(M79&gt;0,L79/M79,"")</x:f>
        <x:v>0.018260060479181203</x:v>
      </x:c>
      <x:c r="O79" s="12" t="n">
        <x:f>SUM(C79,F79,I79,L79)</x:f>
        <x:v>525</x:v>
      </x:c>
      <x:c r="P79" s="12" t="n">
        <x:f>SUM(D79,G79,J79,M79)</x:f>
        <x:v>29705</x:v>
      </x:c>
      <x:c r="Q79" s="12" t="n">
        <x:v>525</x:v>
      </x:c>
      <x:c r="R79" s="12" t="n">
        <x:v>29705</x:v>
      </x:c>
      <x:c r="S79" s="12" t="n">
        <x:f>O79-Q79</x:f>
        <x:v>0</x:v>
      </x:c>
      <x:c r="T79" s="12" t="n">
        <x:f>P79-R79</x:f>
        <x:v>0</x:v>
      </x:c>
    </x:row>
    <x:row r="80" ht="22" customHeight="1">
      <x:c r="A80" s="4" t="str">
        <x:v>B0CJ4JDKRK</x:v>
      </x:c>
      <x:c r="B80" s="4" t="str">
        <x:v>HYCHIKA</x:v>
      </x:c>
      <x:c r="C80" s="12" t="n">
        <x:v>80</x:v>
      </x:c>
      <x:c r="D80" s="12" t="n">
        <x:v>3624</x:v>
      </x:c>
      <x:c r="E80" s="13" t="n">
        <x:f>IF(D80&gt;0,C80/D80,"")</x:f>
        <x:v>0.02207505518763797</x:v>
      </x:c>
      <x:c r="F80" s="12" t="n">
        <x:v>142</x:v>
      </x:c>
      <x:c r="G80" s="12" t="n">
        <x:v>6825</x:v>
      </x:c>
      <x:c r="H80" s="13" t="n">
        <x:f>IF(G80&gt;0,F80/G80,"")</x:f>
        <x:v>0.020805860805860808</x:v>
      </x:c>
      <x:c r="I80" s="12" t="n">
        <x:v>193</x:v>
      </x:c>
      <x:c r="J80" s="12" t="n">
        <x:v>7040</x:v>
      </x:c>
      <x:c r="K80" s="13" t="n">
        <x:f>IF(J80&gt;0,I80/J80,"")</x:f>
        <x:v>0.02741477272727273</x:v>
      </x:c>
      <x:c r="L80" s="12" t="n">
        <x:v>96</x:v>
      </x:c>
      <x:c r="M80" s="12" t="n">
        <x:v>7067</x:v>
      </x:c>
      <x:c r="N80" s="13" t="n">
        <x:f>IF(M80&gt;0,L80/M80,"")</x:f>
        <x:v>0.013584264893165417</x:v>
      </x:c>
      <x:c r="O80" s="12" t="n">
        <x:f>SUM(C80,F80,I80,L80)</x:f>
        <x:v>511</x:v>
      </x:c>
      <x:c r="P80" s="12" t="n">
        <x:f>SUM(D80,G80,J80,M80)</x:f>
        <x:v>24556</x:v>
      </x:c>
      <x:c r="Q80" s="12" t="n">
        <x:v>511</x:v>
      </x:c>
      <x:c r="R80" s="12" t="n">
        <x:v>24556</x:v>
      </x:c>
      <x:c r="S80" s="12" t="n">
        <x:f>O80-Q80</x:f>
        <x:v>0</x:v>
      </x:c>
      <x:c r="T80" s="12" t="n">
        <x:f>P80-R80</x:f>
        <x:v>0</x:v>
      </x:c>
    </x:row>
    <x:row r="81" ht="22" customHeight="1">
      <x:c r="A81" s="4" t="str">
        <x:v>B0CSSN34XW</x:v>
      </x:c>
      <x:c r="B81" s="4" t="str">
        <x:v>HYCHIKA</x:v>
      </x:c>
      <x:c r="C81" s="12" t="n">
        <x:v>52</x:v>
      </x:c>
      <x:c r="D81" s="12" t="n">
        <x:v>442</x:v>
      </x:c>
      <x:c r="E81" s="13" t="n">
        <x:f>IF(D81&gt;0,C81/D81,"")</x:f>
        <x:v>0.11764705882352941</x:v>
      </x:c>
      <x:c r="F81" s="12" t="n">
        <x:v>40</x:v>
      </x:c>
      <x:c r="G81" s="12" t="n">
        <x:v>305</x:v>
      </x:c>
      <x:c r="H81" s="13" t="n">
        <x:f>IF(G81&gt;0,F81/G81,"")</x:f>
        <x:v>0.13114754098360656</x:v>
      </x:c>
      <x:c r="I81" s="12" t="n">
        <x:v>183</x:v>
      </x:c>
      <x:c r="J81" s="12" t="n">
        <x:v>1797</x:v>
      </x:c>
      <x:c r="K81" s="13" t="n">
        <x:f>IF(J81&gt;0,I81/J81,"")</x:f>
        <x:v>0.1018363939899833</x:v>
      </x:c>
      <x:c r="L81" s="12" t="n">
        <x:v>228</x:v>
      </x:c>
      <x:c r="M81" s="12" t="n">
        <x:v>2138</x:v>
      </x:c>
      <x:c r="N81" s="13" t="n">
        <x:f>IF(M81&gt;0,L81/M81,"")</x:f>
        <x:v>0.10664172123479888</x:v>
      </x:c>
      <x:c r="O81" s="12" t="n">
        <x:f>SUM(C81,F81,I81,L81)</x:f>
        <x:v>503</x:v>
      </x:c>
      <x:c r="P81" s="12" t="n">
        <x:f>SUM(D81,G81,J81,M81)</x:f>
        <x:v>4682</x:v>
      </x:c>
      <x:c r="Q81" s="12" t="n">
        <x:v>503</x:v>
      </x:c>
      <x:c r="R81" s="12" t="n">
        <x:v>4682</x:v>
      </x:c>
      <x:c r="S81" s="12" t="n">
        <x:f>O81-Q81</x:f>
        <x:v>0</x:v>
      </x:c>
      <x:c r="T81" s="12" t="n">
        <x:f>P81-R81</x:f>
        <x:v>0</x:v>
      </x:c>
    </x:row>
    <x:row r="82" ht="22" customHeight="1">
      <x:c r="A82" s="4" t="str">
        <x:v>B0CGR39HNK</x:v>
      </x:c>
      <x:c r="B82" s="4" t="str">
        <x:v>SORAKO</x:v>
      </x:c>
      <x:c r="C82" s="12" t="n">
        <x:v>134</x:v>
      </x:c>
      <x:c r="D82" s="12" t="n">
        <x:v>1273</x:v>
      </x:c>
      <x:c r="E82" s="13" t="n">
        <x:f>IF(D82&gt;0,C82/D82,"")</x:f>
        <x:v>0.10526315789473684</x:v>
      </x:c>
      <x:c r="F82" s="12" t="n">
        <x:v>179</x:v>
      </x:c>
      <x:c r="G82" s="12" t="n">
        <x:v>1300</x:v>
      </x:c>
      <x:c r="H82" s="13" t="n">
        <x:f>IF(G82&gt;0,F82/G82,"")</x:f>
        <x:v>0.1376923076923077</x:v>
      </x:c>
      <x:c r="I82" s="12" t="n">
        <x:v>76</x:v>
      </x:c>
      <x:c r="J82" s="12" t="n">
        <x:v>605</x:v>
      </x:c>
      <x:c r="K82" s="13" t="n">
        <x:f>IF(J82&gt;0,I82/J82,"")</x:f>
        <x:v>0.1256198347107438</x:v>
      </x:c>
      <x:c r="L82" s="12" t="n">
        <x:v>109</x:v>
      </x:c>
      <x:c r="M82" s="12" t="n">
        <x:v>708</x:v>
      </x:c>
      <x:c r="N82" s="13" t="n">
        <x:f>IF(M82&gt;0,L82/M82,"")</x:f>
        <x:v>0.153954802259887</x:v>
      </x:c>
      <x:c r="O82" s="12" t="n">
        <x:f>SUM(C82,F82,I82,L82)</x:f>
        <x:v>498</x:v>
      </x:c>
      <x:c r="P82" s="12" t="n">
        <x:f>SUM(D82,G82,J82,M82)</x:f>
        <x:v>3886</x:v>
      </x:c>
      <x:c r="Q82" s="12" t="n">
        <x:v>498</x:v>
      </x:c>
      <x:c r="R82" s="12" t="n">
        <x:v>3886</x:v>
      </x:c>
      <x:c r="S82" s="12" t="n">
        <x:f>O82-Q82</x:f>
        <x:v>0</x:v>
      </x:c>
      <x:c r="T82" s="12" t="n">
        <x:f>P82-R82</x:f>
        <x:v>0</x:v>
      </x:c>
    </x:row>
    <x:row r="83" ht="22" customHeight="1">
      <x:c r="A83" s="4" t="str">
        <x:v>B0BRCYGTF5</x:v>
      </x:c>
      <x:c r="B83" s="4" t="str">
        <x:v>HYCHIKA</x:v>
      </x:c>
      <x:c r="C83" s="12" t="n">
        <x:v>103</x:v>
      </x:c>
      <x:c r="D83" s="12" t="n">
        <x:v>1546</x:v>
      </x:c>
      <x:c r="E83" s="13" t="n">
        <x:f>IF(D83&gt;0,C83/D83,"")</x:f>
        <x:v>0.0666235446313066</x:v>
      </x:c>
      <x:c r="F83" s="12" t="n">
        <x:v>213</x:v>
      </x:c>
      <x:c r="G83" s="12" t="n">
        <x:v>3695</x:v>
      </x:c>
      <x:c r="H83" s="13" t="n">
        <x:f>IF(G83&gt;0,F83/G83,"")</x:f>
        <x:v>0.05764546684709066</x:v>
      </x:c>
      <x:c r="I83" s="12" t="n">
        <x:v>111</x:v>
      </x:c>
      <x:c r="J83" s="12" t="n">
        <x:v>2402</x:v>
      </x:c>
      <x:c r="K83" s="13" t="n">
        <x:f>IF(J83&gt;0,I83/J83,"")</x:f>
        <x:v>0.04621149042464613</x:v>
      </x:c>
      <x:c r="L83" s="12" t="n">
        <x:v>19</x:v>
      </x:c>
      <x:c r="M83" s="12" t="n">
        <x:v>831</x:v>
      </x:c>
      <x:c r="N83" s="13" t="n">
        <x:f>IF(M83&gt;0,L83/M83,"")</x:f>
        <x:v>0.02286401925391095</x:v>
      </x:c>
      <x:c r="O83" s="12" t="n">
        <x:f>SUM(C83,F83,I83,L83)</x:f>
        <x:v>446</x:v>
      </x:c>
      <x:c r="P83" s="12" t="n">
        <x:f>SUM(D83,G83,J83,M83)</x:f>
        <x:v>8474</x:v>
      </x:c>
      <x:c r="Q83" s="12" t="n">
        <x:v>446</x:v>
      </x:c>
      <x:c r="R83" s="12" t="n">
        <x:v>8474</x:v>
      </x:c>
      <x:c r="S83" s="12" t="n">
        <x:f>O83-Q83</x:f>
        <x:v>0</x:v>
      </x:c>
      <x:c r="T83" s="12" t="n">
        <x:f>P83-R83</x:f>
        <x:v>0</x:v>
      </x:c>
    </x:row>
    <x:row r="84" ht="22" customHeight="1">
      <x:c r="A84" s="4" t="str">
        <x:v>B0DWK65NDF</x:v>
      </x:c>
      <x:c r="B84" s="4" t="str">
        <x:v>HYCHIKA</x:v>
      </x:c>
      <x:c r="C84" s="12" t="n">
        <x:v>39</x:v>
      </x:c>
      <x:c r="D84" s="12" t="n">
        <x:v>1364</x:v>
      </x:c>
      <x:c r="E84" s="13" t="n">
        <x:f>IF(D84&gt;0,C84/D84,"")</x:f>
        <x:v>0.028592375366568914</x:v>
      </x:c>
      <x:c r="F84" s="12" t="n">
        <x:v>120</x:v>
      </x:c>
      <x:c r="G84" s="12" t="n">
        <x:v>3508</x:v>
      </x:c>
      <x:c r="H84" s="13" t="n">
        <x:f>IF(G84&gt;0,F84/G84,"")</x:f>
        <x:v>0.03420752565564424</x:v>
      </x:c>
      <x:c r="I84" s="12" t="n">
        <x:v>125</x:v>
      </x:c>
      <x:c r="J84" s="12" t="n">
        <x:v>2511</x:v>
      </x:c>
      <x:c r="K84" s="13" t="n">
        <x:f>IF(J84&gt;0,I84/J84,"")</x:f>
        <x:v>0.04978096375945838</x:v>
      </x:c>
      <x:c r="L84" s="12" t="n">
        <x:v>153</x:v>
      </x:c>
      <x:c r="M84" s="12" t="n">
        <x:v>1194</x:v>
      </x:c>
      <x:c r="N84" s="13" t="n">
        <x:f>IF(M84&gt;0,L84/M84,"")</x:f>
        <x:v>0.12814070351758794</x:v>
      </x:c>
      <x:c r="O84" s="12" t="n">
        <x:f>SUM(C84,F84,I84,L84)</x:f>
        <x:v>437</x:v>
      </x:c>
      <x:c r="P84" s="12" t="n">
        <x:f>SUM(D84,G84,J84,M84)</x:f>
        <x:v>8577</x:v>
      </x:c>
      <x:c r="Q84" s="12" t="n">
        <x:v>437</x:v>
      </x:c>
      <x:c r="R84" s="12" t="n">
        <x:v>8577</x:v>
      </x:c>
      <x:c r="S84" s="12" t="n">
        <x:f>O84-Q84</x:f>
        <x:v>0</x:v>
      </x:c>
      <x:c r="T84" s="12" t="n">
        <x:f>P84-R84</x:f>
        <x:v>0</x:v>
      </x:c>
    </x:row>
    <x:row r="85" ht="22" customHeight="1">
      <x:c r="A85" s="4" t="str">
        <x:v>B09WYSQSSL</x:v>
      </x:c>
      <x:c r="B85" s="4" t="str">
        <x:v>HYCHIKA</x:v>
      </x:c>
      <x:c r="C85" s="12" t="n">
        <x:v>144</x:v>
      </x:c>
      <x:c r="D85" s="12" t="n">
        <x:v>9629</x:v>
      </x:c>
      <x:c r="E85" s="13" t="n">
        <x:f>IF(D85&gt;0,C85/D85,"")</x:f>
        <x:v>0.01495482396925953</x:v>
      </x:c>
      <x:c r="F85" s="12" t="n">
        <x:v>95</x:v>
      </x:c>
      <x:c r="G85" s="12" t="n">
        <x:v>8054</x:v>
      </x:c>
      <x:c r="H85" s="13" t="n">
        <x:f>IF(G85&gt;0,F85/G85,"")</x:f>
        <x:v>0.01179538117705488</x:v>
      </x:c>
      <x:c r="I85" s="12" t="n">
        <x:v>154</x:v>
      </x:c>
      <x:c r="J85" s="12" t="n">
        <x:v>8469</x:v>
      </x:c>
      <x:c r="K85" s="13" t="n">
        <x:f>IF(J85&gt;0,I85/J85,"")</x:f>
        <x:v>0.018183965049002243</x:v>
      </x:c>
      <x:c r="L85" s="12" t="n">
        <x:v>19</x:v>
      </x:c>
      <x:c r="M85" s="12" t="n">
        <x:v>890</x:v>
      </x:c>
      <x:c r="N85" s="13" t="n">
        <x:f>IF(M85&gt;0,L85/M85,"")</x:f>
        <x:v>0.021348314606741574</x:v>
      </x:c>
      <x:c r="O85" s="12" t="n">
        <x:f>SUM(C85,F85,I85,L85)</x:f>
        <x:v>412</x:v>
      </x:c>
      <x:c r="P85" s="12" t="n">
        <x:f>SUM(D85,G85,J85,M85)</x:f>
        <x:v>27042</x:v>
      </x:c>
      <x:c r="Q85" s="12" t="n">
        <x:v>412</x:v>
      </x:c>
      <x:c r="R85" s="12" t="n">
        <x:v>27042</x:v>
      </x:c>
      <x:c r="S85" s="12" t="n">
        <x:f>O85-Q85</x:f>
        <x:v>0</x:v>
      </x:c>
      <x:c r="T85" s="12" t="n">
        <x:f>P85-R85</x:f>
        <x:v>0</x:v>
      </x:c>
    </x:row>
    <x:row r="86" ht="22" customHeight="1">
      <x:c r="A86" s="4" t="str">
        <x:v>B0GX9LXCL7</x:v>
      </x:c>
      <x:c r="B86" s="4" t="str">
        <x:v>HYCHIKA</x:v>
      </x:c>
      <x:c r="C86" s="12"/>
      <x:c r="D86" s="12"/>
      <x:c r="E86" s="13" t="str">
        <x:f>IF(D86&gt;0,C86/D86,"")</x:f>
      </x:c>
      <x:c r="F86" s="12"/>
      <x:c r="G86" s="12"/>
      <x:c r="H86" s="13" t="str">
        <x:f>IF(G86&gt;0,F86/G86,"")</x:f>
      </x:c>
      <x:c r="I86" s="12" t="n">
        <x:v>51</x:v>
      </x:c>
      <x:c r="J86" s="12" t="n">
        <x:v>1271</x:v>
      </x:c>
      <x:c r="K86" s="13" t="n">
        <x:f>IF(J86&gt;0,I86/J86,"")</x:f>
        <x:v>0.04012588512981904</x:v>
      </x:c>
      <x:c r="L86" s="12" t="n">
        <x:v>346</x:v>
      </x:c>
      <x:c r="M86" s="12" t="n">
        <x:v>9248</x:v>
      </x:c>
      <x:c r="N86" s="13" t="n">
        <x:f>IF(M86&gt;0,L86/M86,"")</x:f>
        <x:v>0.03741349480968858</x:v>
      </x:c>
      <x:c r="O86" s="12" t="n">
        <x:f>SUM(C86,F86,I86,L86)</x:f>
        <x:v>397</x:v>
      </x:c>
      <x:c r="P86" s="12" t="n">
        <x:f>SUM(D86,G86,J86,M86)</x:f>
        <x:v>10519</x:v>
      </x:c>
      <x:c r="Q86" s="12" t="n">
        <x:v>397</x:v>
      </x:c>
      <x:c r="R86" s="12" t="n">
        <x:v>10519</x:v>
      </x:c>
      <x:c r="S86" s="12" t="n">
        <x:f>O86-Q86</x:f>
        <x:v>0</x:v>
      </x:c>
      <x:c r="T86" s="12" t="n">
        <x:f>P86-R86</x:f>
        <x:v>0</x:v>
      </x:c>
    </x:row>
    <x:row r="87" ht="22" customHeight="1">
      <x:c r="A87" s="4" t="str">
        <x:v>B0C2P2J4JG</x:v>
      </x:c>
      <x:c r="B87" s="4" t="str">
        <x:v>HYCHIKA</x:v>
      </x:c>
      <x:c r="C87" s="12" t="n">
        <x:v>221</x:v>
      </x:c>
      <x:c r="D87" s="12" t="n">
        <x:v>5645</x:v>
      </x:c>
      <x:c r="E87" s="13" t="n">
        <x:f>IF(D87&gt;0,C87/D87,"")</x:f>
        <x:v>0.03914968999114261</x:v>
      </x:c>
      <x:c r="F87" s="12" t="n">
        <x:v>103</x:v>
      </x:c>
      <x:c r="G87" s="12" t="n">
        <x:v>4764</x:v>
      </x:c>
      <x:c r="H87" s="13" t="n">
        <x:f>IF(G87&gt;0,F87/G87,"")</x:f>
        <x:v>0.02162048698572628</x:v>
      </x:c>
      <x:c r="I87" s="12" t="n">
        <x:v>42</x:v>
      </x:c>
      <x:c r="J87" s="12" t="n">
        <x:v>1293</x:v>
      </x:c>
      <x:c r="K87" s="13" t="n">
        <x:f>IF(J87&gt;0,I87/J87,"")</x:f>
        <x:v>0.03248259860788863</x:v>
      </x:c>
      <x:c r="L87" s="12" t="n">
        <x:v>25</x:v>
      </x:c>
      <x:c r="M87" s="12" t="n">
        <x:v>592</x:v>
      </x:c>
      <x:c r="N87" s="13" t="n">
        <x:f>IF(M87&gt;0,L87/M87,"")</x:f>
        <x:v>0.04222972972972973</x:v>
      </x:c>
      <x:c r="O87" s="12" t="n">
        <x:f>SUM(C87,F87,I87,L87)</x:f>
        <x:v>391</x:v>
      </x:c>
      <x:c r="P87" s="12" t="n">
        <x:f>SUM(D87,G87,J87,M87)</x:f>
        <x:v>12294</x:v>
      </x:c>
      <x:c r="Q87" s="12" t="n">
        <x:v>391</x:v>
      </x:c>
      <x:c r="R87" s="12" t="n">
        <x:v>12294</x:v>
      </x:c>
      <x:c r="S87" s="12" t="n">
        <x:f>O87-Q87</x:f>
        <x:v>0</x:v>
      </x:c>
      <x:c r="T87" s="12" t="n">
        <x:f>P87-R87</x:f>
        <x:v>0</x:v>
      </x:c>
    </x:row>
    <x:row r="88" ht="22" customHeight="1">
      <x:c r="A88" s="4" t="str">
        <x:v>B088K58DXP</x:v>
      </x:c>
      <x:c r="B88" s="4" t="str">
        <x:v>HYCHIKA</x:v>
      </x:c>
      <x:c r="C88" s="12" t="n">
        <x:v>123</x:v>
      </x:c>
      <x:c r="D88" s="12" t="n">
        <x:v>9156</x:v>
      </x:c>
      <x:c r="E88" s="13" t="n">
        <x:f>IF(D88&gt;0,C88/D88,"")</x:f>
        <x:v>0.013433813892529489</x:v>
      </x:c>
      <x:c r="F88" s="12" t="n">
        <x:v>71</x:v>
      </x:c>
      <x:c r="G88" s="12" t="n">
        <x:v>7407</x:v>
      </x:c>
      <x:c r="H88" s="13" t="n">
        <x:f>IF(G88&gt;0,F88/G88,"")</x:f>
        <x:v>0.00958552720399622</x:v>
      </x:c>
      <x:c r="I88" s="12" t="n">
        <x:v>105</x:v>
      </x:c>
      <x:c r="J88" s="12" t="n">
        <x:v>6657</x:v>
      </x:c>
      <x:c r="K88" s="13" t="n">
        <x:f>IF(J88&gt;0,I88/J88,"")</x:f>
        <x:v>0.015772870662460567</x:v>
      </x:c>
      <x:c r="L88" s="12" t="n">
        <x:v>65</x:v>
      </x:c>
      <x:c r="M88" s="12" t="n">
        <x:v>4491</x:v>
      </x:c>
      <x:c r="N88" s="13" t="n">
        <x:f>IF(M88&gt;0,L88/M88,"")</x:f>
        <x:v>0.01447339122689824</x:v>
      </x:c>
      <x:c r="O88" s="12" t="n">
        <x:f>SUM(C88,F88,I88,L88)</x:f>
        <x:v>364</x:v>
      </x:c>
      <x:c r="P88" s="12" t="n">
        <x:f>SUM(D88,G88,J88,M88)</x:f>
        <x:v>27711</x:v>
      </x:c>
      <x:c r="Q88" s="12" t="n">
        <x:v>364</x:v>
      </x:c>
      <x:c r="R88" s="12" t="n">
        <x:v>27711</x:v>
      </x:c>
      <x:c r="S88" s="12" t="n">
        <x:f>O88-Q88</x:f>
        <x:v>0</x:v>
      </x:c>
      <x:c r="T88" s="12" t="n">
        <x:f>P88-R88</x:f>
        <x:v>0</x:v>
      </x:c>
    </x:row>
    <x:row r="89" ht="22" customHeight="1">
      <x:c r="A89" s="4" t="str">
        <x:v>B0CSSQ6TVP</x:v>
      </x:c>
      <x:c r="B89" s="4" t="str">
        <x:v>HYCHIKA</x:v>
      </x:c>
      <x:c r="C89" s="12" t="n">
        <x:v>60</x:v>
      </x:c>
      <x:c r="D89" s="12" t="n">
        <x:v>573</x:v>
      </x:c>
      <x:c r="E89" s="13" t="n">
        <x:f>IF(D89&gt;0,C89/D89,"")</x:f>
        <x:v>0.10471204188481675</x:v>
      </x:c>
      <x:c r="F89" s="12" t="n">
        <x:v>72</x:v>
      </x:c>
      <x:c r="G89" s="12" t="n">
        <x:v>739</x:v>
      </x:c>
      <x:c r="H89" s="13" t="n">
        <x:f>IF(G89&gt;0,F89/G89,"")</x:f>
        <x:v>0.09742895805142084</x:v>
      </x:c>
      <x:c r="I89" s="12" t="n">
        <x:v>143</x:v>
      </x:c>
      <x:c r="J89" s="12" t="n">
        <x:v>1468</x:v>
      </x:c>
      <x:c r="K89" s="13" t="n">
        <x:f>IF(J89&gt;0,I89/J89,"")</x:f>
        <x:v>0.09741144414168937</x:v>
      </x:c>
      <x:c r="L89" s="12" t="n">
        <x:v>85</x:v>
      </x:c>
      <x:c r="M89" s="12" t="n">
        <x:v>748</x:v>
      </x:c>
      <x:c r="N89" s="13" t="n">
        <x:f>IF(M89&gt;0,L89/M89,"")</x:f>
        <x:v>0.11363636363636363</x:v>
      </x:c>
      <x:c r="O89" s="12" t="n">
        <x:f>SUM(C89,F89,I89,L89)</x:f>
        <x:v>360</x:v>
      </x:c>
      <x:c r="P89" s="12" t="n">
        <x:f>SUM(D89,G89,J89,M89)</x:f>
        <x:v>3528</x:v>
      </x:c>
      <x:c r="Q89" s="12" t="n">
        <x:v>360</x:v>
      </x:c>
      <x:c r="R89" s="12" t="n">
        <x:v>3528</x:v>
      </x:c>
      <x:c r="S89" s="12" t="n">
        <x:f>O89-Q89</x:f>
        <x:v>0</x:v>
      </x:c>
      <x:c r="T89" s="12" t="n">
        <x:f>P89-R89</x:f>
        <x:v>0</x:v>
      </x:c>
    </x:row>
    <x:row r="90" ht="22" customHeight="1">
      <x:c r="A90" s="4" t="str">
        <x:v>B0FFG95G7F</x:v>
      </x:c>
      <x:c r="B90" s="4" t="str">
        <x:v>HYCHIKA</x:v>
      </x:c>
      <x:c r="C90" s="12" t="n">
        <x:v>177</x:v>
      </x:c>
      <x:c r="D90" s="12" t="n">
        <x:v>6008</x:v>
      </x:c>
      <x:c r="E90" s="13" t="n">
        <x:f>IF(D90&gt;0,C90/D90,"")</x:f>
        <x:v>0.029460719041278297</x:v>
      </x:c>
      <x:c r="F90" s="12" t="n">
        <x:v>137</x:v>
      </x:c>
      <x:c r="G90" s="12" t="n">
        <x:v>5025</x:v>
      </x:c>
      <x:c r="H90" s="13" t="n">
        <x:f>IF(G90&gt;0,F90/G90,"")</x:f>
        <x:v>0.0272636815920398</x:v>
      </x:c>
      <x:c r="I90" s="12" t="n">
        <x:v>18</x:v>
      </x:c>
      <x:c r="J90" s="12" t="n">
        <x:v>626</x:v>
      </x:c>
      <x:c r="K90" s="13" t="n">
        <x:f>IF(J90&gt;0,I90/J90,"")</x:f>
        <x:v>0.02875399361022364</x:v>
      </x:c>
      <x:c r="L90" s="12" t="n">
        <x:v>13</x:v>
      </x:c>
      <x:c r="M90" s="12" t="n">
        <x:v>297</x:v>
      </x:c>
      <x:c r="N90" s="13" t="n">
        <x:f>IF(M90&gt;0,L90/M90,"")</x:f>
        <x:v>0.04377104377104377</x:v>
      </x:c>
      <x:c r="O90" s="12" t="n">
        <x:f>SUM(C90,F90,I90,L90)</x:f>
        <x:v>345</x:v>
      </x:c>
      <x:c r="P90" s="12" t="n">
        <x:f>SUM(D90,G90,J90,M90)</x:f>
        <x:v>11956</x:v>
      </x:c>
      <x:c r="Q90" s="12" t="n">
        <x:v>345</x:v>
      </x:c>
      <x:c r="R90" s="12" t="n">
        <x:v>11956</x:v>
      </x:c>
      <x:c r="S90" s="12" t="n">
        <x:f>O90-Q90</x:f>
        <x:v>0</x:v>
      </x:c>
      <x:c r="T90" s="12" t="n">
        <x:f>P90-R90</x:f>
        <x:v>0</x:v>
      </x:c>
    </x:row>
    <x:row r="91" ht="22" customHeight="1">
      <x:c r="A91" s="4" t="str">
        <x:v>B0FFGHJ575</x:v>
      </x:c>
      <x:c r="B91" s="4" t="str">
        <x:v>HYCHIKA</x:v>
      </x:c>
      <x:c r="C91" s="12" t="n">
        <x:v>283</x:v>
      </x:c>
      <x:c r="D91" s="12" t="n">
        <x:v>7501</x:v>
      </x:c>
      <x:c r="E91" s="13" t="n">
        <x:f>IF(D91&gt;0,C91/D91,"")</x:f>
        <x:v>0.03772830289294761</x:v>
      </x:c>
      <x:c r="F91" s="12" t="n">
        <x:v>49</x:v>
      </x:c>
      <x:c r="G91" s="12" t="n">
        <x:v>2334</x:v>
      </x:c>
      <x:c r="H91" s="13" t="n">
        <x:f>IF(G91&gt;0,F91/G91,"")</x:f>
        <x:v>0.02099400171379606</x:v>
      </x:c>
      <x:c r="I91" s="12" t="n">
        <x:v>6</x:v>
      </x:c>
      <x:c r="J91" s="12" t="n">
        <x:v>219</x:v>
      </x:c>
      <x:c r="K91" s="13" t="n">
        <x:f>IF(J91&gt;0,I91/J91,"")</x:f>
        <x:v>0.0273972602739726</x:v>
      </x:c>
      <x:c r="L91" s="12" t="n">
        <x:v>0</x:v>
      </x:c>
      <x:c r="M91" s="12" t="n">
        <x:v>0</x:v>
      </x:c>
      <x:c r="N91" s="13" t="str">
        <x:f>IF(M91&gt;0,L91/M91,"")</x:f>
      </x:c>
      <x:c r="O91" s="12" t="n">
        <x:f>SUM(C91,F91,I91,L91)</x:f>
        <x:v>338</x:v>
      </x:c>
      <x:c r="P91" s="12" t="n">
        <x:f>SUM(D91,G91,J91,M91)</x:f>
        <x:v>10054</x:v>
      </x:c>
      <x:c r="Q91" s="12" t="n">
        <x:v>338</x:v>
      </x:c>
      <x:c r="R91" s="12" t="n">
        <x:v>10054</x:v>
      </x:c>
      <x:c r="S91" s="12" t="n">
        <x:f>O91-Q91</x:f>
        <x:v>0</x:v>
      </x:c>
      <x:c r="T91" s="12" t="n">
        <x:f>P91-R91</x:f>
        <x:v>0</x:v>
      </x:c>
    </x:row>
    <x:row r="92" ht="22" customHeight="1">
      <x:c r="A92" s="4" t="str">
        <x:v>B0DWF9YVQF</x:v>
      </x:c>
      <x:c r="B92" s="4" t="str">
        <x:v>HYCHIKA</x:v>
      </x:c>
      <x:c r="C92" s="12" t="n">
        <x:v>25</x:v>
      </x:c>
      <x:c r="D92" s="12" t="n">
        <x:v>950</x:v>
      </x:c>
      <x:c r="E92" s="13" t="n">
        <x:f>IF(D92&gt;0,C92/D92,"")</x:f>
        <x:v>0.02631578947368421</x:v>
      </x:c>
      <x:c r="F92" s="12" t="n">
        <x:v>74</x:v>
      </x:c>
      <x:c r="G92" s="12" t="n">
        <x:v>3434</x:v>
      </x:c>
      <x:c r="H92" s="13" t="n">
        <x:f>IF(G92&gt;0,F92/G92,"")</x:f>
        <x:v>0.021549213744903904</x:v>
      </x:c>
      <x:c r="I92" s="12" t="n">
        <x:v>112</x:v>
      </x:c>
      <x:c r="J92" s="12" t="n">
        <x:v>3707</x:v>
      </x:c>
      <x:c r="K92" s="13" t="n">
        <x:f>IF(J92&gt;0,I92/J92,"")</x:f>
        <x:v>0.030213110331804693</x:v>
      </x:c>
      <x:c r="L92" s="12" t="n">
        <x:v>109</x:v>
      </x:c>
      <x:c r="M92" s="12" t="n">
        <x:v>6036</x:v>
      </x:c>
      <x:c r="N92" s="13" t="n">
        <x:f>IF(M92&gt;0,L92/M92,"")</x:f>
        <x:v>0.018058316766070247</x:v>
      </x:c>
      <x:c r="O92" s="12" t="n">
        <x:f>SUM(C92,F92,I92,L92)</x:f>
        <x:v>320</x:v>
      </x:c>
      <x:c r="P92" s="12" t="n">
        <x:f>SUM(D92,G92,J92,M92)</x:f>
        <x:v>14127</x:v>
      </x:c>
      <x:c r="Q92" s="12" t="n">
        <x:v>320</x:v>
      </x:c>
      <x:c r="R92" s="12" t="n">
        <x:v>14127</x:v>
      </x:c>
      <x:c r="S92" s="12" t="n">
        <x:f>O92-Q92</x:f>
        <x:v>0</x:v>
      </x:c>
      <x:c r="T92" s="12" t="n">
        <x:f>P92-R92</x:f>
        <x:v>0</x:v>
      </x:c>
    </x:row>
    <x:row r="93" ht="22" customHeight="1">
      <x:c r="A93" s="4" t="str">
        <x:v>B0D9828D7K</x:v>
      </x:c>
      <x:c r="B93" s="4" t="str">
        <x:v>HYCHIKA</x:v>
      </x:c>
      <x:c r="C93" s="12" t="n">
        <x:v>319</x:v>
      </x:c>
      <x:c r="D93" s="12" t="n">
        <x:v>16124</x:v>
      </x:c>
      <x:c r="E93" s="13" t="n">
        <x:f>IF(D93&gt;0,C93/D93,"")</x:f>
        <x:v>0.019784172661870502</x:v>
      </x:c>
      <x:c r="F93" s="12" t="n">
        <x:v>0</x:v>
      </x:c>
      <x:c r="G93" s="12" t="n">
        <x:v>0</x:v>
      </x:c>
      <x:c r="H93" s="13" t="str">
        <x:f>IF(G93&gt;0,F93/G93,"")</x:f>
      </x:c>
      <x:c r="I93" s="12" t="n">
        <x:v>0</x:v>
      </x:c>
      <x:c r="J93" s="12" t="n">
        <x:v>0</x:v>
      </x:c>
      <x:c r="K93" s="13" t="str">
        <x:f>IF(J93&gt;0,I93/J93,"")</x:f>
      </x:c>
      <x:c r="L93" s="12" t="n">
        <x:v>0</x:v>
      </x:c>
      <x:c r="M93" s="12" t="n">
        <x:v>0</x:v>
      </x:c>
      <x:c r="N93" s="13" t="str">
        <x:f>IF(M93&gt;0,L93/M93,"")</x:f>
      </x:c>
      <x:c r="O93" s="12" t="n">
        <x:f>SUM(C93,F93,I93,L93)</x:f>
        <x:v>319</x:v>
      </x:c>
      <x:c r="P93" s="12" t="n">
        <x:f>SUM(D93,G93,J93,M93)</x:f>
        <x:v>16124</x:v>
      </x:c>
      <x:c r="Q93" s="12" t="n">
        <x:v>319</x:v>
      </x:c>
      <x:c r="R93" s="12" t="n">
        <x:v>16124</x:v>
      </x:c>
      <x:c r="S93" s="12" t="n">
        <x:f>O93-Q93</x:f>
        <x:v>0</x:v>
      </x:c>
      <x:c r="T93" s="12" t="n">
        <x:f>P93-R93</x:f>
        <x:v>0</x:v>
      </x:c>
    </x:row>
    <x:row r="94" ht="22" customHeight="1">
      <x:c r="A94" s="4" t="str">
        <x:v>B099ZX6CVC</x:v>
      </x:c>
      <x:c r="B94" s="4" t="str">
        <x:v>HYCHIKA</x:v>
      </x:c>
      <x:c r="C94" s="12" t="n">
        <x:v>126</x:v>
      </x:c>
      <x:c r="D94" s="12" t="n">
        <x:v>10669</x:v>
      </x:c>
      <x:c r="E94" s="13" t="n">
        <x:f>IF(D94&gt;0,C94/D94,"")</x:f>
        <x:v>0.011809916580747962</x:v>
      </x:c>
      <x:c r="F94" s="12" t="n">
        <x:v>124</x:v>
      </x:c>
      <x:c r="G94" s="12" t="n">
        <x:v>8072</x:v>
      </x:c>
      <x:c r="H94" s="13" t="n">
        <x:f>IF(G94&gt;0,F94/G94,"")</x:f>
        <x:v>0.015361744301288404</x:v>
      </x:c>
      <x:c r="I94" s="12" t="n">
        <x:v>39</x:v>
      </x:c>
      <x:c r="J94" s="12" t="n">
        <x:v>3845</x:v>
      </x:c>
      <x:c r="K94" s="13" t="n">
        <x:f>IF(J94&gt;0,I94/J94,"")</x:f>
        <x:v>0.010143042912873863</x:v>
      </x:c>
      <x:c r="L94" s="12" t="n">
        <x:v>13</x:v>
      </x:c>
      <x:c r="M94" s="12" t="n">
        <x:v>1546</x:v>
      </x:c>
      <x:c r="N94" s="13" t="n">
        <x:f>IF(M94&gt;0,L94/M94,"")</x:f>
        <x:v>0.008408796895213453</x:v>
      </x:c>
      <x:c r="O94" s="12" t="n">
        <x:f>SUM(C94,F94,I94,L94)</x:f>
        <x:v>302</x:v>
      </x:c>
      <x:c r="P94" s="12" t="n">
        <x:f>SUM(D94,G94,J94,M94)</x:f>
        <x:v>24132</x:v>
      </x:c>
      <x:c r="Q94" s="12" t="n">
        <x:v>302</x:v>
      </x:c>
      <x:c r="R94" s="12" t="n">
        <x:v>24132</x:v>
      </x:c>
      <x:c r="S94" s="12" t="n">
        <x:f>O94-Q94</x:f>
        <x:v>0</x:v>
      </x:c>
      <x:c r="T94" s="12" t="n">
        <x:f>P94-R94</x:f>
        <x:v>0</x:v>
      </x:c>
    </x:row>
    <x:row r="95" ht="22" customHeight="1">
      <x:c r="A95" s="4" t="str">
        <x:v>B0DFM646ZZ</x:v>
      </x:c>
      <x:c r="B95" s="4" t="str">
        <x:v>HYCHIKA</x:v>
      </x:c>
      <x:c r="C95" s="12" t="n">
        <x:v>0</x:v>
      </x:c>
      <x:c r="D95" s="12" t="n">
        <x:v>14</x:v>
      </x:c>
      <x:c r="E95" s="13" t="n">
        <x:f>IF(D95&gt;0,C95/D95,"")</x:f>
        <x:v>0</x:v>
      </x:c>
      <x:c r="F95" s="12" t="n">
        <x:v>0</x:v>
      </x:c>
      <x:c r="G95" s="12" t="n">
        <x:v>33</x:v>
      </x:c>
      <x:c r="H95" s="13" t="n">
        <x:f>IF(G95&gt;0,F95/G95,"")</x:f>
        <x:v>0</x:v>
      </x:c>
      <x:c r="I95" s="12" t="n">
        <x:v>131</x:v>
      </x:c>
      <x:c r="J95" s="12" t="n">
        <x:v>1552</x:v>
      </x:c>
      <x:c r="K95" s="13" t="n">
        <x:f>IF(J95&gt;0,I95/J95,"")</x:f>
        <x:v>0.08440721649484537</x:v>
      </x:c>
      <x:c r="L95" s="12" t="n">
        <x:v>164</x:v>
      </x:c>
      <x:c r="M95" s="12" t="n">
        <x:v>1756</x:v>
      </x:c>
      <x:c r="N95" s="13" t="n">
        <x:f>IF(M95&gt;0,L95/M95,"")</x:f>
        <x:v>0.09339407744874716</x:v>
      </x:c>
      <x:c r="O95" s="12" t="n">
        <x:f>SUM(C95,F95,I95,L95)</x:f>
        <x:v>295</x:v>
      </x:c>
      <x:c r="P95" s="12" t="n">
        <x:f>SUM(D95,G95,J95,M95)</x:f>
        <x:v>3355</x:v>
      </x:c>
      <x:c r="Q95" s="12" t="n">
        <x:v>295</x:v>
      </x:c>
      <x:c r="R95" s="12" t="n">
        <x:v>3355</x:v>
      </x:c>
      <x:c r="S95" s="12" t="n">
        <x:f>O95-Q95</x:f>
        <x:v>0</x:v>
      </x:c>
      <x:c r="T95" s="12" t="n">
        <x:f>P95-R95</x:f>
        <x:v>0</x:v>
      </x:c>
    </x:row>
    <x:row r="96" ht="22" customHeight="1">
      <x:c r="A96" s="4" t="str">
        <x:v>B07ZFN24DM</x:v>
      </x:c>
      <x:c r="B96" s="4" t="str">
        <x:v>HYCHIKA</x:v>
      </x:c>
      <x:c r="C96" s="12" t="n">
        <x:v>90</x:v>
      </x:c>
      <x:c r="D96" s="12" t="n">
        <x:v>2915</x:v>
      </x:c>
      <x:c r="E96" s="13" t="n">
        <x:f>IF(D96&gt;0,C96/D96,"")</x:f>
        <x:v>0.030874785591766724</x:v>
      </x:c>
      <x:c r="F96" s="12" t="n">
        <x:v>84</x:v>
      </x:c>
      <x:c r="G96" s="12" t="n">
        <x:v>2344</x:v>
      </x:c>
      <x:c r="H96" s="13" t="n">
        <x:f>IF(G96&gt;0,F96/G96,"")</x:f>
        <x:v>0.03583617747440273</x:v>
      </x:c>
      <x:c r="I96" s="12" t="n">
        <x:v>55</x:v>
      </x:c>
      <x:c r="J96" s="12" t="n">
        <x:v>1536</x:v>
      </x:c>
      <x:c r="K96" s="13" t="n">
        <x:f>IF(J96&gt;0,I96/J96,"")</x:f>
        <x:v>0.035807291666666664</x:v>
      </x:c>
      <x:c r="L96" s="12" t="n">
        <x:v>51</x:v>
      </x:c>
      <x:c r="M96" s="12" t="n">
        <x:v>1221</x:v>
      </x:c>
      <x:c r="N96" s="13" t="n">
        <x:f>IF(M96&gt;0,L96/M96,"")</x:f>
        <x:v>0.04176904176904177</x:v>
      </x:c>
      <x:c r="O96" s="12" t="n">
        <x:f>SUM(C96,F96,I96,L96)</x:f>
        <x:v>280</x:v>
      </x:c>
      <x:c r="P96" s="12" t="n">
        <x:f>SUM(D96,G96,J96,M96)</x:f>
        <x:v>8016</x:v>
      </x:c>
      <x:c r="Q96" s="12" t="n">
        <x:v>280</x:v>
      </x:c>
      <x:c r="R96" s="12" t="n">
        <x:v>8016</x:v>
      </x:c>
      <x:c r="S96" s="12" t="n">
        <x:f>O96-Q96</x:f>
        <x:v>0</x:v>
      </x:c>
      <x:c r="T96" s="12" t="n">
        <x:f>P96-R96</x:f>
        <x:v>0</x:v>
      </x:c>
    </x:row>
    <x:row r="97" ht="22" customHeight="1">
      <x:c r="A97" s="4" t="str">
        <x:v>B0D2XHTNJV</x:v>
      </x:c>
      <x:c r="B97" s="4" t="str">
        <x:v>HYCHIKA</x:v>
      </x:c>
      <x:c r="C97" s="12" t="n">
        <x:v>61</x:v>
      </x:c>
      <x:c r="D97" s="12" t="n">
        <x:v>4518</x:v>
      </x:c>
      <x:c r="E97" s="13" t="n">
        <x:f>IF(D97&gt;0,C97/D97,"")</x:f>
        <x:v>0.013501549358123064</x:v>
      </x:c>
      <x:c r="F97" s="12" t="n">
        <x:v>27</x:v>
      </x:c>
      <x:c r="G97" s="12" t="n">
        <x:v>1058</x:v>
      </x:c>
      <x:c r="H97" s="13" t="n">
        <x:f>IF(G97&gt;0,F97/G97,"")</x:f>
        <x:v>0.02551984877126654</x:v>
      </x:c>
      <x:c r="I97" s="12" t="n">
        <x:v>167</x:v>
      </x:c>
      <x:c r="J97" s="12" t="n">
        <x:v>4793</x:v>
      </x:c>
      <x:c r="K97" s="13" t="n">
        <x:f>IF(J97&gt;0,I97/J97,"")</x:f>
        <x:v>0.03484247861464636</x:v>
      </x:c>
      <x:c r="L97" s="12" t="n">
        <x:v>22</x:v>
      </x:c>
      <x:c r="M97" s="12" t="n">
        <x:v>634</x:v>
      </x:c>
      <x:c r="N97" s="13" t="n">
        <x:f>IF(M97&gt;0,L97/M97,"")</x:f>
        <x:v>0.03470031545741325</x:v>
      </x:c>
      <x:c r="O97" s="12" t="n">
        <x:f>SUM(C97,F97,I97,L97)</x:f>
        <x:v>277</x:v>
      </x:c>
      <x:c r="P97" s="12" t="n">
        <x:f>SUM(D97,G97,J97,M97)</x:f>
        <x:v>11003</x:v>
      </x:c>
      <x:c r="Q97" s="12" t="n">
        <x:v>277</x:v>
      </x:c>
      <x:c r="R97" s="12" t="n">
        <x:v>11003</x:v>
      </x:c>
      <x:c r="S97" s="12" t="n">
        <x:f>O97-Q97</x:f>
        <x:v>0</x:v>
      </x:c>
      <x:c r="T97" s="12" t="n">
        <x:f>P97-R97</x:f>
        <x:v>0</x:v>
      </x:c>
    </x:row>
    <x:row r="98" ht="22" customHeight="1">
      <x:c r="A98" s="4" t="str">
        <x:v>B0FFLJ2HMW</x:v>
      </x:c>
      <x:c r="B98" s="4" t="str">
        <x:v>HYCHIKA</x:v>
      </x:c>
      <x:c r="C98" s="12" t="n">
        <x:v>220</x:v>
      </x:c>
      <x:c r="D98" s="12" t="n">
        <x:v>6102</x:v>
      </x:c>
      <x:c r="E98" s="13" t="n">
        <x:f>IF(D98&gt;0,C98/D98,"")</x:f>
        <x:v>0.03605375286791216</x:v>
      </x:c>
      <x:c r="F98" s="12" t="n">
        <x:v>55</x:v>
      </x:c>
      <x:c r="G98" s="12" t="n">
        <x:v>2478</x:v>
      </x:c>
      <x:c r="H98" s="13" t="n">
        <x:f>IF(G98&gt;0,F98/G98,"")</x:f>
        <x:v>0.022195318805488296</x:v>
      </x:c>
      <x:c r="I98" s="12" t="n">
        <x:v>1</x:v>
      </x:c>
      <x:c r="J98" s="12" t="n">
        <x:v>157</x:v>
      </x:c>
      <x:c r="K98" s="13" t="n">
        <x:f>IF(J98&gt;0,I98/J98,"")</x:f>
        <x:v>0.006369426751592357</x:v>
      </x:c>
      <x:c r="L98" s="12" t="n">
        <x:v>0</x:v>
      </x:c>
      <x:c r="M98" s="12" t="n">
        <x:v>0</x:v>
      </x:c>
      <x:c r="N98" s="13" t="str">
        <x:f>IF(M98&gt;0,L98/M98,"")</x:f>
      </x:c>
      <x:c r="O98" s="12" t="n">
        <x:f>SUM(C98,F98,I98,L98)</x:f>
        <x:v>276</x:v>
      </x:c>
      <x:c r="P98" s="12" t="n">
        <x:f>SUM(D98,G98,J98,M98)</x:f>
        <x:v>8737</x:v>
      </x:c>
      <x:c r="Q98" s="12" t="n">
        <x:v>276</x:v>
      </x:c>
      <x:c r="R98" s="12" t="n">
        <x:v>8737</x:v>
      </x:c>
      <x:c r="S98" s="12" t="n">
        <x:f>O98-Q98</x:f>
        <x:v>0</x:v>
      </x:c>
      <x:c r="T98" s="12" t="n">
        <x:f>P98-R98</x:f>
        <x:v>0</x:v>
      </x:c>
    </x:row>
    <x:row r="99" ht="22" customHeight="1">
      <x:c r="A99" s="4" t="str">
        <x:v>B0FFGKNZNN</x:v>
      </x:c>
      <x:c r="B99" s="4" t="str">
        <x:v>HYCHIKA</x:v>
      </x:c>
      <x:c r="C99" s="12" t="n">
        <x:v>154</x:v>
      </x:c>
      <x:c r="D99" s="12" t="n">
        <x:v>4332</x:v>
      </x:c>
      <x:c r="E99" s="13" t="n">
        <x:f>IF(D99&gt;0,C99/D99,"")</x:f>
        <x:v>0.035549399815327794</x:v>
      </x:c>
      <x:c r="F99" s="12" t="n">
        <x:v>57</x:v>
      </x:c>
      <x:c r="G99" s="12" t="n">
        <x:v>2103</x:v>
      </x:c>
      <x:c r="H99" s="13" t="n">
        <x:f>IF(G99&gt;0,F99/G99,"")</x:f>
        <x:v>0.02710413694721826</x:v>
      </x:c>
      <x:c r="I99" s="12" t="n">
        <x:v>40</x:v>
      </x:c>
      <x:c r="J99" s="12" t="n">
        <x:v>889</x:v>
      </x:c>
      <x:c r="K99" s="13" t="n">
        <x:f>IF(J99&gt;0,I99/J99,"")</x:f>
        <x:v>0.04499437570303712</x:v>
      </x:c>
      <x:c r="L99" s="12" t="n">
        <x:v>23</x:v>
      </x:c>
      <x:c r="M99" s="12" t="n">
        <x:v>1086</x:v>
      </x:c>
      <x:c r="N99" s="13" t="n">
        <x:f>IF(M99&gt;0,L99/M99,"")</x:f>
        <x:v>0.02117863720073665</x:v>
      </x:c>
      <x:c r="O99" s="12" t="n">
        <x:f>SUM(C99,F99,I99,L99)</x:f>
        <x:v>274</x:v>
      </x:c>
      <x:c r="P99" s="12" t="n">
        <x:f>SUM(D99,G99,J99,M99)</x:f>
        <x:v>8410</x:v>
      </x:c>
      <x:c r="Q99" s="12" t="n">
        <x:v>274</x:v>
      </x:c>
      <x:c r="R99" s="12" t="n">
        <x:v>8410</x:v>
      </x:c>
      <x:c r="S99" s="12" t="n">
        <x:f>O99-Q99</x:f>
        <x:v>0</x:v>
      </x:c>
      <x:c r="T99" s="12" t="n">
        <x:f>P99-R99</x:f>
        <x:v>0</x:v>
      </x:c>
    </x:row>
    <x:row r="100" ht="22" customHeight="1">
      <x:c r="A100" s="4" t="str">
        <x:v>B0FFGQXWGT</x:v>
      </x:c>
      <x:c r="B100" s="4" t="str">
        <x:v>HYCHIKA</x:v>
      </x:c>
      <x:c r="C100" s="12" t="n">
        <x:v>113</x:v>
      </x:c>
      <x:c r="D100" s="12" t="n">
        <x:v>4251</x:v>
      </x:c>
      <x:c r="E100" s="13" t="n">
        <x:f>IF(D100&gt;0,C100/D100,"")</x:f>
        <x:v>0.026581980710421078</x:v>
      </x:c>
      <x:c r="F100" s="12" t="n">
        <x:v>72</x:v>
      </x:c>
      <x:c r="G100" s="12" t="n">
        <x:v>1610</x:v>
      </x:c>
      <x:c r="H100" s="13" t="n">
        <x:f>IF(G100&gt;0,F100/G100,"")</x:f>
        <x:v>0.04472049689440994</x:v>
      </x:c>
      <x:c r="I100" s="12" t="n">
        <x:v>53</x:v>
      </x:c>
      <x:c r="J100" s="12" t="n">
        <x:v>1150</x:v>
      </x:c>
      <x:c r="K100" s="13" t="n">
        <x:f>IF(J100&gt;0,I100/J100,"")</x:f>
        <x:v>0.04608695652173913</x:v>
      </x:c>
      <x:c r="L100" s="12" t="n">
        <x:v>17</x:v>
      </x:c>
      <x:c r="M100" s="12" t="n">
        <x:v>472</x:v>
      </x:c>
      <x:c r="N100" s="13" t="n">
        <x:f>IF(M100&gt;0,L100/M100,"")</x:f>
        <x:v>0.036016949152542374</x:v>
      </x:c>
      <x:c r="O100" s="12" t="n">
        <x:f>SUM(C100,F100,I100,L100)</x:f>
        <x:v>255</x:v>
      </x:c>
      <x:c r="P100" s="12" t="n">
        <x:f>SUM(D100,G100,J100,M100)</x:f>
        <x:v>7483</x:v>
      </x:c>
      <x:c r="Q100" s="12" t="n">
        <x:v>255</x:v>
      </x:c>
      <x:c r="R100" s="12" t="n">
        <x:v>7483</x:v>
      </x:c>
      <x:c r="S100" s="12" t="n">
        <x:f>O100-Q100</x:f>
        <x:v>0</x:v>
      </x:c>
      <x:c r="T100" s="12" t="n">
        <x:f>P100-R100</x:f>
        <x:v>0</x:v>
      </x:c>
    </x:row>
    <x:row r="101" ht="22" customHeight="1">
      <x:c r="A101" s="4" t="str">
        <x:v>B08DHD3QQ2</x:v>
      </x:c>
      <x:c r="B101" s="4" t="str">
        <x:v>HYCHIKA</x:v>
      </x:c>
      <x:c r="C101" s="12" t="n">
        <x:v>223</x:v>
      </x:c>
      <x:c r="D101" s="12" t="n">
        <x:v>6680</x:v>
      </x:c>
      <x:c r="E101" s="13" t="n">
        <x:f>IF(D101&gt;0,C101/D101,"")</x:f>
        <x:v>0.03338323353293413</x:v>
      </x:c>
      <x:c r="F101" s="12" t="n">
        <x:v>12</x:v>
      </x:c>
      <x:c r="G101" s="12" t="n">
        <x:v>1518</x:v>
      </x:c>
      <x:c r="H101" s="13" t="n">
        <x:f>IF(G101&gt;0,F101/G101,"")</x:f>
        <x:v>0.007905138339920948</x:v>
      </x:c>
      <x:c r="I101" s="12" t="n">
        <x:v>0</x:v>
      </x:c>
      <x:c r="J101" s="12" t="n">
        <x:v>0</x:v>
      </x:c>
      <x:c r="K101" s="13" t="str">
        <x:f>IF(J101&gt;0,I101/J101,"")</x:f>
      </x:c>
      <x:c r="L101" s="12" t="n">
        <x:v>0</x:v>
      </x:c>
      <x:c r="M101" s="12" t="n">
        <x:v>0</x:v>
      </x:c>
      <x:c r="N101" s="13" t="str">
        <x:f>IF(M101&gt;0,L101/M101,"")</x:f>
      </x:c>
      <x:c r="O101" s="12" t="n">
        <x:f>SUM(C101,F101,I101,L101)</x:f>
        <x:v>235</x:v>
      </x:c>
      <x:c r="P101" s="12" t="n">
        <x:f>SUM(D101,G101,J101,M101)</x:f>
        <x:v>8198</x:v>
      </x:c>
      <x:c r="Q101" s="12" t="n">
        <x:v>235</x:v>
      </x:c>
      <x:c r="R101" s="12" t="n">
        <x:v>8198</x:v>
      </x:c>
      <x:c r="S101" s="12" t="n">
        <x:f>O101-Q101</x:f>
        <x:v>0</x:v>
      </x:c>
      <x:c r="T101" s="12" t="n">
        <x:f>P101-R101</x:f>
        <x:v>0</x:v>
      </x:c>
    </x:row>
    <x:row r="102" ht="22" customHeight="1">
      <x:c r="A102" s="4" t="str">
        <x:v>B0GH5M3TJJ</x:v>
      </x:c>
      <x:c r="B102" s="4" t="str">
        <x:v>HYCHIKA</x:v>
      </x:c>
      <x:c r="C102" s="12"/>
      <x:c r="D102" s="12"/>
      <x:c r="E102" s="13" t="str">
        <x:f>IF(D102&gt;0,C102/D102,"")</x:f>
      </x:c>
      <x:c r="F102" s="12" t="n">
        <x:v>0</x:v>
      </x:c>
      <x:c r="G102" s="12" t="n">
        <x:v>37</x:v>
      </x:c>
      <x:c r="H102" s="13" t="n">
        <x:f>IF(G102&gt;0,F102/G102,"")</x:f>
        <x:v>0</x:v>
      </x:c>
      <x:c r="I102" s="12" t="n">
        <x:v>119</x:v>
      </x:c>
      <x:c r="J102" s="12" t="n">
        <x:v>2111</x:v>
      </x:c>
      <x:c r="K102" s="13" t="n">
        <x:f>IF(J102&gt;0,I102/J102,"")</x:f>
        <x:v>0.056371387967787775</x:v>
      </x:c>
      <x:c r="L102" s="12" t="n">
        <x:v>67</x:v>
      </x:c>
      <x:c r="M102" s="12" t="n">
        <x:v>1406</x:v>
      </x:c>
      <x:c r="N102" s="13" t="n">
        <x:f>IF(M102&gt;0,L102/M102,"")</x:f>
        <x:v>0.0476529160739687</x:v>
      </x:c>
      <x:c r="O102" s="12" t="n">
        <x:f>SUM(C102,F102,I102,L102)</x:f>
        <x:v>186</x:v>
      </x:c>
      <x:c r="P102" s="12" t="n">
        <x:f>SUM(D102,G102,J102,M102)</x:f>
        <x:v>3554</x:v>
      </x:c>
      <x:c r="Q102" s="12" t="n">
        <x:v>186</x:v>
      </x:c>
      <x:c r="R102" s="12" t="n">
        <x:v>3554</x:v>
      </x:c>
      <x:c r="S102" s="12" t="n">
        <x:f>O102-Q102</x:f>
        <x:v>0</x:v>
      </x:c>
      <x:c r="T102" s="12" t="n">
        <x:f>P102-R102</x:f>
        <x:v>0</x:v>
      </x:c>
    </x:row>
    <x:row r="103" ht="22" customHeight="1">
      <x:c r="A103" s="4" t="str">
        <x:v>B0CQM5998Q</x:v>
      </x:c>
      <x:c r="B103" s="4" t="str">
        <x:v>HYCHIKA</x:v>
      </x:c>
      <x:c r="C103" s="12" t="n">
        <x:v>38</x:v>
      </x:c>
      <x:c r="D103" s="12" t="n">
        <x:v>418</x:v>
      </x:c>
      <x:c r="E103" s="13" t="n">
        <x:f>IF(D103&gt;0,C103/D103,"")</x:f>
        <x:v>0.09090909090909091</x:v>
      </x:c>
      <x:c r="F103" s="12" t="n">
        <x:v>69</x:v>
      </x:c>
      <x:c r="G103" s="12" t="n">
        <x:v>1177</x:v>
      </x:c>
      <x:c r="H103" s="13" t="n">
        <x:f>IF(G103&gt;0,F103/G103,"")</x:f>
        <x:v>0.05862361937128292</x:v>
      </x:c>
      <x:c r="I103" s="12" t="n">
        <x:v>44</x:v>
      </x:c>
      <x:c r="J103" s="12" t="n">
        <x:v>601</x:v>
      </x:c>
      <x:c r="K103" s="13" t="n">
        <x:f>IF(J103&gt;0,I103/J103,"")</x:f>
        <x:v>0.07321131447587355</x:v>
      </x:c>
      <x:c r="L103" s="12" t="n">
        <x:v>22</x:v>
      </x:c>
      <x:c r="M103" s="12" t="n">
        <x:v>273</x:v>
      </x:c>
      <x:c r="N103" s="13" t="n">
        <x:f>IF(M103&gt;0,L103/M103,"")</x:f>
        <x:v>0.08058608058608059</x:v>
      </x:c>
      <x:c r="O103" s="12" t="n">
        <x:f>SUM(C103,F103,I103,L103)</x:f>
        <x:v>173</x:v>
      </x:c>
      <x:c r="P103" s="12" t="n">
        <x:f>SUM(D103,G103,J103,M103)</x:f>
        <x:v>2469</x:v>
      </x:c>
      <x:c r="Q103" s="12" t="n">
        <x:v>173</x:v>
      </x:c>
      <x:c r="R103" s="12" t="n">
        <x:v>2469</x:v>
      </x:c>
      <x:c r="S103" s="12" t="n">
        <x:f>O103-Q103</x:f>
        <x:v>0</x:v>
      </x:c>
      <x:c r="T103" s="12" t="n">
        <x:f>P103-R103</x:f>
        <x:v>0</x:v>
      </x:c>
    </x:row>
    <x:row r="104" ht="22" customHeight="1">
      <x:c r="A104" s="4" t="str">
        <x:v>B09QM574ZF</x:v>
      </x:c>
      <x:c r="B104" s="4" t="str">
        <x:v>SORAKO</x:v>
      </x:c>
      <x:c r="C104" s="12" t="n">
        <x:v>169</x:v>
      </x:c>
      <x:c r="D104" s="12" t="n">
        <x:v>3484</x:v>
      </x:c>
      <x:c r="E104" s="13" t="n">
        <x:f>IF(D104&gt;0,C104/D104,"")</x:f>
        <x:v>0.048507462686567165</x:v>
      </x:c>
      <x:c r="F104" s="12" t="n">
        <x:v>0</x:v>
      </x:c>
      <x:c r="G104" s="12" t="n">
        <x:v>23</x:v>
      </x:c>
      <x:c r="H104" s="13" t="n">
        <x:f>IF(G104&gt;0,F104/G104,"")</x:f>
        <x:v>0</x:v>
      </x:c>
      <x:c r="I104" s="12" t="n">
        <x:v>0</x:v>
      </x:c>
      <x:c r="J104" s="12" t="n">
        <x:v>0</x:v>
      </x:c>
      <x:c r="K104" s="13" t="str">
        <x:f>IF(J104&gt;0,I104/J104,"")</x:f>
      </x:c>
      <x:c r="L104" s="12" t="n">
        <x:v>0</x:v>
      </x:c>
      <x:c r="M104" s="12" t="n">
        <x:v>8</x:v>
      </x:c>
      <x:c r="N104" s="13" t="n">
        <x:f>IF(M104&gt;0,L104/M104,"")</x:f>
        <x:v>0</x:v>
      </x:c>
      <x:c r="O104" s="12" t="n">
        <x:f>SUM(C104,F104,I104,L104)</x:f>
        <x:v>169</x:v>
      </x:c>
      <x:c r="P104" s="12" t="n">
        <x:f>SUM(D104,G104,J104,M104)</x:f>
        <x:v>3515</x:v>
      </x:c>
      <x:c r="Q104" s="12" t="n">
        <x:v>169</x:v>
      </x:c>
      <x:c r="R104" s="12" t="n">
        <x:v>3515</x:v>
      </x:c>
      <x:c r="S104" s="12" t="n">
        <x:f>O104-Q104</x:f>
        <x:v>0</x:v>
      </x:c>
      <x:c r="T104" s="12" t="n">
        <x:f>P104-R104</x:f>
        <x:v>0</x:v>
      </x:c>
    </x:row>
    <x:row r="105" ht="22" customHeight="1">
      <x:c r="A105" s="4" t="str">
        <x:v>B0D2XGDZGF</x:v>
      </x:c>
      <x:c r="B105" s="4" t="str">
        <x:v>HYCHIKA</x:v>
      </x:c>
      <x:c r="C105" s="12" t="n">
        <x:v>19</x:v>
      </x:c>
      <x:c r="D105" s="12" t="n">
        <x:v>1717</x:v>
      </x:c>
      <x:c r="E105" s="13" t="n">
        <x:f>IF(D105&gt;0,C105/D105,"")</x:f>
        <x:v>0.0110658124635993</x:v>
      </x:c>
      <x:c r="F105" s="12" t="n">
        <x:v>6</x:v>
      </x:c>
      <x:c r="G105" s="12" t="n">
        <x:v>585</x:v>
      </x:c>
      <x:c r="H105" s="13" t="n">
        <x:f>IF(G105&gt;0,F105/G105,"")</x:f>
        <x:v>0.010256410256410256</x:v>
      </x:c>
      <x:c r="I105" s="12" t="n">
        <x:v>76</x:v>
      </x:c>
      <x:c r="J105" s="12" t="n">
        <x:v>3194</x:v>
      </x:c>
      <x:c r="K105" s="13" t="n">
        <x:f>IF(J105&gt;0,I105/J105,"")</x:f>
        <x:v>0.023794614902943018</x:v>
      </x:c>
      <x:c r="L105" s="12" t="n">
        <x:v>47</x:v>
      </x:c>
      <x:c r="M105" s="12" t="n">
        <x:v>1965</x:v>
      </x:c>
      <x:c r="N105" s="13" t="n">
        <x:f>IF(M105&gt;0,L105/M105,"")</x:f>
        <x:v>0.02391857506361323</x:v>
      </x:c>
      <x:c r="O105" s="12" t="n">
        <x:f>SUM(C105,F105,I105,L105)</x:f>
        <x:v>148</x:v>
      </x:c>
      <x:c r="P105" s="12" t="n">
        <x:f>SUM(D105,G105,J105,M105)</x:f>
        <x:v>7461</x:v>
      </x:c>
      <x:c r="Q105" s="12" t="n">
        <x:v>148</x:v>
      </x:c>
      <x:c r="R105" s="12" t="n">
        <x:v>7461</x:v>
      </x:c>
      <x:c r="S105" s="12" t="n">
        <x:f>O105-Q105</x:f>
        <x:v>0</x:v>
      </x:c>
      <x:c r="T105" s="12" t="n">
        <x:f>P105-R105</x:f>
        <x:v>0</x:v>
      </x:c>
    </x:row>
    <x:row r="106" ht="22" customHeight="1">
      <x:c r="A106" s="4" t="str">
        <x:v>B0DBZCKXT4</x:v>
      </x:c>
      <x:c r="B106" s="4" t="str">
        <x:v>HYCHIKA</x:v>
      </x:c>
      <x:c r="C106" s="12" t="n">
        <x:v>69</x:v>
      </x:c>
      <x:c r="D106" s="12" t="n">
        <x:v>2334</x:v>
      </x:c>
      <x:c r="E106" s="13" t="n">
        <x:f>IF(D106&gt;0,C106/D106,"")</x:f>
        <x:v>0.02956298200514139</x:v>
      </x:c>
      <x:c r="F106" s="12" t="n">
        <x:v>49</x:v>
      </x:c>
      <x:c r="G106" s="12" t="n">
        <x:v>1726</x:v>
      </x:c>
      <x:c r="H106" s="13" t="n">
        <x:f>IF(G106&gt;0,F106/G106,"")</x:f>
        <x:v>0.028389339513325607</x:v>
      </x:c>
      <x:c r="I106" s="12" t="n">
        <x:v>23</x:v>
      </x:c>
      <x:c r="J106" s="12" t="n">
        <x:v>880</x:v>
      </x:c>
      <x:c r="K106" s="13" t="n">
        <x:f>IF(J106&gt;0,I106/J106,"")</x:f>
        <x:v>0.026136363636363635</x:v>
      </x:c>
      <x:c r="L106" s="12" t="n">
        <x:v>4</x:v>
      </x:c>
      <x:c r="M106" s="12" t="n">
        <x:v>507</x:v>
      </x:c>
      <x:c r="N106" s="13" t="n">
        <x:f>IF(M106&gt;0,L106/M106,"")</x:f>
        <x:v>0.007889546351084813</x:v>
      </x:c>
      <x:c r="O106" s="12" t="n">
        <x:f>SUM(C106,F106,I106,L106)</x:f>
        <x:v>145</x:v>
      </x:c>
      <x:c r="P106" s="12" t="n">
        <x:f>SUM(D106,G106,J106,M106)</x:f>
        <x:v>5447</x:v>
      </x:c>
      <x:c r="Q106" s="12" t="n">
        <x:v>145</x:v>
      </x:c>
      <x:c r="R106" s="12" t="n">
        <x:v>5447</x:v>
      </x:c>
      <x:c r="S106" s="12" t="n">
        <x:f>O106-Q106</x:f>
        <x:v>0</x:v>
      </x:c>
      <x:c r="T106" s="12" t="n">
        <x:f>P106-R106</x:f>
        <x:v>0</x:v>
      </x:c>
    </x:row>
    <x:row r="107" ht="22" customHeight="1">
      <x:c r="A107" s="4" t="str">
        <x:v>B0CRDRN642</x:v>
      </x:c>
      <x:c r="B107" s="4" t="str">
        <x:v>HYCHIKA</x:v>
      </x:c>
      <x:c r="C107" s="12" t="n">
        <x:v>29</x:v>
      </x:c>
      <x:c r="D107" s="12" t="n">
        <x:v>454</x:v>
      </x:c>
      <x:c r="E107" s="13" t="n">
        <x:f>IF(D107&gt;0,C107/D107,"")</x:f>
        <x:v>0.06387665198237885</x:v>
      </x:c>
      <x:c r="F107" s="12" t="n">
        <x:v>31</x:v>
      </x:c>
      <x:c r="G107" s="12" t="n">
        <x:v>645</x:v>
      </x:c>
      <x:c r="H107" s="13" t="n">
        <x:f>IF(G107&gt;0,F107/G107,"")</x:f>
        <x:v>0.04806201550387597</x:v>
      </x:c>
      <x:c r="I107" s="12" t="n">
        <x:v>51</x:v>
      </x:c>
      <x:c r="J107" s="12" t="n">
        <x:v>810</x:v>
      </x:c>
      <x:c r="K107" s="13" t="n">
        <x:f>IF(J107&gt;0,I107/J107,"")</x:f>
        <x:v>0.06296296296296296</x:v>
      </x:c>
      <x:c r="L107" s="12" t="n">
        <x:v>27</x:v>
      </x:c>
      <x:c r="M107" s="12" t="n">
        <x:v>259</x:v>
      </x:c>
      <x:c r="N107" s="13" t="n">
        <x:f>IF(M107&gt;0,L107/M107,"")</x:f>
        <x:v>0.10424710424710425</x:v>
      </x:c>
      <x:c r="O107" s="12" t="n">
        <x:f>SUM(C107,F107,I107,L107)</x:f>
        <x:v>138</x:v>
      </x:c>
      <x:c r="P107" s="12" t="n">
        <x:f>SUM(D107,G107,J107,M107)</x:f>
        <x:v>2168</x:v>
      </x:c>
      <x:c r="Q107" s="12" t="n">
        <x:v>138</x:v>
      </x:c>
      <x:c r="R107" s="12" t="n">
        <x:v>2168</x:v>
      </x:c>
      <x:c r="S107" s="12" t="n">
        <x:f>O107-Q107</x:f>
        <x:v>0</x:v>
      </x:c>
      <x:c r="T107" s="12" t="n">
        <x:f>P107-R107</x:f>
        <x:v>0</x:v>
      </x:c>
    </x:row>
    <x:row r="108" ht="22" customHeight="1">
      <x:c r="A108" s="4" t="str">
        <x:v>B0DBZCG7RS</x:v>
      </x:c>
      <x:c r="B108" s="4" t="str">
        <x:v>HYCHIKA</x:v>
      </x:c>
      <x:c r="C108" s="12" t="n">
        <x:v>28</x:v>
      </x:c>
      <x:c r="D108" s="12" t="n">
        <x:v>1154</x:v>
      </x:c>
      <x:c r="E108" s="13" t="n">
        <x:f>IF(D108&gt;0,C108/D108,"")</x:f>
        <x:v>0.024263431542461005</x:v>
      </x:c>
      <x:c r="F108" s="12" t="n">
        <x:v>36</x:v>
      </x:c>
      <x:c r="G108" s="12" t="n">
        <x:v>1700</x:v>
      </x:c>
      <x:c r="H108" s="13" t="n">
        <x:f>IF(G108&gt;0,F108/G108,"")</x:f>
        <x:v>0.021176470588235293</x:v>
      </x:c>
      <x:c r="I108" s="12" t="n">
        <x:v>47</x:v>
      </x:c>
      <x:c r="J108" s="12" t="n">
        <x:v>1419</x:v>
      </x:c>
      <x:c r="K108" s="13" t="n">
        <x:f>IF(J108&gt;0,I108/J108,"")</x:f>
        <x:v>0.03312191684284708</x:v>
      </x:c>
      <x:c r="L108" s="12" t="n">
        <x:v>24</x:v>
      </x:c>
      <x:c r="M108" s="12" t="n">
        <x:v>1080</x:v>
      </x:c>
      <x:c r="N108" s="13" t="n">
        <x:f>IF(M108&gt;0,L108/M108,"")</x:f>
        <x:v>0.022222222222222223</x:v>
      </x:c>
      <x:c r="O108" s="12" t="n">
        <x:f>SUM(C108,F108,I108,L108)</x:f>
        <x:v>135</x:v>
      </x:c>
      <x:c r="P108" s="12" t="n">
        <x:f>SUM(D108,G108,J108,M108)</x:f>
        <x:v>5353</x:v>
      </x:c>
      <x:c r="Q108" s="12" t="n">
        <x:v>135</x:v>
      </x:c>
      <x:c r="R108" s="12" t="n">
        <x:v>5353</x:v>
      </x:c>
      <x:c r="S108" s="12" t="n">
        <x:f>O108-Q108</x:f>
        <x:v>0</x:v>
      </x:c>
      <x:c r="T108" s="12" t="n">
        <x:f>P108-R108</x:f>
        <x:v>0</x:v>
      </x:c>
    </x:row>
    <x:row r="109" ht="22" customHeight="1">
      <x:c r="A109" s="4" t="str">
        <x:v>B0DCBYPL2X</x:v>
      </x:c>
      <x:c r="B109" s="4" t="str">
        <x:v>HYCHIKA</x:v>
      </x:c>
      <x:c r="C109" s="12" t="n">
        <x:v>1</x:v>
      </x:c>
      <x:c r="D109" s="12" t="n">
        <x:v>248</x:v>
      </x:c>
      <x:c r="E109" s="13" t="n">
        <x:f>IF(D109&gt;0,C109/D109,"")</x:f>
        <x:v>0.004032258064516129</x:v>
      </x:c>
      <x:c r="F109" s="12" t="n">
        <x:v>13</x:v>
      </x:c>
      <x:c r="G109" s="12" t="n">
        <x:v>516</x:v>
      </x:c>
      <x:c r="H109" s="13" t="n">
        <x:f>IF(G109&gt;0,F109/G109,"")</x:f>
        <x:v>0.025193798449612403</x:v>
      </x:c>
      <x:c r="I109" s="12" t="n">
        <x:v>76</x:v>
      </x:c>
      <x:c r="J109" s="12" t="n">
        <x:v>2631</x:v>
      </x:c>
      <x:c r="K109" s="13" t="n">
        <x:f>IF(J109&gt;0,I109/J109,"")</x:f>
        <x:v>0.02888635499809958</x:v>
      </x:c>
      <x:c r="L109" s="12" t="n">
        <x:v>37</x:v>
      </x:c>
      <x:c r="M109" s="12" t="n">
        <x:v>1022</x:v>
      </x:c>
      <x:c r="N109" s="13" t="n">
        <x:f>IF(M109&gt;0,L109/M109,"")</x:f>
        <x:v>0.036203522504892366</x:v>
      </x:c>
      <x:c r="O109" s="12" t="n">
        <x:f>SUM(C109,F109,I109,L109)</x:f>
        <x:v>127</x:v>
      </x:c>
      <x:c r="P109" s="12" t="n">
        <x:f>SUM(D109,G109,J109,M109)</x:f>
        <x:v>4417</x:v>
      </x:c>
      <x:c r="Q109" s="12" t="n">
        <x:v>127</x:v>
      </x:c>
      <x:c r="R109" s="12" t="n">
        <x:v>4417</x:v>
      </x:c>
      <x:c r="S109" s="12" t="n">
        <x:f>O109-Q109</x:f>
        <x:v>0</x:v>
      </x:c>
      <x:c r="T109" s="12" t="n">
        <x:f>P109-R109</x:f>
        <x:v>0</x:v>
      </x:c>
    </x:row>
    <x:row r="110" ht="22" customHeight="1">
      <x:c r="A110" s="4" t="str">
        <x:v>B0BRCXLNGS</x:v>
      </x:c>
      <x:c r="B110" s="4" t="str">
        <x:v>HYCHIKA</x:v>
      </x:c>
      <x:c r="C110" s="12" t="n">
        <x:v>12</x:v>
      </x:c>
      <x:c r="D110" s="12" t="n">
        <x:v>135</x:v>
      </x:c>
      <x:c r="E110" s="13" t="n">
        <x:f>IF(D110&gt;0,C110/D110,"")</x:f>
        <x:v>0.08888888888888889</x:v>
      </x:c>
      <x:c r="F110" s="12" t="n">
        <x:v>27</x:v>
      </x:c>
      <x:c r="G110" s="12" t="n">
        <x:v>523</x:v>
      </x:c>
      <x:c r="H110" s="13" t="n">
        <x:f>IF(G110&gt;0,F110/G110,"")</x:f>
        <x:v>0.05162523900573614</x:v>
      </x:c>
      <x:c r="I110" s="12" t="n">
        <x:v>68</x:v>
      </x:c>
      <x:c r="J110" s="12" t="n">
        <x:v>689</x:v>
      </x:c>
      <x:c r="K110" s="13" t="n">
        <x:f>IF(J110&gt;0,I110/J110,"")</x:f>
        <x:v>0.09869375907111756</x:v>
      </x:c>
      <x:c r="L110" s="12" t="n">
        <x:v>19</x:v>
      </x:c>
      <x:c r="M110" s="12" t="n">
        <x:v>283</x:v>
      </x:c>
      <x:c r="N110" s="13" t="n">
        <x:f>IF(M110&gt;0,L110/M110,"")</x:f>
        <x:v>0.06713780918727916</x:v>
      </x:c>
      <x:c r="O110" s="12" t="n">
        <x:f>SUM(C110,F110,I110,L110)</x:f>
        <x:v>126</x:v>
      </x:c>
      <x:c r="P110" s="12" t="n">
        <x:f>SUM(D110,G110,J110,M110)</x:f>
        <x:v>1630</x:v>
      </x:c>
      <x:c r="Q110" s="12" t="n">
        <x:v>126</x:v>
      </x:c>
      <x:c r="R110" s="12" t="n">
        <x:v>1630</x:v>
      </x:c>
      <x:c r="S110" s="12" t="n">
        <x:f>O110-Q110</x:f>
        <x:v>0</x:v>
      </x:c>
      <x:c r="T110" s="12" t="n">
        <x:f>P110-R110</x:f>
        <x:v>0</x:v>
      </x:c>
    </x:row>
    <x:row r="111" ht="22" customHeight="1">
      <x:c r="A111" s="4" t="str">
        <x:v>B0DFPKMC6C</x:v>
      </x:c>
      <x:c r="B111" s="4" t="str">
        <x:v>HYCHIKA</x:v>
      </x:c>
      <x:c r="C111" s="12" t="n">
        <x:v>12</x:v>
      </x:c>
      <x:c r="D111" s="12" t="n">
        <x:v>842</x:v>
      </x:c>
      <x:c r="E111" s="13" t="n">
        <x:f>IF(D111&gt;0,C111/D111,"")</x:f>
        <x:v>0.014251781472684086</x:v>
      </x:c>
      <x:c r="F111" s="12" t="n">
        <x:v>51</x:v>
      </x:c>
      <x:c r="G111" s="12" t="n">
        <x:v>1226</x:v>
      </x:c>
      <x:c r="H111" s="13" t="n">
        <x:f>IF(G111&gt;0,F111/G111,"")</x:f>
        <x:v>0.041598694942903754</x:v>
      </x:c>
      <x:c r="I111" s="12" t="n">
        <x:v>31</x:v>
      </x:c>
      <x:c r="J111" s="12" t="n">
        <x:v>906</x:v>
      </x:c>
      <x:c r="K111" s="13" t="n">
        <x:f>IF(J111&gt;0,I111/J111,"")</x:f>
        <x:v>0.03421633554083885</x:v>
      </x:c>
      <x:c r="L111" s="12" t="n">
        <x:v>17</x:v>
      </x:c>
      <x:c r="M111" s="12" t="n">
        <x:v>708</x:v>
      </x:c>
      <x:c r="N111" s="13" t="n">
        <x:f>IF(M111&gt;0,L111/M111,"")</x:f>
        <x:v>0.02401129943502825</x:v>
      </x:c>
      <x:c r="O111" s="12" t="n">
        <x:f>SUM(C111,F111,I111,L111)</x:f>
        <x:v>111</x:v>
      </x:c>
      <x:c r="P111" s="12" t="n">
        <x:f>SUM(D111,G111,J111,M111)</x:f>
        <x:v>3682</x:v>
      </x:c>
      <x:c r="Q111" s="12" t="n">
        <x:v>111</x:v>
      </x:c>
      <x:c r="R111" s="12" t="n">
        <x:v>3682</x:v>
      </x:c>
      <x:c r="S111" s="12" t="n">
        <x:f>O111-Q111</x:f>
        <x:v>0</x:v>
      </x:c>
      <x:c r="T111" s="12" t="n">
        <x:f>P111-R111</x:f>
        <x:v>0</x:v>
      </x:c>
    </x:row>
    <x:row r="112" ht="22" customHeight="1">
      <x:c r="A112" s="4" t="str">
        <x:v>B0DCNPZW4K</x:v>
      </x:c>
      <x:c r="B112" s="4" t="str">
        <x:v>HYCHIKA</x:v>
      </x:c>
      <x:c r="C112" s="12" t="n">
        <x:v>3</x:v>
      </x:c>
      <x:c r="D112" s="12" t="n">
        <x:v>371</x:v>
      </x:c>
      <x:c r="E112" s="13" t="n">
        <x:f>IF(D112&gt;0,C112/D112,"")</x:f>
        <x:v>0.008086253369272238</x:v>
      </x:c>
      <x:c r="F112" s="12" t="n">
        <x:v>35</x:v>
      </x:c>
      <x:c r="G112" s="12" t="n">
        <x:v>2235</x:v>
      </x:c>
      <x:c r="H112" s="13" t="n">
        <x:f>IF(G112&gt;0,F112/G112,"")</x:f>
        <x:v>0.015659955257270694</x:v>
      </x:c>
      <x:c r="I112" s="12" t="n">
        <x:v>35</x:v>
      </x:c>
      <x:c r="J112" s="12" t="n">
        <x:v>2690</x:v>
      </x:c>
      <x:c r="K112" s="13" t="n">
        <x:f>IF(J112&gt;0,I112/J112,"")</x:f>
        <x:v>0.013011152416356878</x:v>
      </x:c>
      <x:c r="L112" s="12" t="n">
        <x:v>25</x:v>
      </x:c>
      <x:c r="M112" s="12" t="n">
        <x:v>1951</x:v>
      </x:c>
      <x:c r="N112" s="13" t="n">
        <x:f>IF(M112&gt;0,L112/M112,"")</x:f>
        <x:v>0.012813941568426449</x:v>
      </x:c>
      <x:c r="O112" s="12" t="n">
        <x:f>SUM(C112,F112,I112,L112)</x:f>
        <x:v>98</x:v>
      </x:c>
      <x:c r="P112" s="12" t="n">
        <x:f>SUM(D112,G112,J112,M112)</x:f>
        <x:v>7247</x:v>
      </x:c>
      <x:c r="Q112" s="12" t="n">
        <x:v>98</x:v>
      </x:c>
      <x:c r="R112" s="12" t="n">
        <x:v>7247</x:v>
      </x:c>
      <x:c r="S112" s="12" t="n">
        <x:f>O112-Q112</x:f>
        <x:v>0</x:v>
      </x:c>
      <x:c r="T112" s="12" t="n">
        <x:f>P112-R112</x:f>
        <x:v>0</x:v>
      </x:c>
    </x:row>
    <x:row r="113" ht="22" customHeight="1">
      <x:c r="A113" s="4" t="str">
        <x:v>B0CGR1Q6BJ</x:v>
      </x:c>
      <x:c r="B113" s="4" t="str">
        <x:v>SORAKO</x:v>
      </x:c>
      <x:c r="C113" s="12" t="n">
        <x:v>29</x:v>
      </x:c>
      <x:c r="D113" s="12" t="n">
        <x:v>310</x:v>
      </x:c>
      <x:c r="E113" s="13" t="n">
        <x:f>IF(D113&gt;0,C113/D113,"")</x:f>
        <x:v>0.0935483870967742</x:v>
      </x:c>
      <x:c r="F113" s="12" t="n">
        <x:v>14</x:v>
      </x:c>
      <x:c r="G113" s="12" t="n">
        <x:v>308</x:v>
      </x:c>
      <x:c r="H113" s="13" t="n">
        <x:f>IF(G113&gt;0,F113/G113,"")</x:f>
        <x:v>0.045454545454545456</x:v>
      </x:c>
      <x:c r="I113" s="12" t="n">
        <x:v>29</x:v>
      </x:c>
      <x:c r="J113" s="12" t="n">
        <x:v>361</x:v>
      </x:c>
      <x:c r="K113" s="13" t="n">
        <x:f>IF(J113&gt;0,I113/J113,"")</x:f>
        <x:v>0.08033240997229917</x:v>
      </x:c>
      <x:c r="L113" s="12" t="n">
        <x:v>18</x:v>
      </x:c>
      <x:c r="M113" s="12" t="n">
        <x:v>202</x:v>
      </x:c>
      <x:c r="N113" s="13" t="n">
        <x:f>IF(M113&gt;0,L113/M113,"")</x:f>
        <x:v>0.0891089108910891</x:v>
      </x:c>
      <x:c r="O113" s="12" t="n">
        <x:f>SUM(C113,F113,I113,L113)</x:f>
        <x:v>90</x:v>
      </x:c>
      <x:c r="P113" s="12" t="n">
        <x:f>SUM(D113,G113,J113,M113)</x:f>
        <x:v>1181</x:v>
      </x:c>
      <x:c r="Q113" s="12" t="n">
        <x:v>90</x:v>
      </x:c>
      <x:c r="R113" s="12" t="n">
        <x:v>1181</x:v>
      </x:c>
      <x:c r="S113" s="12" t="n">
        <x:f>O113-Q113</x:f>
        <x:v>0</x:v>
      </x:c>
      <x:c r="T113" s="12" t="n">
        <x:f>P113-R113</x:f>
        <x:v>0</x:v>
      </x:c>
    </x:row>
    <x:row r="114" ht="22" customHeight="1">
      <x:c r="A114" s="4" t="str">
        <x:v>B0BZPLBTM8</x:v>
      </x:c>
      <x:c r="B114" s="4" t="str">
        <x:v>SORAKO</x:v>
      </x:c>
      <x:c r="C114" s="12" t="n">
        <x:v>48</x:v>
      </x:c>
      <x:c r="D114" s="12" t="n">
        <x:v>925</x:v>
      </x:c>
      <x:c r="E114" s="13" t="n">
        <x:f>IF(D114&gt;0,C114/D114,"")</x:f>
        <x:v>0.05189189189189189</x:v>
      </x:c>
      <x:c r="F114" s="12" t="n">
        <x:v>8</x:v>
      </x:c>
      <x:c r="G114" s="12" t="n">
        <x:v>432</x:v>
      </x:c>
      <x:c r="H114" s="13" t="n">
        <x:f>IF(G114&gt;0,F114/G114,"")</x:f>
        <x:v>0.018518518518518517</x:v>
      </x:c>
      <x:c r="I114" s="12" t="n">
        <x:v>17</x:v>
      </x:c>
      <x:c r="J114" s="12" t="n">
        <x:v>1119</x:v>
      </x:c>
      <x:c r="K114" s="13" t="n">
        <x:f>IF(J114&gt;0,I114/J114,"")</x:f>
        <x:v>0.01519213583556747</x:v>
      </x:c>
      <x:c r="L114" s="12" t="n">
        <x:v>0</x:v>
      </x:c>
      <x:c r="M114" s="12" t="n">
        <x:v>226</x:v>
      </x:c>
      <x:c r="N114" s="13" t="n">
        <x:f>IF(M114&gt;0,L114/M114,"")</x:f>
        <x:v>0</x:v>
      </x:c>
      <x:c r="O114" s="12" t="n">
        <x:f>SUM(C114,F114,I114,L114)</x:f>
        <x:v>73</x:v>
      </x:c>
      <x:c r="P114" s="12" t="n">
        <x:f>SUM(D114,G114,J114,M114)</x:f>
        <x:v>2702</x:v>
      </x:c>
      <x:c r="Q114" s="12" t="n">
        <x:v>73</x:v>
      </x:c>
      <x:c r="R114" s="12" t="n">
        <x:v>2702</x:v>
      </x:c>
      <x:c r="S114" s="12" t="n">
        <x:f>O114-Q114</x:f>
        <x:v>0</x:v>
      </x:c>
      <x:c r="T114" s="12" t="n">
        <x:f>P114-R114</x:f>
        <x:v>0</x:v>
      </x:c>
    </x:row>
    <x:row r="115" ht="22" customHeight="1">
      <x:c r="A115" s="4" t="str">
        <x:v>B0DL2T638V</x:v>
      </x:c>
      <x:c r="B115" s="4" t="str">
        <x:v>HYCHIKA</x:v>
      </x:c>
      <x:c r="C115" s="12" t="n">
        <x:v>16</x:v>
      </x:c>
      <x:c r="D115" s="12" t="n">
        <x:v>5192</x:v>
      </x:c>
      <x:c r="E115" s="13" t="n">
        <x:f>IF(D115&gt;0,C115/D115,"")</x:f>
        <x:v>0.0030816640986132513</x:v>
      </x:c>
      <x:c r="F115" s="12" t="n">
        <x:v>28</x:v>
      </x:c>
      <x:c r="G115" s="12" t="n">
        <x:v>4399</x:v>
      </x:c>
      <x:c r="H115" s="13" t="n">
        <x:f>IF(G115&gt;0,F115/G115,"")</x:f>
        <x:v>0.006365082973403046</x:v>
      </x:c>
      <x:c r="I115" s="12" t="n">
        <x:v>10</x:v>
      </x:c>
      <x:c r="J115" s="12" t="n">
        <x:v>1543</x:v>
      </x:c>
      <x:c r="K115" s="13" t="n">
        <x:f>IF(J115&gt;0,I115/J115,"")</x:f>
        <x:v>0.0064808813998703824</x:v>
      </x:c>
      <x:c r="L115" s="12" t="n">
        <x:v>9</x:v>
      </x:c>
      <x:c r="M115" s="12" t="n">
        <x:v>1469</x:v>
      </x:c>
      <x:c r="N115" s="13" t="n">
        <x:f>IF(M115&gt;0,L115/M115,"")</x:f>
        <x:v>0.006126616746085773</x:v>
      </x:c>
      <x:c r="O115" s="12" t="n">
        <x:f>SUM(C115,F115,I115,L115)</x:f>
        <x:v>63</x:v>
      </x:c>
      <x:c r="P115" s="12" t="n">
        <x:f>SUM(D115,G115,J115,M115)</x:f>
        <x:v>12603</x:v>
      </x:c>
      <x:c r="Q115" s="12" t="n">
        <x:v>63</x:v>
      </x:c>
      <x:c r="R115" s="12" t="n">
        <x:v>12603</x:v>
      </x:c>
      <x:c r="S115" s="12" t="n">
        <x:f>O115-Q115</x:f>
        <x:v>0</x:v>
      </x:c>
      <x:c r="T115" s="12" t="n">
        <x:f>P115-R115</x:f>
        <x:v>0</x:v>
      </x:c>
    </x:row>
    <x:row r="116" ht="22" customHeight="1">
      <x:c r="A116" s="4" t="str">
        <x:v>B0GDXLN9C3</x:v>
      </x:c>
      <x:c r="B116" s="4" t="str">
        <x:v>HYCHIKA</x:v>
      </x:c>
      <x:c r="C116" s="12"/>
      <x:c r="D116" s="12"/>
      <x:c r="E116" s="13" t="str">
        <x:f>IF(D116&gt;0,C116/D116,"")</x:f>
      </x:c>
      <x:c r="F116" s="12" t="n">
        <x:v>21</x:v>
      </x:c>
      <x:c r="G116" s="12" t="n">
        <x:v>1632</x:v>
      </x:c>
      <x:c r="H116" s="13" t="n">
        <x:f>IF(G116&gt;0,F116/G116,"")</x:f>
        <x:v>0.012867647058823529</x:v>
      </x:c>
      <x:c r="I116" s="12" t="n">
        <x:v>9</x:v>
      </x:c>
      <x:c r="J116" s="12" t="n">
        <x:v>1221</x:v>
      </x:c>
      <x:c r="K116" s="13" t="n">
        <x:f>IF(J116&gt;0,I116/J116,"")</x:f>
        <x:v>0.007371007371007371</x:v>
      </x:c>
      <x:c r="L116" s="12" t="n">
        <x:v>17</x:v>
      </x:c>
      <x:c r="M116" s="12" t="n">
        <x:v>1509</x:v>
      </x:c>
      <x:c r="N116" s="13" t="n">
        <x:f>IF(M116&gt;0,L116/M116,"")</x:f>
        <x:v>0.01126573889993373</x:v>
      </x:c>
      <x:c r="O116" s="12" t="n">
        <x:f>SUM(C116,F116,I116,L116)</x:f>
        <x:v>47</x:v>
      </x:c>
      <x:c r="P116" s="12" t="n">
        <x:f>SUM(D116,G116,J116,M116)</x:f>
        <x:v>4362</x:v>
      </x:c>
      <x:c r="Q116" s="12" t="n">
        <x:v>47</x:v>
      </x:c>
      <x:c r="R116" s="12" t="n">
        <x:v>4362</x:v>
      </x:c>
      <x:c r="S116" s="12" t="n">
        <x:f>O116-Q116</x:f>
        <x:v>0</x:v>
      </x:c>
      <x:c r="T116" s="12" t="n">
        <x:f>P116-R116</x:f>
        <x:v>0</x:v>
      </x:c>
    </x:row>
    <x:row r="117" ht="22" customHeight="1">
      <x:c r="A117" s="4" t="str">
        <x:v>B0GXJMMG49</x:v>
      </x:c>
      <x:c r="B117" s="4" t="str">
        <x:v>HYCHIKA</x:v>
      </x:c>
      <x:c r="C117" s="12"/>
      <x:c r="D117" s="12"/>
      <x:c r="E117" s="13" t="str">
        <x:f>IF(D117&gt;0,C117/D117,"")</x:f>
      </x:c>
      <x:c r="F117" s="12"/>
      <x:c r="G117" s="12"/>
      <x:c r="H117" s="13" t="str">
        <x:f>IF(G117&gt;0,F117/G117,"")</x:f>
      </x:c>
      <x:c r="I117" s="12" t="n">
        <x:v>0</x:v>
      </x:c>
      <x:c r="J117" s="12" t="n">
        <x:v>0</x:v>
      </x:c>
      <x:c r="K117" s="13" t="str">
        <x:f>IF(J117&gt;0,I117/J117,"")</x:f>
      </x:c>
      <x:c r="L117" s="12" t="n">
        <x:v>44</x:v>
      </x:c>
      <x:c r="M117" s="12" t="n">
        <x:v>1863</x:v>
      </x:c>
      <x:c r="N117" s="13" t="n">
        <x:f>IF(M117&gt;0,L117/M117,"")</x:f>
        <x:v>0.023617820719269995</x:v>
      </x:c>
      <x:c r="O117" s="12" t="n">
        <x:f>SUM(C117,F117,I117,L117)</x:f>
        <x:v>44</x:v>
      </x:c>
      <x:c r="P117" s="12" t="n">
        <x:f>SUM(D117,G117,J117,M117)</x:f>
        <x:v>1863</x:v>
      </x:c>
      <x:c r="Q117" s="12" t="n">
        <x:v>44</x:v>
      </x:c>
      <x:c r="R117" s="12" t="n">
        <x:v>1863</x:v>
      </x:c>
      <x:c r="S117" s="12" t="n">
        <x:f>O117-Q117</x:f>
        <x:v>0</x:v>
      </x:c>
      <x:c r="T117" s="12" t="n">
        <x:f>P117-R117</x:f>
        <x:v>0</x:v>
      </x:c>
    </x:row>
    <x:row r="118" ht="22" customHeight="1">
      <x:c r="A118" s="4" t="str">
        <x:v>B08H1YBG3P</x:v>
      </x:c>
      <x:c r="B118" s="4" t="str">
        <x:v>SORAKO</x:v>
      </x:c>
      <x:c r="C118" s="12" t="n">
        <x:v>13</x:v>
      </x:c>
      <x:c r="D118" s="12" t="n">
        <x:v>564</x:v>
      </x:c>
      <x:c r="E118" s="13" t="n">
        <x:f>IF(D118&gt;0,C118/D118,"")</x:f>
        <x:v>0.02304964539007092</x:v>
      </x:c>
      <x:c r="F118" s="12" t="n">
        <x:v>10</x:v>
      </x:c>
      <x:c r="G118" s="12" t="n">
        <x:v>401</x:v>
      </x:c>
      <x:c r="H118" s="13" t="n">
        <x:f>IF(G118&gt;0,F118/G118,"")</x:f>
        <x:v>0.02493765586034913</x:v>
      </x:c>
      <x:c r="I118" s="12" t="n">
        <x:v>13</x:v>
      </x:c>
      <x:c r="J118" s="12" t="n">
        <x:v>316</x:v>
      </x:c>
      <x:c r="K118" s="13" t="n">
        <x:f>IF(J118&gt;0,I118/J118,"")</x:f>
        <x:v>0.04113924050632911</x:v>
      </x:c>
      <x:c r="L118" s="12" t="n">
        <x:v>2</x:v>
      </x:c>
      <x:c r="M118" s="12" t="n">
        <x:v>238</x:v>
      </x:c>
      <x:c r="N118" s="13" t="n">
        <x:f>IF(M118&gt;0,L118/M118,"")</x:f>
        <x:v>0.008403361344537815</x:v>
      </x:c>
      <x:c r="O118" s="12" t="n">
        <x:f>SUM(C118,F118,I118,L118)</x:f>
        <x:v>38</x:v>
      </x:c>
      <x:c r="P118" s="12" t="n">
        <x:f>SUM(D118,G118,J118,M118)</x:f>
        <x:v>1519</x:v>
      </x:c>
      <x:c r="Q118" s="12" t="n">
        <x:v>38</x:v>
      </x:c>
      <x:c r="R118" s="12" t="n">
        <x:v>1519</x:v>
      </x:c>
      <x:c r="S118" s="12" t="n">
        <x:f>O118-Q118</x:f>
        <x:v>0</x:v>
      </x:c>
      <x:c r="T118" s="12" t="n">
        <x:f>P118-R118</x:f>
        <x:v>0</x:v>
      </x:c>
    </x:row>
    <x:row r="119" ht="22" customHeight="1">
      <x:c r="A119" s="4" t="str">
        <x:v>B09959MJ2C</x:v>
      </x:c>
      <x:c r="B119" s="4" t="str">
        <x:v>HYCHIKA</x:v>
      </x:c>
      <x:c r="C119" s="12" t="n">
        <x:v>17</x:v>
      </x:c>
      <x:c r="D119" s="12" t="n">
        <x:v>3025</x:v>
      </x:c>
      <x:c r="E119" s="13" t="n">
        <x:f>IF(D119&gt;0,C119/D119,"")</x:f>
        <x:v>0.005619834710743801</x:v>
      </x:c>
      <x:c r="F119" s="12" t="n">
        <x:v>18</x:v>
      </x:c>
      <x:c r="G119" s="12" t="n">
        <x:v>3766</x:v>
      </x:c>
      <x:c r="H119" s="13" t="n">
        <x:f>IF(G119&gt;0,F119/G119,"")</x:f>
        <x:v>0.004779607010090282</x:v>
      </x:c>
      <x:c r="I119" s="12" t="n">
        <x:v>2</x:v>
      </x:c>
      <x:c r="J119" s="12" t="n">
        <x:v>319</x:v>
      </x:c>
      <x:c r="K119" s="13" t="n">
        <x:f>IF(J119&gt;0,I119/J119,"")</x:f>
        <x:v>0.006269592476489028</x:v>
      </x:c>
      <x:c r="L119" s="12" t="n">
        <x:v>1</x:v>
      </x:c>
      <x:c r="M119" s="12" t="n">
        <x:v>11</x:v>
      </x:c>
      <x:c r="N119" s="13" t="n">
        <x:f>IF(M119&gt;0,L119/M119,"")</x:f>
        <x:v>0.09090909090909091</x:v>
      </x:c>
      <x:c r="O119" s="12" t="n">
        <x:f>SUM(C119,F119,I119,L119)</x:f>
        <x:v>38</x:v>
      </x:c>
      <x:c r="P119" s="12" t="n">
        <x:f>SUM(D119,G119,J119,M119)</x:f>
        <x:v>7121</x:v>
      </x:c>
      <x:c r="Q119" s="12" t="n">
        <x:v>38</x:v>
      </x:c>
      <x:c r="R119" s="12" t="n">
        <x:v>7121</x:v>
      </x:c>
      <x:c r="S119" s="12" t="n">
        <x:f>O119-Q119</x:f>
        <x:v>0</x:v>
      </x:c>
      <x:c r="T119" s="12" t="n">
        <x:f>P119-R119</x:f>
        <x:v>0</x:v>
      </x:c>
    </x:row>
    <x:row r="120" ht="22" customHeight="1">
      <x:c r="A120" s="4" t="str">
        <x:v>B0BRCXXMMG</x:v>
      </x:c>
      <x:c r="B120" s="4" t="str">
        <x:v>HYCHIKA</x:v>
      </x:c>
      <x:c r="C120" s="12" t="n">
        <x:v>0</x:v>
      </x:c>
      <x:c r="D120" s="12" t="n">
        <x:v>0</x:v>
      </x:c>
      <x:c r="E120" s="13" t="str">
        <x:f>IF(D120&gt;0,C120/D120,"")</x:f>
      </x:c>
      <x:c r="F120" s="12" t="n">
        <x:v>18</x:v>
      </x:c>
      <x:c r="G120" s="12" t="n">
        <x:v>478</x:v>
      </x:c>
      <x:c r="H120" s="13" t="n">
        <x:f>IF(G120&gt;0,F120/G120,"")</x:f>
        <x:v>0.03765690376569038</x:v>
      </x:c>
      <x:c r="I120" s="12" t="n">
        <x:v>11</x:v>
      </x:c>
      <x:c r="J120" s="12" t="n">
        <x:v>166</x:v>
      </x:c>
      <x:c r="K120" s="13" t="n">
        <x:f>IF(J120&gt;0,I120/J120,"")</x:f>
        <x:v>0.06626506024096386</x:v>
      </x:c>
      <x:c r="L120" s="12" t="n">
        <x:v>9</x:v>
      </x:c>
      <x:c r="M120" s="12" t="n">
        <x:v>131</x:v>
      </x:c>
      <x:c r="N120" s="13" t="n">
        <x:f>IF(M120&gt;0,L120/M120,"")</x:f>
        <x:v>0.06870229007633588</x:v>
      </x:c>
      <x:c r="O120" s="12" t="n">
        <x:f>SUM(C120,F120,I120,L120)</x:f>
        <x:v>38</x:v>
      </x:c>
      <x:c r="P120" s="12" t="n">
        <x:f>SUM(D120,G120,J120,M120)</x:f>
        <x:v>775</x:v>
      </x:c>
      <x:c r="Q120" s="12" t="n">
        <x:v>38</x:v>
      </x:c>
      <x:c r="R120" s="12" t="n">
        <x:v>775</x:v>
      </x:c>
      <x:c r="S120" s="12" t="n">
        <x:f>O120-Q120</x:f>
        <x:v>0</x:v>
      </x:c>
      <x:c r="T120" s="12" t="n">
        <x:f>P120-R120</x:f>
        <x:v>0</x:v>
      </x:c>
    </x:row>
    <x:row r="121" ht="22" customHeight="1">
      <x:c r="A121" s="4" t="str">
        <x:v>B08DJ4NWHS</x:v>
      </x:c>
      <x:c r="B121" s="4" t="str">
        <x:v>HYCHIKA</x:v>
      </x:c>
      <x:c r="C121" s="12" t="n">
        <x:v>34</x:v>
      </x:c>
      <x:c r="D121" s="12" t="n">
        <x:v>1631</x:v>
      </x:c>
      <x:c r="E121" s="13" t="n">
        <x:f>IF(D121&gt;0,C121/D121,"")</x:f>
        <x:v>0.020846106683016553</x:v>
      </x:c>
      <x:c r="F121" s="12" t="n">
        <x:v>0</x:v>
      </x:c>
      <x:c r="G121" s="12" t="n">
        <x:v>111</x:v>
      </x:c>
      <x:c r="H121" s="13" t="n">
        <x:f>IF(G121&gt;0,F121/G121,"")</x:f>
        <x:v>0</x:v>
      </x:c>
      <x:c r="I121" s="12" t="n">
        <x:v>0</x:v>
      </x:c>
      <x:c r="J121" s="12" t="n">
        <x:v>18</x:v>
      </x:c>
      <x:c r="K121" s="13" t="n">
        <x:f>IF(J121&gt;0,I121/J121,"")</x:f>
        <x:v>0</x:v>
      </x:c>
      <x:c r="L121" s="12" t="n">
        <x:v>2</x:v>
      </x:c>
      <x:c r="M121" s="12" t="n">
        <x:v>46</x:v>
      </x:c>
      <x:c r="N121" s="13" t="n">
        <x:f>IF(M121&gt;0,L121/M121,"")</x:f>
        <x:v>0.043478260869565216</x:v>
      </x:c>
      <x:c r="O121" s="12" t="n">
        <x:f>SUM(C121,F121,I121,L121)</x:f>
        <x:v>36</x:v>
      </x:c>
      <x:c r="P121" s="12" t="n">
        <x:f>SUM(D121,G121,J121,M121)</x:f>
        <x:v>1806</x:v>
      </x:c>
      <x:c r="Q121" s="12" t="n">
        <x:v>36</x:v>
      </x:c>
      <x:c r="R121" s="12" t="n">
        <x:v>1806</x:v>
      </x:c>
      <x:c r="S121" s="12" t="n">
        <x:f>O121-Q121</x:f>
        <x:v>0</x:v>
      </x:c>
      <x:c r="T121" s="12" t="n">
        <x:f>P121-R121</x:f>
        <x:v>0</x:v>
      </x:c>
    </x:row>
    <x:row r="122" ht="22" customHeight="1">
      <x:c r="A122" s="4" t="str">
        <x:v>B0GGR91VFZ</x:v>
      </x:c>
      <x:c r="B122" s="4" t="str">
        <x:v>HYCHIKA</x:v>
      </x:c>
      <x:c r="C122" s="12"/>
      <x:c r="D122" s="12"/>
      <x:c r="E122" s="13" t="str">
        <x:f>IF(D122&gt;0,C122/D122,"")</x:f>
      </x:c>
      <x:c r="F122" s="12"/>
      <x:c r="G122" s="12"/>
      <x:c r="H122" s="13" t="str">
        <x:f>IF(G122&gt;0,F122/G122,"")</x:f>
      </x:c>
      <x:c r="I122" s="12" t="n">
        <x:v>0</x:v>
      </x:c>
      <x:c r="J122" s="12" t="n">
        <x:v>0</x:v>
      </x:c>
      <x:c r="K122" s="13" t="str">
        <x:f>IF(J122&gt;0,I122/J122,"")</x:f>
      </x:c>
      <x:c r="L122" s="12" t="n">
        <x:v>34</x:v>
      </x:c>
      <x:c r="M122" s="12" t="n">
        <x:v>882</x:v>
      </x:c>
      <x:c r="N122" s="13" t="n">
        <x:f>IF(M122&gt;0,L122/M122,"")</x:f>
        <x:v>0.03854875283446712</x:v>
      </x:c>
      <x:c r="O122" s="12" t="n">
        <x:f>SUM(C122,F122,I122,L122)</x:f>
        <x:v>34</x:v>
      </x:c>
      <x:c r="P122" s="12" t="n">
        <x:f>SUM(D122,G122,J122,M122)</x:f>
        <x:v>882</x:v>
      </x:c>
      <x:c r="Q122" s="12" t="n">
        <x:v>34</x:v>
      </x:c>
      <x:c r="R122" s="12" t="n">
        <x:v>882</x:v>
      </x:c>
      <x:c r="S122" s="12" t="n">
        <x:f>O122-Q122</x:f>
        <x:v>0</x:v>
      </x:c>
      <x:c r="T122" s="12" t="n">
        <x:f>P122-R122</x:f>
        <x:v>0</x:v>
      </x:c>
    </x:row>
    <x:row r="123" ht="22" customHeight="1">
      <x:c r="A123" s="4" t="str">
        <x:v>B0DWFN2T1J</x:v>
      </x:c>
      <x:c r="B123" s="4" t="str">
        <x:v>HYCHIKA</x:v>
      </x:c>
      <x:c r="C123" s="12" t="n">
        <x:v>0</x:v>
      </x:c>
      <x:c r="D123" s="12" t="n">
        <x:v>1</x:v>
      </x:c>
      <x:c r="E123" s="13" t="n">
        <x:f>IF(D123&gt;0,C123/D123,"")</x:f>
        <x:v>0</x:v>
      </x:c>
      <x:c r="F123" s="12" t="n">
        <x:v>0</x:v>
      </x:c>
      <x:c r="G123" s="12" t="n">
        <x:v>7</x:v>
      </x:c>
      <x:c r="H123" s="13" t="n">
        <x:f>IF(G123&gt;0,F123/G123,"")</x:f>
        <x:v>0</x:v>
      </x:c>
      <x:c r="I123" s="12" t="n">
        <x:v>7</x:v>
      </x:c>
      <x:c r="J123" s="12" t="n">
        <x:v>112</x:v>
      </x:c>
      <x:c r="K123" s="13" t="n">
        <x:f>IF(J123&gt;0,I123/J123,"")</x:f>
        <x:v>0.0625</x:v>
      </x:c>
      <x:c r="L123" s="12" t="n">
        <x:v>24</x:v>
      </x:c>
      <x:c r="M123" s="12" t="n">
        <x:v>299</x:v>
      </x:c>
      <x:c r="N123" s="13" t="n">
        <x:f>IF(M123&gt;0,L123/M123,"")</x:f>
        <x:v>0.0802675585284281</x:v>
      </x:c>
      <x:c r="O123" s="12" t="n">
        <x:f>SUM(C123,F123,I123,L123)</x:f>
        <x:v>31</x:v>
      </x:c>
      <x:c r="P123" s="12" t="n">
        <x:f>SUM(D123,G123,J123,M123)</x:f>
        <x:v>419</x:v>
      </x:c>
      <x:c r="Q123" s="12" t="n">
        <x:v>31</x:v>
      </x:c>
      <x:c r="R123" s="12" t="n">
        <x:v>419</x:v>
      </x:c>
      <x:c r="S123" s="12" t="n">
        <x:f>O123-Q123</x:f>
        <x:v>0</x:v>
      </x:c>
      <x:c r="T123" s="12" t="n">
        <x:f>P123-R123</x:f>
        <x:v>0</x:v>
      </x:c>
    </x:row>
    <x:row r="124" ht="22" customHeight="1">
      <x:c r="A124" s="4" t="str">
        <x:v>B09DS8VVT1</x:v>
      </x:c>
      <x:c r="B124" s="4" t="str">
        <x:v>SORAKO</x:v>
      </x:c>
      <x:c r="C124" s="12" t="n">
        <x:v>17</x:v>
      </x:c>
      <x:c r="D124" s="12" t="n">
        <x:v>744</x:v>
      </x:c>
      <x:c r="E124" s="13" t="n">
        <x:f>IF(D124&gt;0,C124/D124,"")</x:f>
        <x:v>0.0228494623655914</x:v>
      </x:c>
      <x:c r="F124" s="12" t="n">
        <x:v>1</x:v>
      </x:c>
      <x:c r="G124" s="12" t="n">
        <x:v>250</x:v>
      </x:c>
      <x:c r="H124" s="13" t="n">
        <x:f>IF(G124&gt;0,F124/G124,"")</x:f>
        <x:v>0.004</x:v>
      </x:c>
      <x:c r="I124" s="12" t="n">
        <x:v>1</x:v>
      </x:c>
      <x:c r="J124" s="12" t="n">
        <x:v>82</x:v>
      </x:c>
      <x:c r="K124" s="13" t="n">
        <x:f>IF(J124&gt;0,I124/J124,"")</x:f>
        <x:v>0.012195121951219513</x:v>
      </x:c>
      <x:c r="L124" s="12" t="n">
        <x:v>1</x:v>
      </x:c>
      <x:c r="M124" s="12" t="n">
        <x:v>67</x:v>
      </x:c>
      <x:c r="N124" s="13" t="n">
        <x:f>IF(M124&gt;0,L124/M124,"")</x:f>
        <x:v>0.014925373134328358</x:v>
      </x:c>
      <x:c r="O124" s="12" t="n">
        <x:f>SUM(C124,F124,I124,L124)</x:f>
        <x:v>20</x:v>
      </x:c>
      <x:c r="P124" s="12" t="n">
        <x:f>SUM(D124,G124,J124,M124)</x:f>
        <x:v>1143</x:v>
      </x:c>
      <x:c r="Q124" s="12" t="n">
        <x:v>20</x:v>
      </x:c>
      <x:c r="R124" s="12" t="n">
        <x:v>1143</x:v>
      </x:c>
      <x:c r="S124" s="12" t="n">
        <x:f>O124-Q124</x:f>
        <x:v>0</x:v>
      </x:c>
      <x:c r="T124" s="12" t="n">
        <x:f>P124-R124</x:f>
        <x:v>0</x:v>
      </x:c>
    </x:row>
    <x:row r="125" ht="22" customHeight="1">
      <x:c r="A125" s="4" t="str">
        <x:v>B0CF8F5N5X</x:v>
      </x:c>
      <x:c r="B125" s="4" t="str">
        <x:v>HYCHIKA</x:v>
      </x:c>
      <x:c r="C125" s="12" t="n">
        <x:v>0</x:v>
      </x:c>
      <x:c r="D125" s="12" t="n">
        <x:v>0</x:v>
      </x:c>
      <x:c r="E125" s="13" t="str">
        <x:f>IF(D125&gt;0,C125/D125,"")</x:f>
      </x:c>
      <x:c r="F125" s="12" t="n">
        <x:v>0</x:v>
      </x:c>
      <x:c r="G125" s="12" t="n">
        <x:v>1</x:v>
      </x:c>
      <x:c r="H125" s="13" t="n">
        <x:f>IF(G125&gt;0,F125/G125,"")</x:f>
        <x:v>0</x:v>
      </x:c>
      <x:c r="I125" s="12" t="n">
        <x:v>7</x:v>
      </x:c>
      <x:c r="J125" s="12" t="n">
        <x:v>672</x:v>
      </x:c>
      <x:c r="K125" s="13" t="n">
        <x:f>IF(J125&gt;0,I125/J125,"")</x:f>
        <x:v>0.010416666666666666</x:v>
      </x:c>
      <x:c r="L125" s="12" t="n">
        <x:v>10</x:v>
      </x:c>
      <x:c r="M125" s="12" t="n">
        <x:v>1550</x:v>
      </x:c>
      <x:c r="N125" s="13" t="n">
        <x:f>IF(M125&gt;0,L125/M125,"")</x:f>
        <x:v>0.0064516129032258064</x:v>
      </x:c>
      <x:c r="O125" s="12" t="n">
        <x:f>SUM(C125,F125,I125,L125)</x:f>
        <x:v>17</x:v>
      </x:c>
      <x:c r="P125" s="12" t="n">
        <x:f>SUM(D125,G125,J125,M125)</x:f>
        <x:v>2223</x:v>
      </x:c>
      <x:c r="Q125" s="12" t="n">
        <x:v>17</x:v>
      </x:c>
      <x:c r="R125" s="12" t="n">
        <x:v>2223</x:v>
      </x:c>
      <x:c r="S125" s="12" t="n">
        <x:f>O125-Q125</x:f>
        <x:v>0</x:v>
      </x:c>
      <x:c r="T125" s="12" t="n">
        <x:f>P125-R125</x:f>
        <x:v>0</x:v>
      </x:c>
    </x:row>
    <x:row r="126" ht="22" customHeight="1">
      <x:c r="A126" s="4" t="str">
        <x:v>B0BLXSRMWM</x:v>
      </x:c>
      <x:c r="B126" s="4" t="str">
        <x:v>SORAKO</x:v>
      </x:c>
      <x:c r="C126" s="12" t="n">
        <x:v>2</x:v>
      </x:c>
      <x:c r="D126" s="12" t="n">
        <x:v>172</x:v>
      </x:c>
      <x:c r="E126" s="13" t="n">
        <x:f>IF(D126&gt;0,C126/D126,"")</x:f>
        <x:v>0.011627906976744186</x:v>
      </x:c>
      <x:c r="F126" s="12" t="n">
        <x:v>0</x:v>
      </x:c>
      <x:c r="G126" s="12" t="n">
        <x:v>130</x:v>
      </x:c>
      <x:c r="H126" s="13" t="n">
        <x:f>IF(G126&gt;0,F126/G126,"")</x:f>
        <x:v>0</x:v>
      </x:c>
      <x:c r="I126" s="12" t="n">
        <x:v>0</x:v>
      </x:c>
      <x:c r="J126" s="12" t="n">
        <x:v>92</x:v>
      </x:c>
      <x:c r="K126" s="13" t="n">
        <x:f>IF(J126&gt;0,I126/J126,"")</x:f>
        <x:v>0</x:v>
      </x:c>
      <x:c r="L126" s="12" t="n">
        <x:v>12</x:v>
      </x:c>
      <x:c r="M126" s="12" t="n">
        <x:v>442</x:v>
      </x:c>
      <x:c r="N126" s="13" t="n">
        <x:f>IF(M126&gt;0,L126/M126,"")</x:f>
        <x:v>0.027149321266968326</x:v>
      </x:c>
      <x:c r="O126" s="12" t="n">
        <x:f>SUM(C126,F126,I126,L126)</x:f>
        <x:v>14</x:v>
      </x:c>
      <x:c r="P126" s="12" t="n">
        <x:f>SUM(D126,G126,J126,M126)</x:f>
        <x:v>836</x:v>
      </x:c>
      <x:c r="Q126" s="12" t="n">
        <x:v>14</x:v>
      </x:c>
      <x:c r="R126" s="12" t="n">
        <x:v>836</x:v>
      </x:c>
      <x:c r="S126" s="12" t="n">
        <x:f>O126-Q126</x:f>
        <x:v>0</x:v>
      </x:c>
      <x:c r="T126" s="12" t="n">
        <x:f>P126-R126</x:f>
        <x:v>0</x:v>
      </x:c>
    </x:row>
    <x:row r="127" ht="22" customHeight="1">
      <x:c r="A127" s="4" t="str">
        <x:v>B08P47W7LL</x:v>
      </x:c>
      <x:c r="B127" s="4" t="str">
        <x:v>HYCHIKA</x:v>
      </x:c>
      <x:c r="C127" s="12" t="n">
        <x:v>13</x:v>
      </x:c>
      <x:c r="D127" s="12" t="n">
        <x:v>1385</x:v>
      </x:c>
      <x:c r="E127" s="13" t="n">
        <x:f>IF(D127&gt;0,C127/D127,"")</x:f>
        <x:v>0.009386281588447653</x:v>
      </x:c>
      <x:c r="F127" s="12" t="n">
        <x:v>0</x:v>
      </x:c>
      <x:c r="G127" s="12" t="n">
        <x:v>15</x:v>
      </x:c>
      <x:c r="H127" s="13" t="n">
        <x:f>IF(G127&gt;0,F127/G127,"")</x:f>
        <x:v>0</x:v>
      </x:c>
      <x:c r="I127" s="12" t="n">
        <x:v>0</x:v>
      </x:c>
      <x:c r="J127" s="12" t="n">
        <x:v>0</x:v>
      </x:c>
      <x:c r="K127" s="13" t="str">
        <x:f>IF(J127&gt;0,I127/J127,"")</x:f>
      </x:c>
      <x:c r="L127" s="12" t="n">
        <x:v>0</x:v>
      </x:c>
      <x:c r="M127" s="12" t="n">
        <x:v>0</x:v>
      </x:c>
      <x:c r="N127" s="13" t="str">
        <x:f>IF(M127&gt;0,L127/M127,"")</x:f>
      </x:c>
      <x:c r="O127" s="12" t="n">
        <x:f>SUM(C127,F127,I127,L127)</x:f>
        <x:v>13</x:v>
      </x:c>
      <x:c r="P127" s="12" t="n">
        <x:f>SUM(D127,G127,J127,M127)</x:f>
        <x:v>1400</x:v>
      </x:c>
      <x:c r="Q127" s="12" t="n">
        <x:v>13</x:v>
      </x:c>
      <x:c r="R127" s="12" t="n">
        <x:v>1400</x:v>
      </x:c>
      <x:c r="S127" s="12" t="n">
        <x:f>O127-Q127</x:f>
        <x:v>0</x:v>
      </x:c>
      <x:c r="T127" s="12" t="n">
        <x:f>P127-R127</x:f>
        <x:v>0</x:v>
      </x:c>
    </x:row>
    <x:row r="128" ht="22" customHeight="1">
      <x:c r="A128" s="4" t="str">
        <x:v>B0CQLSJ5JM</x:v>
      </x:c>
      <x:c r="B128" s="4" t="str">
        <x:v>HYCHIKA</x:v>
      </x:c>
      <x:c r="C128" s="12" t="n">
        <x:v>0</x:v>
      </x:c>
      <x:c r="D128" s="12" t="n">
        <x:v>0</x:v>
      </x:c>
      <x:c r="E128" s="13" t="str">
        <x:f>IF(D128&gt;0,C128/D128,"")</x:f>
      </x:c>
      <x:c r="F128" s="12" t="n">
        <x:v>9</x:v>
      </x:c>
      <x:c r="G128" s="12" t="n">
        <x:v>120</x:v>
      </x:c>
      <x:c r="H128" s="13" t="n">
        <x:f>IF(G128&gt;0,F128/G128,"")</x:f>
        <x:v>0.075</x:v>
      </x:c>
      <x:c r="I128" s="12" t="n">
        <x:v>2</x:v>
      </x:c>
      <x:c r="J128" s="12" t="n">
        <x:v>69</x:v>
      </x:c>
      <x:c r="K128" s="13" t="n">
        <x:f>IF(J128&gt;0,I128/J128,"")</x:f>
        <x:v>0.028985507246376812</x:v>
      </x:c>
      <x:c r="L128" s="12" t="n">
        <x:v>1</x:v>
      </x:c>
      <x:c r="M128" s="12" t="n">
        <x:v>48</x:v>
      </x:c>
      <x:c r="N128" s="13" t="n">
        <x:f>IF(M128&gt;0,L128/M128,"")</x:f>
        <x:v>0.020833333333333332</x:v>
      </x:c>
      <x:c r="O128" s="12" t="n">
        <x:f>SUM(C128,F128,I128,L128)</x:f>
        <x:v>12</x:v>
      </x:c>
      <x:c r="P128" s="12" t="n">
        <x:f>SUM(D128,G128,J128,M128)</x:f>
        <x:v>237</x:v>
      </x:c>
      <x:c r="Q128" s="12" t="n">
        <x:v>12</x:v>
      </x:c>
      <x:c r="R128" s="12" t="n">
        <x:v>237</x:v>
      </x:c>
      <x:c r="S128" s="12" t="n">
        <x:f>O128-Q128</x:f>
        <x:v>0</x:v>
      </x:c>
      <x:c r="T128" s="12" t="n">
        <x:f>P128-R128</x:f>
        <x:v>0</x:v>
      </x:c>
    </x:row>
    <x:row r="129" ht="22" customHeight="1">
      <x:c r="A129" s="4" t="str">
        <x:v>B0CST2M7XS</x:v>
      </x:c>
      <x:c r="B129" s="4" t="str">
        <x:v>HYCHIKA</x:v>
      </x:c>
      <x:c r="C129" s="12" t="n">
        <x:v>12</x:v>
      </x:c>
      <x:c r="D129" s="12" t="n">
        <x:v>112</x:v>
      </x:c>
      <x:c r="E129" s="13" t="n">
        <x:f>IF(D129&gt;0,C129/D129,"")</x:f>
        <x:v>0.10714285714285714</x:v>
      </x:c>
      <x:c r="F129" s="12" t="n">
        <x:v>0</x:v>
      </x:c>
      <x:c r="G129" s="12" t="n">
        <x:v>0</x:v>
      </x:c>
      <x:c r="H129" s="13" t="str">
        <x:f>IF(G129&gt;0,F129/G129,"")</x:f>
      </x:c>
      <x:c r="I129" s="12"/>
      <x:c r="J129" s="12"/>
      <x:c r="K129" s="13" t="str">
        <x:f>IF(J129&gt;0,I129/J129,"")</x:f>
      </x:c>
      <x:c r="L129" s="12"/>
      <x:c r="M129" s="12"/>
      <x:c r="N129" s="13" t="str">
        <x:f>IF(M129&gt;0,L129/M129,"")</x:f>
      </x:c>
      <x:c r="O129" s="12" t="n">
        <x:f>SUM(C129,F129,I129,L129)</x:f>
        <x:v>12</x:v>
      </x:c>
      <x:c r="P129" s="12" t="n">
        <x:f>SUM(D129,G129,J129,M129)</x:f>
        <x:v>112</x:v>
      </x:c>
      <x:c r="Q129" s="12" t="n">
        <x:v>12</x:v>
      </x:c>
      <x:c r="R129" s="12" t="n">
        <x:v>112</x:v>
      </x:c>
      <x:c r="S129" s="12" t="n">
        <x:f>O129-Q129</x:f>
        <x:v>0</x:v>
      </x:c>
      <x:c r="T129" s="12" t="n">
        <x:f>P129-R129</x:f>
        <x:v>0</x:v>
      </x:c>
    </x:row>
    <x:row r="130" ht="22" customHeight="1">
      <x:c r="A130" s="4" t="str">
        <x:v>B099ZT7QC3</x:v>
      </x:c>
      <x:c r="B130" s="4" t="str">
        <x:v>HYCHIKA</x:v>
      </x:c>
      <x:c r="C130" s="12" t="n">
        <x:v>0</x:v>
      </x:c>
      <x:c r="D130" s="12" t="n">
        <x:v>0</x:v>
      </x:c>
      <x:c r="E130" s="13" t="str">
        <x:f>IF(D130&gt;0,C130/D130,"")</x:f>
      </x:c>
      <x:c r="F130" s="12" t="n">
        <x:v>0</x:v>
      </x:c>
      <x:c r="G130" s="12" t="n">
        <x:v>0</x:v>
      </x:c>
      <x:c r="H130" s="13" t="str">
        <x:f>IF(G130&gt;0,F130/G130,"")</x:f>
      </x:c>
      <x:c r="I130" s="12" t="n">
        <x:v>4</x:v>
      </x:c>
      <x:c r="J130" s="12" t="n">
        <x:v>84</x:v>
      </x:c>
      <x:c r="K130" s="13" t="n">
        <x:f>IF(J130&gt;0,I130/J130,"")</x:f>
        <x:v>0.047619047619047616</x:v>
      </x:c>
      <x:c r="L130" s="12" t="n">
        <x:v>6</x:v>
      </x:c>
      <x:c r="M130" s="12" t="n">
        <x:v>31</x:v>
      </x:c>
      <x:c r="N130" s="13" t="n">
        <x:f>IF(M130&gt;0,L130/M130,"")</x:f>
        <x:v>0.1935483870967742</x:v>
      </x:c>
      <x:c r="O130" s="12" t="n">
        <x:f>SUM(C130,F130,I130,L130)</x:f>
        <x:v>10</x:v>
      </x:c>
      <x:c r="P130" s="12" t="n">
        <x:f>SUM(D130,G130,J130,M130)</x:f>
        <x:v>115</x:v>
      </x:c>
      <x:c r="Q130" s="12" t="n">
        <x:v>10</x:v>
      </x:c>
      <x:c r="R130" s="12" t="n">
        <x:v>115</x:v>
      </x:c>
      <x:c r="S130" s="12" t="n">
        <x:f>O130-Q130</x:f>
        <x:v>0</x:v>
      </x:c>
      <x:c r="T130" s="12" t="n">
        <x:f>P130-R130</x:f>
        <x:v>0</x:v>
      </x:c>
    </x:row>
    <x:row r="131" ht="22" customHeight="1">
      <x:c r="A131" s="4" t="str">
        <x:v>B0C94J1HLQ</x:v>
      </x:c>
      <x:c r="B131" s="4" t="str">
        <x:v>HYCHIKA</x:v>
      </x:c>
      <x:c r="C131" s="12" t="n">
        <x:v>4</x:v>
      </x:c>
      <x:c r="D131" s="12" t="n">
        <x:v>476</x:v>
      </x:c>
      <x:c r="E131" s="13" t="n">
        <x:f>IF(D131&gt;0,C131/D131,"")</x:f>
        <x:v>0.008403361344537815</x:v>
      </x:c>
      <x:c r="F131" s="12" t="n">
        <x:v>1</x:v>
      </x:c>
      <x:c r="G131" s="12" t="n">
        <x:v>286</x:v>
      </x:c>
      <x:c r="H131" s="13" t="n">
        <x:f>IF(G131&gt;0,F131/G131,"")</x:f>
        <x:v>0.0034965034965034965</x:v>
      </x:c>
      <x:c r="I131" s="12" t="n">
        <x:v>3</x:v>
      </x:c>
      <x:c r="J131" s="12" t="n">
        <x:v>350</x:v>
      </x:c>
      <x:c r="K131" s="13" t="n">
        <x:f>IF(J131&gt;0,I131/J131,"")</x:f>
        <x:v>0.008571428571428572</x:v>
      </x:c>
      <x:c r="L131" s="12" t="n">
        <x:v>0</x:v>
      </x:c>
      <x:c r="M131" s="12" t="n">
        <x:v>108</x:v>
      </x:c>
      <x:c r="N131" s="13" t="n">
        <x:f>IF(M131&gt;0,L131/M131,"")</x:f>
        <x:v>0</x:v>
      </x:c>
      <x:c r="O131" s="12" t="n">
        <x:f>SUM(C131,F131,I131,L131)</x:f>
        <x:v>8</x:v>
      </x:c>
      <x:c r="P131" s="12" t="n">
        <x:f>SUM(D131,G131,J131,M131)</x:f>
        <x:v>1220</x:v>
      </x:c>
      <x:c r="Q131" s="12" t="n">
        <x:v>8</x:v>
      </x:c>
      <x:c r="R131" s="12" t="n">
        <x:v>1220</x:v>
      </x:c>
      <x:c r="S131" s="12" t="n">
        <x:f>O131-Q131</x:f>
        <x:v>0</x:v>
      </x:c>
      <x:c r="T131" s="12" t="n">
        <x:f>P131-R131</x:f>
        <x:v>0</x:v>
      </x:c>
    </x:row>
    <x:row r="132" ht="22" customHeight="1">
      <x:c r="A132" s="4" t="str">
        <x:v>B0CCN9QZL7</x:v>
      </x:c>
      <x:c r="B132" s="4" t="str">
        <x:v>HYCHIKA</x:v>
      </x:c>
      <x:c r="C132" s="12" t="n">
        <x:v>6</x:v>
      </x:c>
      <x:c r="D132" s="12" t="n">
        <x:v>525</x:v>
      </x:c>
      <x:c r="E132" s="13" t="n">
        <x:f>IF(D132&gt;0,C132/D132,"")</x:f>
        <x:v>0.011428571428571429</x:v>
      </x:c>
      <x:c r="F132" s="12" t="n">
        <x:v>0</x:v>
      </x:c>
      <x:c r="G132" s="12" t="n">
        <x:v>230</x:v>
      </x:c>
      <x:c r="H132" s="13" t="n">
        <x:f>IF(G132&gt;0,F132/G132,"")</x:f>
        <x:v>0</x:v>
      </x:c>
      <x:c r="I132" s="12" t="n">
        <x:v>0</x:v>
      </x:c>
      <x:c r="J132" s="12" t="n">
        <x:v>78</x:v>
      </x:c>
      <x:c r="K132" s="13" t="n">
        <x:f>IF(J132&gt;0,I132/J132,"")</x:f>
        <x:v>0</x:v>
      </x:c>
      <x:c r="L132" s="12" t="n">
        <x:v>0</x:v>
      </x:c>
      <x:c r="M132" s="12" t="n">
        <x:v>53</x:v>
      </x:c>
      <x:c r="N132" s="13" t="n">
        <x:f>IF(M132&gt;0,L132/M132,"")</x:f>
        <x:v>0</x:v>
      </x:c>
      <x:c r="O132" s="12" t="n">
        <x:f>SUM(C132,F132,I132,L132)</x:f>
        <x:v>6</x:v>
      </x:c>
      <x:c r="P132" s="12" t="n">
        <x:f>SUM(D132,G132,J132,M132)</x:f>
        <x:v>886</x:v>
      </x:c>
      <x:c r="Q132" s="12" t="n">
        <x:v>6</x:v>
      </x:c>
      <x:c r="R132" s="12" t="n">
        <x:v>886</x:v>
      </x:c>
      <x:c r="S132" s="12" t="n">
        <x:f>O132-Q132</x:f>
        <x:v>0</x:v>
      </x:c>
      <x:c r="T132" s="12" t="n">
        <x:f>P132-R132</x:f>
        <x:v>0</x:v>
      </x:c>
    </x:row>
    <x:row r="133" ht="22" customHeight="1">
      <x:c r="A133" s="4" t="str">
        <x:v>B0DCNXR6CJ</x:v>
      </x:c>
      <x:c r="B133" s="4" t="str">
        <x:v>HYCHIKA</x:v>
      </x:c>
      <x:c r="C133" s="12" t="n">
        <x:v>0</x:v>
      </x:c>
      <x:c r="D133" s="12" t="n">
        <x:v>512</x:v>
      </x:c>
      <x:c r="E133" s="13" t="n">
        <x:f>IF(D133&gt;0,C133/D133,"")</x:f>
        <x:v>0</x:v>
      </x:c>
      <x:c r="F133" s="12" t="n">
        <x:v>0</x:v>
      </x:c>
      <x:c r="G133" s="12" t="n">
        <x:v>1</x:v>
      </x:c>
      <x:c r="H133" s="13" t="n">
        <x:f>IF(G133&gt;0,F133/G133,"")</x:f>
        <x:v>0</x:v>
      </x:c>
      <x:c r="I133" s="12" t="n">
        <x:v>0</x:v>
      </x:c>
      <x:c r="J133" s="12" t="n">
        <x:v>71</x:v>
      </x:c>
      <x:c r="K133" s="13" t="n">
        <x:f>IF(J133&gt;0,I133/J133,"")</x:f>
        <x:v>0</x:v>
      </x:c>
      <x:c r="L133" s="12" t="n">
        <x:v>6</x:v>
      </x:c>
      <x:c r="M133" s="12" t="n">
        <x:v>602</x:v>
      </x:c>
      <x:c r="N133" s="13" t="n">
        <x:f>IF(M133&gt;0,L133/M133,"")</x:f>
        <x:v>0.009966777408637873</x:v>
      </x:c>
      <x:c r="O133" s="12" t="n">
        <x:f>SUM(C133,F133,I133,L133)</x:f>
        <x:v>6</x:v>
      </x:c>
      <x:c r="P133" s="12" t="n">
        <x:f>SUM(D133,G133,J133,M133)</x:f>
        <x:v>1186</x:v>
      </x:c>
      <x:c r="Q133" s="12" t="n">
        <x:v>6</x:v>
      </x:c>
      <x:c r="R133" s="12" t="n">
        <x:v>1186</x:v>
      </x:c>
      <x:c r="S133" s="12" t="n">
        <x:f>O133-Q133</x:f>
        <x:v>0</x:v>
      </x:c>
      <x:c r="T133" s="12" t="n">
        <x:f>P133-R133</x:f>
        <x:v>0</x:v>
      </x:c>
    </x:row>
    <x:row r="134" ht="22" customHeight="1">
      <x:c r="A134" s="4" t="str">
        <x:v>B08DJ4B3KX</x:v>
      </x:c>
      <x:c r="B134" s="4" t="str">
        <x:v>HYCHIKA</x:v>
      </x:c>
      <x:c r="C134" s="12" t="n">
        <x:v>5</x:v>
      </x:c>
      <x:c r="D134" s="12" t="n">
        <x:v>798</x:v>
      </x:c>
      <x:c r="E134" s="13" t="n">
        <x:f>IF(D134&gt;0,C134/D134,"")</x:f>
        <x:v>0.006265664160401002</x:v>
      </x:c>
      <x:c r="F134" s="12" t="n">
        <x:v>0</x:v>
      </x:c>
      <x:c r="G134" s="12" t="n">
        <x:v>0</x:v>
      </x:c>
      <x:c r="H134" s="13" t="str">
        <x:f>IF(G134&gt;0,F134/G134,"")</x:f>
      </x:c>
      <x:c r="I134" s="12" t="n">
        <x:v>0</x:v>
      </x:c>
      <x:c r="J134" s="12" t="n">
        <x:v>0</x:v>
      </x:c>
      <x:c r="K134" s="13" t="str">
        <x:f>IF(J134&gt;0,I134/J134,"")</x:f>
      </x:c>
      <x:c r="L134" s="12" t="n">
        <x:v>0</x:v>
      </x:c>
      <x:c r="M134" s="12" t="n">
        <x:v>0</x:v>
      </x:c>
      <x:c r="N134" s="13" t="str">
        <x:f>IF(M134&gt;0,L134/M134,"")</x:f>
      </x:c>
      <x:c r="O134" s="12" t="n">
        <x:f>SUM(C134,F134,I134,L134)</x:f>
        <x:v>5</x:v>
      </x:c>
      <x:c r="P134" s="12" t="n">
        <x:f>SUM(D134,G134,J134,M134)</x:f>
        <x:v>798</x:v>
      </x:c>
      <x:c r="Q134" s="12" t="n">
        <x:v>5</x:v>
      </x:c>
      <x:c r="R134" s="12" t="n">
        <x:v>798</x:v>
      </x:c>
      <x:c r="S134" s="12" t="n">
        <x:f>O134-Q134</x:f>
        <x:v>0</x:v>
      </x:c>
      <x:c r="T134" s="12" t="n">
        <x:f>P134-R134</x:f>
        <x:v>0</x:v>
      </x:c>
    </x:row>
    <x:row r="135" ht="22" customHeight="1">
      <x:c r="A135" s="4" t="str">
        <x:v>B09CPT3PG3</x:v>
      </x:c>
      <x:c r="B135" s="4" t="str">
        <x:v>HYCHIKA</x:v>
      </x:c>
      <x:c r="C135" s="12" t="n">
        <x:v>0</x:v>
      </x:c>
      <x:c r="D135" s="12" t="n">
        <x:v>0</x:v>
      </x:c>
      <x:c r="E135" s="13" t="str">
        <x:f>IF(D135&gt;0,C135/D135,"")</x:f>
      </x:c>
      <x:c r="F135" s="12" t="n">
        <x:v>0</x:v>
      </x:c>
      <x:c r="G135" s="12" t="n">
        <x:v>0</x:v>
      </x:c>
      <x:c r="H135" s="13" t="str">
        <x:f>IF(G135&gt;0,F135/G135,"")</x:f>
      </x:c>
      <x:c r="I135" s="12" t="n">
        <x:v>4</x:v>
      </x:c>
      <x:c r="J135" s="12" t="n">
        <x:v>339</x:v>
      </x:c>
      <x:c r="K135" s="13" t="n">
        <x:f>IF(J135&gt;0,I135/J135,"")</x:f>
        <x:v>0.011799410029498525</x:v>
      </x:c>
      <x:c r="L135" s="12" t="n">
        <x:v>0</x:v>
      </x:c>
      <x:c r="M135" s="12" t="n">
        <x:v>0</x:v>
      </x:c>
      <x:c r="N135" s="13" t="str">
        <x:f>IF(M135&gt;0,L135/M135,"")</x:f>
      </x:c>
      <x:c r="O135" s="12" t="n">
        <x:f>SUM(C135,F135,I135,L135)</x:f>
        <x:v>4</x:v>
      </x:c>
      <x:c r="P135" s="12" t="n">
        <x:f>SUM(D135,G135,J135,M135)</x:f>
        <x:v>339</x:v>
      </x:c>
      <x:c r="Q135" s="12" t="n">
        <x:v>4</x:v>
      </x:c>
      <x:c r="R135" s="12" t="n">
        <x:v>339</x:v>
      </x:c>
      <x:c r="S135" s="12" t="n">
        <x:f>O135-Q135</x:f>
        <x:v>0</x:v>
      </x:c>
      <x:c r="T135" s="12" t="n">
        <x:f>P135-R135</x:f>
        <x:v>0</x:v>
      </x:c>
    </x:row>
    <x:row r="136" ht="22" customHeight="1">
      <x:c r="A136" s="4" t="str">
        <x:v>B0CPSFPNBN</x:v>
      </x:c>
      <x:c r="B136" s="4" t="str">
        <x:v>HYCHIKA</x:v>
      </x:c>
      <x:c r="C136" s="12" t="n">
        <x:v>0</x:v>
      </x:c>
      <x:c r="D136" s="12" t="n">
        <x:v>19</x:v>
      </x:c>
      <x:c r="E136" s="13" t="n">
        <x:f>IF(D136&gt;0,C136/D136,"")</x:f>
        <x:v>0</x:v>
      </x:c>
      <x:c r="F136" s="12" t="n">
        <x:v>0</x:v>
      </x:c>
      <x:c r="G136" s="12" t="n">
        <x:v>0</x:v>
      </x:c>
      <x:c r="H136" s="13" t="str">
        <x:f>IF(G136&gt;0,F136/G136,"")</x:f>
      </x:c>
      <x:c r="I136" s="12" t="n">
        <x:v>2</x:v>
      </x:c>
      <x:c r="J136" s="12" t="n">
        <x:v>16</x:v>
      </x:c>
      <x:c r="K136" s="13" t="n">
        <x:f>IF(J136&gt;0,I136/J136,"")</x:f>
        <x:v>0.125</x:v>
      </x:c>
      <x:c r="L136" s="12" t="n">
        <x:v>2</x:v>
      </x:c>
      <x:c r="M136" s="12" t="n">
        <x:v>13</x:v>
      </x:c>
      <x:c r="N136" s="13" t="n">
        <x:f>IF(M136&gt;0,L136/M136,"")</x:f>
        <x:v>0.15384615384615385</x:v>
      </x:c>
      <x:c r="O136" s="12" t="n">
        <x:f>SUM(C136,F136,I136,L136)</x:f>
        <x:v>4</x:v>
      </x:c>
      <x:c r="P136" s="12" t="n">
        <x:f>SUM(D136,G136,J136,M136)</x:f>
        <x:v>48</x:v>
      </x:c>
      <x:c r="Q136" s="12" t="n">
        <x:v>4</x:v>
      </x:c>
      <x:c r="R136" s="12" t="n">
        <x:v>48</x:v>
      </x:c>
      <x:c r="S136" s="12" t="n">
        <x:f>O136-Q136</x:f>
        <x:v>0</x:v>
      </x:c>
      <x:c r="T136" s="12" t="n">
        <x:f>P136-R136</x:f>
        <x:v>0</x:v>
      </x:c>
    </x:row>
    <x:row r="137" ht="22" customHeight="1">
      <x:c r="A137" s="4" t="str">
        <x:v>B088BDFTXR</x:v>
      </x:c>
      <x:c r="B137" s="4" t="str">
        <x:v>HYCHIKA</x:v>
      </x:c>
      <x:c r="C137" s="12" t="n">
        <x:v>0</x:v>
      </x:c>
      <x:c r="D137" s="12" t="n">
        <x:v>794</x:v>
      </x:c>
      <x:c r="E137" s="13" t="n">
        <x:f>IF(D137&gt;0,C137/D137,"")</x:f>
        <x:v>0</x:v>
      </x:c>
      <x:c r="F137" s="12" t="n">
        <x:v>3</x:v>
      </x:c>
      <x:c r="G137" s="12" t="n">
        <x:v>28</x:v>
      </x:c>
      <x:c r="H137" s="13" t="n">
        <x:f>IF(G137&gt;0,F137/G137,"")</x:f>
        <x:v>0.10714285714285714</x:v>
      </x:c>
      <x:c r="I137" s="12" t="n">
        <x:v>0</x:v>
      </x:c>
      <x:c r="J137" s="12" t="n">
        <x:v>29</x:v>
      </x:c>
      <x:c r="K137" s="13" t="n">
        <x:f>IF(J137&gt;0,I137/J137,"")</x:f>
        <x:v>0</x:v>
      </x:c>
      <x:c r="L137" s="12" t="n">
        <x:v>0</x:v>
      </x:c>
      <x:c r="M137" s="12" t="n">
        <x:v>0</x:v>
      </x:c>
      <x:c r="N137" s="13" t="str">
        <x:f>IF(M137&gt;0,L137/M137,"")</x:f>
      </x:c>
      <x:c r="O137" s="12" t="n">
        <x:f>SUM(C137,F137,I137,L137)</x:f>
        <x:v>3</x:v>
      </x:c>
      <x:c r="P137" s="12" t="n">
        <x:f>SUM(D137,G137,J137,M137)</x:f>
        <x:v>851</x:v>
      </x:c>
      <x:c r="Q137" s="12" t="n">
        <x:v>3</x:v>
      </x:c>
      <x:c r="R137" s="12" t="n">
        <x:v>851</x:v>
      </x:c>
      <x:c r="S137" s="12" t="n">
        <x:f>O137-Q137</x:f>
        <x:v>0</x:v>
      </x:c>
      <x:c r="T137" s="12" t="n">
        <x:f>P137-R137</x:f>
        <x:v>0</x:v>
      </x:c>
    </x:row>
    <x:row r="138" ht="22" customHeight="1">
      <x:c r="A138" s="4" t="str">
        <x:v>B093GY7279</x:v>
      </x:c>
      <x:c r="B138" s="4" t="str">
        <x:v>HYCHIKA</x:v>
      </x:c>
      <x:c r="C138" s="12" t="n">
        <x:v>0</x:v>
      </x:c>
      <x:c r="D138" s="12" t="n">
        <x:v>126</x:v>
      </x:c>
      <x:c r="E138" s="13" t="n">
        <x:f>IF(D138&gt;0,C138/D138,"")</x:f>
        <x:v>0</x:v>
      </x:c>
      <x:c r="F138" s="12" t="n">
        <x:v>1</x:v>
      </x:c>
      <x:c r="G138" s="12" t="n">
        <x:v>59</x:v>
      </x:c>
      <x:c r="H138" s="13" t="n">
        <x:f>IF(G138&gt;0,F138/G138,"")</x:f>
        <x:v>0.01694915254237288</x:v>
      </x:c>
      <x:c r="I138" s="12" t="n">
        <x:v>1</x:v>
      </x:c>
      <x:c r="J138" s="12" t="n">
        <x:v>22</x:v>
      </x:c>
      <x:c r="K138" s="13" t="n">
        <x:f>IF(J138&gt;0,I138/J138,"")</x:f>
        <x:v>0.045454545454545456</x:v>
      </x:c>
      <x:c r="L138" s="12" t="n">
        <x:v>0</x:v>
      </x:c>
      <x:c r="M138" s="12" t="n">
        <x:v>0</x:v>
      </x:c>
      <x:c r="N138" s="13" t="str">
        <x:f>IF(M138&gt;0,L138/M138,"")</x:f>
      </x:c>
      <x:c r="O138" s="12" t="n">
        <x:f>SUM(C138,F138,I138,L138)</x:f>
        <x:v>2</x:v>
      </x:c>
      <x:c r="P138" s="12" t="n">
        <x:f>SUM(D138,G138,J138,M138)</x:f>
        <x:v>207</x:v>
      </x:c>
      <x:c r="Q138" s="12" t="n">
        <x:v>2</x:v>
      </x:c>
      <x:c r="R138" s="12" t="n">
        <x:v>207</x:v>
      </x:c>
      <x:c r="S138" s="12" t="n">
        <x:f>O138-Q138</x:f>
        <x:v>0</x:v>
      </x:c>
      <x:c r="T138" s="12" t="n">
        <x:f>P138-R138</x:f>
        <x:v>0</x:v>
      </x:c>
    </x:row>
    <x:row r="139" ht="22" customHeight="1">
      <x:c r="A139" s="4" t="str">
        <x:v>B091Q27CLV</x:v>
      </x:c>
      <x:c r="B139" s="4" t="str">
        <x:v>HYCHIKA</x:v>
      </x:c>
      <x:c r="C139" s="12" t="n">
        <x:v>0</x:v>
      </x:c>
      <x:c r="D139" s="12" t="n">
        <x:v>0</x:v>
      </x:c>
      <x:c r="E139" s="13" t="str">
        <x:f>IF(D139&gt;0,C139/D139,"")</x:f>
      </x:c>
      <x:c r="F139" s="12"/>
      <x:c r="G139" s="12"/>
      <x:c r="H139" s="13" t="str">
        <x:f>IF(G139&gt;0,F139/G139,"")</x:f>
      </x:c>
      <x:c r="I139" s="12" t="n">
        <x:v>1</x:v>
      </x:c>
      <x:c r="J139" s="12" t="n">
        <x:v>91</x:v>
      </x:c>
      <x:c r="K139" s="13" t="n">
        <x:f>IF(J139&gt;0,I139/J139,"")</x:f>
        <x:v>0.01098901098901099</x:v>
      </x:c>
      <x:c r="L139" s="12"/>
      <x:c r="M139" s="12"/>
      <x:c r="N139" s="13" t="str">
        <x:f>IF(M139&gt;0,L139/M139,"")</x:f>
      </x:c>
      <x:c r="O139" s="12" t="n">
        <x:f>SUM(C139,F139,I139,L139)</x:f>
        <x:v>1</x:v>
      </x:c>
      <x:c r="P139" s="12" t="n">
        <x:f>SUM(D139,G139,J139,M139)</x:f>
        <x:v>91</x:v>
      </x:c>
      <x:c r="Q139" s="12" t="n">
        <x:v>1</x:v>
      </x:c>
      <x:c r="R139" s="12" t="n">
        <x:v>91</x:v>
      </x:c>
      <x:c r="S139" s="12" t="n">
        <x:f>O139-Q139</x:f>
        <x:v>0</x:v>
      </x:c>
      <x:c r="T139" s="12" t="n">
        <x:f>P139-R139</x:f>
        <x:v>0</x:v>
      </x:c>
    </x:row>
    <x:row r="140" ht="22" customHeight="1">
      <x:c r="A140" s="4" t="str">
        <x:v>B0928QT1YC</x:v>
      </x:c>
      <x:c r="B140" s="4" t="str">
        <x:v>SORAKO</x:v>
      </x:c>
      <x:c r="C140" s="12" t="n">
        <x:v>0</x:v>
      </x:c>
      <x:c r="D140" s="12" t="n">
        <x:v>0</x:v>
      </x:c>
      <x:c r="E140" s="13" t="str">
        <x:f>IF(D140&gt;0,C140/D140,"")</x:f>
      </x:c>
      <x:c r="F140" s="12" t="n">
        <x:v>0</x:v>
      </x:c>
      <x:c r="G140" s="12" t="n">
        <x:v>0</x:v>
      </x:c>
      <x:c r="H140" s="13" t="str">
        <x:f>IF(G140&gt;0,F140/G140,"")</x:f>
      </x:c>
      <x:c r="I140" s="12" t="n">
        <x:v>0</x:v>
      </x:c>
      <x:c r="J140" s="12" t="n">
        <x:v>0</x:v>
      </x:c>
      <x:c r="K140" s="13" t="str">
        <x:f>IF(J140&gt;0,I140/J140,"")</x:f>
      </x:c>
      <x:c r="L140" s="12" t="n">
        <x:v>1</x:v>
      </x:c>
      <x:c r="M140" s="12" t="n">
        <x:v>25</x:v>
      </x:c>
      <x:c r="N140" s="13" t="n">
        <x:f>IF(M140&gt;0,L140/M140,"")</x:f>
        <x:v>0.04</x:v>
      </x:c>
      <x:c r="O140" s="12" t="n">
        <x:f>SUM(C140,F140,I140,L140)</x:f>
        <x:v>1</x:v>
      </x:c>
      <x:c r="P140" s="12" t="n">
        <x:f>SUM(D140,G140,J140,M140)</x:f>
        <x:v>25</x:v>
      </x:c>
      <x:c r="Q140" s="12" t="n">
        <x:v>1</x:v>
      </x:c>
      <x:c r="R140" s="12" t="n">
        <x:v>25</x:v>
      </x:c>
      <x:c r="S140" s="12" t="n">
        <x:f>O140-Q140</x:f>
        <x:v>0</x:v>
      </x:c>
      <x:c r="T140" s="12" t="n">
        <x:f>P140-R140</x:f>
        <x:v>0</x:v>
      </x:c>
    </x:row>
    <x:row r="141" ht="22" customHeight="1">
      <x:c r="A141" s="4" t="str">
        <x:v>B0928RBDSH</x:v>
      </x:c>
      <x:c r="B141" s="4" t="str">
        <x:v>SORAKO</x:v>
      </x:c>
      <x:c r="C141" s="12" t="n">
        <x:v>1</x:v>
      </x:c>
      <x:c r="D141" s="12" t="n">
        <x:v>9</x:v>
      </x:c>
      <x:c r="E141" s="13" t="n">
        <x:f>IF(D141&gt;0,C141/D141,"")</x:f>
        <x:v>0.1111111111111111</x:v>
      </x:c>
      <x:c r="F141" s="12" t="n">
        <x:v>0</x:v>
      </x:c>
      <x:c r="G141" s="12" t="n">
        <x:v>0</x:v>
      </x:c>
      <x:c r="H141" s="13" t="str">
        <x:f>IF(G141&gt;0,F141/G141,"")</x:f>
      </x:c>
      <x:c r="I141" s="12" t="n">
        <x:v>0</x:v>
      </x:c>
      <x:c r="J141" s="12" t="n">
        <x:v>0</x:v>
      </x:c>
      <x:c r="K141" s="13" t="str">
        <x:f>IF(J141&gt;0,I141/J141,"")</x:f>
      </x:c>
      <x:c r="L141" s="12" t="n">
        <x:v>0</x:v>
      </x:c>
      <x:c r="M141" s="12" t="n">
        <x:v>0</x:v>
      </x:c>
      <x:c r="N141" s="13" t="str">
        <x:f>IF(M141&gt;0,L141/M141,"")</x:f>
      </x:c>
      <x:c r="O141" s="12" t="n">
        <x:f>SUM(C141,F141,I141,L141)</x:f>
        <x:v>1</x:v>
      </x:c>
      <x:c r="P141" s="12" t="n">
        <x:f>SUM(D141,G141,J141,M141)</x:f>
        <x:v>9</x:v>
      </x:c>
      <x:c r="Q141" s="12" t="n">
        <x:v>1</x:v>
      </x:c>
      <x:c r="R141" s="12" t="n">
        <x:v>9</x:v>
      </x:c>
      <x:c r="S141" s="12" t="n">
        <x:f>O141-Q141</x:f>
        <x:v>0</x:v>
      </x:c>
      <x:c r="T141" s="12" t="n">
        <x:f>P141-R141</x:f>
        <x:v>0</x:v>
      </x:c>
    </x:row>
    <x:row r="142" ht="22" customHeight="1">
      <x:c r="A142" s="4" t="str">
        <x:v>B0C5MY4N4Y</x:v>
      </x:c>
      <x:c r="B142" s="4" t="str">
        <x:v>HYCHIKA</x:v>
      </x:c>
      <x:c r="C142" s="12" t="n">
        <x:v>1</x:v>
      </x:c>
      <x:c r="D142" s="12" t="n">
        <x:v>122</x:v>
      </x:c>
      <x:c r="E142" s="13" t="n">
        <x:f>IF(D142&gt;0,C142/D142,"")</x:f>
        <x:v>0.00819672131147541</x:v>
      </x:c>
      <x:c r="F142" s="12" t="n">
        <x:v>0</x:v>
      </x:c>
      <x:c r="G142" s="12" t="n">
        <x:v>18</x:v>
      </x:c>
      <x:c r="H142" s="13" t="n">
        <x:f>IF(G142&gt;0,F142/G142,"")</x:f>
        <x:v>0</x:v>
      </x:c>
      <x:c r="I142" s="12" t="n">
        <x:v>0</x:v>
      </x:c>
      <x:c r="J142" s="12" t="n">
        <x:v>0</x:v>
      </x:c>
      <x:c r="K142" s="13" t="str">
        <x:f>IF(J142&gt;0,I142/J142,"")</x:f>
      </x:c>
      <x:c r="L142" s="12" t="n">
        <x:v>0</x:v>
      </x:c>
      <x:c r="M142" s="12" t="n">
        <x:v>0</x:v>
      </x:c>
      <x:c r="N142" s="13" t="str">
        <x:f>IF(M142&gt;0,L142/M142,"")</x:f>
      </x:c>
      <x:c r="O142" s="12" t="n">
        <x:f>SUM(C142,F142,I142,L142)</x:f>
        <x:v>1</x:v>
      </x:c>
      <x:c r="P142" s="12" t="n">
        <x:f>SUM(D142,G142,J142,M142)</x:f>
        <x:v>140</x:v>
      </x:c>
      <x:c r="Q142" s="12" t="n">
        <x:v>1</x:v>
      </x:c>
      <x:c r="R142" s="12" t="n">
        <x:v>140</x:v>
      </x:c>
      <x:c r="S142" s="12" t="n">
        <x:f>O142-Q142</x:f>
        <x:v>0</x:v>
      </x:c>
      <x:c r="T142" s="12" t="n">
        <x:f>P142-R142</x:f>
        <x:v>0</x:v>
      </x:c>
    </x:row>
    <x:row r="143" ht="22" customHeight="1">
      <x:c r="A143" s="4" t="str">
        <x:v>B0FFLQSH4G</x:v>
      </x:c>
      <x:c r="B143" s="4" t="str">
        <x:v>HYCHIKA</x:v>
      </x:c>
      <x:c r="C143" s="12" t="n">
        <x:v>0</x:v>
      </x:c>
      <x:c r="D143" s="12" t="n">
        <x:v>0</x:v>
      </x:c>
      <x:c r="E143" s="13" t="str">
        <x:f>IF(D143&gt;0,C143/D143,"")</x:f>
      </x:c>
      <x:c r="F143" s="12" t="n">
        <x:v>0</x:v>
      </x:c>
      <x:c r="G143" s="12" t="n">
        <x:v>0</x:v>
      </x:c>
      <x:c r="H143" s="13" t="str">
        <x:f>IF(G143&gt;0,F143/G143,"")</x:f>
      </x:c>
      <x:c r="I143" s="12" t="n">
        <x:v>0</x:v>
      </x:c>
      <x:c r="J143" s="12" t="n">
        <x:v>0</x:v>
      </x:c>
      <x:c r="K143" s="13" t="str">
        <x:f>IF(J143&gt;0,I143/J143,"")</x:f>
      </x:c>
      <x:c r="L143" s="12" t="n">
        <x:v>1</x:v>
      </x:c>
      <x:c r="M143" s="12" t="n">
        <x:v>34</x:v>
      </x:c>
      <x:c r="N143" s="13" t="n">
        <x:f>IF(M143&gt;0,L143/M143,"")</x:f>
        <x:v>0.029411764705882353</x:v>
      </x:c>
      <x:c r="O143" s="12" t="n">
        <x:f>SUM(C143,F143,I143,L143)</x:f>
        <x:v>1</x:v>
      </x:c>
      <x:c r="P143" s="12" t="n">
        <x:f>SUM(D143,G143,J143,M143)</x:f>
        <x:v>34</x:v>
      </x:c>
      <x:c r="Q143" s="12" t="n">
        <x:v>1</x:v>
      </x:c>
      <x:c r="R143" s="12" t="n">
        <x:v>34</x:v>
      </x:c>
      <x:c r="S143" s="12" t="n">
        <x:f>O143-Q143</x:f>
        <x:v>0</x:v>
      </x:c>
      <x:c r="T143" s="12" t="n">
        <x:f>P143-R143</x:f>
        <x:v>0</x:v>
      </x:c>
    </x:row>
    <x:row r="144" ht="22" customHeight="1">
      <x:c r="A144" s="4" t="str">
        <x:v>B0GJZGZ76C</x:v>
      </x:c>
      <x:c r="B144" s="4" t="str">
        <x:v>HYCHIKA</x:v>
      </x:c>
      <x:c r="C144" s="12"/>
      <x:c r="D144" s="12"/>
      <x:c r="E144" s="13" t="str">
        <x:f>IF(D144&gt;0,C144/D144,"")</x:f>
      </x:c>
      <x:c r="F144" s="12" t="n">
        <x:v>0</x:v>
      </x:c>
      <x:c r="G144" s="12" t="n">
        <x:v>0</x:v>
      </x:c>
      <x:c r="H144" s="13" t="str">
        <x:f>IF(G144&gt;0,F144/G144,"")</x:f>
      </x:c>
      <x:c r="I144" s="12" t="n">
        <x:v>0</x:v>
      </x:c>
      <x:c r="J144" s="12" t="n">
        <x:v>11</x:v>
      </x:c>
      <x:c r="K144" s="13" t="n">
        <x:f>IF(J144&gt;0,I144/J144,"")</x:f>
        <x:v>0</x:v>
      </x:c>
      <x:c r="L144" s="12" t="n">
        <x:v>1</x:v>
      </x:c>
      <x:c r="M144" s="12" t="n">
        <x:v>8</x:v>
      </x:c>
      <x:c r="N144" s="13" t="n">
        <x:f>IF(M144&gt;0,L144/M144,"")</x:f>
        <x:v>0.125</x:v>
      </x:c>
      <x:c r="O144" s="12" t="n">
        <x:f>SUM(C144,F144,I144,L144)</x:f>
        <x:v>1</x:v>
      </x:c>
      <x:c r="P144" s="12" t="n">
        <x:f>SUM(D144,G144,J144,M144)</x:f>
        <x:v>19</x:v>
      </x:c>
      <x:c r="Q144" s="12" t="n">
        <x:v>1</x:v>
      </x:c>
      <x:c r="R144" s="12" t="n">
        <x:v>19</x:v>
      </x:c>
      <x:c r="S144" s="12" t="n">
        <x:f>O144-Q144</x:f>
        <x:v>0</x:v>
      </x:c>
      <x:c r="T144" s="12" t="n">
        <x:f>P144-R144</x:f>
        <x:v>0</x:v>
      </x:c>
    </x:row>
    <x:row r="145" ht="22" customHeight="1">
      <x:c r="A145" s="4" t="str">
        <x:v>B07S6S6C1B</x:v>
      </x:c>
      <x:c r="B145" s="4" t="str">
        <x:v>HYCHIKA</x:v>
      </x:c>
      <x:c r="C145" s="12" t="n">
        <x:v>0</x:v>
      </x:c>
      <x:c r="D145" s="12" t="n">
        <x:v>194</x:v>
      </x:c>
      <x:c r="E145" s="13" t="n">
        <x:f>IF(D145&gt;0,C145/D145,"")</x:f>
        <x:v>0</x:v>
      </x:c>
      <x:c r="F145" s="12" t="n">
        <x:v>0</x:v>
      </x:c>
      <x:c r="G145" s="12" t="n">
        <x:v>0</x:v>
      </x:c>
      <x:c r="H145" s="13" t="str">
        <x:f>IF(G145&gt;0,F145/G145,"")</x:f>
      </x:c>
      <x:c r="I145" s="12" t="n">
        <x:v>0</x:v>
      </x:c>
      <x:c r="J145" s="12" t="n">
        <x:v>0</x:v>
      </x:c>
      <x:c r="K145" s="13" t="str">
        <x:f>IF(J145&gt;0,I145/J145,"")</x:f>
      </x:c>
      <x:c r="L145" s="12" t="n">
        <x:v>0</x:v>
      </x:c>
      <x:c r="M145" s="12" t="n">
        <x:v>0</x:v>
      </x:c>
      <x:c r="N145" s="13" t="str">
        <x:f>IF(M145&gt;0,L145/M145,"")</x:f>
      </x:c>
      <x:c r="O145" s="12" t="n">
        <x:f>SUM(C145,F145,I145,L145)</x:f>
        <x:v>0</x:v>
      </x:c>
      <x:c r="P145" s="12" t="n">
        <x:f>SUM(D145,G145,J145,M145)</x:f>
        <x:v>194</x:v>
      </x:c>
      <x:c r="Q145" s="12" t="n">
        <x:v>0</x:v>
      </x:c>
      <x:c r="R145" s="12" t="n">
        <x:v>194</x:v>
      </x:c>
      <x:c r="S145" s="12" t="n">
        <x:f>O145-Q145</x:f>
        <x:v>0</x:v>
      </x:c>
      <x:c r="T145" s="12" t="n">
        <x:f>P145-R145</x:f>
        <x:v>0</x:v>
      </x:c>
    </x:row>
    <x:row r="146" ht="22" customHeight="1">
      <x:c r="A146" s="4" t="str">
        <x:v>B088W9NM18</x:v>
      </x:c>
      <x:c r="B146" s="4" t="str">
        <x:v>HYCHIKA</x:v>
      </x:c>
      <x:c r="C146" s="12" t="n">
        <x:v>0</x:v>
      </x:c>
      <x:c r="D146" s="12" t="n">
        <x:v>93</x:v>
      </x:c>
      <x:c r="E146" s="13" t="n">
        <x:f>IF(D146&gt;0,C146/D146,"")</x:f>
        <x:v>0</x:v>
      </x:c>
      <x:c r="F146" s="12" t="n">
        <x:v>0</x:v>
      </x:c>
      <x:c r="G146" s="12" t="n">
        <x:v>0</x:v>
      </x:c>
      <x:c r="H146" s="13" t="str">
        <x:f>IF(G146&gt;0,F146/G146,"")</x:f>
      </x:c>
      <x:c r="I146" s="12" t="n">
        <x:v>0</x:v>
      </x:c>
      <x:c r="J146" s="12" t="n">
        <x:v>0</x:v>
      </x:c>
      <x:c r="K146" s="13" t="str">
        <x:f>IF(J146&gt;0,I146/J146,"")</x:f>
      </x:c>
      <x:c r="L146" s="12" t="n">
        <x:v>0</x:v>
      </x:c>
      <x:c r="M146" s="12" t="n">
        <x:v>0</x:v>
      </x:c>
      <x:c r="N146" s="13" t="str">
        <x:f>IF(M146&gt;0,L146/M146,"")</x:f>
      </x:c>
      <x:c r="O146" s="12" t="n">
        <x:f>SUM(C146,F146,I146,L146)</x:f>
        <x:v>0</x:v>
      </x:c>
      <x:c r="P146" s="12" t="n">
        <x:f>SUM(D146,G146,J146,M146)</x:f>
        <x:v>93</x:v>
      </x:c>
      <x:c r="Q146" s="12" t="n">
        <x:v>0</x:v>
      </x:c>
      <x:c r="R146" s="12" t="n">
        <x:v>93</x:v>
      </x:c>
      <x:c r="S146" s="12" t="n">
        <x:f>O146-Q146</x:f>
        <x:v>0</x:v>
      </x:c>
      <x:c r="T146" s="12" t="n">
        <x:f>P146-R146</x:f>
        <x:v>0</x:v>
      </x:c>
    </x:row>
    <x:row r="147" ht="22" customHeight="1">
      <x:c r="A147" s="4" t="str">
        <x:v>B08DJ59FPM</x:v>
      </x:c>
      <x:c r="B147" s="4" t="str">
        <x:v>HYCHIKA</x:v>
      </x:c>
      <x:c r="C147" s="12" t="n">
        <x:v>0</x:v>
      </x:c>
      <x:c r="D147" s="12" t="n">
        <x:v>9</x:v>
      </x:c>
      <x:c r="E147" s="13" t="n">
        <x:f>IF(D147&gt;0,C147/D147,"")</x:f>
        <x:v>0</x:v>
      </x:c>
      <x:c r="F147" s="12" t="n">
        <x:v>0</x:v>
      </x:c>
      <x:c r="G147" s="12" t="n">
        <x:v>18</x:v>
      </x:c>
      <x:c r="H147" s="13" t="n">
        <x:f>IF(G147&gt;0,F147/G147,"")</x:f>
        <x:v>0</x:v>
      </x:c>
      <x:c r="I147" s="12" t="n">
        <x:v>0</x:v>
      </x:c>
      <x:c r="J147" s="12" t="n">
        <x:v>0</x:v>
      </x:c>
      <x:c r="K147" s="13" t="str">
        <x:f>IF(J147&gt;0,I147/J147,"")</x:f>
      </x:c>
      <x:c r="L147" s="12" t="n">
        <x:v>0</x:v>
      </x:c>
      <x:c r="M147" s="12" t="n">
        <x:v>8</x:v>
      </x:c>
      <x:c r="N147" s="13" t="n">
        <x:f>IF(M147&gt;0,L147/M147,"")</x:f>
        <x:v>0</x:v>
      </x:c>
      <x:c r="O147" s="12" t="n">
        <x:f>SUM(C147,F147,I147,L147)</x:f>
        <x:v>0</x:v>
      </x:c>
      <x:c r="P147" s="12" t="n">
        <x:f>SUM(D147,G147,J147,M147)</x:f>
        <x:v>35</x:v>
      </x:c>
      <x:c r="Q147" s="12" t="n">
        <x:v>0</x:v>
      </x:c>
      <x:c r="R147" s="12" t="n">
        <x:v>35</x:v>
      </x:c>
      <x:c r="S147" s="12" t="n">
        <x:f>O147-Q147</x:f>
        <x:v>0</x:v>
      </x:c>
      <x:c r="T147" s="12" t="n">
        <x:f>P147-R147</x:f>
        <x:v>0</x:v>
      </x:c>
    </x:row>
    <x:row r="148" ht="22" customHeight="1">
      <x:c r="A148" s="4" t="str">
        <x:v>B08H1MCC9Y</x:v>
      </x:c>
      <x:c r="B148" s="4" t="str">
        <x:v>SORAKO</x:v>
      </x:c>
      <x:c r="C148" s="12" t="n">
        <x:v>0</x:v>
      </x:c>
      <x:c r="D148" s="12" t="n">
        <x:v>35</x:v>
      </x:c>
      <x:c r="E148" s="13" t="n">
        <x:f>IF(D148&gt;0,C148/D148,"")</x:f>
        <x:v>0</x:v>
      </x:c>
      <x:c r="F148" s="12" t="n">
        <x:v>0</x:v>
      </x:c>
      <x:c r="G148" s="12" t="n">
        <x:v>8</x:v>
      </x:c>
      <x:c r="H148" s="13" t="n">
        <x:f>IF(G148&gt;0,F148/G148,"")</x:f>
        <x:v>0</x:v>
      </x:c>
      <x:c r="I148" s="12" t="n">
        <x:v>0</x:v>
      </x:c>
      <x:c r="J148" s="12" t="n">
        <x:v>0</x:v>
      </x:c>
      <x:c r="K148" s="13" t="str">
        <x:f>IF(J148&gt;0,I148/J148,"")</x:f>
      </x:c>
      <x:c r="L148" s="12" t="n">
        <x:v>0</x:v>
      </x:c>
      <x:c r="M148" s="12" t="n">
        <x:v>0</x:v>
      </x:c>
      <x:c r="N148" s="13" t="str">
        <x:f>IF(M148&gt;0,L148/M148,"")</x:f>
      </x:c>
      <x:c r="O148" s="12" t="n">
        <x:f>SUM(C148,F148,I148,L148)</x:f>
        <x:v>0</x:v>
      </x:c>
      <x:c r="P148" s="12" t="n">
        <x:f>SUM(D148,G148,J148,M148)</x:f>
        <x:v>43</x:v>
      </x:c>
      <x:c r="Q148" s="12" t="n">
        <x:v>0</x:v>
      </x:c>
      <x:c r="R148" s="12" t="n">
        <x:v>43</x:v>
      </x:c>
      <x:c r="S148" s="12" t="n">
        <x:f>O148-Q148</x:f>
        <x:v>0</x:v>
      </x:c>
      <x:c r="T148" s="12" t="n">
        <x:f>P148-R148</x:f>
        <x:v>0</x:v>
      </x:c>
    </x:row>
    <x:row r="149" ht="22" customHeight="1">
      <x:c r="A149" s="4" t="str">
        <x:v>B08LVBK2HR</x:v>
      </x:c>
      <x:c r="B149" s="4" t="str">
        <x:v>HYCHIKA</x:v>
      </x:c>
      <x:c r="C149" s="12" t="n">
        <x:v>0</x:v>
      </x:c>
      <x:c r="D149" s="12" t="n">
        <x:v>0</x:v>
      </x:c>
      <x:c r="E149" s="13" t="str">
        <x:f>IF(D149&gt;0,C149/D149,"")</x:f>
      </x:c>
      <x:c r="F149" s="12" t="n">
        <x:v>0</x:v>
      </x:c>
      <x:c r="G149" s="12" t="n">
        <x:v>0</x:v>
      </x:c>
      <x:c r="H149" s="13" t="str">
        <x:f>IF(G149&gt;0,F149/G149,"")</x:f>
      </x:c>
      <x:c r="I149" s="12" t="n">
        <x:v>0</x:v>
      </x:c>
      <x:c r="J149" s="12" t="n">
        <x:v>0</x:v>
      </x:c>
      <x:c r="K149" s="13" t="str">
        <x:f>IF(J149&gt;0,I149/J149,"")</x:f>
      </x:c>
      <x:c r="L149" s="12" t="n">
        <x:v>0</x:v>
      </x:c>
      <x:c r="M149" s="12" t="n">
        <x:v>0</x:v>
      </x:c>
      <x:c r="N149" s="13" t="str">
        <x:f>IF(M149&gt;0,L149/M149,"")</x:f>
      </x:c>
      <x:c r="O149" s="12" t="n">
        <x:f>SUM(C149,F149,I149,L149)</x:f>
        <x:v>0</x:v>
      </x:c>
      <x:c r="P149" s="12" t="n">
        <x:f>SUM(D149,G149,J149,M149)</x:f>
        <x:v>0</x:v>
      </x:c>
      <x:c r="Q149" s="12" t="n">
        <x:v>0</x:v>
      </x:c>
      <x:c r="R149" s="12" t="n">
        <x:v>0</x:v>
      </x:c>
      <x:c r="S149" s="12" t="n">
        <x:f>O149-Q149</x:f>
        <x:v>0</x:v>
      </x:c>
      <x:c r="T149" s="12" t="n">
        <x:f>P149-R149</x:f>
        <x:v>0</x:v>
      </x:c>
    </x:row>
    <x:row r="150" ht="22" customHeight="1">
      <x:c r="A150" s="4" t="str">
        <x:v>B08LVCVQ4C</x:v>
      </x:c>
      <x:c r="B150" s="4" t="str">
        <x:v>HYCHIKA</x:v>
      </x:c>
      <x:c r="C150" s="12" t="n">
        <x:v>0</x:v>
      </x:c>
      <x:c r="D150" s="12" t="n">
        <x:v>0</x:v>
      </x:c>
      <x:c r="E150" s="13" t="str">
        <x:f>IF(D150&gt;0,C150/D150,"")</x:f>
      </x:c>
      <x:c r="F150" s="12" t="n">
        <x:v>0</x:v>
      </x:c>
      <x:c r="G150" s="12" t="n">
        <x:v>0</x:v>
      </x:c>
      <x:c r="H150" s="13" t="str">
        <x:f>IF(G150&gt;0,F150/G150,"")</x:f>
      </x:c>
      <x:c r="I150" s="12" t="n">
        <x:v>0</x:v>
      </x:c>
      <x:c r="J150" s="12" t="n">
        <x:v>0</x:v>
      </x:c>
      <x:c r="K150" s="13" t="str">
        <x:f>IF(J150&gt;0,I150/J150,"")</x:f>
      </x:c>
      <x:c r="L150" s="12" t="n">
        <x:v>0</x:v>
      </x:c>
      <x:c r="M150" s="12" t="n">
        <x:v>0</x:v>
      </x:c>
      <x:c r="N150" s="13" t="str">
        <x:f>IF(M150&gt;0,L150/M150,"")</x:f>
      </x:c>
      <x:c r="O150" s="12" t="n">
        <x:f>SUM(C150,F150,I150,L150)</x:f>
        <x:v>0</x:v>
      </x:c>
      <x:c r="P150" s="12" t="n">
        <x:f>SUM(D150,G150,J150,M150)</x:f>
        <x:v>0</x:v>
      </x:c>
      <x:c r="Q150" s="12" t="n">
        <x:v>0</x:v>
      </x:c>
      <x:c r="R150" s="12" t="n">
        <x:v>0</x:v>
      </x:c>
      <x:c r="S150" s="12" t="n">
        <x:f>O150-Q150</x:f>
        <x:v>0</x:v>
      </x:c>
      <x:c r="T150" s="12" t="n">
        <x:f>P150-R150</x:f>
        <x:v>0</x:v>
      </x:c>
    </x:row>
    <x:row r="151" ht="22" customHeight="1">
      <x:c r="A151" s="4" t="str">
        <x:v>B08LVFZRJY</x:v>
      </x:c>
      <x:c r="B151" s="4" t="str">
        <x:v>HYCHIKA</x:v>
      </x:c>
      <x:c r="C151" s="12" t="n">
        <x:v>0</x:v>
      </x:c>
      <x:c r="D151" s="12" t="n">
        <x:v>0</x:v>
      </x:c>
      <x:c r="E151" s="13" t="str">
        <x:f>IF(D151&gt;0,C151/D151,"")</x:f>
      </x:c>
      <x:c r="F151" s="12" t="n">
        <x:v>0</x:v>
      </x:c>
      <x:c r="G151" s="12" t="n">
        <x:v>0</x:v>
      </x:c>
      <x:c r="H151" s="13" t="str">
        <x:f>IF(G151&gt;0,F151/G151,"")</x:f>
      </x:c>
      <x:c r="I151" s="12" t="n">
        <x:v>0</x:v>
      </x:c>
      <x:c r="J151" s="12" t="n">
        <x:v>0</x:v>
      </x:c>
      <x:c r="K151" s="13" t="str">
        <x:f>IF(J151&gt;0,I151/J151,"")</x:f>
      </x:c>
      <x:c r="L151" s="12" t="n">
        <x:v>0</x:v>
      </x:c>
      <x:c r="M151" s="12" t="n">
        <x:v>0</x:v>
      </x:c>
      <x:c r="N151" s="13" t="str">
        <x:f>IF(M151&gt;0,L151/M151,"")</x:f>
      </x:c>
      <x:c r="O151" s="12" t="n">
        <x:f>SUM(C151,F151,I151,L151)</x:f>
        <x:v>0</x:v>
      </x:c>
      <x:c r="P151" s="12" t="n">
        <x:f>SUM(D151,G151,J151,M151)</x:f>
        <x:v>0</x:v>
      </x:c>
      <x:c r="Q151" s="12" t="n">
        <x:v>0</x:v>
      </x:c>
      <x:c r="R151" s="12" t="n">
        <x:v>0</x:v>
      </x:c>
      <x:c r="S151" s="12" t="n">
        <x:f>O151-Q151</x:f>
        <x:v>0</x:v>
      </x:c>
      <x:c r="T151" s="12" t="n">
        <x:f>P151-R151</x:f>
        <x:v>0</x:v>
      </x:c>
    </x:row>
    <x:row r="152" ht="22" customHeight="1">
      <x:c r="A152" s="4" t="str">
        <x:v>B08PPB7ZQ3</x:v>
      </x:c>
      <x:c r="B152" s="4" t="str">
        <x:v>HYCHIKA</x:v>
      </x:c>
      <x:c r="C152" s="12" t="n">
        <x:v>0</x:v>
      </x:c>
      <x:c r="D152" s="12" t="n">
        <x:v>0</x:v>
      </x:c>
      <x:c r="E152" s="13" t="str">
        <x:f>IF(D152&gt;0,C152/D152,"")</x:f>
      </x:c>
      <x:c r="F152" s="12" t="n">
        <x:v>0</x:v>
      </x:c>
      <x:c r="G152" s="12" t="n">
        <x:v>0</x:v>
      </x:c>
      <x:c r="H152" s="13" t="str">
        <x:f>IF(G152&gt;0,F152/G152,"")</x:f>
      </x:c>
      <x:c r="I152" s="12" t="n">
        <x:v>0</x:v>
      </x:c>
      <x:c r="J152" s="12" t="n">
        <x:v>0</x:v>
      </x:c>
      <x:c r="K152" s="13" t="str">
        <x:f>IF(J152&gt;0,I152/J152,"")</x:f>
      </x:c>
      <x:c r="L152" s="12" t="n">
        <x:v>0</x:v>
      </x:c>
      <x:c r="M152" s="12" t="n">
        <x:v>0</x:v>
      </x:c>
      <x:c r="N152" s="13" t="str">
        <x:f>IF(M152&gt;0,L152/M152,"")</x:f>
      </x:c>
      <x:c r="O152" s="12" t="n">
        <x:f>SUM(C152,F152,I152,L152)</x:f>
        <x:v>0</x:v>
      </x:c>
      <x:c r="P152" s="12" t="n">
        <x:f>SUM(D152,G152,J152,M152)</x:f>
        <x:v>0</x:v>
      </x:c>
      <x:c r="Q152" s="12" t="n">
        <x:v>0</x:v>
      </x:c>
      <x:c r="R152" s="12" t="n">
        <x:v>0</x:v>
      </x:c>
      <x:c r="S152" s="12" t="n">
        <x:f>O152-Q152</x:f>
        <x:v>0</x:v>
      </x:c>
      <x:c r="T152" s="12" t="n">
        <x:f>P152-R152</x:f>
        <x:v>0</x:v>
      </x:c>
    </x:row>
    <x:row r="153" ht="22" customHeight="1">
      <x:c r="A153" s="4" t="str">
        <x:v>B08QD6HB6Y</x:v>
      </x:c>
      <x:c r="B153" s="4" t="str">
        <x:v>SORAKO</x:v>
      </x:c>
      <x:c r="C153" s="12" t="n">
        <x:v>0</x:v>
      </x:c>
      <x:c r="D153" s="12" t="n">
        <x:v>0</x:v>
      </x:c>
      <x:c r="E153" s="13" t="str">
        <x:f>IF(D153&gt;0,C153/D153,"")</x:f>
      </x:c>
      <x:c r="F153" s="12" t="n">
        <x:v>0</x:v>
      </x:c>
      <x:c r="G153" s="12" t="n">
        <x:v>0</x:v>
      </x:c>
      <x:c r="H153" s="13" t="str">
        <x:f>IF(G153&gt;0,F153/G153,"")</x:f>
      </x:c>
      <x:c r="I153" s="12" t="n">
        <x:v>0</x:v>
      </x:c>
      <x:c r="J153" s="12" t="n">
        <x:v>0</x:v>
      </x:c>
      <x:c r="K153" s="13" t="str">
        <x:f>IF(J153&gt;0,I153/J153,"")</x:f>
      </x:c>
      <x:c r="L153" s="12" t="n">
        <x:v>0</x:v>
      </x:c>
      <x:c r="M153" s="12" t="n">
        <x:v>0</x:v>
      </x:c>
      <x:c r="N153" s="13" t="str">
        <x:f>IF(M153&gt;0,L153/M153,"")</x:f>
      </x:c>
      <x:c r="O153" s="12" t="n">
        <x:f>SUM(C153,F153,I153,L153)</x:f>
        <x:v>0</x:v>
      </x:c>
      <x:c r="P153" s="12" t="n">
        <x:f>SUM(D153,G153,J153,M153)</x:f>
        <x:v>0</x:v>
      </x:c>
      <x:c r="Q153" s="12" t="n">
        <x:v>0</x:v>
      </x:c>
      <x:c r="R153" s="12" t="n">
        <x:v>0</x:v>
      </x:c>
      <x:c r="S153" s="12" t="n">
        <x:f>O153-Q153</x:f>
        <x:v>0</x:v>
      </x:c>
      <x:c r="T153" s="12" t="n">
        <x:f>P153-R153</x:f>
        <x:v>0</x:v>
      </x:c>
    </x:row>
    <x:row r="154" ht="22" customHeight="1">
      <x:c r="A154" s="4" t="str">
        <x:v>B08YYJJJ1W</x:v>
      </x:c>
      <x:c r="B154" s="4" t="str">
        <x:v>SORAKO</x:v>
      </x:c>
      <x:c r="C154" s="12" t="n">
        <x:v>0</x:v>
      </x:c>
      <x:c r="D154" s="12" t="n">
        <x:v>0</x:v>
      </x:c>
      <x:c r="E154" s="13" t="str">
        <x:f>IF(D154&gt;0,C154/D154,"")</x:f>
      </x:c>
      <x:c r="F154" s="12" t="n">
        <x:v>0</x:v>
      </x:c>
      <x:c r="G154" s="12" t="n">
        <x:v>0</x:v>
      </x:c>
      <x:c r="H154" s="13" t="str">
        <x:f>IF(G154&gt;0,F154/G154,"")</x:f>
      </x:c>
      <x:c r="I154" s="12" t="n">
        <x:v>0</x:v>
      </x:c>
      <x:c r="J154" s="12" t="n">
        <x:v>0</x:v>
      </x:c>
      <x:c r="K154" s="13" t="str">
        <x:f>IF(J154&gt;0,I154/J154,"")</x:f>
      </x:c>
      <x:c r="L154" s="12" t="n">
        <x:v>0</x:v>
      </x:c>
      <x:c r="M154" s="12" t="n">
        <x:v>0</x:v>
      </x:c>
      <x:c r="N154" s="13" t="str">
        <x:f>IF(M154&gt;0,L154/M154,"")</x:f>
      </x:c>
      <x:c r="O154" s="12" t="n">
        <x:f>SUM(C154,F154,I154,L154)</x:f>
        <x:v>0</x:v>
      </x:c>
      <x:c r="P154" s="12" t="n">
        <x:f>SUM(D154,G154,J154,M154)</x:f>
        <x:v>0</x:v>
      </x:c>
      <x:c r="Q154" s="12" t="n">
        <x:v>0</x:v>
      </x:c>
      <x:c r="R154" s="12" t="n">
        <x:v>0</x:v>
      </x:c>
      <x:c r="S154" s="12" t="n">
        <x:f>O154-Q154</x:f>
        <x:v>0</x:v>
      </x:c>
      <x:c r="T154" s="12" t="n">
        <x:f>P154-R154</x:f>
        <x:v>0</x:v>
      </x:c>
    </x:row>
    <x:row r="155" ht="22" customHeight="1">
      <x:c r="A155" s="4" t="str">
        <x:v>B091PZGFC7</x:v>
      </x:c>
      <x:c r="B155" s="4" t="str">
        <x:v>HYCHIKA</x:v>
      </x:c>
      <x:c r="C155" s="12" t="n">
        <x:v>0</x:v>
      </x:c>
      <x:c r="D155" s="12" t="n">
        <x:v>0</x:v>
      </x:c>
      <x:c r="E155" s="13" t="str">
        <x:f>IF(D155&gt;0,C155/D155,"")</x:f>
      </x:c>
      <x:c r="F155" s="12" t="n">
        <x:v>0</x:v>
      </x:c>
      <x:c r="G155" s="12" t="n">
        <x:v>0</x:v>
      </x:c>
      <x:c r="H155" s="13" t="str">
        <x:f>IF(G155&gt;0,F155/G155,"")</x:f>
      </x:c>
      <x:c r="I155" s="12" t="n">
        <x:v>0</x:v>
      </x:c>
      <x:c r="J155" s="12" t="n">
        <x:v>0</x:v>
      </x:c>
      <x:c r="K155" s="13" t="str">
        <x:f>IF(J155&gt;0,I155/J155,"")</x:f>
      </x:c>
      <x:c r="L155" s="12" t="n">
        <x:v>0</x:v>
      </x:c>
      <x:c r="M155" s="12" t="n">
        <x:v>0</x:v>
      </x:c>
      <x:c r="N155" s="13" t="str">
        <x:f>IF(M155&gt;0,L155/M155,"")</x:f>
      </x:c>
      <x:c r="O155" s="12" t="n">
        <x:f>SUM(C155,F155,I155,L155)</x:f>
        <x:v>0</x:v>
      </x:c>
      <x:c r="P155" s="12" t="n">
        <x:f>SUM(D155,G155,J155,M155)</x:f>
        <x:v>0</x:v>
      </x:c>
      <x:c r="Q155" s="12" t="n">
        <x:v>0</x:v>
      </x:c>
      <x:c r="R155" s="12" t="n">
        <x:v>0</x:v>
      </x:c>
      <x:c r="S155" s="12" t="n">
        <x:f>O155-Q155</x:f>
        <x:v>0</x:v>
      </x:c>
      <x:c r="T155" s="12" t="n">
        <x:f>P155-R155</x:f>
        <x:v>0</x:v>
      </x:c>
    </x:row>
    <x:row r="156" ht="22" customHeight="1">
      <x:c r="A156" s="4" t="str">
        <x:v>B091PZLPFS</x:v>
      </x:c>
      <x:c r="B156" s="4" t="str">
        <x:v>HYCHIKA</x:v>
      </x:c>
      <x:c r="C156" s="12" t="n">
        <x:v>0</x:v>
      </x:c>
      <x:c r="D156" s="12" t="n">
        <x:v>0</x:v>
      </x:c>
      <x:c r="E156" s="13" t="str">
        <x:f>IF(D156&gt;0,C156/D156,"")</x:f>
      </x:c>
      <x:c r="F156" s="12" t="n">
        <x:v>0</x:v>
      </x:c>
      <x:c r="G156" s="12" t="n">
        <x:v>0</x:v>
      </x:c>
      <x:c r="H156" s="13" t="str">
        <x:f>IF(G156&gt;0,F156/G156,"")</x:f>
      </x:c>
      <x:c r="I156" s="12" t="n">
        <x:v>0</x:v>
      </x:c>
      <x:c r="J156" s="12" t="n">
        <x:v>0</x:v>
      </x:c>
      <x:c r="K156" s="13" t="str">
        <x:f>IF(J156&gt;0,I156/J156,"")</x:f>
      </x:c>
      <x:c r="L156" s="12" t="n">
        <x:v>0</x:v>
      </x:c>
      <x:c r="M156" s="12" t="n">
        <x:v>0</x:v>
      </x:c>
      <x:c r="N156" s="13" t="str">
        <x:f>IF(M156&gt;0,L156/M156,"")</x:f>
      </x:c>
      <x:c r="O156" s="12" t="n">
        <x:f>SUM(C156,F156,I156,L156)</x:f>
        <x:v>0</x:v>
      </x:c>
      <x:c r="P156" s="12" t="n">
        <x:f>SUM(D156,G156,J156,M156)</x:f>
        <x:v>0</x:v>
      </x:c>
      <x:c r="Q156" s="12" t="n">
        <x:v>0</x:v>
      </x:c>
      <x:c r="R156" s="12" t="n">
        <x:v>0</x:v>
      </x:c>
      <x:c r="S156" s="12" t="n">
        <x:f>O156-Q156</x:f>
        <x:v>0</x:v>
      </x:c>
      <x:c r="T156" s="12" t="n">
        <x:f>P156-R156</x:f>
        <x:v>0</x:v>
      </x:c>
    </x:row>
    <x:row r="157" ht="22" customHeight="1">
      <x:c r="A157" s="4" t="str">
        <x:v>B091PZXJ9M</x:v>
      </x:c>
      <x:c r="B157" s="4" t="str">
        <x:v>HYCHIKA</x:v>
      </x:c>
      <x:c r="C157" s="12" t="n">
        <x:v>0</x:v>
      </x:c>
      <x:c r="D157" s="12" t="n">
        <x:v>0</x:v>
      </x:c>
      <x:c r="E157" s="13" t="str">
        <x:f>IF(D157&gt;0,C157/D157,"")</x:f>
      </x:c>
      <x:c r="F157" s="12" t="n">
        <x:v>0</x:v>
      </x:c>
      <x:c r="G157" s="12" t="n">
        <x:v>5</x:v>
      </x:c>
      <x:c r="H157" s="13" t="n">
        <x:f>IF(G157&gt;0,F157/G157,"")</x:f>
        <x:v>0</x:v>
      </x:c>
      <x:c r="I157" s="12" t="n">
        <x:v>0</x:v>
      </x:c>
      <x:c r="J157" s="12" t="n">
        <x:v>43</x:v>
      </x:c>
      <x:c r="K157" s="13" t="n">
        <x:f>IF(J157&gt;0,I157/J157,"")</x:f>
        <x:v>0</x:v>
      </x:c>
      <x:c r="L157" s="12" t="n">
        <x:v>0</x:v>
      </x:c>
      <x:c r="M157" s="12" t="n">
        <x:v>8</x:v>
      </x:c>
      <x:c r="N157" s="13" t="n">
        <x:f>IF(M157&gt;0,L157/M157,"")</x:f>
        <x:v>0</x:v>
      </x:c>
      <x:c r="O157" s="12" t="n">
        <x:f>SUM(C157,F157,I157,L157)</x:f>
        <x:v>0</x:v>
      </x:c>
      <x:c r="P157" s="12" t="n">
        <x:f>SUM(D157,G157,J157,M157)</x:f>
        <x:v>56</x:v>
      </x:c>
      <x:c r="Q157" s="12" t="n">
        <x:v>0</x:v>
      </x:c>
      <x:c r="R157" s="12" t="n">
        <x:v>56</x:v>
      </x:c>
      <x:c r="S157" s="12" t="n">
        <x:f>O157-Q157</x:f>
        <x:v>0</x:v>
      </x:c>
      <x:c r="T157" s="12" t="n">
        <x:f>P157-R157</x:f>
        <x:v>0</x:v>
      </x:c>
    </x:row>
    <x:row r="158" ht="22" customHeight="1">
      <x:c r="A158" s="4" t="str">
        <x:v>B091Q11982</x:v>
      </x:c>
      <x:c r="B158" s="4" t="str">
        <x:v>HYCHIKA</x:v>
      </x:c>
      <x:c r="C158" s="12" t="n">
        <x:v>0</x:v>
      </x:c>
      <x:c r="D158" s="12" t="n">
        <x:v>95</x:v>
      </x:c>
      <x:c r="E158" s="13" t="n">
        <x:f>IF(D158&gt;0,C158/D158,"")</x:f>
        <x:v>0</x:v>
      </x:c>
      <x:c r="F158" s="12" t="n">
        <x:v>0</x:v>
      </x:c>
      <x:c r="G158" s="12" t="n">
        <x:v>26</x:v>
      </x:c>
      <x:c r="H158" s="13" t="n">
        <x:f>IF(G158&gt;0,F158/G158,"")</x:f>
        <x:v>0</x:v>
      </x:c>
      <x:c r="I158" s="12" t="n">
        <x:v>0</x:v>
      </x:c>
      <x:c r="J158" s="12" t="n">
        <x:v>0</x:v>
      </x:c>
      <x:c r="K158" s="13" t="str">
        <x:f>IF(J158&gt;0,I158/J158,"")</x:f>
      </x:c>
      <x:c r="L158" s="12" t="n">
        <x:v>0</x:v>
      </x:c>
      <x:c r="M158" s="12" t="n">
        <x:v>0</x:v>
      </x:c>
      <x:c r="N158" s="13" t="str">
        <x:f>IF(M158&gt;0,L158/M158,"")</x:f>
      </x:c>
      <x:c r="O158" s="12" t="n">
        <x:f>SUM(C158,F158,I158,L158)</x:f>
        <x:v>0</x:v>
      </x:c>
      <x:c r="P158" s="12" t="n">
        <x:f>SUM(D158,G158,J158,M158)</x:f>
        <x:v>121</x:v>
      </x:c>
      <x:c r="Q158" s="12" t="n">
        <x:v>0</x:v>
      </x:c>
      <x:c r="R158" s="12" t="n">
        <x:v>121</x:v>
      </x:c>
      <x:c r="S158" s="12" t="n">
        <x:f>O158-Q158</x:f>
        <x:v>0</x:v>
      </x:c>
      <x:c r="T158" s="12" t="n">
        <x:f>P158-R158</x:f>
        <x:v>0</x:v>
      </x:c>
    </x:row>
    <x:row r="159" ht="22" customHeight="1">
      <x:c r="A159" s="4" t="str">
        <x:v>B09335P92G</x:v>
      </x:c>
      <x:c r="B159" s="4" t="str">
        <x:v>SORAKO</x:v>
      </x:c>
      <x:c r="C159" s="12" t="n">
        <x:v>0</x:v>
      </x:c>
      <x:c r="D159" s="12" t="n">
        <x:v>0</x:v>
      </x:c>
      <x:c r="E159" s="13" t="str">
        <x:f>IF(D159&gt;0,C159/D159,"")</x:f>
      </x:c>
      <x:c r="F159" s="12"/>
      <x:c r="G159" s="12"/>
      <x:c r="H159" s="13" t="str">
        <x:f>IF(G159&gt;0,F159/G159,"")</x:f>
      </x:c>
      <x:c r="I159" s="12"/>
      <x:c r="J159" s="12"/>
      <x:c r="K159" s="13" t="str">
        <x:f>IF(J159&gt;0,I159/J159,"")</x:f>
      </x:c>
      <x:c r="L159" s="12" t="n">
        <x:v>0</x:v>
      </x:c>
      <x:c r="M159" s="12" t="n">
        <x:v>12</x:v>
      </x:c>
      <x:c r="N159" s="13" t="n">
        <x:f>IF(M159&gt;0,L159/M159,"")</x:f>
        <x:v>0</x:v>
      </x:c>
      <x:c r="O159" s="12" t="n">
        <x:f>SUM(C159,F159,I159,L159)</x:f>
        <x:v>0</x:v>
      </x:c>
      <x:c r="P159" s="12" t="n">
        <x:f>SUM(D159,G159,J159,M159)</x:f>
        <x:v>12</x:v>
      </x:c>
      <x:c r="Q159" s="12" t="n">
        <x:v>0</x:v>
      </x:c>
      <x:c r="R159" s="12" t="n">
        <x:v>12</x:v>
      </x:c>
      <x:c r="S159" s="12" t="n">
        <x:f>O159-Q159</x:f>
        <x:v>0</x:v>
      </x:c>
      <x:c r="T159" s="12" t="n">
        <x:f>P159-R159</x:f>
        <x:v>0</x:v>
      </x:c>
    </x:row>
    <x:row r="160" ht="22" customHeight="1">
      <x:c r="A160" s="4" t="str">
        <x:v>B09336VHY1</x:v>
      </x:c>
      <x:c r="B160" s="4" t="str">
        <x:v>SORAKO</x:v>
      </x:c>
      <x:c r="C160" s="12" t="n">
        <x:v>0</x:v>
      </x:c>
      <x:c r="D160" s="12" t="n">
        <x:v>0</x:v>
      </x:c>
      <x:c r="E160" s="13" t="str">
        <x:f>IF(D160&gt;0,C160/D160,"")</x:f>
      </x:c>
      <x:c r="F160" s="12" t="n">
        <x:v>0</x:v>
      </x:c>
      <x:c r="G160" s="12" t="n">
        <x:v>0</x:v>
      </x:c>
      <x:c r="H160" s="13" t="str">
        <x:f>IF(G160&gt;0,F160/G160,"")</x:f>
      </x:c>
      <x:c r="I160" s="12" t="n">
        <x:v>0</x:v>
      </x:c>
      <x:c r="J160" s="12" t="n">
        <x:v>0</x:v>
      </x:c>
      <x:c r="K160" s="13" t="str">
        <x:f>IF(J160&gt;0,I160/J160,"")</x:f>
      </x:c>
      <x:c r="L160" s="12" t="n">
        <x:v>0</x:v>
      </x:c>
      <x:c r="M160" s="12" t="n">
        <x:v>0</x:v>
      </x:c>
      <x:c r="N160" s="13" t="str">
        <x:f>IF(M160&gt;0,L160/M160,"")</x:f>
      </x:c>
      <x:c r="O160" s="12" t="n">
        <x:f>SUM(C160,F160,I160,L160)</x:f>
        <x:v>0</x:v>
      </x:c>
      <x:c r="P160" s="12" t="n">
        <x:f>SUM(D160,G160,J160,M160)</x:f>
        <x:v>0</x:v>
      </x:c>
      <x:c r="Q160" s="12" t="n">
        <x:v>0</x:v>
      </x:c>
      <x:c r="R160" s="12" t="n">
        <x:v>0</x:v>
      </x:c>
      <x:c r="S160" s="12" t="n">
        <x:f>O160-Q160</x:f>
        <x:v>0</x:v>
      </x:c>
      <x:c r="T160" s="12" t="n">
        <x:f>P160-R160</x:f>
        <x:v>0</x:v>
      </x:c>
    </x:row>
    <x:row r="161" ht="22" customHeight="1">
      <x:c r="A161" s="4" t="str">
        <x:v>B09337GPK2</x:v>
      </x:c>
      <x:c r="B161" s="4" t="str">
        <x:v>SORAKO</x:v>
      </x:c>
      <x:c r="C161" s="12" t="n">
        <x:v>0</x:v>
      </x:c>
      <x:c r="D161" s="12" t="n">
        <x:v>0</x:v>
      </x:c>
      <x:c r="E161" s="13" t="str">
        <x:f>IF(D161&gt;0,C161/D161,"")</x:f>
      </x:c>
      <x:c r="F161" s="12" t="n">
        <x:v>0</x:v>
      </x:c>
      <x:c r="G161" s="12" t="n">
        <x:v>0</x:v>
      </x:c>
      <x:c r="H161" s="13" t="str">
        <x:f>IF(G161&gt;0,F161/G161,"")</x:f>
      </x:c>
      <x:c r="I161" s="12" t="n">
        <x:v>0</x:v>
      </x:c>
      <x:c r="J161" s="12" t="n">
        <x:v>0</x:v>
      </x:c>
      <x:c r="K161" s="13" t="str">
        <x:f>IF(J161&gt;0,I161/J161,"")</x:f>
      </x:c>
      <x:c r="L161" s="12" t="n">
        <x:v>0</x:v>
      </x:c>
      <x:c r="M161" s="12" t="n">
        <x:v>0</x:v>
      </x:c>
      <x:c r="N161" s="13" t="str">
        <x:f>IF(M161&gt;0,L161/M161,"")</x:f>
      </x:c>
      <x:c r="O161" s="12" t="n">
        <x:f>SUM(C161,F161,I161,L161)</x:f>
        <x:v>0</x:v>
      </x:c>
      <x:c r="P161" s="12" t="n">
        <x:f>SUM(D161,G161,J161,M161)</x:f>
        <x:v>0</x:v>
      </x:c>
      <x:c r="Q161" s="12" t="n">
        <x:v>0</x:v>
      </x:c>
      <x:c r="R161" s="12" t="n">
        <x:v>0</x:v>
      </x:c>
      <x:c r="S161" s="12" t="n">
        <x:f>O161-Q161</x:f>
        <x:v>0</x:v>
      </x:c>
      <x:c r="T161" s="12" t="n">
        <x:f>P161-R161</x:f>
        <x:v>0</x:v>
      </x:c>
    </x:row>
    <x:row r="162" ht="22" customHeight="1">
      <x:c r="A162" s="4" t="str">
        <x:v>B09337WTF9</x:v>
      </x:c>
      <x:c r="B162" s="4" t="str">
        <x:v>SORAKO</x:v>
      </x:c>
      <x:c r="C162" s="12" t="n">
        <x:v>0</x:v>
      </x:c>
      <x:c r="D162" s="12" t="n">
        <x:v>0</x:v>
      </x:c>
      <x:c r="E162" s="13" t="str">
        <x:f>IF(D162&gt;0,C162/D162,"")</x:f>
      </x:c>
      <x:c r="F162" s="12"/>
      <x:c r="G162" s="12"/>
      <x:c r="H162" s="13" t="str">
        <x:f>IF(G162&gt;0,F162/G162,"")</x:f>
      </x:c>
      <x:c r="I162" s="12"/>
      <x:c r="J162" s="12"/>
      <x:c r="K162" s="13" t="str">
        <x:f>IF(J162&gt;0,I162/J162,"")</x:f>
      </x:c>
      <x:c r="L162" s="12"/>
      <x:c r="M162" s="12"/>
      <x:c r="N162" s="13" t="str">
        <x:f>IF(M162&gt;0,L162/M162,"")</x:f>
      </x:c>
      <x:c r="O162" s="12" t="n">
        <x:f>SUM(C162,F162,I162,L162)</x:f>
        <x:v>0</x:v>
      </x:c>
      <x:c r="P162" s="12" t="n">
        <x:f>SUM(D162,G162,J162,M162)</x:f>
        <x:v>0</x:v>
      </x:c>
      <x:c r="Q162" s="12" t="n">
        <x:v>0</x:v>
      </x:c>
      <x:c r="R162" s="12" t="n">
        <x:v>0</x:v>
      </x:c>
      <x:c r="S162" s="12" t="n">
        <x:f>O162-Q162</x:f>
        <x:v>0</x:v>
      </x:c>
      <x:c r="T162" s="12" t="n">
        <x:f>P162-R162</x:f>
        <x:v>0</x:v>
      </x:c>
    </x:row>
    <x:row r="163" ht="22" customHeight="1">
      <x:c r="A163" s="4" t="str">
        <x:v>B093BQMPC9</x:v>
      </x:c>
      <x:c r="B163" s="4" t="str">
        <x:v>SORAKO</x:v>
      </x:c>
      <x:c r="C163" s="12" t="n">
        <x:v>0</x:v>
      </x:c>
      <x:c r="D163" s="12" t="n">
        <x:v>0</x:v>
      </x:c>
      <x:c r="E163" s="13" t="str">
        <x:f>IF(D163&gt;0,C163/D163,"")</x:f>
      </x:c>
      <x:c r="F163" s="12" t="n">
        <x:v>0</x:v>
      </x:c>
      <x:c r="G163" s="12" t="n">
        <x:v>0</x:v>
      </x:c>
      <x:c r="H163" s="13" t="str">
        <x:f>IF(G163&gt;0,F163/G163,"")</x:f>
      </x:c>
      <x:c r="I163" s="12" t="n">
        <x:v>0</x:v>
      </x:c>
      <x:c r="J163" s="12" t="n">
        <x:v>0</x:v>
      </x:c>
      <x:c r="K163" s="13" t="str">
        <x:f>IF(J163&gt;0,I163/J163,"")</x:f>
      </x:c>
      <x:c r="L163" s="12" t="n">
        <x:v>0</x:v>
      </x:c>
      <x:c r="M163" s="12" t="n">
        <x:v>0</x:v>
      </x:c>
      <x:c r="N163" s="13" t="str">
        <x:f>IF(M163&gt;0,L163/M163,"")</x:f>
      </x:c>
      <x:c r="O163" s="12" t="n">
        <x:f>SUM(C163,F163,I163,L163)</x:f>
        <x:v>0</x:v>
      </x:c>
      <x:c r="P163" s="12" t="n">
        <x:f>SUM(D163,G163,J163,M163)</x:f>
        <x:v>0</x:v>
      </x:c>
      <x:c r="Q163" s="12" t="n">
        <x:v>0</x:v>
      </x:c>
      <x:c r="R163" s="12" t="n">
        <x:v>0</x:v>
      </x:c>
      <x:c r="S163" s="12" t="n">
        <x:f>O163-Q163</x:f>
        <x:v>0</x:v>
      </x:c>
      <x:c r="T163" s="12" t="n">
        <x:f>P163-R163</x:f>
        <x:v>0</x:v>
      </x:c>
    </x:row>
    <x:row r="164" ht="22" customHeight="1">
      <x:c r="A164" s="4" t="str">
        <x:v>B093GXNTPP</x:v>
      </x:c>
      <x:c r="B164" s="4" t="str">
        <x:v>HYCHIKA</x:v>
      </x:c>
      <x:c r="C164" s="12" t="n">
        <x:v>0</x:v>
      </x:c>
      <x:c r="D164" s="12" t="n">
        <x:v>0</x:v>
      </x:c>
      <x:c r="E164" s="13" t="str">
        <x:f>IF(D164&gt;0,C164/D164,"")</x:f>
      </x:c>
      <x:c r="F164" s="12" t="n">
        <x:v>0</x:v>
      </x:c>
      <x:c r="G164" s="12" t="n">
        <x:v>0</x:v>
      </x:c>
      <x:c r="H164" s="13" t="str">
        <x:f>IF(G164&gt;0,F164/G164,"")</x:f>
      </x:c>
      <x:c r="I164" s="12" t="n">
        <x:v>0</x:v>
      </x:c>
      <x:c r="J164" s="12" t="n">
        <x:v>0</x:v>
      </x:c>
      <x:c r="K164" s="13" t="str">
        <x:f>IF(J164&gt;0,I164/J164,"")</x:f>
      </x:c>
      <x:c r="L164" s="12" t="n">
        <x:v>0</x:v>
      </x:c>
      <x:c r="M164" s="12" t="n">
        <x:v>0</x:v>
      </x:c>
      <x:c r="N164" s="13" t="str">
        <x:f>IF(M164&gt;0,L164/M164,"")</x:f>
      </x:c>
      <x:c r="O164" s="12" t="n">
        <x:f>SUM(C164,F164,I164,L164)</x:f>
        <x:v>0</x:v>
      </x:c>
      <x:c r="P164" s="12" t="n">
        <x:f>SUM(D164,G164,J164,M164)</x:f>
        <x:v>0</x:v>
      </x:c>
      <x:c r="Q164" s="12" t="n">
        <x:v>0</x:v>
      </x:c>
      <x:c r="R164" s="12" t="n">
        <x:v>0</x:v>
      </x:c>
      <x:c r="S164" s="12" t="n">
        <x:f>O164-Q164</x:f>
        <x:v>0</x:v>
      </x:c>
      <x:c r="T164" s="12" t="n">
        <x:f>P164-R164</x:f>
        <x:v>0</x:v>
      </x:c>
    </x:row>
    <x:row r="165" ht="22" customHeight="1">
      <x:c r="A165" s="4" t="str">
        <x:v>B093H1KGVT</x:v>
      </x:c>
      <x:c r="B165" s="4" t="str">
        <x:v>HYCHIKA</x:v>
      </x:c>
      <x:c r="C165" s="12" t="n">
        <x:v>0</x:v>
      </x:c>
      <x:c r="D165" s="12" t="n">
        <x:v>0</x:v>
      </x:c>
      <x:c r="E165" s="13" t="str">
        <x:f>IF(D165&gt;0,C165/D165,"")</x:f>
      </x:c>
      <x:c r="F165" s="12" t="n">
        <x:v>0</x:v>
      </x:c>
      <x:c r="G165" s="12" t="n">
        <x:v>0</x:v>
      </x:c>
      <x:c r="H165" s="13" t="str">
        <x:f>IF(G165&gt;0,F165/G165,"")</x:f>
      </x:c>
      <x:c r="I165" s="12" t="n">
        <x:v>0</x:v>
      </x:c>
      <x:c r="J165" s="12" t="n">
        <x:v>0</x:v>
      </x:c>
      <x:c r="K165" s="13" t="str">
        <x:f>IF(J165&gt;0,I165/J165,"")</x:f>
      </x:c>
      <x:c r="L165" s="12" t="n">
        <x:v>0</x:v>
      </x:c>
      <x:c r="M165" s="12" t="n">
        <x:v>0</x:v>
      </x:c>
      <x:c r="N165" s="13" t="str">
        <x:f>IF(M165&gt;0,L165/M165,"")</x:f>
      </x:c>
      <x:c r="O165" s="12" t="n">
        <x:f>SUM(C165,F165,I165,L165)</x:f>
        <x:v>0</x:v>
      </x:c>
      <x:c r="P165" s="12" t="n">
        <x:f>SUM(D165,G165,J165,M165)</x:f>
        <x:v>0</x:v>
      </x:c>
      <x:c r="Q165" s="12" t="n">
        <x:v>0</x:v>
      </x:c>
      <x:c r="R165" s="12" t="n">
        <x:v>0</x:v>
      </x:c>
      <x:c r="S165" s="12" t="n">
        <x:f>O165-Q165</x:f>
        <x:v>0</x:v>
      </x:c>
      <x:c r="T165" s="12" t="n">
        <x:f>P165-R165</x:f>
        <x:v>0</x:v>
      </x:c>
    </x:row>
    <x:row r="166" ht="22" customHeight="1">
      <x:c r="A166" s="4" t="str">
        <x:v>B095WXD5PT</x:v>
      </x:c>
      <x:c r="B166" s="4" t="str">
        <x:v>HYCHIKA</x:v>
      </x:c>
      <x:c r="C166" s="12" t="n">
        <x:v>0</x:v>
      </x:c>
      <x:c r="D166" s="12" t="n">
        <x:v>0</x:v>
      </x:c>
      <x:c r="E166" s="13" t="str">
        <x:f>IF(D166&gt;0,C166/D166,"")</x:f>
      </x:c>
      <x:c r="F166" s="12" t="n">
        <x:v>0</x:v>
      </x:c>
      <x:c r="G166" s="12" t="n">
        <x:v>0</x:v>
      </x:c>
      <x:c r="H166" s="13" t="str">
        <x:f>IF(G166&gt;0,F166/G166,"")</x:f>
      </x:c>
      <x:c r="I166" s="12" t="n">
        <x:v>0</x:v>
      </x:c>
      <x:c r="J166" s="12" t="n">
        <x:v>0</x:v>
      </x:c>
      <x:c r="K166" s="13" t="str">
        <x:f>IF(J166&gt;0,I166/J166,"")</x:f>
      </x:c>
      <x:c r="L166" s="12" t="n">
        <x:v>0</x:v>
      </x:c>
      <x:c r="M166" s="12" t="n">
        <x:v>0</x:v>
      </x:c>
      <x:c r="N166" s="13" t="str">
        <x:f>IF(M166&gt;0,L166/M166,"")</x:f>
      </x:c>
      <x:c r="O166" s="12" t="n">
        <x:f>SUM(C166,F166,I166,L166)</x:f>
        <x:v>0</x:v>
      </x:c>
      <x:c r="P166" s="12" t="n">
        <x:f>SUM(D166,G166,J166,M166)</x:f>
        <x:v>0</x:v>
      </x:c>
      <x:c r="Q166" s="12" t="n">
        <x:v>0</x:v>
      </x:c>
      <x:c r="R166" s="12" t="n">
        <x:v>0</x:v>
      </x:c>
      <x:c r="S166" s="12" t="n">
        <x:f>O166-Q166</x:f>
        <x:v>0</x:v>
      </x:c>
      <x:c r="T166" s="12" t="n">
        <x:f>P166-R166</x:f>
        <x:v>0</x:v>
      </x:c>
    </x:row>
    <x:row r="167" ht="22" customHeight="1">
      <x:c r="A167" s="4" t="str">
        <x:v>B099K1PFKD</x:v>
      </x:c>
      <x:c r="B167" s="4" t="str">
        <x:v>HYCHIKA</x:v>
      </x:c>
      <x:c r="C167" s="12" t="n">
        <x:v>0</x:v>
      </x:c>
      <x:c r="D167" s="12" t="n">
        <x:v>0</x:v>
      </x:c>
      <x:c r="E167" s="13" t="str">
        <x:f>IF(D167&gt;0,C167/D167,"")</x:f>
      </x:c>
      <x:c r="F167" s="12" t="n">
        <x:v>0</x:v>
      </x:c>
      <x:c r="G167" s="12" t="n">
        <x:v>0</x:v>
      </x:c>
      <x:c r="H167" s="13" t="str">
        <x:f>IF(G167&gt;0,F167/G167,"")</x:f>
      </x:c>
      <x:c r="I167" s="12" t="n">
        <x:v>0</x:v>
      </x:c>
      <x:c r="J167" s="12" t="n">
        <x:v>0</x:v>
      </x:c>
      <x:c r="K167" s="13" t="str">
        <x:f>IF(J167&gt;0,I167/J167,"")</x:f>
      </x:c>
      <x:c r="L167" s="12" t="n">
        <x:v>0</x:v>
      </x:c>
      <x:c r="M167" s="12" t="n">
        <x:v>0</x:v>
      </x:c>
      <x:c r="N167" s="13" t="str">
        <x:f>IF(M167&gt;0,L167/M167,"")</x:f>
      </x:c>
      <x:c r="O167" s="12" t="n">
        <x:f>SUM(C167,F167,I167,L167)</x:f>
        <x:v>0</x:v>
      </x:c>
      <x:c r="P167" s="12" t="n">
        <x:f>SUM(D167,G167,J167,M167)</x:f>
        <x:v>0</x:v>
      </x:c>
      <x:c r="Q167" s="12" t="n">
        <x:v>0</x:v>
      </x:c>
      <x:c r="R167" s="12" t="n">
        <x:v>0</x:v>
      </x:c>
      <x:c r="S167" s="12" t="n">
        <x:f>O167-Q167</x:f>
        <x:v>0</x:v>
      </x:c>
      <x:c r="T167" s="12" t="n">
        <x:f>P167-R167</x:f>
        <x:v>0</x:v>
      </x:c>
    </x:row>
    <x:row r="168" ht="22" customHeight="1">
      <x:c r="A168" s="4" t="str">
        <x:v>B099ZV82FN</x:v>
      </x:c>
      <x:c r="B168" s="4" t="str">
        <x:v>HYCHIKA</x:v>
      </x:c>
      <x:c r="C168" s="12"/>
      <x:c r="D168" s="12"/>
      <x:c r="E168" s="13" t="str">
        <x:f>IF(D168&gt;0,C168/D168,"")</x:f>
      </x:c>
      <x:c r="F168" s="12"/>
      <x:c r="G168" s="12"/>
      <x:c r="H168" s="13" t="str">
        <x:f>IF(G168&gt;0,F168/G168,"")</x:f>
      </x:c>
      <x:c r="I168" s="12"/>
      <x:c r="J168" s="12"/>
      <x:c r="K168" s="13" t="str">
        <x:f>IF(J168&gt;0,I168/J168,"")</x:f>
      </x:c>
      <x:c r="L168" s="12" t="n">
        <x:v>0</x:v>
      </x:c>
      <x:c r="M168" s="12" t="n">
        <x:v>0</x:v>
      </x:c>
      <x:c r="N168" s="13" t="str">
        <x:f>IF(M168&gt;0,L168/M168,"")</x:f>
      </x:c>
      <x:c r="O168" s="12" t="n">
        <x:f>SUM(C168,F168,I168,L168)</x:f>
        <x:v>0</x:v>
      </x:c>
      <x:c r="P168" s="12" t="n">
        <x:f>SUM(D168,G168,J168,M168)</x:f>
        <x:v>0</x:v>
      </x:c>
      <x:c r="Q168" s="12" t="n">
        <x:v>0</x:v>
      </x:c>
      <x:c r="R168" s="12" t="n">
        <x:v>0</x:v>
      </x:c>
      <x:c r="S168" s="12" t="n">
        <x:f>O168-Q168</x:f>
        <x:v>0</x:v>
      </x:c>
      <x:c r="T168" s="12" t="n">
        <x:f>P168-R168</x:f>
        <x:v>0</x:v>
      </x:c>
    </x:row>
    <x:row r="169" ht="22" customHeight="1">
      <x:c r="A169" s="4" t="str">
        <x:v>B09BJDLXNC</x:v>
      </x:c>
      <x:c r="B169" s="4" t="str">
        <x:v>HYCHIKA</x:v>
      </x:c>
      <x:c r="C169" s="12" t="n">
        <x:v>0</x:v>
      </x:c>
      <x:c r="D169" s="12" t="n">
        <x:v>0</x:v>
      </x:c>
      <x:c r="E169" s="13" t="str">
        <x:f>IF(D169&gt;0,C169/D169,"")</x:f>
      </x:c>
      <x:c r="F169" s="12"/>
      <x:c r="G169" s="12"/>
      <x:c r="H169" s="13" t="str">
        <x:f>IF(G169&gt;0,F169/G169,"")</x:f>
      </x:c>
      <x:c r="I169" s="12"/>
      <x:c r="J169" s="12"/>
      <x:c r="K169" s="13" t="str">
        <x:f>IF(J169&gt;0,I169/J169,"")</x:f>
      </x:c>
      <x:c r="L169" s="12"/>
      <x:c r="M169" s="12"/>
      <x:c r="N169" s="13" t="str">
        <x:f>IF(M169&gt;0,L169/M169,"")</x:f>
      </x:c>
      <x:c r="O169" s="12" t="n">
        <x:f>SUM(C169,F169,I169,L169)</x:f>
        <x:v>0</x:v>
      </x:c>
      <x:c r="P169" s="12" t="n">
        <x:f>SUM(D169,G169,J169,M169)</x:f>
        <x:v>0</x:v>
      </x:c>
      <x:c r="Q169" s="12" t="n">
        <x:v>0</x:v>
      </x:c>
      <x:c r="R169" s="12" t="n">
        <x:v>0</x:v>
      </x:c>
      <x:c r="S169" s="12" t="n">
        <x:f>O169-Q169</x:f>
        <x:v>0</x:v>
      </x:c>
      <x:c r="T169" s="12" t="n">
        <x:f>P169-R169</x:f>
        <x:v>0</x:v>
      </x:c>
    </x:row>
    <x:row r="170" ht="22" customHeight="1">
      <x:c r="A170" s="4" t="str">
        <x:v>B09G66F7TZ</x:v>
      </x:c>
      <x:c r="B170" s="4" t="str">
        <x:v>HYCHIKA</x:v>
      </x:c>
      <x:c r="C170" s="12" t="n">
        <x:v>0</x:v>
      </x:c>
      <x:c r="D170" s="12" t="n">
        <x:v>0</x:v>
      </x:c>
      <x:c r="E170" s="13" t="str">
        <x:f>IF(D170&gt;0,C170/D170,"")</x:f>
      </x:c>
      <x:c r="F170" s="12" t="n">
        <x:v>0</x:v>
      </x:c>
      <x:c r="G170" s="12" t="n">
        <x:v>182</x:v>
      </x:c>
      <x:c r="H170" s="13" t="n">
        <x:f>IF(G170&gt;0,F170/G170,"")</x:f>
        <x:v>0</x:v>
      </x:c>
      <x:c r="I170" s="12" t="n">
        <x:v>0</x:v>
      </x:c>
      <x:c r="J170" s="12" t="n">
        <x:v>0</x:v>
      </x:c>
      <x:c r="K170" s="13" t="str">
        <x:f>IF(J170&gt;0,I170/J170,"")</x:f>
      </x:c>
      <x:c r="L170" s="12" t="n">
        <x:v>0</x:v>
      </x:c>
      <x:c r="M170" s="12" t="n">
        <x:v>0</x:v>
      </x:c>
      <x:c r="N170" s="13" t="str">
        <x:f>IF(M170&gt;0,L170/M170,"")</x:f>
      </x:c>
      <x:c r="O170" s="12" t="n">
        <x:f>SUM(C170,F170,I170,L170)</x:f>
        <x:v>0</x:v>
      </x:c>
      <x:c r="P170" s="12" t="n">
        <x:f>SUM(D170,G170,J170,M170)</x:f>
        <x:v>182</x:v>
      </x:c>
      <x:c r="Q170" s="12" t="n">
        <x:v>0</x:v>
      </x:c>
      <x:c r="R170" s="12" t="n">
        <x:v>182</x:v>
      </x:c>
      <x:c r="S170" s="12" t="n">
        <x:f>O170-Q170</x:f>
        <x:v>0</x:v>
      </x:c>
      <x:c r="T170" s="12" t="n">
        <x:f>P170-R170</x:f>
        <x:v>0</x:v>
      </x:c>
    </x:row>
    <x:row r="171" ht="22" customHeight="1">
      <x:c r="A171" s="4" t="str">
        <x:v>B09LQM2H7Z</x:v>
      </x:c>
      <x:c r="B171" s="4" t="str">
        <x:v>HYCHIKA</x:v>
      </x:c>
      <x:c r="C171" s="12" t="n">
        <x:v>0</x:v>
      </x:c>
      <x:c r="D171" s="12" t="n">
        <x:v>53</x:v>
      </x:c>
      <x:c r="E171" s="13" t="n">
        <x:f>IF(D171&gt;0,C171/D171,"")</x:f>
        <x:v>0</x:v>
      </x:c>
      <x:c r="F171" s="12" t="n">
        <x:v>0</x:v>
      </x:c>
      <x:c r="G171" s="12" t="n">
        <x:v>0</x:v>
      </x:c>
      <x:c r="H171" s="13" t="str">
        <x:f>IF(G171&gt;0,F171/G171,"")</x:f>
      </x:c>
      <x:c r="I171" s="12" t="n">
        <x:v>0</x:v>
      </x:c>
      <x:c r="J171" s="12" t="n">
        <x:v>0</x:v>
      </x:c>
      <x:c r="K171" s="13" t="str">
        <x:f>IF(J171&gt;0,I171/J171,"")</x:f>
      </x:c>
      <x:c r="L171" s="12" t="n">
        <x:v>0</x:v>
      </x:c>
      <x:c r="M171" s="12" t="n">
        <x:v>0</x:v>
      </x:c>
      <x:c r="N171" s="13" t="str">
        <x:f>IF(M171&gt;0,L171/M171,"")</x:f>
      </x:c>
      <x:c r="O171" s="12" t="n">
        <x:f>SUM(C171,F171,I171,L171)</x:f>
        <x:v>0</x:v>
      </x:c>
      <x:c r="P171" s="12" t="n">
        <x:f>SUM(D171,G171,J171,M171)</x:f>
        <x:v>53</x:v>
      </x:c>
      <x:c r="Q171" s="12" t="n">
        <x:v>0</x:v>
      </x:c>
      <x:c r="R171" s="12" t="n">
        <x:v>53</x:v>
      </x:c>
      <x:c r="S171" s="12" t="n">
        <x:f>O171-Q171</x:f>
        <x:v>0</x:v>
      </x:c>
      <x:c r="T171" s="12" t="n">
        <x:f>P171-R171</x:f>
        <x:v>0</x:v>
      </x:c>
    </x:row>
    <x:row r="172" ht="22" customHeight="1">
      <x:c r="A172" s="4" t="str">
        <x:v>B09NCVHY5V</x:v>
      </x:c>
      <x:c r="B172" s="4" t="str">
        <x:v>HYCHIKA</x:v>
      </x:c>
      <x:c r="C172" s="12" t="n">
        <x:v>0</x:v>
      </x:c>
      <x:c r="D172" s="12" t="n">
        <x:v>0</x:v>
      </x:c>
      <x:c r="E172" s="13" t="str">
        <x:f>IF(D172&gt;0,C172/D172,"")</x:f>
      </x:c>
      <x:c r="F172" s="12" t="n">
        <x:v>0</x:v>
      </x:c>
      <x:c r="G172" s="12" t="n">
        <x:v>0</x:v>
      </x:c>
      <x:c r="H172" s="13" t="str">
        <x:f>IF(G172&gt;0,F172/G172,"")</x:f>
      </x:c>
      <x:c r="I172" s="12" t="n">
        <x:v>0</x:v>
      </x:c>
      <x:c r="J172" s="12" t="n">
        <x:v>0</x:v>
      </x:c>
      <x:c r="K172" s="13" t="str">
        <x:f>IF(J172&gt;0,I172/J172,"")</x:f>
      </x:c>
      <x:c r="L172" s="12" t="n">
        <x:v>0</x:v>
      </x:c>
      <x:c r="M172" s="12" t="n">
        <x:v>0</x:v>
      </x:c>
      <x:c r="N172" s="13" t="str">
        <x:f>IF(M172&gt;0,L172/M172,"")</x:f>
      </x:c>
      <x:c r="O172" s="12" t="n">
        <x:f>SUM(C172,F172,I172,L172)</x:f>
        <x:v>0</x:v>
      </x:c>
      <x:c r="P172" s="12" t="n">
        <x:f>SUM(D172,G172,J172,M172)</x:f>
        <x:v>0</x:v>
      </x:c>
      <x:c r="Q172" s="12" t="n">
        <x:v>0</x:v>
      </x:c>
      <x:c r="R172" s="12" t="n">
        <x:v>0</x:v>
      </x:c>
      <x:c r="S172" s="12" t="n">
        <x:f>O172-Q172</x:f>
        <x:v>0</x:v>
      </x:c>
      <x:c r="T172" s="12" t="n">
        <x:f>P172-R172</x:f>
        <x:v>0</x:v>
      </x:c>
    </x:row>
    <x:row r="173" ht="22" customHeight="1">
      <x:c r="A173" s="4" t="str">
        <x:v>B09NR62S6M</x:v>
      </x:c>
      <x:c r="B173" s="4" t="str">
        <x:v>SORAKO</x:v>
      </x:c>
      <x:c r="C173" s="12" t="n">
        <x:v>0</x:v>
      </x:c>
      <x:c r="D173" s="12" t="n">
        <x:v>0</x:v>
      </x:c>
      <x:c r="E173" s="13" t="str">
        <x:f>IF(D173&gt;0,C173/D173,"")</x:f>
      </x:c>
      <x:c r="F173" s="12" t="n">
        <x:v>0</x:v>
      </x:c>
      <x:c r="G173" s="12" t="n">
        <x:v>0</x:v>
      </x:c>
      <x:c r="H173" s="13" t="str">
        <x:f>IF(G173&gt;0,F173/G173,"")</x:f>
      </x:c>
      <x:c r="I173" s="12" t="n">
        <x:v>0</x:v>
      </x:c>
      <x:c r="J173" s="12" t="n">
        <x:v>0</x:v>
      </x:c>
      <x:c r="K173" s="13" t="str">
        <x:f>IF(J173&gt;0,I173/J173,"")</x:f>
      </x:c>
      <x:c r="L173" s="12" t="n">
        <x:v>0</x:v>
      </x:c>
      <x:c r="M173" s="12" t="n">
        <x:v>0</x:v>
      </x:c>
      <x:c r="N173" s="13" t="str">
        <x:f>IF(M173&gt;0,L173/M173,"")</x:f>
      </x:c>
      <x:c r="O173" s="12" t="n">
        <x:f>SUM(C173,F173,I173,L173)</x:f>
        <x:v>0</x:v>
      </x:c>
      <x:c r="P173" s="12" t="n">
        <x:f>SUM(D173,G173,J173,M173)</x:f>
        <x:v>0</x:v>
      </x:c>
      <x:c r="Q173" s="12" t="n">
        <x:v>0</x:v>
      </x:c>
      <x:c r="R173" s="12" t="n">
        <x:v>0</x:v>
      </x:c>
      <x:c r="S173" s="12" t="n">
        <x:f>O173-Q173</x:f>
        <x:v>0</x:v>
      </x:c>
      <x:c r="T173" s="12" t="n">
        <x:f>P173-R173</x:f>
        <x:v>0</x:v>
      </x:c>
    </x:row>
    <x:row r="174" ht="22" customHeight="1">
      <x:c r="A174" s="4" t="str">
        <x:v>B0B1SLBK2P</x:v>
      </x:c>
      <x:c r="B174" s="4" t="str">
        <x:v>HYCHIKA</x:v>
      </x:c>
      <x:c r="C174" s="12" t="n">
        <x:v>0</x:v>
      </x:c>
      <x:c r="D174" s="12" t="n">
        <x:v>27</x:v>
      </x:c>
      <x:c r="E174" s="13" t="n">
        <x:f>IF(D174&gt;0,C174/D174,"")</x:f>
        <x:v>0</x:v>
      </x:c>
      <x:c r="F174" s="12" t="n">
        <x:v>0</x:v>
      </x:c>
      <x:c r="G174" s="12" t="n">
        <x:v>31</x:v>
      </x:c>
      <x:c r="H174" s="13" t="n">
        <x:f>IF(G174&gt;0,F174/G174,"")</x:f>
        <x:v>0</x:v>
      </x:c>
      <x:c r="I174" s="12" t="n">
        <x:v>0</x:v>
      </x:c>
      <x:c r="J174" s="12" t="n">
        <x:v>8</x:v>
      </x:c>
      <x:c r="K174" s="13" t="n">
        <x:f>IF(J174&gt;0,I174/J174,"")</x:f>
        <x:v>0</x:v>
      </x:c>
      <x:c r="L174" s="12" t="n">
        <x:v>0</x:v>
      </x:c>
      <x:c r="M174" s="12" t="n">
        <x:v>25</x:v>
      </x:c>
      <x:c r="N174" s="13" t="n">
        <x:f>IF(M174&gt;0,L174/M174,"")</x:f>
        <x:v>0</x:v>
      </x:c>
      <x:c r="O174" s="12" t="n">
        <x:f>SUM(C174,F174,I174,L174)</x:f>
        <x:v>0</x:v>
      </x:c>
      <x:c r="P174" s="12" t="n">
        <x:f>SUM(D174,G174,J174,M174)</x:f>
        <x:v>91</x:v>
      </x:c>
      <x:c r="Q174" s="12" t="n">
        <x:v>0</x:v>
      </x:c>
      <x:c r="R174" s="12" t="n">
        <x:v>91</x:v>
      </x:c>
      <x:c r="S174" s="12" t="n">
        <x:f>O174-Q174</x:f>
        <x:v>0</x:v>
      </x:c>
      <x:c r="T174" s="12" t="n">
        <x:f>P174-R174</x:f>
        <x:v>0</x:v>
      </x:c>
    </x:row>
    <x:row r="175" ht="22" customHeight="1">
      <x:c r="A175" s="4" t="str">
        <x:v>B0BJ5TZYXR</x:v>
      </x:c>
      <x:c r="B175" s="4" t="str">
        <x:v>SORAKO</x:v>
      </x:c>
      <x:c r="C175" s="12"/>
      <x:c r="D175" s="12"/>
      <x:c r="E175" s="13" t="str">
        <x:f>IF(D175&gt;0,C175/D175,"")</x:f>
      </x:c>
      <x:c r="F175" s="12"/>
      <x:c r="G175" s="12"/>
      <x:c r="H175" s="13" t="str">
        <x:f>IF(G175&gt;0,F175/G175,"")</x:f>
      </x:c>
      <x:c r="I175" s="12" t="n">
        <x:v>0</x:v>
      </x:c>
      <x:c r="J175" s="12" t="n">
        <x:v>0</x:v>
      </x:c>
      <x:c r="K175" s="13" t="str">
        <x:f>IF(J175&gt;0,I175/J175,"")</x:f>
      </x:c>
      <x:c r="L175" s="12"/>
      <x:c r="M175" s="12"/>
      <x:c r="N175" s="13" t="str">
        <x:f>IF(M175&gt;0,L175/M175,"")</x:f>
      </x:c>
      <x:c r="O175" s="12" t="n">
        <x:f>SUM(C175,F175,I175,L175)</x:f>
        <x:v>0</x:v>
      </x:c>
      <x:c r="P175" s="12" t="n">
        <x:f>SUM(D175,G175,J175,M175)</x:f>
        <x:v>0</x:v>
      </x:c>
      <x:c r="Q175" s="12" t="n">
        <x:v>0</x:v>
      </x:c>
      <x:c r="R175" s="12" t="n">
        <x:v>0</x:v>
      </x:c>
      <x:c r="S175" s="12" t="n">
        <x:f>O175-Q175</x:f>
        <x:v>0</x:v>
      </x:c>
      <x:c r="T175" s="12" t="n">
        <x:f>P175-R175</x:f>
        <x:v>0</x:v>
      </x:c>
    </x:row>
    <x:row r="176" ht="22" customHeight="1">
      <x:c r="A176" s="4" t="str">
        <x:v>B0BKFN4K33</x:v>
      </x:c>
      <x:c r="B176" s="4" t="str">
        <x:v>SORAKO</x:v>
      </x:c>
      <x:c r="C176" s="12" t="n">
        <x:v>0</x:v>
      </x:c>
      <x:c r="D176" s="12" t="n">
        <x:v>0</x:v>
      </x:c>
      <x:c r="E176" s="13" t="str">
        <x:f>IF(D176&gt;0,C176/D176,"")</x:f>
      </x:c>
      <x:c r="F176" s="12" t="n">
        <x:v>0</x:v>
      </x:c>
      <x:c r="G176" s="12" t="n">
        <x:v>0</x:v>
      </x:c>
      <x:c r="H176" s="13" t="str">
        <x:f>IF(G176&gt;0,F176/G176,"")</x:f>
      </x:c>
      <x:c r="I176" s="12" t="n">
        <x:v>0</x:v>
      </x:c>
      <x:c r="J176" s="12" t="n">
        <x:v>0</x:v>
      </x:c>
      <x:c r="K176" s="13" t="str">
        <x:f>IF(J176&gt;0,I176/J176,"")</x:f>
      </x:c>
      <x:c r="L176" s="12" t="n">
        <x:v>0</x:v>
      </x:c>
      <x:c r="M176" s="12" t="n">
        <x:v>0</x:v>
      </x:c>
      <x:c r="N176" s="13" t="str">
        <x:f>IF(M176&gt;0,L176/M176,"")</x:f>
      </x:c>
      <x:c r="O176" s="12" t="n">
        <x:f>SUM(C176,F176,I176,L176)</x:f>
        <x:v>0</x:v>
      </x:c>
      <x:c r="P176" s="12" t="n">
        <x:f>SUM(D176,G176,J176,M176)</x:f>
        <x:v>0</x:v>
      </x:c>
      <x:c r="Q176" s="12" t="n">
        <x:v>0</x:v>
      </x:c>
      <x:c r="R176" s="12" t="n">
        <x:v>0</x:v>
      </x:c>
      <x:c r="S176" s="12" t="n">
        <x:f>O176-Q176</x:f>
        <x:v>0</x:v>
      </x:c>
      <x:c r="T176" s="12" t="n">
        <x:f>P176-R176</x:f>
        <x:v>0</x:v>
      </x:c>
    </x:row>
    <x:row r="177" ht="22" customHeight="1">
      <x:c r="A177" s="4" t="str">
        <x:v>B0BKG6ZCLK</x:v>
      </x:c>
      <x:c r="B177" s="4" t="str">
        <x:v>SORAKO</x:v>
      </x:c>
      <x:c r="C177" s="12" t="n">
        <x:v>0</x:v>
      </x:c>
      <x:c r="D177" s="12" t="n">
        <x:v>50</x:v>
      </x:c>
      <x:c r="E177" s="13" t="n">
        <x:f>IF(D177&gt;0,C177/D177,"")</x:f>
        <x:v>0</x:v>
      </x:c>
      <x:c r="F177" s="12" t="n">
        <x:v>0</x:v>
      </x:c>
      <x:c r="G177" s="12" t="n">
        <x:v>0</x:v>
      </x:c>
      <x:c r="H177" s="13" t="str">
        <x:f>IF(G177&gt;0,F177/G177,"")</x:f>
      </x:c>
      <x:c r="I177" s="12" t="n">
        <x:v>0</x:v>
      </x:c>
      <x:c r="J177" s="12" t="n">
        <x:v>0</x:v>
      </x:c>
      <x:c r="K177" s="13" t="str">
        <x:f>IF(J177&gt;0,I177/J177,"")</x:f>
      </x:c>
      <x:c r="L177" s="12" t="n">
        <x:v>0</x:v>
      </x:c>
      <x:c r="M177" s="12" t="n">
        <x:v>0</x:v>
      </x:c>
      <x:c r="N177" s="13" t="str">
        <x:f>IF(M177&gt;0,L177/M177,"")</x:f>
      </x:c>
      <x:c r="O177" s="12" t="n">
        <x:f>SUM(C177,F177,I177,L177)</x:f>
        <x:v>0</x:v>
      </x:c>
      <x:c r="P177" s="12" t="n">
        <x:f>SUM(D177,G177,J177,M177)</x:f>
        <x:v>50</x:v>
      </x:c>
      <x:c r="Q177" s="12" t="n">
        <x:v>0</x:v>
      </x:c>
      <x:c r="R177" s="12" t="n">
        <x:v>50</x:v>
      </x:c>
      <x:c r="S177" s="12" t="n">
        <x:f>O177-Q177</x:f>
        <x:v>0</x:v>
      </x:c>
      <x:c r="T177" s="12" t="n">
        <x:f>P177-R177</x:f>
        <x:v>0</x:v>
      </x:c>
    </x:row>
    <x:row r="178" ht="22" customHeight="1">
      <x:c r="A178" s="4" t="str">
        <x:v>B0BRCV73YZ</x:v>
      </x:c>
      <x:c r="B178" s="4" t="str">
        <x:v>HYCHIKA</x:v>
      </x:c>
      <x:c r="C178" s="12" t="n">
        <x:v>0</x:v>
      </x:c>
      <x:c r="D178" s="12" t="n">
        <x:v>83</x:v>
      </x:c>
      <x:c r="E178" s="13" t="n">
        <x:f>IF(D178&gt;0,C178/D178,"")</x:f>
        <x:v>0</x:v>
      </x:c>
      <x:c r="F178" s="12" t="n">
        <x:v>0</x:v>
      </x:c>
      <x:c r="G178" s="12" t="n">
        <x:v>88</x:v>
      </x:c>
      <x:c r="H178" s="13" t="n">
        <x:f>IF(G178&gt;0,F178/G178,"")</x:f>
        <x:v>0</x:v>
      </x:c>
      <x:c r="I178" s="12" t="n">
        <x:v>0</x:v>
      </x:c>
      <x:c r="J178" s="12" t="n">
        <x:v>0</x:v>
      </x:c>
      <x:c r="K178" s="13" t="str">
        <x:f>IF(J178&gt;0,I178/J178,"")</x:f>
      </x:c>
      <x:c r="L178" s="12" t="n">
        <x:v>0</x:v>
      </x:c>
      <x:c r="M178" s="12" t="n">
        <x:v>0</x:v>
      </x:c>
      <x:c r="N178" s="13" t="str">
        <x:f>IF(M178&gt;0,L178/M178,"")</x:f>
      </x:c>
      <x:c r="O178" s="12" t="n">
        <x:f>SUM(C178,F178,I178,L178)</x:f>
        <x:v>0</x:v>
      </x:c>
      <x:c r="P178" s="12" t="n">
        <x:f>SUM(D178,G178,J178,M178)</x:f>
        <x:v>171</x:v>
      </x:c>
      <x:c r="Q178" s="12" t="n">
        <x:v>0</x:v>
      </x:c>
      <x:c r="R178" s="12" t="n">
        <x:v>171</x:v>
      </x:c>
      <x:c r="S178" s="12" t="n">
        <x:f>O178-Q178</x:f>
        <x:v>0</x:v>
      </x:c>
      <x:c r="T178" s="12" t="n">
        <x:f>P178-R178</x:f>
        <x:v>0</x:v>
      </x:c>
    </x:row>
    <x:row r="179" ht="22" customHeight="1">
      <x:c r="A179" s="4" t="str">
        <x:v>B0BRP9BCWN</x:v>
      </x:c>
      <x:c r="B179" s="4" t="str">
        <x:v>HYCHIKA</x:v>
      </x:c>
      <x:c r="C179" s="12" t="n">
        <x:v>0</x:v>
      </x:c>
      <x:c r="D179" s="12" t="n">
        <x:v>0</x:v>
      </x:c>
      <x:c r="E179" s="13" t="str">
        <x:f>IF(D179&gt;0,C179/D179,"")</x:f>
      </x:c>
      <x:c r="F179" s="12" t="n">
        <x:v>0</x:v>
      </x:c>
      <x:c r="G179" s="12" t="n">
        <x:v>0</x:v>
      </x:c>
      <x:c r="H179" s="13" t="str">
        <x:f>IF(G179&gt;0,F179/G179,"")</x:f>
      </x:c>
      <x:c r="I179" s="12" t="n">
        <x:v>0</x:v>
      </x:c>
      <x:c r="J179" s="12" t="n">
        <x:v>0</x:v>
      </x:c>
      <x:c r="K179" s="13" t="str">
        <x:f>IF(J179&gt;0,I179/J179,"")</x:f>
      </x:c>
      <x:c r="L179" s="12" t="n">
        <x:v>0</x:v>
      </x:c>
      <x:c r="M179" s="12" t="n">
        <x:v>0</x:v>
      </x:c>
      <x:c r="N179" s="13" t="str">
        <x:f>IF(M179&gt;0,L179/M179,"")</x:f>
      </x:c>
      <x:c r="O179" s="12" t="n">
        <x:f>SUM(C179,F179,I179,L179)</x:f>
        <x:v>0</x:v>
      </x:c>
      <x:c r="P179" s="12" t="n">
        <x:f>SUM(D179,G179,J179,M179)</x:f>
        <x:v>0</x:v>
      </x:c>
      <x:c r="Q179" s="12" t="n">
        <x:v>0</x:v>
      </x:c>
      <x:c r="R179" s="12" t="n">
        <x:v>0</x:v>
      </x:c>
      <x:c r="S179" s="12" t="n">
        <x:f>O179-Q179</x:f>
        <x:v>0</x:v>
      </x:c>
      <x:c r="T179" s="12" t="n">
        <x:f>P179-R179</x:f>
        <x:v>0</x:v>
      </x:c>
    </x:row>
    <x:row r="180" ht="22" customHeight="1">
      <x:c r="A180" s="4" t="str">
        <x:v>B0BX2RL52C</x:v>
      </x:c>
      <x:c r="B180" s="4" t="str">
        <x:v>HYCHIKA</x:v>
      </x:c>
      <x:c r="C180" s="12" t="n">
        <x:v>0</x:v>
      </x:c>
      <x:c r="D180" s="12" t="n">
        <x:v>0</x:v>
      </x:c>
      <x:c r="E180" s="13" t="str">
        <x:f>IF(D180&gt;0,C180/D180,"")</x:f>
      </x:c>
      <x:c r="F180" s="12" t="n">
        <x:v>0</x:v>
      </x:c>
      <x:c r="G180" s="12" t="n">
        <x:v>0</x:v>
      </x:c>
      <x:c r="H180" s="13" t="str">
        <x:f>IF(G180&gt;0,F180/G180,"")</x:f>
      </x:c>
      <x:c r="I180" s="12" t="n">
        <x:v>0</x:v>
      </x:c>
      <x:c r="J180" s="12" t="n">
        <x:v>0</x:v>
      </x:c>
      <x:c r="K180" s="13" t="str">
        <x:f>IF(J180&gt;0,I180/J180,"")</x:f>
      </x:c>
      <x:c r="L180" s="12" t="n">
        <x:v>0</x:v>
      </x:c>
      <x:c r="M180" s="12" t="n">
        <x:v>0</x:v>
      </x:c>
      <x:c r="N180" s="13" t="str">
        <x:f>IF(M180&gt;0,L180/M180,"")</x:f>
      </x:c>
      <x:c r="O180" s="12" t="n">
        <x:f>SUM(C180,F180,I180,L180)</x:f>
        <x:v>0</x:v>
      </x:c>
      <x:c r="P180" s="12" t="n">
        <x:f>SUM(D180,G180,J180,M180)</x:f>
        <x:v>0</x:v>
      </x:c>
      <x:c r="Q180" s="12" t="n">
        <x:v>0</x:v>
      </x:c>
      <x:c r="R180" s="12" t="n">
        <x:v>0</x:v>
      </x:c>
      <x:c r="S180" s="12" t="n">
        <x:f>O180-Q180</x:f>
        <x:v>0</x:v>
      </x:c>
      <x:c r="T180" s="12" t="n">
        <x:f>P180-R180</x:f>
        <x:v>0</x:v>
      </x:c>
    </x:row>
    <x:row r="181" ht="22" customHeight="1">
      <x:c r="A181" s="4" t="str">
        <x:v>B0BZP5VPPS</x:v>
      </x:c>
      <x:c r="B181" s="4" t="str">
        <x:v>SORAKO</x:v>
      </x:c>
      <x:c r="C181" s="12" t="n">
        <x:v>0</x:v>
      </x:c>
      <x:c r="D181" s="12" t="n">
        <x:v>0</x:v>
      </x:c>
      <x:c r="E181" s="13" t="str">
        <x:f>IF(D181&gt;0,C181/D181,"")</x:f>
      </x:c>
      <x:c r="F181" s="12" t="n">
        <x:v>0</x:v>
      </x:c>
      <x:c r="G181" s="12" t="n">
        <x:v>0</x:v>
      </x:c>
      <x:c r="H181" s="13" t="str">
        <x:f>IF(G181&gt;0,F181/G181,"")</x:f>
      </x:c>
      <x:c r="I181" s="12"/>
      <x:c r="J181" s="12"/>
      <x:c r="K181" s="13" t="str">
        <x:f>IF(J181&gt;0,I181/J181,"")</x:f>
      </x:c>
      <x:c r="L181" s="12" t="n">
        <x:v>0</x:v>
      </x:c>
      <x:c r="M181" s="12" t="n">
        <x:v>0</x:v>
      </x:c>
      <x:c r="N181" s="13" t="str">
        <x:f>IF(M181&gt;0,L181/M181,"")</x:f>
      </x:c>
      <x:c r="O181" s="12" t="n">
        <x:f>SUM(C181,F181,I181,L181)</x:f>
        <x:v>0</x:v>
      </x:c>
      <x:c r="P181" s="12" t="n">
        <x:f>SUM(D181,G181,J181,M181)</x:f>
        <x:v>0</x:v>
      </x:c>
      <x:c r="Q181" s="12" t="n">
        <x:v>0</x:v>
      </x:c>
      <x:c r="R181" s="12" t="n">
        <x:v>0</x:v>
      </x:c>
      <x:c r="S181" s="12" t="n">
        <x:f>O181-Q181</x:f>
        <x:v>0</x:v>
      </x:c>
      <x:c r="T181" s="12" t="n">
        <x:f>P181-R181</x:f>
        <x:v>0</x:v>
      </x:c>
    </x:row>
    <x:row r="182" ht="22" customHeight="1">
      <x:c r="A182" s="4" t="str">
        <x:v>B0BZPBZW9R</x:v>
      </x:c>
      <x:c r="B182" s="4" t="str">
        <x:v>SORAKO</x:v>
      </x:c>
      <x:c r="C182" s="12" t="n">
        <x:v>0</x:v>
      </x:c>
      <x:c r="D182" s="12" t="n">
        <x:v>0</x:v>
      </x:c>
      <x:c r="E182" s="13" t="str">
        <x:f>IF(D182&gt;0,C182/D182,"")</x:f>
      </x:c>
      <x:c r="F182" s="12"/>
      <x:c r="G182" s="12"/>
      <x:c r="H182" s="13" t="str">
        <x:f>IF(G182&gt;0,F182/G182,"")</x:f>
      </x:c>
      <x:c r="I182" s="12" t="n">
        <x:v>0</x:v>
      </x:c>
      <x:c r="J182" s="12" t="n">
        <x:v>0</x:v>
      </x:c>
      <x:c r="K182" s="13" t="str">
        <x:f>IF(J182&gt;0,I182/J182,"")</x:f>
      </x:c>
      <x:c r="L182" s="12"/>
      <x:c r="M182" s="12"/>
      <x:c r="N182" s="13" t="str">
        <x:f>IF(M182&gt;0,L182/M182,"")</x:f>
      </x:c>
      <x:c r="O182" s="12" t="n">
        <x:f>SUM(C182,F182,I182,L182)</x:f>
        <x:v>0</x:v>
      </x:c>
      <x:c r="P182" s="12" t="n">
        <x:f>SUM(D182,G182,J182,M182)</x:f>
        <x:v>0</x:v>
      </x:c>
      <x:c r="Q182" s="12" t="n">
        <x:v>0</x:v>
      </x:c>
      <x:c r="R182" s="12" t="n">
        <x:v>0</x:v>
      </x:c>
      <x:c r="S182" s="12" t="n">
        <x:f>O182-Q182</x:f>
        <x:v>0</x:v>
      </x:c>
      <x:c r="T182" s="12" t="n">
        <x:f>P182-R182</x:f>
        <x:v>0</x:v>
      </x:c>
    </x:row>
    <x:row r="183" ht="22" customHeight="1">
      <x:c r="A183" s="4" t="str">
        <x:v>B0C8RYFL4G</x:v>
      </x:c>
      <x:c r="B183" s="4" t="str">
        <x:v>HYCHIKA</x:v>
      </x:c>
      <x:c r="C183" s="12" t="n">
        <x:v>0</x:v>
      </x:c>
      <x:c r="D183" s="12" t="n">
        <x:v>0</x:v>
      </x:c>
      <x:c r="E183" s="13" t="str">
        <x:f>IF(D183&gt;0,C183/D183,"")</x:f>
      </x:c>
      <x:c r="F183" s="12" t="n">
        <x:v>0</x:v>
      </x:c>
      <x:c r="G183" s="12" t="n">
        <x:v>0</x:v>
      </x:c>
      <x:c r="H183" s="13" t="str">
        <x:f>IF(G183&gt;0,F183/G183,"")</x:f>
      </x:c>
      <x:c r="I183" s="12" t="n">
        <x:v>0</x:v>
      </x:c>
      <x:c r="J183" s="12" t="n">
        <x:v>0</x:v>
      </x:c>
      <x:c r="K183" s="13" t="str">
        <x:f>IF(J183&gt;0,I183/J183,"")</x:f>
      </x:c>
      <x:c r="L183" s="12" t="n">
        <x:v>0</x:v>
      </x:c>
      <x:c r="M183" s="12" t="n">
        <x:v>0</x:v>
      </x:c>
      <x:c r="N183" s="13" t="str">
        <x:f>IF(M183&gt;0,L183/M183,"")</x:f>
      </x:c>
      <x:c r="O183" s="12" t="n">
        <x:f>SUM(C183,F183,I183,L183)</x:f>
        <x:v>0</x:v>
      </x:c>
      <x:c r="P183" s="12" t="n">
        <x:f>SUM(D183,G183,J183,M183)</x:f>
        <x:v>0</x:v>
      </x:c>
      <x:c r="Q183" s="12" t="n">
        <x:v>0</x:v>
      </x:c>
      <x:c r="R183" s="12" t="n">
        <x:v>0</x:v>
      </x:c>
      <x:c r="S183" s="12" t="n">
        <x:f>O183-Q183</x:f>
        <x:v>0</x:v>
      </x:c>
      <x:c r="T183" s="12" t="n">
        <x:f>P183-R183</x:f>
        <x:v>0</x:v>
      </x:c>
    </x:row>
    <x:row r="184" ht="22" customHeight="1">
      <x:c r="A184" s="4" t="str">
        <x:v>B0C94K6HB2</x:v>
      </x:c>
      <x:c r="B184" s="4" t="str">
        <x:v>HYCHIKA</x:v>
      </x:c>
      <x:c r="C184" s="12" t="n">
        <x:v>0</x:v>
      </x:c>
      <x:c r="D184" s="12" t="n">
        <x:v>0</x:v>
      </x:c>
      <x:c r="E184" s="13" t="str">
        <x:f>IF(D184&gt;0,C184/D184,"")</x:f>
      </x:c>
      <x:c r="F184" s="12" t="n">
        <x:v>0</x:v>
      </x:c>
      <x:c r="G184" s="12" t="n">
        <x:v>46</x:v>
      </x:c>
      <x:c r="H184" s="13" t="n">
        <x:f>IF(G184&gt;0,F184/G184,"")</x:f>
        <x:v>0</x:v>
      </x:c>
      <x:c r="I184" s="12" t="n">
        <x:v>0</x:v>
      </x:c>
      <x:c r="J184" s="12" t="n">
        <x:v>0</x:v>
      </x:c>
      <x:c r="K184" s="13" t="str">
        <x:f>IF(J184&gt;0,I184/J184,"")</x:f>
      </x:c>
      <x:c r="L184" s="12" t="n">
        <x:v>0</x:v>
      </x:c>
      <x:c r="M184" s="12" t="n">
        <x:v>0</x:v>
      </x:c>
      <x:c r="N184" s="13" t="str">
        <x:f>IF(M184&gt;0,L184/M184,"")</x:f>
      </x:c>
      <x:c r="O184" s="12" t="n">
        <x:f>SUM(C184,F184,I184,L184)</x:f>
        <x:v>0</x:v>
      </x:c>
      <x:c r="P184" s="12" t="n">
        <x:f>SUM(D184,G184,J184,M184)</x:f>
        <x:v>46</x:v>
      </x:c>
      <x:c r="Q184" s="12" t="n">
        <x:v>0</x:v>
      </x:c>
      <x:c r="R184" s="12" t="n">
        <x:v>46</x:v>
      </x:c>
      <x:c r="S184" s="12" t="n">
        <x:f>O184-Q184</x:f>
        <x:v>0</x:v>
      </x:c>
      <x:c r="T184" s="12" t="n">
        <x:f>P184-R184</x:f>
        <x:v>0</x:v>
      </x:c>
    </x:row>
    <x:row r="185" ht="22" customHeight="1">
      <x:c r="A185" s="4" t="str">
        <x:v>B0CCJD18QB</x:v>
      </x:c>
      <x:c r="B185" s="4" t="str">
        <x:v>HYCHIKA</x:v>
      </x:c>
      <x:c r="C185" s="12" t="n">
        <x:v>0</x:v>
      </x:c>
      <x:c r="D185" s="12" t="n">
        <x:v>0</x:v>
      </x:c>
      <x:c r="E185" s="13" t="str">
        <x:f>IF(D185&gt;0,C185/D185,"")</x:f>
      </x:c>
      <x:c r="F185" s="12" t="n">
        <x:v>0</x:v>
      </x:c>
      <x:c r="G185" s="12" t="n">
        <x:v>0</x:v>
      </x:c>
      <x:c r="H185" s="13" t="str">
        <x:f>IF(G185&gt;0,F185/G185,"")</x:f>
      </x:c>
      <x:c r="I185" s="12" t="n">
        <x:v>0</x:v>
      </x:c>
      <x:c r="J185" s="12" t="n">
        <x:v>0</x:v>
      </x:c>
      <x:c r="K185" s="13" t="str">
        <x:f>IF(J185&gt;0,I185/J185,"")</x:f>
      </x:c>
      <x:c r="L185" s="12"/>
      <x:c r="M185" s="12"/>
      <x:c r="N185" s="13" t="str">
        <x:f>IF(M185&gt;0,L185/M185,"")</x:f>
      </x:c>
      <x:c r="O185" s="12" t="n">
        <x:f>SUM(C185,F185,I185,L185)</x:f>
        <x:v>0</x:v>
      </x:c>
      <x:c r="P185" s="12" t="n">
        <x:f>SUM(D185,G185,J185,M185)</x:f>
        <x:v>0</x:v>
      </x:c>
      <x:c r="Q185" s="12" t="n">
        <x:v>0</x:v>
      </x:c>
      <x:c r="R185" s="12" t="n">
        <x:v>0</x:v>
      </x:c>
      <x:c r="S185" s="12" t="n">
        <x:f>O185-Q185</x:f>
        <x:v>0</x:v>
      </x:c>
      <x:c r="T185" s="12" t="n">
        <x:f>P185-R185</x:f>
        <x:v>0</x:v>
      </x:c>
    </x:row>
    <x:row r="186" ht="22" customHeight="1">
      <x:c r="A186" s="4" t="str">
        <x:v>B0CG6N2845</x:v>
      </x:c>
      <x:c r="B186" s="4" t="str">
        <x:v>HYCHIKA</x:v>
      </x:c>
      <x:c r="C186" s="12" t="n">
        <x:v>0</x:v>
      </x:c>
      <x:c r="D186" s="12" t="n">
        <x:v>28</x:v>
      </x:c>
      <x:c r="E186" s="13" t="n">
        <x:f>IF(D186&gt;0,C186/D186,"")</x:f>
        <x:v>0</x:v>
      </x:c>
      <x:c r="F186" s="12"/>
      <x:c r="G186" s="12"/>
      <x:c r="H186" s="13" t="str">
        <x:f>IF(G186&gt;0,F186/G186,"")</x:f>
      </x:c>
      <x:c r="I186" s="12"/>
      <x:c r="J186" s="12"/>
      <x:c r="K186" s="13" t="str">
        <x:f>IF(J186&gt;0,I186/J186,"")</x:f>
      </x:c>
      <x:c r="L186" s="12"/>
      <x:c r="M186" s="12"/>
      <x:c r="N186" s="13" t="str">
        <x:f>IF(M186&gt;0,L186/M186,"")</x:f>
      </x:c>
      <x:c r="O186" s="12" t="n">
        <x:f>SUM(C186,F186,I186,L186)</x:f>
        <x:v>0</x:v>
      </x:c>
      <x:c r="P186" s="12" t="n">
        <x:f>SUM(D186,G186,J186,M186)</x:f>
        <x:v>28</x:v>
      </x:c>
      <x:c r="Q186" s="12" t="n">
        <x:v>0</x:v>
      </x:c>
      <x:c r="R186" s="12" t="n">
        <x:v>28</x:v>
      </x:c>
      <x:c r="S186" s="12" t="n">
        <x:f>O186-Q186</x:f>
        <x:v>0</x:v>
      </x:c>
      <x:c r="T186" s="12" t="n">
        <x:f>P186-R186</x:f>
        <x:v>0</x:v>
      </x:c>
    </x:row>
    <x:row r="187" ht="22" customHeight="1">
      <x:c r="A187" s="4" t="str">
        <x:v>B0CG6NYF55</x:v>
      </x:c>
      <x:c r="B187" s="4" t="str">
        <x:v>HYCHIKA</x:v>
      </x:c>
      <x:c r="C187" s="12" t="n">
        <x:v>0</x:v>
      </x:c>
      <x:c r="D187" s="12" t="n">
        <x:v>78</x:v>
      </x:c>
      <x:c r="E187" s="13" t="n">
        <x:f>IF(D187&gt;0,C187/D187,"")</x:f>
        <x:v>0</x:v>
      </x:c>
      <x:c r="F187" s="12" t="n">
        <x:v>0</x:v>
      </x:c>
      <x:c r="G187" s="12" t="n">
        <x:v>50</x:v>
      </x:c>
      <x:c r="H187" s="13" t="n">
        <x:f>IF(G187&gt;0,F187/G187,"")</x:f>
        <x:v>0</x:v>
      </x:c>
      <x:c r="I187" s="12" t="n">
        <x:v>0</x:v>
      </x:c>
      <x:c r="J187" s="12" t="n">
        <x:v>36</x:v>
      </x:c>
      <x:c r="K187" s="13" t="n">
        <x:f>IF(J187&gt;0,I187/J187,"")</x:f>
        <x:v>0</x:v>
      </x:c>
      <x:c r="L187" s="12" t="n">
        <x:v>0</x:v>
      </x:c>
      <x:c r="M187" s="12" t="n">
        <x:v>56</x:v>
      </x:c>
      <x:c r="N187" s="13" t="n">
        <x:f>IF(M187&gt;0,L187/M187,"")</x:f>
        <x:v>0</x:v>
      </x:c>
      <x:c r="O187" s="12" t="n">
        <x:f>SUM(C187,F187,I187,L187)</x:f>
        <x:v>0</x:v>
      </x:c>
      <x:c r="P187" s="12" t="n">
        <x:f>SUM(D187,G187,J187,M187)</x:f>
        <x:v>220</x:v>
      </x:c>
      <x:c r="Q187" s="12" t="n">
        <x:v>0</x:v>
      </x:c>
      <x:c r="R187" s="12" t="n">
        <x:v>220</x:v>
      </x:c>
      <x:c r="S187" s="12" t="n">
        <x:f>O187-Q187</x:f>
        <x:v>0</x:v>
      </x:c>
      <x:c r="T187" s="12" t="n">
        <x:f>P187-R187</x:f>
        <x:v>0</x:v>
      </x:c>
    </x:row>
    <x:row r="188" ht="22" customHeight="1">
      <x:c r="A188" s="4" t="str">
        <x:v>B0CG6P3RBN</x:v>
      </x:c>
      <x:c r="B188" s="4" t="str">
        <x:v>HYCHIKA</x:v>
      </x:c>
      <x:c r="C188" s="12" t="n">
        <x:v>0</x:v>
      </x:c>
      <x:c r="D188" s="12" t="n">
        <x:v>69</x:v>
      </x:c>
      <x:c r="E188" s="13" t="n">
        <x:f>IF(D188&gt;0,C188/D188,"")</x:f>
        <x:v>0</x:v>
      </x:c>
      <x:c r="F188" s="12" t="n">
        <x:v>0</x:v>
      </x:c>
      <x:c r="G188" s="12" t="n">
        <x:v>0</x:v>
      </x:c>
      <x:c r="H188" s="13" t="str">
        <x:f>IF(G188&gt;0,F188/G188,"")</x:f>
      </x:c>
      <x:c r="I188" s="12"/>
      <x:c r="J188" s="12"/>
      <x:c r="K188" s="13" t="str">
        <x:f>IF(J188&gt;0,I188/J188,"")</x:f>
      </x:c>
      <x:c r="L188" s="12"/>
      <x:c r="M188" s="12"/>
      <x:c r="N188" s="13" t="str">
        <x:f>IF(M188&gt;0,L188/M188,"")</x:f>
      </x:c>
      <x:c r="O188" s="12" t="n">
        <x:f>SUM(C188,F188,I188,L188)</x:f>
        <x:v>0</x:v>
      </x:c>
      <x:c r="P188" s="12" t="n">
        <x:f>SUM(D188,G188,J188,M188)</x:f>
        <x:v>69</x:v>
      </x:c>
      <x:c r="Q188" s="12" t="n">
        <x:v>0</x:v>
      </x:c>
      <x:c r="R188" s="12" t="n">
        <x:v>69</x:v>
      </x:c>
      <x:c r="S188" s="12" t="n">
        <x:f>O188-Q188</x:f>
        <x:v>0</x:v>
      </x:c>
      <x:c r="T188" s="12" t="n">
        <x:f>P188-R188</x:f>
        <x:v>0</x:v>
      </x:c>
    </x:row>
    <x:row r="189" ht="22" customHeight="1">
      <x:c r="A189" s="4" t="str">
        <x:v>B0CL3X5MNQ</x:v>
      </x:c>
      <x:c r="B189" s="4" t="str">
        <x:v>HYCHIKA</x:v>
      </x:c>
      <x:c r="C189" s="12" t="n">
        <x:v>0</x:v>
      </x:c>
      <x:c r="D189" s="12" t="n">
        <x:v>0</x:v>
      </x:c>
      <x:c r="E189" s="13" t="str">
        <x:f>IF(D189&gt;0,C189/D189,"")</x:f>
      </x:c>
      <x:c r="F189" s="12" t="n">
        <x:v>0</x:v>
      </x:c>
      <x:c r="G189" s="12" t="n">
        <x:v>0</x:v>
      </x:c>
      <x:c r="H189" s="13" t="str">
        <x:f>IF(G189&gt;0,F189/G189,"")</x:f>
      </x:c>
      <x:c r="I189" s="12"/>
      <x:c r="J189" s="12"/>
      <x:c r="K189" s="13" t="str">
        <x:f>IF(J189&gt;0,I189/J189,"")</x:f>
      </x:c>
      <x:c r="L189" s="12"/>
      <x:c r="M189" s="12"/>
      <x:c r="N189" s="13" t="str">
        <x:f>IF(M189&gt;0,L189/M189,"")</x:f>
      </x:c>
      <x:c r="O189" s="12" t="n">
        <x:f>SUM(C189,F189,I189,L189)</x:f>
        <x:v>0</x:v>
      </x:c>
      <x:c r="P189" s="12" t="n">
        <x:f>SUM(D189,G189,J189,M189)</x:f>
        <x:v>0</x:v>
      </x:c>
      <x:c r="Q189" s="12" t="n">
        <x:v>0</x:v>
      </x:c>
      <x:c r="R189" s="12" t="n">
        <x:v>0</x:v>
      </x:c>
      <x:c r="S189" s="12" t="n">
        <x:f>O189-Q189</x:f>
        <x:v>0</x:v>
      </x:c>
      <x:c r="T189" s="12" t="n">
        <x:f>P189-R189</x:f>
        <x:v>0</x:v>
      </x:c>
    </x:row>
    <x:row r="190" ht="22" customHeight="1">
      <x:c r="A190" s="4" t="str">
        <x:v>B0CPF4DDV4</x:v>
      </x:c>
      <x:c r="B190" s="4" t="str">
        <x:v>HYCHIKA</x:v>
      </x:c>
      <x:c r="C190" s="12" t="n">
        <x:v>0</x:v>
      </x:c>
      <x:c r="D190" s="12" t="n">
        <x:v>0</x:v>
      </x:c>
      <x:c r="E190" s="13" t="str">
        <x:f>IF(D190&gt;0,C190/D190,"")</x:f>
      </x:c>
      <x:c r="F190" s="12" t="n">
        <x:v>0</x:v>
      </x:c>
      <x:c r="G190" s="12" t="n">
        <x:v>0</x:v>
      </x:c>
      <x:c r="H190" s="13" t="str">
        <x:f>IF(G190&gt;0,F190/G190,"")</x:f>
      </x:c>
      <x:c r="I190" s="12" t="n">
        <x:v>0</x:v>
      </x:c>
      <x:c r="J190" s="12" t="n">
        <x:v>3</x:v>
      </x:c>
      <x:c r="K190" s="13" t="n">
        <x:f>IF(J190&gt;0,I190/J190,"")</x:f>
        <x:v>0</x:v>
      </x:c>
      <x:c r="L190" s="12" t="n">
        <x:v>0</x:v>
      </x:c>
      <x:c r="M190" s="12" t="n">
        <x:v>15</x:v>
      </x:c>
      <x:c r="N190" s="13" t="n">
        <x:f>IF(M190&gt;0,L190/M190,"")</x:f>
        <x:v>0</x:v>
      </x:c>
      <x:c r="O190" s="12" t="n">
        <x:f>SUM(C190,F190,I190,L190)</x:f>
        <x:v>0</x:v>
      </x:c>
      <x:c r="P190" s="12" t="n">
        <x:f>SUM(D190,G190,J190,M190)</x:f>
        <x:v>18</x:v>
      </x:c>
      <x:c r="Q190" s="12" t="n">
        <x:v>0</x:v>
      </x:c>
      <x:c r="R190" s="12" t="n">
        <x:v>18</x:v>
      </x:c>
      <x:c r="S190" s="12" t="n">
        <x:f>O190-Q190</x:f>
        <x:v>0</x:v>
      </x:c>
      <x:c r="T190" s="12" t="n">
        <x:f>P190-R190</x:f>
        <x:v>0</x:v>
      </x:c>
    </x:row>
    <x:row r="191" ht="22" customHeight="1">
      <x:c r="A191" s="4" t="str">
        <x:v>B0D8T88D8K</x:v>
      </x:c>
      <x:c r="B191" s="4" t="str">
        <x:v>HYCHIKA</x:v>
      </x:c>
      <x:c r="C191" s="12" t="n">
        <x:v>0</x:v>
      </x:c>
      <x:c r="D191" s="12" t="n">
        <x:v>17</x:v>
      </x:c>
      <x:c r="E191" s="13" t="n">
        <x:f>IF(D191&gt;0,C191/D191,"")</x:f>
        <x:v>0</x:v>
      </x:c>
      <x:c r="F191" s="12" t="n">
        <x:v>0</x:v>
      </x:c>
      <x:c r="G191" s="12" t="n">
        <x:v>0</x:v>
      </x:c>
      <x:c r="H191" s="13" t="str">
        <x:f>IF(G191&gt;0,F191/G191,"")</x:f>
      </x:c>
      <x:c r="I191" s="12" t="n">
        <x:v>0</x:v>
      </x:c>
      <x:c r="J191" s="12" t="n">
        <x:v>0</x:v>
      </x:c>
      <x:c r="K191" s="13" t="str">
        <x:f>IF(J191&gt;0,I191/J191,"")</x:f>
      </x:c>
      <x:c r="L191" s="12" t="n">
        <x:v>0</x:v>
      </x:c>
      <x:c r="M191" s="12" t="n">
        <x:v>0</x:v>
      </x:c>
      <x:c r="N191" s="13" t="str">
        <x:f>IF(M191&gt;0,L191/M191,"")</x:f>
      </x:c>
      <x:c r="O191" s="12" t="n">
        <x:f>SUM(C191,F191,I191,L191)</x:f>
        <x:v>0</x:v>
      </x:c>
      <x:c r="P191" s="12" t="n">
        <x:f>SUM(D191,G191,J191,M191)</x:f>
        <x:v>17</x:v>
      </x:c>
      <x:c r="Q191" s="12" t="n">
        <x:v>0</x:v>
      </x:c>
      <x:c r="R191" s="12" t="n">
        <x:v>17</x:v>
      </x:c>
      <x:c r="S191" s="12" t="n">
        <x:f>O191-Q191</x:f>
        <x:v>0</x:v>
      </x:c>
      <x:c r="T191" s="12" t="n">
        <x:f>P191-R191</x:f>
        <x:v>0</x:v>
      </x:c>
    </x:row>
    <x:row r="192" ht="22" customHeight="1">
      <x:c r="A192" s="4" t="str">
        <x:v>B0DB1Z1T7Z</x:v>
      </x:c>
      <x:c r="B192" s="4" t="str">
        <x:v>HYCHIKA</x:v>
      </x:c>
      <x:c r="C192" s="12" t="n">
        <x:v>0</x:v>
      </x:c>
      <x:c r="D192" s="12" t="n">
        <x:v>0</x:v>
      </x:c>
      <x:c r="E192" s="13" t="str">
        <x:f>IF(D192&gt;0,C192/D192,"")</x:f>
      </x:c>
      <x:c r="F192" s="12" t="n">
        <x:v>0</x:v>
      </x:c>
      <x:c r="G192" s="12" t="n">
        <x:v>0</x:v>
      </x:c>
      <x:c r="H192" s="13" t="str">
        <x:f>IF(G192&gt;0,F192/G192,"")</x:f>
      </x:c>
      <x:c r="I192" s="12" t="n">
        <x:v>0</x:v>
      </x:c>
      <x:c r="J192" s="12" t="n">
        <x:v>0</x:v>
      </x:c>
      <x:c r="K192" s="13" t="str">
        <x:f>IF(J192&gt;0,I192/J192,"")</x:f>
      </x:c>
      <x:c r="L192" s="12" t="n">
        <x:v>0</x:v>
      </x:c>
      <x:c r="M192" s="12" t="n">
        <x:v>181</x:v>
      </x:c>
      <x:c r="N192" s="13" t="n">
        <x:f>IF(M192&gt;0,L192/M192,"")</x:f>
        <x:v>0</x:v>
      </x:c>
      <x:c r="O192" s="12" t="n">
        <x:f>SUM(C192,F192,I192,L192)</x:f>
        <x:v>0</x:v>
      </x:c>
      <x:c r="P192" s="12" t="n">
        <x:f>SUM(D192,G192,J192,M192)</x:f>
        <x:v>181</x:v>
      </x:c>
      <x:c r="Q192" s="12" t="n">
        <x:v>0</x:v>
      </x:c>
      <x:c r="R192" s="12" t="n">
        <x:v>181</x:v>
      </x:c>
      <x:c r="S192" s="12" t="n">
        <x:f>O192-Q192</x:f>
        <x:v>0</x:v>
      </x:c>
      <x:c r="T192" s="12" t="n">
        <x:f>P192-R192</x:f>
        <x:v>0</x:v>
      </x:c>
    </x:row>
    <x:row r="193" ht="22" customHeight="1">
      <x:c r="A193" s="4" t="str">
        <x:v>B0F5HSHTZP</x:v>
      </x:c>
      <x:c r="B193" s="4" t="str">
        <x:v>HYCHIKA</x:v>
      </x:c>
      <x:c r="C193" s="12"/>
      <x:c r="D193" s="12"/>
      <x:c r="E193" s="13" t="str">
        <x:f>IF(D193&gt;0,C193/D193,"")</x:f>
      </x:c>
      <x:c r="F193" s="12"/>
      <x:c r="G193" s="12"/>
      <x:c r="H193" s="13" t="str">
        <x:f>IF(G193&gt;0,F193/G193,"")</x:f>
      </x:c>
      <x:c r="I193" s="12"/>
      <x:c r="J193" s="12"/>
      <x:c r="K193" s="13" t="str">
        <x:f>IF(J193&gt;0,I193/J193,"")</x:f>
      </x:c>
      <x:c r="L193" s="12" t="n">
        <x:v>0</x:v>
      </x:c>
      <x:c r="M193" s="12" t="n">
        <x:v>17</x:v>
      </x:c>
      <x:c r="N193" s="13" t="n">
        <x:f>IF(M193&gt;0,L193/M193,"")</x:f>
        <x:v>0</x:v>
      </x:c>
      <x:c r="O193" s="12" t="n">
        <x:f>SUM(C193,F193,I193,L193)</x:f>
        <x:v>0</x:v>
      </x:c>
      <x:c r="P193" s="12" t="n">
        <x:f>SUM(D193,G193,J193,M193)</x:f>
        <x:v>17</x:v>
      </x:c>
      <x:c r="Q193" s="12" t="n">
        <x:v>0</x:v>
      </x:c>
      <x:c r="R193" s="12" t="n">
        <x:v>17</x:v>
      </x:c>
      <x:c r="S193" s="12" t="n">
        <x:f>O193-Q193</x:f>
        <x:v>0</x:v>
      </x:c>
      <x:c r="T193" s="12" t="n">
        <x:f>P193-R193</x:f>
        <x:v>0</x:v>
      </x:c>
    </x:row>
    <x:row r="194" ht="22" customHeight="1">
      <x:c r="A194" s="4" t="str">
        <x:v>B0F7RH5M61</x:v>
      </x:c>
      <x:c r="B194" s="4" t="str">
        <x:v>HYCHIKA</x:v>
      </x:c>
      <x:c r="C194" s="12" t="n">
        <x:v>0</x:v>
      </x:c>
      <x:c r="D194" s="12" t="n">
        <x:v>7</x:v>
      </x:c>
      <x:c r="E194" s="13" t="n">
        <x:f>IF(D194&gt;0,C194/D194,"")</x:f>
        <x:v>0</x:v>
      </x:c>
      <x:c r="F194" s="12"/>
      <x:c r="G194" s="12"/>
      <x:c r="H194" s="13" t="str">
        <x:f>IF(G194&gt;0,F194/G194,"")</x:f>
      </x:c>
      <x:c r="I194" s="12" t="n">
        <x:v>0</x:v>
      </x:c>
      <x:c r="J194" s="12" t="n">
        <x:v>0</x:v>
      </x:c>
      <x:c r="K194" s="13" t="str">
        <x:f>IF(J194&gt;0,I194/J194,"")</x:f>
      </x:c>
      <x:c r="L194" s="12"/>
      <x:c r="M194" s="12"/>
      <x:c r="N194" s="13" t="str">
        <x:f>IF(M194&gt;0,L194/M194,"")</x:f>
      </x:c>
      <x:c r="O194" s="12" t="n">
        <x:f>SUM(C194,F194,I194,L194)</x:f>
        <x:v>0</x:v>
      </x:c>
      <x:c r="P194" s="12" t="n">
        <x:f>SUM(D194,G194,J194,M194)</x:f>
        <x:v>7</x:v>
      </x:c>
      <x:c r="Q194" s="12" t="n">
        <x:v>0</x:v>
      </x:c>
      <x:c r="R194" s="12" t="n">
        <x:v>7</x:v>
      </x:c>
      <x:c r="S194" s="12" t="n">
        <x:f>O194-Q194</x:f>
        <x:v>0</x:v>
      </x:c>
      <x:c r="T194" s="12" t="n">
        <x:f>P194-R194</x:f>
        <x:v>0</x:v>
      </x:c>
    </x:row>
    <x:row r="195" ht="22" customHeight="1">
      <x:c r="A195" s="4" t="str">
        <x:v>B0FFGLFC4X</x:v>
      </x:c>
      <x:c r="B195" s="4" t="str">
        <x:v>HYCHIKA</x:v>
      </x:c>
      <x:c r="C195" s="12" t="n">
        <x:v>0</x:v>
      </x:c>
      <x:c r="D195" s="12" t="n">
        <x:v>0</x:v>
      </x:c>
      <x:c r="E195" s="13" t="str">
        <x:f>IF(D195&gt;0,C195/D195,"")</x:f>
      </x:c>
      <x:c r="F195" s="12"/>
      <x:c r="G195" s="12"/>
      <x:c r="H195" s="13" t="str">
        <x:f>IF(G195&gt;0,F195/G195,"")</x:f>
      </x:c>
      <x:c r="I195" s="12"/>
      <x:c r="J195" s="12"/>
      <x:c r="K195" s="13" t="str">
        <x:f>IF(J195&gt;0,I195/J195,"")</x:f>
      </x:c>
      <x:c r="L195" s="12" t="n">
        <x:v>0</x:v>
      </x:c>
      <x:c r="M195" s="12" t="n">
        <x:v>0</x:v>
      </x:c>
      <x:c r="N195" s="13" t="str">
        <x:f>IF(M195&gt;0,L195/M195,"")</x:f>
      </x:c>
      <x:c r="O195" s="12" t="n">
        <x:f>SUM(C195,F195,I195,L195)</x:f>
        <x:v>0</x:v>
      </x:c>
      <x:c r="P195" s="12" t="n">
        <x:f>SUM(D195,G195,J195,M195)</x:f>
        <x:v>0</x:v>
      </x:c>
      <x:c r="Q195" s="12" t="n">
        <x:v>0</x:v>
      </x:c>
      <x:c r="R195" s="12" t="n">
        <x:v>0</x:v>
      </x:c>
      <x:c r="S195" s="12" t="n">
        <x:f>O195-Q195</x:f>
        <x:v>0</x:v>
      </x:c>
      <x:c r="T195" s="12" t="n">
        <x:f>P195-R195</x:f>
        <x:v>0</x:v>
      </x:c>
    </x:row>
    <x:row r="196" ht="22" customHeight="1">
      <x:c r="A196" s="4" t="str">
        <x:v>B0FFM7G9YF</x:v>
      </x:c>
      <x:c r="B196" s="4" t="str">
        <x:v>HYCHIKA</x:v>
      </x:c>
      <x:c r="C196" s="12" t="n">
        <x:v>0</x:v>
      </x:c>
      <x:c r="D196" s="12" t="n">
        <x:v>0</x:v>
      </x:c>
      <x:c r="E196" s="13" t="str">
        <x:f>IF(D196&gt;0,C196/D196,"")</x:f>
      </x:c>
      <x:c r="F196" s="12" t="n">
        <x:v>0</x:v>
      </x:c>
      <x:c r="G196" s="12" t="n">
        <x:v>0</x:v>
      </x:c>
      <x:c r="H196" s="13" t="str">
        <x:f>IF(G196&gt;0,F196/G196,"")</x:f>
      </x:c>
      <x:c r="I196" s="12" t="n">
        <x:v>0</x:v>
      </x:c>
      <x:c r="J196" s="12" t="n">
        <x:v>0</x:v>
      </x:c>
      <x:c r="K196" s="13" t="str">
        <x:f>IF(J196&gt;0,I196/J196,"")</x:f>
      </x:c>
      <x:c r="L196" s="12" t="n">
        <x:v>0</x:v>
      </x:c>
      <x:c r="M196" s="12" t="n">
        <x:v>0</x:v>
      </x:c>
      <x:c r="N196" s="13" t="str">
        <x:f>IF(M196&gt;0,L196/M196,"")</x:f>
      </x:c>
      <x:c r="O196" s="12" t="n">
        <x:f>SUM(C196,F196,I196,L196)</x:f>
        <x:v>0</x:v>
      </x:c>
      <x:c r="P196" s="12" t="n">
        <x:f>SUM(D196,G196,J196,M196)</x:f>
        <x:v>0</x:v>
      </x:c>
      <x:c r="Q196" s="12" t="n">
        <x:v>0</x:v>
      </x:c>
      <x:c r="R196" s="12" t="n">
        <x:v>0</x:v>
      </x:c>
      <x:c r="S196" s="12" t="n">
        <x:f>O196-Q196</x:f>
        <x:v>0</x:v>
      </x:c>
      <x:c r="T196" s="12" t="n">
        <x:f>P196-R196</x:f>
        <x:v>0</x:v>
      </x:c>
    </x:row>
    <x:row r="197" ht="22" customHeight="1">
      <x:c r="A197" s="4" t="str">
        <x:v>B0FFM7Z2LZ</x:v>
      </x:c>
      <x:c r="B197" s="4" t="str">
        <x:v>HYCHIKA</x:v>
      </x:c>
      <x:c r="C197" s="12" t="n">
        <x:v>0</x:v>
      </x:c>
      <x:c r="D197" s="12" t="n">
        <x:v>4</x:v>
      </x:c>
      <x:c r="E197" s="13" t="n">
        <x:f>IF(D197&gt;0,C197/D197,"")</x:f>
        <x:v>0</x:v>
      </x:c>
      <x:c r="F197" s="12" t="n">
        <x:v>0</x:v>
      </x:c>
      <x:c r="G197" s="12" t="n">
        <x:v>0</x:v>
      </x:c>
      <x:c r="H197" s="13" t="str">
        <x:f>IF(G197&gt;0,F197/G197,"")</x:f>
      </x:c>
      <x:c r="I197" s="12" t="n">
        <x:v>0</x:v>
      </x:c>
      <x:c r="J197" s="12" t="n">
        <x:v>0</x:v>
      </x:c>
      <x:c r="K197" s="13" t="str">
        <x:f>IF(J197&gt;0,I197/J197,"")</x:f>
      </x:c>
      <x:c r="L197" s="12" t="n">
        <x:v>0</x:v>
      </x:c>
      <x:c r="M197" s="12" t="n">
        <x:v>12</x:v>
      </x:c>
      <x:c r="N197" s="13" t="n">
        <x:f>IF(M197&gt;0,L197/M197,"")</x:f>
        <x:v>0</x:v>
      </x:c>
      <x:c r="O197" s="12" t="n">
        <x:f>SUM(C197,F197,I197,L197)</x:f>
        <x:v>0</x:v>
      </x:c>
      <x:c r="P197" s="12" t="n">
        <x:f>SUM(D197,G197,J197,M197)</x:f>
        <x:v>16</x:v>
      </x:c>
      <x:c r="Q197" s="12" t="n">
        <x:v>0</x:v>
      </x:c>
      <x:c r="R197" s="12" t="n">
        <x:v>16</x:v>
      </x:c>
      <x:c r="S197" s="12" t="n">
        <x:f>O197-Q197</x:f>
        <x:v>0</x:v>
      </x:c>
      <x:c r="T197" s="12" t="n">
        <x:f>P197-R197</x:f>
        <x:v>0</x:v>
      </x:c>
    </x:row>
    <x:row r="198" ht="22" customHeight="1">
      <x:c r="A198" s="4" t="str">
        <x:v>B0G5BDWDG3</x:v>
      </x:c>
      <x:c r="B198" s="4" t="str">
        <x:v>HYCHIKA</x:v>
      </x:c>
      <x:c r="C198" s="12"/>
      <x:c r="D198" s="12"/>
      <x:c r="E198" s="13" t="str">
        <x:f>IF(D198&gt;0,C198/D198,"")</x:f>
      </x:c>
      <x:c r="F198" s="12" t="n">
        <x:v>0</x:v>
      </x:c>
      <x:c r="G198" s="12" t="n">
        <x:v>3</x:v>
      </x:c>
      <x:c r="H198" s="13" t="n">
        <x:f>IF(G198&gt;0,F198/G198,"")</x:f>
        <x:v>0</x:v>
      </x:c>
      <x:c r="I198" s="12" t="n">
        <x:v>0</x:v>
      </x:c>
      <x:c r="J198" s="12" t="n">
        <x:v>4</x:v>
      </x:c>
      <x:c r="K198" s="13" t="n">
        <x:f>IF(J198&gt;0,I198/J198,"")</x:f>
        <x:v>0</x:v>
      </x:c>
      <x:c r="L198" s="12" t="n">
        <x:v>0</x:v>
      </x:c>
      <x:c r="M198" s="12" t="n">
        <x:v>6</x:v>
      </x:c>
      <x:c r="N198" s="13" t="n">
        <x:f>IF(M198&gt;0,L198/M198,"")</x:f>
        <x:v>0</x:v>
      </x:c>
      <x:c r="O198" s="12" t="n">
        <x:f>SUM(C198,F198,I198,L198)</x:f>
        <x:v>0</x:v>
      </x:c>
      <x:c r="P198" s="12" t="n">
        <x:f>SUM(D198,G198,J198,M198)</x:f>
        <x:v>13</x:v>
      </x:c>
      <x:c r="Q198" s="12" t="n">
        <x:v>0</x:v>
      </x:c>
      <x:c r="R198" s="12" t="n">
        <x:v>13</x:v>
      </x:c>
      <x:c r="S198" s="12" t="n">
        <x:f>O198-Q198</x:f>
        <x:v>0</x:v>
      </x:c>
      <x:c r="T198" s="12" t="n">
        <x:f>P198-R198</x:f>
        <x:v>0</x:v>
      </x:c>
    </x:row>
    <x:row r="199" ht="22" customHeight="1">
      <x:c r="A199" s="4" t="str">
        <x:v>B0HFLRH66Q</x:v>
      </x:c>
      <x:c r="B199" s="4" t="str">
        <x:v>HYCHIKA</x:v>
      </x:c>
      <x:c r="C199" s="12"/>
      <x:c r="D199" s="12"/>
      <x:c r="E199" s="13" t="str">
        <x:f>IF(D199&gt;0,C199/D199,"")</x:f>
      </x:c>
      <x:c r="F199" s="12"/>
      <x:c r="G199" s="12"/>
      <x:c r="H199" s="13" t="str">
        <x:f>IF(G199&gt;0,F199/G199,"")</x:f>
      </x:c>
      <x:c r="I199" s="12"/>
      <x:c r="J199" s="12"/>
      <x:c r="K199" s="13" t="str">
        <x:f>IF(J199&gt;0,I199/J199,"")</x:f>
      </x:c>
      <x:c r="L199" s="12" t="n">
        <x:v>0</x:v>
      </x:c>
      <x:c r="M199" s="12" t="n">
        <x:v>0</x:v>
      </x:c>
      <x:c r="N199" s="13" t="str">
        <x:f>IF(M199&gt;0,L199/M199,"")</x:f>
      </x:c>
      <x:c r="O199" s="12" t="n">
        <x:f>SUM(C199,F199,I199,L199)</x:f>
        <x:v>0</x:v>
      </x:c>
      <x:c r="P199" s="12" t="n">
        <x:f>SUM(D199,G199,J199,M199)</x:f>
        <x:v>0</x:v>
      </x:c>
      <x:c r="Q199" s="12" t="n">
        <x:v>0</x:v>
      </x:c>
      <x:c r="R199" s="12" t="n">
        <x:v>0</x:v>
      </x:c>
      <x:c r="S199" s="12" t="n">
        <x:f>O199-Q199</x:f>
        <x:v>0</x:v>
      </x:c>
      <x:c r="T199" s="12" t="n">
        <x:f>P199-R199</x:f>
        <x:v>0</x:v>
      </x:c>
    </x:row>
    <x:row r="200" ht="22" customHeight="1">
      <x:c r="A200" s="4" t="str">
        <x:v>B0HJNP31QW</x:v>
      </x:c>
      <x:c r="B200" s="4" t="str">
        <x:v>HYCHIKA</x:v>
      </x:c>
      <x:c r="C200" s="12"/>
      <x:c r="D200" s="12"/>
      <x:c r="E200" s="13" t="str">
        <x:f>IF(D200&gt;0,C200/D200,"")</x:f>
      </x:c>
      <x:c r="F200" s="12"/>
      <x:c r="G200" s="12"/>
      <x:c r="H200" s="13" t="str">
        <x:f>IF(G200&gt;0,F200/G200,"")</x:f>
      </x:c>
      <x:c r="I200" s="12"/>
      <x:c r="J200" s="12"/>
      <x:c r="K200" s="13" t="str">
        <x:f>IF(J200&gt;0,I200/J200,"")</x:f>
      </x:c>
      <x:c r="L200" s="12" t="n">
        <x:v>0</x:v>
      </x:c>
      <x:c r="M200" s="12" t="n">
        <x:v>0</x:v>
      </x:c>
      <x:c r="N200" s="13" t="str">
        <x:f>IF(M200&gt;0,L200/M200,"")</x:f>
      </x:c>
      <x:c r="O200" s="12" t="n">
        <x:f>SUM(C200,F200,I200,L200)</x:f>
        <x:v>0</x:v>
      </x:c>
      <x:c r="P200" s="12" t="n">
        <x:f>SUM(D200,G200,J200,M200)</x:f>
        <x:v>0</x:v>
      </x:c>
      <x:c r="Q200" s="12" t="n">
        <x:v>0</x:v>
      </x:c>
      <x:c r="R200" s="12" t="n">
        <x:v>0</x:v>
      </x:c>
      <x:c r="S200" s="12" t="n">
        <x:f>O200-Q200</x:f>
        <x:v>0</x:v>
      </x:c>
      <x:c r="T200" s="12" t="n">
        <x:f>P200-R200</x:f>
        <x:v>0</x:v>
      </x:c>
    </x:row>
  </x:sheetData>
  <x:conditionalFormatting sqref="S7:T200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069c2998c64074"/>
  </x:tableParts>
</x:worksheet>
</file>