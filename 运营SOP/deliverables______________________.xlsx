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ouyan\Downloads\"/>
    </mc:Choice>
  </mc:AlternateContent>
  <bookViews>
    <workbookView windowWidth="28800" windowHeight="12255" firstSheet="8" activeTab="14"/>
  </bookViews>
  <sheets>
    <sheet name="①使用说明与对标总览" sheetId="1" r:id="rId1"/>
    <sheet name="②产品概念输入卡" sheetId="2" r:id="rId2"/>
    <sheet name="③市场细分与竞争格局" sheetId="3" r:id="rId3"/>
    <sheet name="④相似产品分析与功能对比" sheetId="4" r:id="rId4"/>
    <sheet name="⑤VOC客户反馈·评论洞察" sheetId="5" r:id="rId5"/>
    <sheet name="⑥季节性需求预测" sheetId="6" r:id="rId6"/>
    <sheet name="⑦广告费用·投入产出" sheetId="7" r:id="rId7"/>
    <sheet name="⑧利润率与盈利预测" sheetId="8" r:id="rId8"/>
    <sheet name="⑨供应商采购成本基准" sheetId="9" r:id="rId9"/>
    <sheet name="⑩What-if情景建模" sheetId="10" r:id="rId10"/>
    <sheet name="⑪跨市场潜力US-EU" sheetId="11" r:id="rId11"/>
    <sheet name="⑫买家画像购买路径" sheetId="12" r:id="rId12"/>
    <sheet name="⑬数据源与工具矩阵" sheetId="13" r:id="rId13"/>
    <sheet name="⑭概念概要优化建议" sheetId="14" r:id="rId14"/>
    <sheet name="⑮评分与决策" sheetId="15" r:id="rId15"/>
    <sheet name="⑯总结与决策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<sst xmlns="http://schemas.openxmlformats.org/spreadsheetml/2006/main" count="1652" uniqueCount="776">
  <si>
    <t>产品选品决策模板 · 对标亚马逊官方「选品模拟器」做一个天机OS新品验证</t>
  </si>
  <si>
    <t>依据: 亚马逊 Seller Central「选品模拟器 / 验证产品创意」(Validate Product Ideas) 官方文档与页面。</t>
  </si>
  <si>
    <t>一、六大使用步骤</t>
  </si>
  <si>
    <t>序号</t>
  </si>
  <si>
    <t>步骤</t>
  </si>
  <si>
    <t>做什么</t>
  </si>
  <si>
    <t>产物/位置</t>
  </si>
  <si>
    <t>1</t>
  </si>
  <si>
    <t>输入产品概念</t>
  </si>
  <si>
    <t>填「②产品概念输入卡」: 站点/语言/标题/类目/目标售价/描述/3个以上要点(与官方模拟器输入口径一致)</t>
  </si>
  <si>
    <t>② 产品概念输入卡</t>
  </si>
  <si>
    <t>看市场与对手</t>
  </si>
  <si>
    <t>「③市场细分与竞争格局」→「④相似产品分析」: 官方模式=把你与类目表现优异的产品做竞争定位与逐项功能对比</t>
  </si>
  <si>
    <t>③④</t>
  </si>
  <si>
    <t>听客户声音 ,VOC，产品差评分析</t>
  </si>
  <si>
    <t>「⑤VOC评论洞察」: 官方模式=买家满意度/评论洞察, 提炼好评卖点与差评痛点</t>
  </si>
  <si>
    <t>⑤</t>
  </si>
  <si>
    <t>算经济账</t>
  </si>
  <si>
    <t>「⑥季节性→⑦广告投入产出→⑧利润率(含FBA)→⑨供应商成本→⑩情景建模→⑪跨市场潜力」六张表逐项核算</t>
  </si>
  <si>
    <t>⑥-⑪</t>
  </si>
  <si>
    <t>画买家画像</t>
  </si>
  <si>
    <t>「⑫买家画像与购买路径」: 用 ABA 人口统计 + 商机探测器行为数据填写</t>
  </si>
  <si>
    <t>⑫</t>
  </si>
  <si>
    <t>汇总评分决策</t>
  </si>
  <si>
    <t>「⑬数据源矩阵」记录证据→「⑭概念概要+优化建议」→「⑮审核与评分」→「⑯总结与决策」输出 通过/待确认/否决</t>
  </si>
  <si>
    <t>⑬-⑯</t>
  </si>
  <si>
    <t>二、对标: 官方「选品模拟器」输出模块 → 模板对应表</t>
  </si>
  <si>
    <t>官方模拟器输出模块</t>
  </si>
  <si>
    <t>模板对应表</t>
  </si>
  <si>
    <t>官方模块做什么</t>
  </si>
  <si>
    <t>模板补充说明</t>
  </si>
  <si>
    <t>研究结果总结(参考天机OS)</t>
  </si>
  <si>
    <t>⑯总结与决策</t>
  </si>
  <si>
    <t>竞争定位/功能完善度/买家满意度  卡片 + AI 优化建议</t>
  </si>
  <si>
    <t>模板把官方3卡扩展为10项状态卡并接入评分</t>
  </si>
  <si>
    <t>竞争定位</t>
  </si>
  <si>
    <t>③市场细分与竞争格局</t>
  </si>
  <si>
    <t>主要竞品售价/评分/评论数/上线时间, 头部品牌份额环图</t>
  </si>
  <si>
    <t>③+④合看, 分卖家/品牌/商品三层看集中度</t>
  </si>
  <si>
    <t>功能对比(逐项)</t>
  </si>
  <si>
    <t>④相似产品与功能对比</t>
  </si>
  <si>
    <t>与类目热销品平均逐项比, 标绿优红劣</t>
  </si>
  <si>
    <t>④功能矩阵即官方逐项对比的工作底稿</t>
  </si>
  <si>
    <t>买家满意度/评论洞察</t>
  </si>
  <si>
    <t>⑤VOC客户反馈·评论洞察差评分析</t>
  </si>
  <si>
    <t>评论高频优点、刚需功能、竞品差评痛点</t>
  </si>
  <si>
    <t>⑤含原话引用与“能否设计规避”判断</t>
  </si>
  <si>
    <t>季节性</t>
  </si>
  <si>
    <t>⑥季节性需求，淡旺季预测</t>
  </si>
  <si>
    <t>全年流量走势、需求模式、点击份额</t>
  </si>
  <si>
    <t>⑥叠加 Google Trends + SIF 历史销量双口径</t>
  </si>
  <si>
    <t>买家画像</t>
  </si>
  <si>
    <t>⑫买家画像与购买路径</t>
  </si>
  <si>
    <t>年龄/性别/收入等特征</t>
  </si>
  <si>
    <r>
      <t>⑫</t>
    </r>
    <r>
      <rPr>
        <sz val="10"/>
        <rFont val="Microsoft YaHei"/>
        <charset val="134"/>
      </rPr>
      <t>扩展 ABA 全维度 + 行为路径 + Persona画像分析</t>
    </r>
  </si>
  <si>
    <t>市场细分</t>
  </si>
  <si>
    <t>③市场细分与竞争格局 商家探测器 选品指南针</t>
  </si>
  <si>
    <t>细分市场品牌与自营份额 商家探测器 选品指南针</t>
  </si>
  <si>
    <t>③含搜索量/增速/退货/转化等大盘指标</t>
  </si>
  <si>
    <t>三、官方调研问卷中“卖家最想要的额外信息”(缺口) → 模板补足</t>
  </si>
  <si>
    <t>卖家缺口(官方问卷选项)</t>
  </si>
  <si>
    <t>模板补足位置</t>
  </si>
  <si>
    <t>关键内容</t>
  </si>
  <si>
    <t>季节性需求预测(淡旺季)</t>
  </si>
  <si>
    <t>⑥季节性需求预测</t>
  </si>
  <si>
    <t>近2年销量指数 + Google趋势 + 淡旺季系数公式 + 备货节奏</t>
  </si>
  <si>
    <t>预计广告费用/投入产出/难易</t>
  </si>
  <si>
    <t>⑦广告费用·投入产出预测</t>
  </si>
  <si>
    <t>目标CPC公式、盈亏平衡ACOS、预算节奏表</t>
  </si>
  <si>
    <t>利润率/盈利预测(含FBA费)</t>
  </si>
  <si>
    <t>⑧利润率与盈利预测</t>
  </si>
  <si>
    <t>佣金/FBA配送/仓储/头程/关税全链路单位经济 + 现金流</t>
  </si>
  <si>
    <t>供应商/采购成本基准</t>
  </si>
  <si>
    <t>⑨供应商与采购成本基准</t>
  </si>
  <si>
    <t>多家询价对比 + 目标采购价上限反推</t>
  </si>
  <si>
    <t>“假设”情景建模(不同价格点)</t>
  </si>
  <si>
    <t>⑩What-if情景建模</t>
  </si>
  <si>
    <t>低价/目标/促销/提价多情景利润与回本测算</t>
  </si>
  <si>
    <t>跨市场潜力(美国→欧盟等)</t>
  </si>
  <si>
    <t>⑪跨市场潜力(US→EU)</t>
  </si>
  <si>
    <t>需求/竞争/合规/广告友好打分 + 分批次拓展</t>
  </si>
  <si>
    <t>客户画像(人口/收入/行为/路径)</t>
  </si>
  <si>
    <t>ABA人口统计 + 搜索/点击/购买路径 + Persona</t>
  </si>
  <si>
    <t>四、数据来源三通道(官方问卷: 评估新品时用过什么)</t>
  </si>
  <si>
    <t>通道</t>
  </si>
  <si>
    <t>典型工具</t>
  </si>
  <si>
    <t>在模板中位置</t>
  </si>
  <si>
    <t>最适合补什么</t>
  </si>
  <si>
    <t>人工调研(免费)</t>
  </si>
  <si>
    <t>Google Trends / 前台竞品列表 / 买家评论逐条阅读</t>
  </si>
  <si>
    <t>⑥季节、④竞品、⑤VOC</t>
  </si>
  <si>
    <t>宏观趋势、一手买家语言、验证官方数据</t>
  </si>
  <si>
    <t>第三方工具</t>
  </si>
  <si>
    <t>SIF(历史销量/自然vs广告流量) / Helium10 / 卖家精灵 / 极目</t>
  </si>
  <si>
    <t>④竞品历史、⑦广告、⑨成本</t>
  </si>
  <si>
    <t>官方不给的细节: 竞品历史曲线、CPC、FBA利润拆分</t>
  </si>
  <si>
    <t>亚马逊官方</t>
  </si>
  <si>
    <t>商机探测器(POE) / ABA品牌分析 / 选品指南针 / 广告后台</t>
  </si>
  <si>
    <t>③市场、⑤VOC、⑫画像</t>
  </si>
  <si>
    <t>搜索需求、转化率、退货率、人口统计等第一方数据</t>
  </si>
  <si>
    <t>五、填表规则与图例</t>
  </si>
  <si>
    <t>黄色单元格</t>
  </si>
  <si>
    <t>需要您手工填写的输入项(证据/数据/判断)</t>
  </si>
  <si>
    <t>灰色单元格</t>
  </si>
  <si>
    <t>公式自动计算, 请勿覆盖</t>
  </si>
  <si>
    <t>绿色 N / 黄色 U / 红色 F</t>
  </si>
  <si>
    <t>状态三色: N=已验证通过; U=未知, 需人工确认后打N或F; F=否决(出现即终止)</t>
  </si>
  <si>
    <t>硬否决</t>
  </si>
  <si>
    <t>知识产权与合规认证: F → 立即否决, 不做后续评分</t>
  </si>
  <si>
    <t>快照日</t>
  </si>
  <si>
    <t>官方提示: 搜索量/竞争/成本持续变化, 超30天的数据需重新验证</t>
  </si>
  <si>
    <t>对标官方「选品模拟器」输入项(店铺→语言→标题→类目→目标售价→描述→≥3要点)。黄色列=请填写; 灰色斜体=官方示例(德国站 PP+麦秸砧板, 可对照后清除)。</t>
  </si>
  <si>
    <t>输入字段(官方口径)</t>
  </si>
  <si>
    <t>必填</t>
  </si>
  <si>
    <t>请填写(启动时)</t>
  </si>
  <si>
    <t>填写说明</t>
  </si>
  <si>
    <t>官方示例——砧板(德国站)</t>
  </si>
  <si>
    <t/>
  </si>
  <si>
    <t>站点/商城</t>
  </si>
  <si>
    <t>是</t>
  </si>
  <si>
    <t>官方支持商城以您后台实际可见为准(示例为德国站)</t>
  </si>
  <si>
    <t>德国(amazon.de)</t>
  </si>
  <si>
    <t>工厂 提供产品模型 图片，参考图</t>
  </si>
  <si>
    <t>输入语言</t>
  </si>
  <si>
    <t>与站点匹配</t>
  </si>
  <si>
    <t>德语(Deutsch)</t>
  </si>
  <si>
    <t>产品名称/标题</t>
  </si>
  <si>
    <t>≥3个词; 官方提示: 更具描述性的标题能提高模拟精度</t>
  </si>
  <si>
    <t>Original Schneidebrett aus PP &amp; Weizenstroh, Saftrille, Frankfurter Brett, 32x20</t>
  </si>
  <si>
    <t>产品类目</t>
  </si>
  <si>
    <t>先定类目节点(BSR路径)</t>
  </si>
  <si>
    <t>厨房、家居及生活</t>
  </si>
  <si>
    <t>目标售价</t>
  </si>
  <si>
    <t>当地币种; 先看③价格带再定</t>
  </si>
  <si>
    <t>产品描述</t>
  </si>
  <si>
    <t>≥10个词, 说明材质/尺寸/结构/场景</t>
  </si>
  <si>
    <t>PP材质与麦秸制成, 导流槽+把手, 法兰克福式设计, 可放入洗碗机, 抗菌, 面包板/切菜板两用</t>
  </si>
  <si>
    <t>工厂提供基本参数</t>
  </si>
  <si>
    <t>要点1</t>
  </si>
  <si>
    <t>≥3个要点(官方要求), 每行一条</t>
  </si>
  <si>
    <t>最佳套装: 尺寸多样、经久耐用、保护刀具</t>
  </si>
  <si>
    <t>要点2</t>
  </si>
  <si>
    <t>优质材料: 双面防滑, 适合水果蔬菜奶酪肉类</t>
  </si>
  <si>
    <t>要点3(+4-5可选)</t>
  </si>
  <si>
    <t>洗碗机安全、易清洗、抗菌</t>
  </si>
  <si>
    <t>目标关键词(核心+长尾)</t>
  </si>
  <si>
    <t>否</t>
  </si>
  <si>
    <t>供 ABA/广告/SIF 使用</t>
  </si>
  <si>
    <t>Schneidebrett / Frankfurter Brett / antibakteriell Schneidebrett</t>
  </si>
  <si>
    <t>对标ASIN清单(5-10个)</t>
  </si>
  <si>
    <t>官方可选: 系统匹配不准时可手动指定竞品</t>
  </si>
  <si>
    <t>从④竞品清单回填</t>
  </si>
  <si>
    <t>目标参数/功能清单</t>
  </si>
  <si>
    <t>供④功能对比与⑮知识产权检索用</t>
  </si>
  <si>
    <t>32x20cm; 导流槽; 把手; 抗菌; 洗碗机安全</t>
  </si>
  <si>
    <t>目标人群/场景</t>
  </si>
  <si>
    <t>回⑫画像核对</t>
  </si>
  <si>
    <t>注重食品安全/环保的德国家庭厨房用户</t>
  </si>
  <si>
    <t>概念一句话(名称+卖点+参数)</t>
  </si>
  <si>
    <t>项目代号, 用于汇报</t>
  </si>
  <si>
    <t>PP+麦秸抗菌砧板(32x20), 法兰克福式带导流槽把手, 可洗碗机</t>
  </si>
  <si>
    <t>数据抓取日期</t>
  </si>
  <si>
    <t>2026-09-09</t>
  </si>
  <si>
    <t>官方工具局限提醒: 该模拟器 = 发现/验证工具而非完整决策系统; 制造成本、FBA费用、广告成本、合规、供应商交期等仍需外部尽调——本模板③-⑮正是补足这些环节。</t>
  </si>
  <si>
    <t>③ 市场细分与竞争格局</t>
  </si>
  <si>
    <t>对标官方输出模块「竞争定位 + 市场细分」。数据源: 商机探测器(细分市场/商品/搜索词视图) + 卖家精灵类目分析 + 选品指南针。每个数值注明来源与快照日。</t>
  </si>
  <si>
    <t>一、细分市场关键指标</t>
  </si>
  <si>
    <t>指标</t>
  </si>
  <si>
    <t>数值(填)</t>
  </si>
  <si>
    <t>口径 / 来源 / 说明</t>
  </si>
  <si>
    <t>细分市场(搜索词集合)</t>
  </si>
  <si>
    <t>官方口径: 把相关搜索词归为一个利基市场; 记录入口链接</t>
  </si>
  <si>
    <t>月搜索量(当地)</t>
  </si>
  <si>
    <t>官方数据, 记站点</t>
  </si>
  <si>
    <t>搜索量同比增速</t>
  </si>
  <si>
    <t>小数: 0.2 = +20%</t>
  </si>
  <si>
    <t>近12个月阶段判断</t>
  </si>
  <si>
    <t>爬坡 / 平稳 / 衰退</t>
  </si>
  <si>
    <t>在售商品链接数(剔除变体)</t>
  </si>
  <si>
    <t>供给密度判断用</t>
  </si>
  <si>
    <t>子类目月销售额估算</t>
  </si>
  <si>
    <t>当地币种, 注明估算方法</t>
  </si>
  <si>
    <t>头部商品月销中位数</t>
  </si>
  <si>
    <t>件/月; 判断容量下限</t>
  </si>
  <si>
    <t>平均售价</t>
  </si>
  <si>
    <t>当地币种</t>
  </si>
  <si>
    <t>平均评分 / 中位评论数</t>
  </si>
  <si>
    <t>评论壁垒判断用</t>
  </si>
  <si>
    <t>新品销量占比(近6月/近1年)</t>
  </si>
  <si>
    <t>标注插件口径, 官方新品占比可另记</t>
  </si>
  <si>
    <t>自营占比: 链接数 / 销量</t>
  </si>
  <si>
    <t>两个口径分开记</t>
  </si>
  <si>
    <t>集中度 CR5: 卖家 / 品牌 / 商品</t>
  </si>
  <si>
    <t>三层分开, 禁止合并成一个数</t>
  </si>
  <si>
    <t>平均转化率(商品×搜索词)</t>
  </si>
  <si>
    <t>两组交叉取中值; 供⑦广告模型</t>
  </si>
  <si>
    <t>退货率(目标子类目)</t>
  </si>
  <si>
    <t>商机探测器+选品指南针交叉; 别拿父类目糊弄</t>
  </si>
  <si>
    <t>平均缺货率 / Prime占比</t>
  </si>
  <si>
    <t>官方数据</t>
  </si>
  <si>
    <t>yyyy-mm-dd</t>
  </si>
  <si>
    <t>二、结构体检结论(状态 N=通过 / U=待确认 / F=否决)</t>
  </si>
  <si>
    <t>体检项</t>
  </si>
  <si>
    <t>状态(N/U/F)</t>
  </si>
  <si>
    <t>结论与依据(引用上方数据)</t>
  </si>
  <si>
    <t>类目容量与增速</t>
  </si>
  <si>
    <t>U</t>
  </si>
  <si>
    <t>市场是否足够大且向上(容量不足或明确衰退 → F)</t>
  </si>
  <si>
    <t>集中度(卖家/品牌/商品三层)</t>
  </si>
  <si>
    <t>CR5 过高 → 突破成本高 → 预警</t>
  </si>
  <si>
    <t>供给密度</t>
  </si>
  <si>
    <t>链接过多而有效流量有限 → 新品难获曝光</t>
  </si>
  <si>
    <t>新品友好度</t>
  </si>
  <si>
    <t>新品销量占比过低 → 类目对新品不友好</t>
  </si>
  <si>
    <t>退货与转化</t>
  </si>
  <si>
    <t>决定⑦广告模型是否成立</t>
  </si>
  <si>
    <t>结构体检小结</t>
  </si>
  <si>
    <t>一段话总结可进/慎进/不进</t>
  </si>
  <si>
    <t>④ 相似产品分析与功能对比</t>
  </si>
  <si>
    <t>对标官方「相似产品分析——逐项功能对比」: 表一为竞品清单(行=竞品ASIN), 表二为功能逐项对比矩阵(我方 vs 类目热销平均 vs 主要竞品)。蓝色行按②输入自动带出。</t>
  </si>
  <si>
    <t>ASIN</t>
  </si>
  <si>
    <t>品牌</t>
  </si>
  <si>
    <t>标题摘要</t>
  </si>
  <si>
    <t>售价</t>
  </si>
  <si>
    <t>评分</t>
  </si>
  <si>
    <t>评论数</t>
  </si>
  <si>
    <t>BSR</t>
  </si>
  <si>
    <t>月销(官方)</t>
  </si>
  <si>
    <t>Score效率</t>
  </si>
  <si>
    <t>上架时间</t>
  </si>
  <si>
    <t>核心卖点</t>
  </si>
  <si>
    <t>主要差评点</t>
  </si>
  <si>
    <t>与我差异化机会</t>
  </si>
  <si>
    <t>二、逐项功能对比矩阵: 我方概念 vs 类目热销平均(官方模式: 绿=我优 红=我劣)</t>
  </si>
  <si>
    <t>功能/规格项</t>
  </si>
  <si>
    <t>我方概念</t>
  </si>
  <si>
    <t>类目热销平均</t>
  </si>
  <si>
    <t>竞品1</t>
  </si>
  <si>
    <t>竞品2</t>
  </si>
  <si>
    <t>竞品3</t>
  </si>
  <si>
    <t>竞品4</t>
  </si>
  <si>
    <t>竞品5</t>
  </si>
  <si>
    <t>状态(优/劣/持平/不适用)</t>
  </si>
  <si>
    <t>材质</t>
  </si>
  <si>
    <t>尺寸/规格(cm)</t>
  </si>
  <si>
    <t>重量</t>
  </si>
  <si>
    <t>核心功能1</t>
  </si>
  <si>
    <t>核心功能2</t>
  </si>
  <si>
    <t>附加功能/配件</t>
  </si>
  <si>
    <t>包装与说明书</t>
  </si>
  <si>
    <t>认证与合规(食品接触/CE等)</t>
  </si>
  <si>
    <t>记分提示: 行数不够自行插入; 功能项按②“目标参数/功能清单”展开。Score效率 = 官方月销 ÷ 评论数(蓝海度排序键, 自动计算)。</t>
  </si>
  <si>
    <t>⑤ VOC 客户反馈 · 评论洞察</t>
  </si>
  <si>
    <t>对标官方「买家满意度/评论洞察」: 官方会统计评论高频优点、刚需功能与竞品高频差评痛点。样本=TOP10竞品及核心ASIN的当前可见评论, 原话逐字引用不改写, 频次=该点出现数÷样本评论数。</t>
  </si>
  <si>
    <t>一、样本与评分分布</t>
  </si>
  <si>
    <t>项目</t>
  </si>
  <si>
    <t>数量</t>
  </si>
  <si>
    <t>占比(自动)</t>
  </si>
  <si>
    <t>说明</t>
  </si>
  <si>
    <t>样本评论总数</t>
  </si>
  <si>
    <t>统计范围: 哪些ASIN的多少条评论</t>
  </si>
  <si>
    <t>5星</t>
  </si>
  <si>
    <t>评价分布用于判断质量结构, 若样本=竞品合并评论请注明</t>
  </si>
  <si>
    <t>4星</t>
  </si>
  <si>
    <t>3星</t>
  </si>
  <si>
    <t>2星</t>
  </si>
  <si>
    <t>1星</t>
  </si>
  <si>
    <t>二、差评TOP痛点(机会点来源)</t>
  </si>
  <si>
    <t>痛点聚类</t>
  </si>
  <si>
    <t>提及次数</t>
  </si>
  <si>
    <t>样本占比</t>
  </si>
  <si>
    <t>买家原话(逐字引用)</t>
  </si>
  <si>
    <t>能否设计规避(是/否)</t>
  </si>
  <si>
    <t>机会点/对应优化</t>
  </si>
  <si>
    <t>三、好评TOP卖点(买家用语 = 最强文案)</t>
  </si>
  <si>
    <t>卖点聚类</t>
  </si>
  <si>
    <t>可用作(Listing/广告/包装)</t>
  </si>
  <si>
    <t>对应的功能证据</t>
  </si>
  <si>
    <t>结论输出格式(照抄成卡): 差评TOP1 痛点[频次%] 原话:“…” / 好评TOP1 卖点[频次%] 原话:“…” → 差评机会代表ASIN回填④。</t>
  </si>
  <si>
    <t>⑥ 季节性需求预测</t>
  </si>
  <si>
    <t>对标官方输出模块「季节性(全年流量/需求/点击份额)」+ 官方问卷缺口。数据: 竞品历史销量指数(SIF) + Google Trends(3-5年曲线) + 类目点击份额。系数=各列平均, ≥1.15旺季 ≤0.85淡季。</t>
  </si>
  <si>
    <t>月份</t>
  </si>
  <si>
    <t>2024销量指数</t>
  </si>
  <si>
    <t>2025销量指数</t>
  </si>
  <si>
    <t>Google趋势(近3年典型)</t>
  </si>
  <si>
    <t>类目点击份额/需求指数</t>
  </si>
  <si>
    <t>淡旺季系数(自动)</t>
  </si>
  <si>
    <t>判定(自动)</t>
  </si>
  <si>
    <t>备货/广告备注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</si>
  <si>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</si>
  <si>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</si>
  <si>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</si>
  <si>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</si>
  <si>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</si>
  <si>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</si>
  <si>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</si>
  <si>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</si>
  <si>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</si>
  <si>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</si>
  <si>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</si>
  <si>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</si>
  <si>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结论区</t>
  </si>
  <si>
    <t>判断项</t>
  </si>
  <si>
    <t>结论/值</t>
  </si>
  <si>
    <t>依据(哪条曲线/口径)</t>
  </si>
  <si>
    <t>旺季窗口(月份)</t>
  </si>
  <si>
    <t>离旺季提前备货月数</t>
  </si>
  <si>
    <t>采购交期+头程时间(对接⑨)</t>
  </si>
  <si>
    <t>淡季资金占用预警</t>
  </si>
  <si>
    <t>淡季销量倍数, 占压资金金额</t>
  </si>
  <si>
    <t>季节判定(N/U/F)</t>
  </si>
  <si>
    <t>强季节品若错过窗口 → 慎重</t>
  </si>
  <si>
    <t>进场时机结论</t>
  </si>
  <si>
    <t>现在入场距旺季还有几个月, 是否赶得上</t>
  </si>
  <si>
    <t>⑦ 广告费用 · 投入产出预测</t>
  </si>
  <si>
    <t>公式(本模板标准口径): 目标CPC = 目标ACOS × 客单价 × 广告点击转化率; 盈亏平衡ACOS = 单位毛利额 ÷ 售价。数据源: 广告后台建议竞价(≠实际CPC, 需观察实际值) + 卖家精灵 + 商机探测器转化率。</t>
  </si>
  <si>
    <t>参数</t>
  </si>
  <si>
    <t>值</t>
  </si>
  <si>
    <t>口径 / 说明</t>
  </si>
  <si>
    <t>目标售价(当地币)</t>
  </si>
  <si>
    <t>与②同步</t>
  </si>
  <si>
    <t>盈亏平衡ACOS</t>
  </si>
  <si>
    <t>目标ACOS(经营目标)</t>
  </si>
  <si>
    <t>新品期可放宽, 放量期收紧</t>
  </si>
  <si>
    <t>类目平均点击转化率</t>
  </si>
  <si>
    <t>来自③; 商品与搜索词口径交叉</t>
  </si>
  <si>
    <t>新品转化折扣系数</t>
  </si>
  <si>
    <t>新品listing通常低于类目均值, 经验值0.5-0.8</t>
  </si>
  <si>
    <t>预估新品点击转化率(自动)</t>
  </si>
  <si>
    <t>类目转化率 × 新品折扣系数</t>
  </si>
  <si>
    <t>核心词CPC取值(实际观察/估算)</t>
  </si>
  <si>
    <t>建议竞价≠实际CPC: 请填广告后台实际观察或估算中值</t>
  </si>
  <si>
    <t>预估实际CPC(自动)</t>
  </si>
  <si>
    <t>目标CPC(自动)</t>
  </si>
  <si>
    <t>CPA(自动)</t>
  </si>
  <si>
    <t>广告经济性判定(自动)</t>
  </si>
  <si>
    <t>实际CPC ≤ 目标CPC 才可行</t>
  </si>
  <si>
    <t>广告难度(1-5)与理由</t>
  </si>
  <si>
    <t>5=极难</t>
  </si>
  <si>
    <t>推广预算节奏</t>
  </si>
  <si>
    <t>阶段</t>
  </si>
  <si>
    <t>周期</t>
  </si>
  <si>
    <t>预算安排与目标</t>
  </si>
  <si>
    <t>冷启动期</t>
  </si>
  <si>
    <t>0-30天</t>
  </si>
  <si>
    <t>自动+精准手动跑收录; 合规积累评论(Vine等); 盯自然位起量; 建议日预算:____</t>
  </si>
  <si>
    <t>放量期</t>
  </si>
  <si>
    <t>31-90天</t>
  </si>
  <si>
    <t>核心词卡位; Deal/促销配合冲排名与新品销量占比; 建议日预算:____</t>
  </si>
  <si>
    <t>收割期</t>
  </si>
  <si>
    <t>91-180天</t>
  </si>
  <si>
    <t>预算向高ROAS词集中; ACOS回落至目标以下; 自然/广告曝光占比健康度:____</t>
  </si>
  <si>
    <t>健康指标: 用SIF自然/广告曝光占比变化判断“自然承接力”; 广告占比长期&gt;70% → 商业模式不健康(预警)。</t>
  </si>
  <si>
    <t>⑧ 利润率与盈利预测(已计入亚马逊物流费用)</t>
  </si>
  <si>
    <t>全链路单位经济: 售价 − 佣金 − FBA配送 − 仓储 − 广告 − 头程 − 关税 − 采购 − 包装 = 单位毛利。黄色填, 灰色自动。佣金/FBA按您站点最新官方费率表核对(尺寸分段决定配送费)。</t>
  </si>
  <si>
    <t>金额/率</t>
  </si>
  <si>
    <t>口径说明</t>
  </si>
  <si>
    <t>售价(当地币)</t>
  </si>
  <si>
    <t>与②同步; 注意含税口径</t>
  </si>
  <si>
    <t>销售佣金率</t>
  </si>
  <si>
    <t>按官方最新费率(参考类目15%), 填小数0.15</t>
  </si>
  <si>
    <t>佣金金额</t>
  </si>
  <si>
    <t>FBA配送费(件)</t>
  </si>
  <si>
    <t>按尺寸分段查官方费率表</t>
  </si>
  <si>
    <t>月度仓储费(件/月)</t>
  </si>
  <si>
    <t>淡旺季仓储费率不同, 取均值</t>
  </si>
  <si>
    <t>广告费分摊(件)</t>
  </si>
  <si>
    <t>≈ 预算期广告总花费 ÷ 期销量, 从⑦反推</t>
  </si>
  <si>
    <t>头程物流(件)</t>
  </si>
  <si>
    <t>含本地拖车/尾程</t>
  </si>
  <si>
    <t>关税及其他税费(件)</t>
  </si>
  <si>
    <t>按申报与税则核实</t>
  </si>
  <si>
    <t>采购成本(件)</t>
  </si>
  <si>
    <t>取⑨基准价</t>
  </si>
  <si>
    <t>包装与配件(件)</t>
  </si>
  <si>
    <t>含说明书/彩盒</t>
  </si>
  <si>
    <t>可变费用合计</t>
  </si>
  <si>
    <t>佣金+FBA+仓储+广告+头程+关税+采购+包装</t>
  </si>
  <si>
    <t>单位毛利额</t>
  </si>
  <si>
    <t>售价 − 可变费用合计</t>
  </si>
  <si>
    <t>毛利率</t>
  </si>
  <si>
    <t>单位毛利 ÷ 售价</t>
  </si>
  <si>
    <t>固定成本/月</t>
  </si>
  <si>
    <t>团队/工具/账号等, 不计可变</t>
  </si>
  <si>
    <t>月销量假设(件)</t>
  </si>
  <si>
    <t>基于③头部中位数与④对标, 分乐观/保守</t>
  </si>
  <si>
    <t>月净利(费用前)</t>
  </si>
  <si>
    <t>单位毛利×月销 − 固定成本</t>
  </si>
  <si>
    <t>盈亏平衡月销量</t>
  </si>
  <si>
    <t>固定成本 ÷ 单位毛利</t>
  </si>
  <si>
    <t>现金流与备货(财务问题/现金流)</t>
  </si>
  <si>
    <t>金额/值</t>
  </si>
  <si>
    <t>首批备货量(件)</t>
  </si>
  <si>
    <t>按⑥旺季系数与⑨交期定</t>
  </si>
  <si>
    <t>首批备货现金占用(自动)</t>
  </si>
  <si>
    <t>(采购+头程+关税) × 首批量</t>
  </si>
  <si>
    <t>首批备货现金占用公式行</t>
  </si>
  <si>
    <t>推广准备金(前3月广告)</t>
  </si>
  <si>
    <t>从⑦预算节奏取</t>
  </si>
  <si>
    <t>回款周期(天)</t>
  </si>
  <si>
    <t>3P约14天滚动; VC按PO/账期(Net-XX)填实际</t>
  </si>
  <si>
    <t>现金流峰值(自动)</t>
  </si>
  <si>
    <t>备货占用 + 推广准备金 + 3个月固定成本</t>
  </si>
  <si>
    <t>预计回本周期(月, 自动)</t>
  </si>
  <si>
    <t>现金流峰值 ÷ 月净利</t>
  </si>
  <si>
    <t>止损线(最大可亏损)</t>
  </si>
  <si>
    <t>触发即退出, 提前定</t>
  </si>
  <si>
    <t>VC视角提示: 若为 Vendor Central 供货, 替换采购价=PO出厂价口径, 回款周期按账期填写, 并与您的毛利协议(如Net 成本加成/贸易条款)对齐。</t>
  </si>
  <si>
    <t>⑨ 供应商与采购成本基准</t>
  </si>
  <si>
    <t>至少询价3家(不同产业带/渠道)。把单价、MOQ、交期、打样、认证写清楚; 用“目标采购价上限”反推能接受的采购价, 供谈判。</t>
  </si>
  <si>
    <t>供应商/渠道</t>
  </si>
  <si>
    <t>地区/产业带</t>
  </si>
  <si>
    <t>采购价</t>
  </si>
  <si>
    <t>MOQ</t>
  </si>
  <si>
    <t>打样费/周期</t>
  </si>
  <si>
    <t>大货交期</t>
  </si>
  <si>
    <t>定制/包装能力</t>
  </si>
  <si>
    <t>质量与认证</t>
  </si>
  <si>
    <t>付款条款</t>
  </si>
  <si>
    <t>响应</t>
  </si>
  <si>
    <t>评分(1-5)</t>
  </si>
  <si>
    <t>备注</t>
  </si>
  <si>
    <t>成本基准反推(供应链/采购成本基准)</t>
  </si>
  <si>
    <t>最低询价(自动)</t>
  </si>
  <si>
    <t>5家询价中的最低价</t>
  </si>
  <si>
    <t>建议计划采购价</t>
  </si>
  <si>
    <t>最低价×(1+5%容差)或直接写</t>
  </si>
  <si>
    <t>头程+关税(件)</t>
  </si>
  <si>
    <t>从⑧取</t>
  </si>
  <si>
    <t>目标毛利率(小数0.40=40%)</t>
  </si>
  <si>
    <t>经营目标</t>
  </si>
  <si>
    <t>允许单件总成本上限(自动)</t>
  </si>
  <si>
    <t>售价×(1−目标毛利率)</t>
  </si>
  <si>
    <t>采购价上限(自动)</t>
  </si>
  <si>
    <t>总成本上限 − 头程关税 − FBA配送 − 包装广告</t>
  </si>
  <si>
    <t>采购价达标判定(自动)</t>
  </si>
  <si>
    <t>最低询价 ≤ 采购价上限?</t>
  </si>
  <si>
    <t>综合评分最优供应商(结论)</t>
  </si>
  <si>
    <t>质量×交期×价格综合, 写名字</t>
  </si>
  <si>
    <t>注: 采购价上限公式里的“FBA配送+包装广告”两项请在⑧取值后手工并入判断; 表格含公式演示, 不替代财务精确测算。</t>
  </si>
  <si>
    <t>⑩ What-if 情景建模(不同价格点/销量)</t>
  </si>
  <si>
    <t>回答“不同价格点下赚不赚钱、回本要多久”。灰色列自动计算; 黄色填写。单位可变成本从⑧“可变费用合计”取数(不含广告与固定成本则直接引用)。</t>
  </si>
  <si>
    <t>共用假设(所有情景一致)</t>
  </si>
  <si>
    <t>固定成本/月(从⑧)</t>
  </si>
  <si>
    <t>团队/工具等</t>
  </si>
  <si>
    <t>首批投入(备货+前3月推广)</t>
  </si>
  <si>
    <t>从⑧现金流取</t>
  </si>
  <si>
    <t>情景</t>
  </si>
  <si>
    <t>月销量(件)</t>
  </si>
  <si>
    <t>单位可变成本(件)</t>
  </si>
  <si>
    <t>单位毛利(自动)</t>
  </si>
  <si>
    <t>月收入(自动)</t>
  </si>
  <si>
    <t>月可变总成本(自动)</t>
  </si>
  <si>
    <t>月毛利(自动)</t>
  </si>
  <si>
    <t>广告费率</t>
  </si>
  <si>
    <t>月广告费(自动)</t>
  </si>
  <si>
    <t>月固定成本(自动)</t>
  </si>
  <si>
    <t>月净利(自动)</t>
  </si>
  <si>
    <t>毛利率(自动)</t>
  </si>
  <si>
    <t>回本周期(月, 自动)</t>
  </si>
  <si>
    <t>备注/建议</t>
  </si>
  <si>
    <t>基准(当前目标定价)</t>
  </si>
  <si>
    <t>低价走量(−15%)</t>
  </si>
  <si>
    <t>促销/大促价(−20%)</t>
  </si>
  <si>
    <t>适度提价(+10%)</t>
  </si>
  <si>
    <t>防御价(跟竞品)</t>
  </si>
  <si>
    <t>读法: 基准情景为正且回本周期可接受 → 通过; 只有促销价才盈利 → 定价偏低或成本偏高; 全部为负 → 回⑧找成本项。</t>
  </si>
  <si>
    <t>⑪ 跨市场潜力(美国推出 → 拓展欧盟及其他)</t>
  </si>
  <si>
    <t>官方问卷缺口“跨市场潜力”。规则: 美国站先验证; 每站打4个分(1-5), 加权潜力分 = 需求0.35+竞争友好0.25+合规友好0.20+广告友好0.20。合规要求以欧盟官方最新执行为准(如GPSR、EPR/包装法、WEEE、电池法规、VAT/EORI)。</t>
  </si>
  <si>
    <t>目标市场</t>
  </si>
  <si>
    <t>主语言</t>
  </si>
  <si>
    <t>需求信号分
(1-5)</t>
  </si>
  <si>
    <t>竞争友好分
(1-5高=友好)</t>
  </si>
  <si>
    <t>合规友好分
(1-5)</t>
  </si>
  <si>
    <t>广告友好分
(1-5)</t>
  </si>
  <si>
    <t>加权潜力分
(自动)</t>
  </si>
  <si>
    <t>建议(自动)</t>
  </si>
  <si>
    <t>认证/合规差异点</t>
  </si>
  <si>
    <t>税务与进口要点</t>
  </si>
  <si>
    <t>本地化要点</t>
  </si>
  <si>
    <t>优先级(第几批)</t>
  </si>
  <si>
    <t>美国(基准站)</t>
  </si>
  <si>
    <t>英语</t>
  </si>
  <si>
    <t>先在美站验证, 数据从③-⑧回填</t>
  </si>
  <si>
    <t>基准</t>
  </si>
  <si>
    <t>US: 消费类标准(FCC/CPC按品类)</t>
  </si>
  <si>
    <t>德国</t>
  </si>
  <si>
    <t>德语</t>
  </si>
  <si>
    <t>EU最大站, 广告成本高但容量大</t>
  </si>
  <si>
    <t>观察</t>
  </si>
  <si>
    <t>GPSR责任人/包装法EPR/WEEE按品类</t>
  </si>
  <si>
    <t>英国</t>
  </si>
  <si>
    <t>脱欧后独立关税区</t>
  </si>
  <si>
    <t>UKCA/包装法EPR</t>
  </si>
  <si>
    <t>法国</t>
  </si>
  <si>
    <t>法语</t>
  </si>
  <si>
    <t>语言本地化要求高</t>
  </si>
  <si>
    <t>EPR/Triman标识</t>
  </si>
  <si>
    <t>意大利</t>
  </si>
  <si>
    <t>意大利语</t>
  </si>
  <si>
    <t>EPR包装法</t>
  </si>
  <si>
    <t>西班牙</t>
  </si>
  <si>
    <t>西班牙语</t>
  </si>
  <si>
    <t>EPR</t>
  </si>
  <si>
    <t>日本</t>
  </si>
  <si>
    <t>日语</t>
  </si>
  <si>
    <t>认证门槛高(PSE/食品卫生按品类)</t>
  </si>
  <si>
    <t>PSE/药机法等按品类</t>
  </si>
  <si>
    <t>加拿大</t>
  </si>
  <si>
    <t>英语/法语</t>
  </si>
  <si>
    <t>双语包装(魁北克)</t>
  </si>
  <si>
    <t>澳大利亚</t>
  </si>
  <si>
    <t>清洁产品/食品接触认证</t>
  </si>
  <si>
    <t>递进逻辑: 美国测概念与评论模型 → 德国验证欧洲(合规成本最高者先行) → 同模板再跑英/法/意/西 → 再看日/加/澳。每站必须重跑③⑤⑥⑧(需求/评论/季节/费用不同), 不要直接平移结论。</t>
  </si>
  <si>
    <t>⑫ 买家画像与购买路径(最可能的历史购买者)</t>
  </si>
  <si>
    <t>对标官方「买家画像」+ 官方问卷缺口“人口统计/收入/行为/购买路径/购物旅途”。数据源: ABA品牌分析(人口统计/搜索词/购物篮/比较替代) + 商机探测器买家洞察。</t>
  </si>
  <si>
    <t>一、ABA 人口统计(占比%)</t>
  </si>
  <si>
    <t>维度</t>
  </si>
  <si>
    <t>值(占比%)</t>
  </si>
  <si>
    <t>解读/对决策的影响</t>
  </si>
  <si>
    <t>广告用途</t>
  </si>
  <si>
    <t>年龄 18-24</t>
  </si>
  <si>
    <t>年轻组低价敏感, 社媒触达</t>
  </si>
  <si>
    <t>年龄 25-34</t>
  </si>
  <si>
    <t>核心家庭决策组</t>
  </si>
  <si>
    <t>年龄 35-44</t>
  </si>
  <si>
    <t>年龄 45-54</t>
  </si>
  <si>
    <t>年龄 55+</t>
  </si>
  <si>
    <t>性别占比</t>
  </si>
  <si>
    <t>家庭收入区间</t>
  </si>
  <si>
    <t>定价与高端线判断</t>
  </si>
  <si>
    <t>教育程度</t>
  </si>
  <si>
    <t>二、行为数据: 购买路径与购物旅途(ABA/商机探测器)</t>
  </si>
  <si>
    <t>行为维度</t>
  </si>
  <si>
    <t>关键证据(词/ASIN/数据)</t>
  </si>
  <si>
    <t>洞察与用途</t>
  </si>
  <si>
    <t>高频搜索词TOP(搜索频率排名)</t>
  </si>
  <si>
    <t>核心入口词 → 写标题/广告</t>
  </si>
  <si>
    <t>高点击份额词</t>
  </si>
  <si>
    <t>买家在比什么</t>
  </si>
  <si>
    <t>高转化份额词</t>
  </si>
  <si>
    <t>下单意图最强的词 → 优先卡位</t>
  </si>
  <si>
    <t>关联购买(市场购物篮分析)</t>
  </si>
  <si>
    <t>还买了什么 → 捆绑/交叉</t>
  </si>
  <si>
    <t>商品比较与替代购买</t>
  </si>
  <si>
    <t>和谁比、替代了谁 → ④竞品名单依据</t>
  </si>
  <si>
    <t>重复购买行为</t>
  </si>
  <si>
    <t>是否易复购 → 老客营销</t>
  </si>
  <si>
    <t>搜索→点击→购买路径特征</t>
  </si>
  <si>
    <t>决策链长度, 在哪个节点流失</t>
  </si>
  <si>
    <t>三、Persona 画像卡(3类典型买家)</t>
  </si>
  <si>
    <t>画像名称</t>
  </si>
  <si>
    <t>人口特征</t>
  </si>
  <si>
    <t>场景/触发点/为什么买</t>
  </si>
  <si>
    <t>在意功能(引⑤VOC)与定向</t>
  </si>
  <si>
    <t>画像要回答: 谁买 / 什么场景 / 为什么买 / 在意什么 → 直接决定 Listing 文案第一屏与广告定向受众。</t>
  </si>
  <si>
    <t>⑬ 数据源与工具矩阵(证据台账)</t>
  </si>
  <si>
    <t>每次执行把用到的渠道打勾并记快照日, 保证“任何结论可回溯”。官方&gt;插件估算&gt;推算, 分层标注。</t>
  </si>
  <si>
    <t>决策维度</t>
  </si>
  <si>
    <t>亚马逊官方工具</t>
  </si>
  <si>
    <t>人工/免费方法</t>
  </si>
  <si>
    <t>模板表</t>
  </si>
  <si>
    <t>备注(分层/时效)</t>
  </si>
  <si>
    <t>需求规模与增速</t>
  </si>
  <si>
    <t>商机探测器(细分市场搜索量/增速)</t>
  </si>
  <si>
    <t>SIF类目趋势, Helium10 Black Box</t>
  </si>
  <si>
    <t>Google Trends, 前台搜索结果量</t>
  </si>
  <si>
    <t>③</t>
  </si>
  <si>
    <t>官方&gt;估算</t>
  </si>
  <si>
    <t>关键词与流量入口</t>
  </si>
  <si>
    <t>ABA搜索词(频率/点击/转化份额)</t>
  </si>
  <si>
    <t>SIF关键词反查, 卖家精灵, Helium10 Cerebro/Magnet</t>
  </si>
  <si>
    <t>亚马逊搜索框联想</t>
  </si>
  <si>
    <t>③④⑫</t>
  </si>
  <si>
    <t>竞品销售与历史</t>
  </si>
  <si>
    <t>商机探测器商品数据</t>
  </si>
  <si>
    <t>SIF历史销量/自然vs广告流量, 卖家精灵</t>
  </si>
  <si>
    <t>前台月销下限值“X+ bought”</t>
  </si>
  <si>
    <t>④</t>
  </si>
  <si>
    <t>官方月销为下限值口径</t>
  </si>
  <si>
    <t>结构/集中度(三层)</t>
  </si>
  <si>
    <t>商机探测器</t>
  </si>
  <si>
    <t>卖家精灵类目分析</t>
  </si>
  <si>
    <t>手动数头部品牌</t>
  </si>
  <si>
    <t>卖家/品牌/商品分开</t>
  </si>
  <si>
    <t>季节与宏观趋势</t>
  </si>
  <si>
    <t>商机探测器需求趋势</t>
  </si>
  <si>
    <t>SIF历史曲线(12月+)</t>
  </si>
  <si>
    <t>Google Trends 3-5年曲线</t>
  </si>
  <si>
    <t>⑥</t>
  </si>
  <si>
    <t>看多年, 别看3个月</t>
  </si>
  <si>
    <t>客户反馈VOC</t>
  </si>
  <si>
    <t>商机探测器评论洞察</t>
  </si>
  <si>
    <t>卖家精灵评论分析/选评</t>
  </si>
  <si>
    <t>逐条读差评原文</t>
  </si>
  <si>
    <t>原话引用不改写</t>
  </si>
  <si>
    <t>ABA人口统计/购物篮/比较替代</t>
  </si>
  <si>
    <t>Helium10/卖家精灵人群推测</t>
  </si>
  <si>
    <t>问卷/客服记录</t>
  </si>
  <si>
    <t>官方为第一方数据</t>
  </si>
  <si>
    <t>广告竞价与难度</t>
  </si>
  <si>
    <t>广告后台建议竞价/实际CPC</t>
  </si>
  <si>
    <t>卖家精灵CPC, Helium10</t>
  </si>
  <si>
    <t>手动投小预算实测</t>
  </si>
  <si>
    <t>⑦</t>
  </si>
  <si>
    <t>实际CPC≠建议竞价</t>
  </si>
  <si>
    <t>利润率/FBA费用</t>
  </si>
  <si>
    <t>官方FBA费用计算器/费率表</t>
  </si>
  <si>
    <t>Helium10利润计算器</t>
  </si>
  <si>
    <t>按尺寸段手动核算</t>
  </si>
  <si>
    <t>⑧</t>
  </si>
  <si>
    <t>以官方费率表为准</t>
  </si>
  <si>
    <t>商机探测器退货率/转化率, 选品指南针</t>
  </si>
  <si>
    <t>极目转化率</t>
  </si>
  <si>
    <t>——</t>
  </si>
  <si>
    <t>子类目口径</t>
  </si>
  <si>
    <t>价格带</t>
  </si>
  <si>
    <t>商机探测器价格数据</t>
  </si>
  <si>
    <t>卖家精灵价格分布</t>
  </si>
  <si>
    <t>前台比价</t>
  </si>
  <si>
    <t>④⑩</t>
  </si>
  <si>
    <t>知识产权与合规</t>
  </si>
  <si>
    <t>官方无检索工具(需外部)</t>
  </si>
  <si>
    <t>Google Patents/Espacenet/EUIPO</t>
  </si>
  <si>
    <t>专利律师复核</t>
  </si>
  <si>
    <t>⑮</t>
  </si>
  <si>
    <t>硬否决: F即终止</t>
  </si>
  <si>
    <t>官方工具定位: 商机探测器=发现市场机会; 选品模拟器(Validate Product Ideas)=把具体创意与类目优秀产品对比做验证; ABA=已上架品牌做精细化(词/画像/购物篮)。三者配合本模板的财务/供应链/合规环节才构成完整决策。</t>
  </si>
  <si>
    <t>⑭ 产品概念概要 + 产品优化建议</t>
  </si>
  <si>
    <t>对标官方报告里最有价值的两块: “产品概念概要”把创意一句话讲清楚; “产品优化建议”给出可执行动作(官方示例话术: 差异化有限则突出最大优势、加大质量与广告投入)。</t>
  </si>
  <si>
    <t>一、产品概念概要</t>
  </si>
  <si>
    <t>要素</t>
  </si>
  <si>
    <t>内容</t>
  </si>
  <si>
    <t>一句话概念</t>
  </si>
  <si>
    <t>目标用户/使用场景</t>
  </si>
  <si>
    <t>核心差异化卖点TOP3</t>
  </si>
  <si>
    <t>价格带定位</t>
  </si>
  <si>
    <t>信任与冷启动策略</t>
  </si>
  <si>
    <t>风险TOP3</t>
  </si>
  <si>
    <t>二、产品优化建议(每条必须可执行、可验证)</t>
  </si>
  <si>
    <t>优化建议</t>
  </si>
  <si>
    <t>信息来源模块(④竞品/⑤VOC/⑥季节/⑨供应商等) / 优先级(高/中/低) / 预期影响</t>
  </si>
  <si>
    <t>写建议的公式: 证据(差评/功能差距/季节窗口/成本空间) → 动作(改功能/改文案/改价格/改供应链) → 预期(提升转化/降低退货/节省成本)。</t>
  </si>
  <si>
    <t>⑮ 15项审核 + 10项加权评分</t>
  </si>
  <si>
    <t>规则: 状态 N=已验证 / U=未知需人工确认 / F=否决。任何F → 整体否决; U项不得猜着打分, 转为待确认。知识产权与合规为硬否决(标红行)。</t>
  </si>
  <si>
    <t>一、15项审核(N/U/F)</t>
  </si>
  <si>
    <t>#</t>
  </si>
  <si>
    <t>审核项</t>
  </si>
  <si>
    <t>对应表</t>
  </si>
  <si>
    <t>验证标准(示例)</t>
  </si>
  <si>
    <t>状态</t>
  </si>
  <si>
    <t>证据 / 快照日</t>
  </si>
  <si>
    <t>团队资源与进入策略</t>
  </si>
  <si>
    <t>⑭</t>
  </si>
  <si>
    <t>预算/能力/切入点明确</t>
  </si>
  <si>
    <t>需求规模与容量</t>
  </si>
  <si>
    <t>头部月销中位数达标(按类目定阈值)</t>
  </si>
  <si>
    <t>增长与季节阶段</t>
  </si>
  <si>
    <t>同比为正, 无致命季节陷阱</t>
  </si>
  <si>
    <t>商品/品牌集中度</t>
  </si>
  <si>
    <t>CR10未过度垄断(三层分开看)</t>
  </si>
  <si>
    <t>卖家结构与自营</t>
  </si>
  <si>
    <t>自营占比可接受</t>
  </si>
  <si>
    <t>在售链接未过度饱和</t>
  </si>
  <si>
    <t>新品有起量先例</t>
  </si>
  <si>
    <t>评论壁垒</t>
  </si>
  <si>
    <t>中位评论量可实现(Vine+时间)</t>
  </si>
  <si>
    <t>价格带缺口</t>
  </si>
  <si>
    <t>存在可切入价格带且利润成立</t>
  </si>
  <si>
    <t>差异化与竞品矩阵</t>
  </si>
  <si>
    <t>④⑭</t>
  </si>
  <si>
    <t>差异化切口成立(逐项对比有绿区)</t>
  </si>
  <si>
    <t>VOC痛点可规避</t>
  </si>
  <si>
    <t>TOP3痛点能设计规避</t>
  </si>
  <si>
    <t>类目流量与关键词入口</t>
  </si>
  <si>
    <t>⑦⑬</t>
  </si>
  <si>
    <t>核心词有规模、入口清晰</t>
  </si>
  <si>
    <t>广告经济性</t>
  </si>
  <si>
    <t>实际CPC ≤ 目标CPC</t>
  </si>
  <si>
    <t>供应链测试</t>
  </si>
  <si>
    <t>⑨</t>
  </si>
  <si>
    <t>打样/品控/交期可行</t>
  </si>
  <si>
    <t>单位经济与资金效率</t>
  </si>
  <si>
    <t>⑧⑩</t>
  </si>
  <si>
    <t>净利与回本周期达标</t>
  </si>
  <si>
    <r>
      <t>知识产权检索(硬否决)</t>
    </r>
    <r>
      <rPr>
        <b/>
        <sz val="9"/>
        <color rgb="FF9C0006"/>
        <rFont val="宋体"/>
        <charset val="134"/>
      </rPr>
      <t xml:space="preserve"> </t>
    </r>
    <r>
      <rPr>
        <b/>
        <sz val="9"/>
        <color rgb="FF9C0006"/>
        <rFont val="Microsoft YaHei"/>
        <charset val="134"/>
      </rPr>
      <t>合规排查（专利检索）</t>
    </r>
  </si>
  <si>
    <t>⑮下方说明</t>
  </si>
  <si>
    <t>有效相关专利族=0(DE/EP/RCD, 同族去重)</t>
  </si>
  <si>
    <r>
      <t>⑭</t>
    </r>
    <r>
      <rPr>
        <i/>
        <sz val="9"/>
        <color rgb="FF808080"/>
        <rFont val="Microsoft YaHei"/>
        <charset val="134"/>
      </rPr>
      <t>合规排查（专利检索）</t>
    </r>
  </si>
  <si>
    <t>产品上市时间</t>
  </si>
  <si>
    <t>产品立项表</t>
  </si>
  <si>
    <t>产品规格书</t>
  </si>
  <si>
    <t>财务 项目ROI核算（产品名称）</t>
  </si>
  <si>
    <t>单品利润测算</t>
  </si>
  <si>
    <t>亚马逊评论，QA&amp;RV分析</t>
  </si>
  <si>
    <t>竞品分析</t>
  </si>
  <si>
    <t>市场大盘分析</t>
  </si>
  <si>
    <t>类目top100打标数据</t>
  </si>
  <si>
    <t>类目top200数据</t>
  </si>
  <si>
    <t>站内竞争情况</t>
  </si>
  <si>
    <t>站外竞争情况</t>
  </si>
  <si>
    <t>市场背景调查</t>
  </si>
  <si>
    <t>谷歌趋势</t>
  </si>
  <si>
    <t>硬否决行出现F → 终止并出具否决报告; 出现U → 必须先人工确认(检索由用户或专业法务复核)才可进入评分。</t>
  </si>
  <si>
    <t>二、10项加权评分(得分1-5, 满分5)</t>
  </si>
  <si>
    <t>评分项</t>
  </si>
  <si>
    <t>权重</t>
  </si>
  <si>
    <t>数据来源</t>
  </si>
  <si>
    <t>得分(1-5)</t>
  </si>
  <si>
    <t>加权分(自动)</t>
  </si>
  <si>
    <t>市场机会与增速</t>
  </si>
  <si>
    <t>③⑥</t>
  </si>
  <si>
    <t>竞争结构与难度</t>
  </si>
  <si>
    <t>差异化与功能领先</t>
  </si>
  <si>
    <t>VOC痛点覆盖</t>
  </si>
  <si>
    <t>广告经济可行性</t>
  </si>
  <si>
    <t>单位利润与资金效率</t>
  </si>
  <si>
    <t>供应链成熟度</t>
  </si>
  <si>
    <t>跨市场与长期潜力</t>
  </si>
  <si>
    <t>⑪</t>
  </si>
  <si>
    <t>合规与知识产权安全</t>
  </si>
  <si>
    <t>⑮硬否决</t>
  </si>
  <si>
    <t>加权总分(满分5)</t>
  </si>
  <si>
    <t>档位参考: ≥3.8 通过 / 3.0-3.79 待确认 / &lt;3.0 建议否决; 任一F直接否决。</t>
  </si>
  <si>
    <t>⑯ 研究结果总结 · 决策(对标官方“研究结果总结”)</t>
  </si>
  <si>
    <t>把前面所有表的结论汇总成一张卡: 三色状态 → 加权总分 → 通过/待确认/否决。名称/类目/售价自动引用②, 总分与否决项自动引用⑮。</t>
  </si>
  <si>
    <t>一、产品身份(自动引用②)</t>
  </si>
  <si>
    <t>值(自动引用)</t>
  </si>
  <si>
    <t>产品名称</t>
  </si>
  <si>
    <t>二、10项模块状态卡(官方三卡=竞争定位/功能完善度/买家满意度, 此处扩展)</t>
  </si>
  <si>
    <t>模块</t>
  </si>
  <si>
    <t>结论要点</t>
  </si>
  <si>
    <t>主要依据表</t>
  </si>
  <si>
    <t>与④头部对比: 价格/评论/份额处在什么位置; 打不打得过</t>
  </si>
  <si>
    <t>功能完善度</t>
  </si>
  <si>
    <t>④逐项对比: 绿区几个(我方优势), 红区几个(短板)</t>
  </si>
  <si>
    <t>买家满意度</t>
  </si>
  <si>
    <t>⑤好评/差评: 满意点在什么, 最大抱怨能否规避</t>
  </si>
  <si>
    <t>市场机会与容量</t>
  </si>
  <si>
    <t>③: 市场大不大、集中不集中、新品友好否</t>
  </si>
  <si>
    <t>季节与时机</t>
  </si>
  <si>
    <t>⑥: 是否强季节品; 现在入场是否赶得上</t>
  </si>
  <si>
    <t>⑦: 实际CPC vs 目标CPC, 广告模型是否成立</t>
  </si>
  <si>
    <t>单位利润与现金流</t>
  </si>
  <si>
    <t>⑧: 毛利率、回本周期、现金流峰值是否可承受</t>
  </si>
  <si>
    <t>供应链</t>
  </si>
  <si>
    <t>⑨: 采购价达标否、交期/质量是否可靠</t>
  </si>
  <si>
    <t>跨市场潜力</t>
  </si>
  <si>
    <t>⑪: 美国→EU的加权分与批次</t>
  </si>
  <si>
    <t>合规与知识产权(硬门槛)</t>
  </si>
  <si>
    <t>⑮硬否决行: 检索与认证结论</t>
  </si>
  <si>
    <t>三、评分与最终裁决</t>
  </si>
  <si>
    <t>值(自动)</t>
  </si>
  <si>
    <t>档位/含义</t>
  </si>
  <si>
    <t>≥3.8 通过 / 3.0-3.79 待确认 / &lt;3.0 建议否决</t>
  </si>
  <si>
    <t>否决项数量(F)</t>
  </si>
  <si>
    <t>&gt;0 → 直接否决(含硬门槛)</t>
  </si>
  <si>
    <t>待确认项数量(U)</t>
  </si>
  <si>
    <t>关键U项必须人工确认后才能决策</t>
  </si>
  <si>
    <t>最终裁决(自动)</t>
  </si>
  <si>
    <t>四、决策卡(由您拍板)</t>
  </si>
  <si>
    <t>填写/选择</t>
  </si>
  <si>
    <t>最终结论(拍板)</t>
  </si>
  <si>
    <t>决策理由(3点以内)</t>
  </si>
  <si>
    <t>需要先解决的U项清单</t>
  </si>
  <si>
    <t>五、行动清单(结论 → 动作)</t>
  </si>
  <si>
    <t>行动项</t>
  </si>
  <si>
    <t>负责人</t>
  </si>
  <si>
    <t>截止/前置条件</t>
  </si>
  <si>
    <t>定稿概念与定价(依据⑩情景)</t>
  </si>
  <si>
    <t>供应商打样与成本谈判(⑨)</t>
  </si>
  <si>
    <t>知识产权最终复核(⑮硬否决)</t>
  </si>
  <si>
    <t>广告与推广计划(⑦)</t>
  </si>
  <si>
    <t>备货与头程排期(⑥⑧)</t>
  </si>
  <si>
    <t>评论/信任冷启动(Vine等)</t>
  </si>
  <si>
    <t>决策纪律: 本表是决策支持不是决策本身; 所有数值带快照日, 超过30天的数据重验(官方提示); 商业模式/报价/备货由您拍板。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</si>
</sst>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3">
    <font>
      <sz val="11"/>
      <color theme="1"/>
      <name val="宋体"/>
      <charset val="134"/>
      <scheme val="minor"/>
    </font>
    <font>
      <b/>
      <sz val="14"/>
      <color rgb="FF1F3864"/>
      <name val="Microsoft YaHei"/>
      <charset val="134"/>
    </font>
    <font>
      <i/>
      <sz val="9"/>
      <color rgb="FF595959"/>
      <name val="Microsoft YaHei"/>
      <charset val="134"/>
    </font>
    <font>
      <b/>
      <sz val="11"/>
      <color rgb="FF1F3864"/>
      <name val="Microsoft YaHei"/>
      <charset val="134"/>
    </font>
    <font>
      <b/>
      <sz val="10"/>
      <color rgb="FFFFFFFF"/>
      <name val="Microsoft YaHei"/>
      <charset val="134"/>
    </font>
    <font>
      <b/>
      <sz val="10"/>
      <color rgb="FF404040"/>
      <name val="Microsoft YaHei"/>
      <charset val="134"/>
    </font>
    <font>
      <sz val="10"/>
      <name val="Microsoft YaHei"/>
      <charset val="134"/>
    </font>
    <font>
      <i/>
      <sz val="9"/>
      <color rgb="FF808080"/>
      <name val="Microsoft YaHei"/>
      <charset val="134"/>
    </font>
    <font>
      <b/>
      <sz val="9"/>
      <color rgb="FF9C0006"/>
      <name val="Microsoft YaHei"/>
      <charset val="134"/>
    </font>
    <font>
      <i/>
      <sz val="9"/>
      <color rgb="FF808080"/>
      <name val="宋体"/>
      <charset val="134"/>
    </font>
    <font>
      <b/>
      <sz val="9"/>
      <color rgb="FF9C0006"/>
      <name val="宋体"/>
      <charset val="134"/>
    </font>
    <font>
      <sz val="11"/>
      <color rgb="FFFF0000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EE5F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5" applyNumberFormat="0" applyAlignment="0" applyProtection="0">
      <alignment vertical="center"/>
    </xf>
    <xf numFmtId="0" fontId="23" fillId="9" borderId="6" applyNumberFormat="0" applyAlignment="0" applyProtection="0">
      <alignment vertical="center"/>
    </xf>
    <xf numFmtId="0" fontId="24" fillId="9" borderId="5" applyNumberFormat="0" applyAlignment="0" applyProtection="0">
      <alignment vertical="center"/>
    </xf>
    <xf numFmtId="0" fontId="25" fillId="10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4" fontId="6" fillId="4" borderId="1" xfId="0" applyNumberFormat="1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0" xfId="0" applyFont="1"/>
    <xf numFmtId="0" fontId="8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176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right" vertical="center"/>
    </xf>
    <xf numFmtId="9" fontId="6" fillId="4" borderId="1" xfId="0" applyNumberFormat="1" applyFont="1" applyFill="1" applyBorder="1" applyAlignment="1">
      <alignment horizontal="right" vertical="center"/>
    </xf>
    <xf numFmtId="0" fontId="0" fillId="0" borderId="1" xfId="0" applyBorder="1"/>
    <xf numFmtId="2" fontId="6" fillId="4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right" vertical="center"/>
    </xf>
    <xf numFmtId="4" fontId="6" fillId="5" borderId="1" xfId="0" applyNumberFormat="1" applyFont="1" applyFill="1" applyBorder="1" applyAlignment="1">
      <alignment horizontal="right" vertical="center"/>
    </xf>
    <xf numFmtId="4" fontId="6" fillId="4" borderId="1" xfId="0" applyNumberFormat="1" applyFont="1" applyFill="1" applyBorder="1" applyAlignment="1">
      <alignment horizontal="right" vertical="center"/>
    </xf>
    <xf numFmtId="176" fontId="6" fillId="5" borderId="1" xfId="0" applyNumberFormat="1" applyFont="1" applyFill="1" applyBorder="1" applyAlignment="1">
      <alignment horizontal="right" vertical="center"/>
    </xf>
    <xf numFmtId="176" fontId="6" fillId="4" borderId="1" xfId="0" applyNumberFormat="1" applyFont="1" applyFill="1" applyBorder="1" applyAlignment="1">
      <alignment horizontal="right" vertical="center"/>
    </xf>
    <xf numFmtId="1" fontId="6" fillId="5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4" fontId="6" fillId="5" borderId="1" xfId="0" applyNumberFormat="1" applyFont="1" applyFill="1" applyBorder="1" applyAlignment="1">
      <alignment horizontal="left" vertical="center" wrapText="1"/>
    </xf>
    <xf numFmtId="0" fontId="11" fillId="0" borderId="0" xfId="0" applyFont="1"/>
    <xf numFmtId="0" fontId="6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showGridLines="0" topLeftCell="A35" workbookViewId="0">
      <selection activeCell="D26" sqref="D26"/>
    </sheetView>
  </sheetViews>
  <sheetFormatPr defaultColWidth="9" defaultRowHeight="13.5" outlineLevelCol="4"/>
  <cols>
    <col min="1" max="1" width="26" customWidth="1"/>
    <col min="2" max="2" width="44" customWidth="1"/>
    <col min="3" max="3" width="40" customWidth="1"/>
    <col min="4" max="4" width="34" customWidth="1"/>
    <col min="5" max="5" width="36" customWidth="1"/>
  </cols>
  <sheetData>
    <row r="1" ht="26" customHeight="1" spans="1:4">
      <c r="A1" s="1" t="s">
        <v>0</v>
      </c>
    </row>
    <row r="2" ht="30" customHeight="1" spans="1:4">
      <c r="A2" s="2" t="s">
        <v>1</v>
      </c>
    </row>
    <row r="4" ht="19" customHeight="1" spans="1:4">
      <c r="A4" s="3" t="s">
        <v>2</v>
      </c>
    </row>
    <row r="5" ht="24" customHeight="1" spans="1:4">
      <c r="A5" s="4" t="s">
        <v>3</v>
      </c>
      <c r="B5" s="4" t="s">
        <v>4</v>
      </c>
      <c r="C5" s="4" t="s">
        <v>5</v>
      </c>
      <c r="D5" s="4" t="s">
        <v>6</v>
      </c>
    </row>
    <row r="6" ht="36" customHeight="1" spans="1:4">
      <c r="A6" s="8" t="s">
        <v>7</v>
      </c>
      <c r="B6" s="14" t="s">
        <v>8</v>
      </c>
      <c r="C6" s="14" t="s">
        <v>9</v>
      </c>
      <c r="D6" s="8" t="s">
        <v>10</v>
      </c>
    </row>
    <row r="7" ht="36" customHeight="1" spans="1:4">
      <c r="A7" s="36">
        <v>2</v>
      </c>
      <c r="B7" s="14" t="s">
        <v>11</v>
      </c>
      <c r="C7" s="14" t="s">
        <v>12</v>
      </c>
      <c r="D7" s="8" t="s">
        <v>13</v>
      </c>
    </row>
    <row r="8" ht="21" customHeight="1" spans="1:4">
      <c r="A8" s="36">
        <v>3</v>
      </c>
      <c r="B8" s="14" t="s">
        <v>14</v>
      </c>
      <c r="C8" s="14" t="s">
        <v>15</v>
      </c>
      <c r="D8" s="8" t="s">
        <v>16</v>
      </c>
    </row>
    <row r="9" ht="36" customHeight="1" spans="1:4">
      <c r="A9" s="36">
        <v>4</v>
      </c>
      <c r="B9" s="14" t="s">
        <v>17</v>
      </c>
      <c r="C9" s="14" t="s">
        <v>18</v>
      </c>
      <c r="D9" s="8" t="s">
        <v>19</v>
      </c>
    </row>
    <row r="10" ht="21" customHeight="1" spans="1:4">
      <c r="A10" s="36">
        <v>5</v>
      </c>
      <c r="B10" s="14" t="s">
        <v>20</v>
      </c>
      <c r="C10" s="14" t="s">
        <v>21</v>
      </c>
      <c r="D10" s="8" t="s">
        <v>22</v>
      </c>
    </row>
    <row r="11" ht="36" customHeight="1" spans="1:4">
      <c r="A11" s="36">
        <v>6</v>
      </c>
      <c r="B11" s="14" t="s">
        <v>23</v>
      </c>
      <c r="C11" s="14" t="s">
        <v>24</v>
      </c>
      <c r="D11" s="8" t="s">
        <v>25</v>
      </c>
    </row>
    <row r="13" ht="19" customHeight="1" spans="1:4">
      <c r="A13" s="3" t="s">
        <v>26</v>
      </c>
    </row>
    <row r="14" ht="24" customHeight="1" spans="1:4">
      <c r="A14" s="4" t="s">
        <v>27</v>
      </c>
      <c r="B14" s="4" t="s">
        <v>28</v>
      </c>
      <c r="C14" s="4" t="s">
        <v>29</v>
      </c>
      <c r="D14" s="4" t="s">
        <v>30</v>
      </c>
    </row>
    <row r="15" ht="36" customHeight="1" spans="1:4">
      <c r="A15" s="14" t="s">
        <v>31</v>
      </c>
      <c r="B15" s="8" t="s">
        <v>32</v>
      </c>
      <c r="C15" s="14" t="s">
        <v>33</v>
      </c>
      <c r="D15" s="14" t="s">
        <v>34</v>
      </c>
    </row>
    <row r="16" ht="36" customHeight="1" spans="1:4">
      <c r="A16" s="14" t="s">
        <v>35</v>
      </c>
      <c r="B16" s="8" t="s">
        <v>36</v>
      </c>
      <c r="C16" s="14" t="s">
        <v>37</v>
      </c>
      <c r="D16" s="14" t="s">
        <v>38</v>
      </c>
    </row>
    <row r="17" ht="21" customHeight="1" spans="1:4">
      <c r="A17" s="14" t="s">
        <v>39</v>
      </c>
      <c r="B17" s="8" t="s">
        <v>40</v>
      </c>
      <c r="C17" s="14" t="s">
        <v>41</v>
      </c>
      <c r="D17" s="14" t="s">
        <v>42</v>
      </c>
    </row>
    <row r="18" ht="36" customHeight="1" spans="1:4">
      <c r="A18" s="14" t="s">
        <v>43</v>
      </c>
      <c r="B18" s="8" t="s">
        <v>44</v>
      </c>
      <c r="C18" s="14" t="s">
        <v>45</v>
      </c>
      <c r="D18" s="14" t="s">
        <v>46</v>
      </c>
    </row>
    <row r="19" ht="36" customHeight="1" spans="1:4">
      <c r="A19" s="14" t="s">
        <v>47</v>
      </c>
      <c r="B19" s="8" t="s">
        <v>48</v>
      </c>
      <c r="C19" s="14" t="s">
        <v>49</v>
      </c>
      <c r="D19" s="14" t="s">
        <v>50</v>
      </c>
    </row>
    <row r="20" ht="36" customHeight="1" spans="1:4">
      <c r="A20" s="14" t="s">
        <v>51</v>
      </c>
      <c r="B20" s="8" t="s">
        <v>52</v>
      </c>
      <c r="C20" s="14" t="s">
        <v>53</v>
      </c>
      <c r="D20" s="37" t="s">
        <v>54</v>
      </c>
    </row>
    <row r="21" ht="21" customHeight="1" spans="1:4">
      <c r="A21" s="14" t="s">
        <v>55</v>
      </c>
      <c r="B21" s="8" t="s">
        <v>56</v>
      </c>
      <c r="C21" s="14" t="s">
        <v>57</v>
      </c>
      <c r="D21" s="14" t="s">
        <v>58</v>
      </c>
    </row>
    <row r="23" ht="19" customHeight="1" spans="1:4">
      <c r="A23" s="3" t="s">
        <v>59</v>
      </c>
    </row>
    <row r="24" ht="24" customHeight="1" spans="1:4">
      <c r="A24" s="4" t="s">
        <v>60</v>
      </c>
      <c r="B24" s="4" t="s">
        <v>61</v>
      </c>
      <c r="C24" s="4" t="s">
        <v>62</v>
      </c>
    </row>
    <row r="25" ht="36" customHeight="1" spans="1:4">
      <c r="A25" s="14" t="s">
        <v>63</v>
      </c>
      <c r="B25" s="8" t="s">
        <v>64</v>
      </c>
      <c r="C25" s="14" t="s">
        <v>65</v>
      </c>
    </row>
    <row r="26" ht="36" customHeight="1" spans="1:4">
      <c r="A26" s="14" t="s">
        <v>66</v>
      </c>
      <c r="B26" s="8" t="s">
        <v>67</v>
      </c>
      <c r="C26" s="14" t="s">
        <v>68</v>
      </c>
    </row>
    <row r="27" ht="36" customHeight="1" spans="1:4">
      <c r="A27" s="14" t="s">
        <v>69</v>
      </c>
      <c r="B27" s="8" t="s">
        <v>70</v>
      </c>
      <c r="C27" s="14" t="s">
        <v>71</v>
      </c>
    </row>
    <row r="28" ht="36" customHeight="1" spans="1:4">
      <c r="A28" s="14" t="s">
        <v>72</v>
      </c>
      <c r="B28" s="8" t="s">
        <v>73</v>
      </c>
      <c r="C28" s="14" t="s">
        <v>74</v>
      </c>
    </row>
    <row r="29" ht="36" customHeight="1" spans="1:4">
      <c r="A29" s="14" t="s">
        <v>75</v>
      </c>
      <c r="B29" s="8" t="s">
        <v>76</v>
      </c>
      <c r="C29" s="14" t="s">
        <v>77</v>
      </c>
    </row>
    <row r="30" ht="36" customHeight="1" spans="1:4">
      <c r="A30" s="14" t="s">
        <v>78</v>
      </c>
      <c r="B30" s="8" t="s">
        <v>79</v>
      </c>
      <c r="C30" s="14" t="s">
        <v>80</v>
      </c>
    </row>
    <row r="31" ht="36" customHeight="1" spans="1:4">
      <c r="A31" s="14" t="s">
        <v>81</v>
      </c>
      <c r="B31" s="8" t="s">
        <v>52</v>
      </c>
      <c r="C31" s="14" t="s">
        <v>82</v>
      </c>
    </row>
    <row r="33" ht="19" customHeight="1" spans="1:4">
      <c r="A33" s="3" t="s">
        <v>83</v>
      </c>
    </row>
    <row r="34" ht="24" customHeight="1" spans="1:4">
      <c r="A34" s="4" t="s">
        <v>84</v>
      </c>
      <c r="B34" s="4" t="s">
        <v>85</v>
      </c>
      <c r="C34" s="4" t="s">
        <v>86</v>
      </c>
      <c r="D34" s="4" t="s">
        <v>87</v>
      </c>
    </row>
    <row r="35" ht="36" customHeight="1" spans="1:4">
      <c r="A35" s="14" t="s">
        <v>88</v>
      </c>
      <c r="B35" s="14" t="s">
        <v>89</v>
      </c>
      <c r="C35" s="8" t="s">
        <v>90</v>
      </c>
      <c r="D35" s="14" t="s">
        <v>91</v>
      </c>
    </row>
    <row r="36" ht="36" customHeight="1" spans="1:4">
      <c r="A36" s="14" t="s">
        <v>92</v>
      </c>
      <c r="B36" s="14" t="s">
        <v>93</v>
      </c>
      <c r="C36" s="8" t="s">
        <v>94</v>
      </c>
      <c r="D36" s="14" t="s">
        <v>95</v>
      </c>
    </row>
    <row r="37" ht="36" customHeight="1" spans="1:4">
      <c r="A37" s="14" t="s">
        <v>96</v>
      </c>
      <c r="B37" s="14" t="s">
        <v>97</v>
      </c>
      <c r="C37" s="8" t="s">
        <v>98</v>
      </c>
      <c r="D37" s="14" t="s">
        <v>99</v>
      </c>
    </row>
    <row r="39" ht="19" customHeight="1" spans="1:4">
      <c r="A39" s="3" t="s">
        <v>100</v>
      </c>
    </row>
    <row r="40" ht="21" customHeight="1" spans="1:4">
      <c r="A40" s="5" t="s">
        <v>101</v>
      </c>
      <c r="B40" s="14" t="s">
        <v>102</v>
      </c>
    </row>
    <row r="41" ht="21" customHeight="1" spans="1:4">
      <c r="A41" s="5" t="s">
        <v>103</v>
      </c>
      <c r="B41" s="14" t="s">
        <v>104</v>
      </c>
    </row>
    <row r="42" ht="36" customHeight="1" spans="1:4">
      <c r="A42" s="5" t="s">
        <v>105</v>
      </c>
      <c r="B42" s="14" t="s">
        <v>106</v>
      </c>
    </row>
    <row r="43" ht="21" customHeight="1" spans="1:4">
      <c r="A43" s="5" t="s">
        <v>107</v>
      </c>
      <c r="B43" s="14" t="s">
        <v>108</v>
      </c>
    </row>
    <row r="44" ht="21" customHeight="1" spans="1:4">
      <c r="A44" s="5" t="s">
        <v>109</v>
      </c>
      <c r="B44" s="14" t="s">
        <v>110</v>
      </c>
    </row>
  </sheetData>
  <mergeCells count="7">
    <mergeCell ref="A1:E1"/>
    <mergeCell ref="A2:E2"/>
    <mergeCell ref="A4:E4"/>
    <mergeCell ref="A13:E13"/>
    <mergeCell ref="A23:E23"/>
    <mergeCell ref="A33:E33"/>
    <mergeCell ref="A39:E3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showGridLines="0" topLeftCell="A6" workbookViewId="0">
      <selection activeCell="E13" sqref="E13"/>
    </sheetView>
  </sheetViews>
  <sheetFormatPr defaultColWidth="9" defaultRowHeight="13.5" outlineLevelCol="5"/>
  <cols>
    <col min="1" max="1" width="30" customWidth="1"/>
    <col min="2" max="2" width="8" customWidth="1"/>
    <col min="3" max="3" width="34" customWidth="1"/>
    <col min="4" max="5" width="52" customWidth="1"/>
    <col min="6" max="6" width="42" customWidth="1"/>
  </cols>
  <sheetData>
    <row r="1" ht="26" customHeight="1" spans="1:6">
      <c r="A1" s="1" t="s">
        <v>10</v>
      </c>
    </row>
    <row r="2" ht="30" customHeight="1" spans="1:6">
      <c r="A2" s="2" t="s">
        <v>111</v>
      </c>
    </row>
    <row r="4" ht="24" customHeight="1" spans="1:6">
      <c r="A4" s="4" t="s">
        <v>112</v>
      </c>
      <c r="B4" s="4" t="s">
        <v>113</v>
      </c>
      <c r="C4" s="4" t="s">
        <v>114</v>
      </c>
      <c r="D4" s="4" t="s">
        <v>115</v>
      </c>
      <c r="E4" s="4" t="s">
        <v>116</v>
      </c>
      <c r="F4" s="4" t="s">
        <v>117</v>
      </c>
    </row>
    <row r="5" ht="21" customHeight="1" spans="1:6">
      <c r="A5" s="5" t="s">
        <v>118</v>
      </c>
      <c r="B5" s="8" t="s">
        <v>119</v>
      </c>
      <c r="C5" s="13" t="s">
        <v>117</v>
      </c>
      <c r="D5" s="9" t="s">
        <v>120</v>
      </c>
      <c r="E5" s="9" t="s">
        <v>121</v>
      </c>
      <c r="F5" s="33" t="s">
        <v>122</v>
      </c>
    </row>
    <row r="6" ht="21" customHeight="1" spans="1:6">
      <c r="A6" s="5" t="s">
        <v>123</v>
      </c>
      <c r="B6" s="8" t="s">
        <v>119</v>
      </c>
      <c r="C6" s="13" t="s">
        <v>117</v>
      </c>
      <c r="D6" s="9" t="s">
        <v>124</v>
      </c>
      <c r="E6" s="9" t="s">
        <v>125</v>
      </c>
      <c r="F6" s="33"/>
    </row>
    <row r="7" ht="66" customHeight="1" spans="1:6">
      <c r="A7" s="5" t="s">
        <v>126</v>
      </c>
      <c r="B7" s="8" t="s">
        <v>119</v>
      </c>
      <c r="C7" s="13" t="s">
        <v>117</v>
      </c>
      <c r="D7" s="9" t="s">
        <v>127</v>
      </c>
      <c r="E7" s="9" t="s">
        <v>128</v>
      </c>
      <c r="F7" s="33"/>
    </row>
    <row r="8" ht="21" customHeight="1" spans="1:6">
      <c r="A8" s="5" t="s">
        <v>129</v>
      </c>
      <c r="B8" s="8" t="s">
        <v>119</v>
      </c>
      <c r="C8" s="13" t="s">
        <v>117</v>
      </c>
      <c r="D8" s="9" t="s">
        <v>130</v>
      </c>
      <c r="E8" s="9" t="s">
        <v>131</v>
      </c>
      <c r="F8" s="33"/>
    </row>
    <row r="9" ht="21" customHeight="1" spans="1:6">
      <c r="A9" s="5" t="s">
        <v>132</v>
      </c>
      <c r="B9" s="8" t="s">
        <v>119</v>
      </c>
      <c r="C9" s="34" t="s">
        <v>117</v>
      </c>
      <c r="D9" s="9" t="s">
        <v>133</v>
      </c>
      <c r="E9" s="9">
        <v>30</v>
      </c>
      <c r="F9" s="33"/>
    </row>
    <row r="10" ht="36" customHeight="1" spans="1:6">
      <c r="A10" s="5" t="s">
        <v>134</v>
      </c>
      <c r="B10" s="8" t="s">
        <v>119</v>
      </c>
      <c r="C10" s="13" t="s">
        <v>117</v>
      </c>
      <c r="D10" s="9" t="s">
        <v>135</v>
      </c>
      <c r="E10" s="9" t="s">
        <v>136</v>
      </c>
      <c r="F10" s="35" t="s">
        <v>137</v>
      </c>
    </row>
    <row r="11" ht="21" customHeight="1" spans="1:6">
      <c r="A11" s="5" t="s">
        <v>138</v>
      </c>
      <c r="B11" s="8" t="s">
        <v>119</v>
      </c>
      <c r="C11" s="13" t="s">
        <v>117</v>
      </c>
      <c r="D11" s="9" t="s">
        <v>139</v>
      </c>
      <c r="E11" s="9" t="s">
        <v>140</v>
      </c>
    </row>
    <row r="12" ht="21" customHeight="1" spans="1:6">
      <c r="A12" s="5" t="s">
        <v>141</v>
      </c>
      <c r="B12" s="8" t="s">
        <v>119</v>
      </c>
      <c r="C12" s="13" t="s">
        <v>117</v>
      </c>
      <c r="D12" s="9" t="s">
        <v>117</v>
      </c>
      <c r="E12" s="9" t="s">
        <v>142</v>
      </c>
    </row>
    <row r="13" ht="21" customHeight="1" spans="1:6">
      <c r="A13" s="5" t="s">
        <v>143</v>
      </c>
      <c r="B13" s="8" t="s">
        <v>119</v>
      </c>
      <c r="C13" s="13" t="s">
        <v>117</v>
      </c>
      <c r="D13" s="9" t="s">
        <v>117</v>
      </c>
      <c r="E13" s="9" t="s">
        <v>144</v>
      </c>
    </row>
    <row r="14" ht="51" customHeight="1" spans="1:6">
      <c r="A14" s="5"/>
      <c r="B14" s="8"/>
      <c r="C14" s="13"/>
      <c r="D14" s="9"/>
      <c r="E14" s="9"/>
    </row>
    <row r="15" ht="51" customHeight="1" spans="1:6">
      <c r="A15" s="5" t="s">
        <v>145</v>
      </c>
      <c r="B15" s="8" t="s">
        <v>146</v>
      </c>
      <c r="C15" s="13" t="s">
        <v>117</v>
      </c>
      <c r="D15" s="9" t="s">
        <v>147</v>
      </c>
      <c r="E15" s="9" t="s">
        <v>148</v>
      </c>
    </row>
    <row r="16" ht="36" customHeight="1" spans="1:6">
      <c r="A16" s="5" t="s">
        <v>149</v>
      </c>
      <c r="B16" s="8" t="s">
        <v>146</v>
      </c>
      <c r="C16" s="13" t="s">
        <v>117</v>
      </c>
      <c r="D16" s="9" t="s">
        <v>150</v>
      </c>
      <c r="E16" s="9" t="s">
        <v>151</v>
      </c>
    </row>
    <row r="17" ht="36" customHeight="1" spans="1:5">
      <c r="A17" s="5" t="s">
        <v>152</v>
      </c>
      <c r="B17" s="8" t="s">
        <v>146</v>
      </c>
      <c r="C17" s="13" t="s">
        <v>117</v>
      </c>
      <c r="D17" s="9" t="s">
        <v>153</v>
      </c>
      <c r="E17" s="9" t="s">
        <v>154</v>
      </c>
    </row>
    <row r="18" ht="21" customHeight="1" spans="1:5">
      <c r="A18" s="5" t="s">
        <v>155</v>
      </c>
      <c r="B18" s="8" t="s">
        <v>146</v>
      </c>
      <c r="C18" s="13" t="s">
        <v>117</v>
      </c>
      <c r="D18" s="9" t="s">
        <v>156</v>
      </c>
      <c r="E18" s="9" t="s">
        <v>157</v>
      </c>
    </row>
    <row r="19" ht="36" customHeight="1" spans="1:5">
      <c r="A19" s="5" t="s">
        <v>158</v>
      </c>
      <c r="B19" s="8" t="s">
        <v>146</v>
      </c>
      <c r="C19" s="13" t="s">
        <v>117</v>
      </c>
      <c r="D19" s="9" t="s">
        <v>159</v>
      </c>
      <c r="E19" s="9" t="s">
        <v>160</v>
      </c>
    </row>
    <row r="20" ht="21" customHeight="1" spans="1:5">
      <c r="A20" s="5" t="s">
        <v>109</v>
      </c>
      <c r="B20" s="8" t="s">
        <v>146</v>
      </c>
      <c r="C20" s="13" t="s">
        <v>117</v>
      </c>
      <c r="D20" s="9" t="s">
        <v>161</v>
      </c>
      <c r="E20" s="9" t="s">
        <v>162</v>
      </c>
    </row>
    <row r="22" ht="14.25" spans="1:5">
      <c r="A22" s="15" t="s">
        <v>163</v>
      </c>
    </row>
  </sheetData>
  <mergeCells count="3">
    <mergeCell ref="A1:F1"/>
    <mergeCell ref="A2:F2"/>
    <mergeCell ref="F5:F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showGridLines="0" topLeftCell="A26" workbookViewId="0">
      <selection activeCell="E8" sqref="E8"/>
    </sheetView>
  </sheetViews>
  <sheetFormatPr defaultColWidth="9" defaultRowHeight="13.5" outlineLevelCol="2"/>
  <cols>
    <col min="1" max="1" width="34" customWidth="1"/>
    <col min="2" max="2" width="16" customWidth="1"/>
    <col min="3" max="3" width="56" customWidth="1"/>
  </cols>
  <sheetData>
    <row r="1" ht="26" customHeight="1" spans="1:3">
      <c r="A1" s="1" t="s">
        <v>164</v>
      </c>
    </row>
    <row r="2" ht="30" customHeight="1" spans="1:3">
      <c r="A2" s="2" t="s">
        <v>165</v>
      </c>
    </row>
    <row r="4" ht="19" customHeight="1" spans="1:3">
      <c r="A4" s="3" t="s">
        <v>166</v>
      </c>
    </row>
    <row r="5" ht="24" customHeight="1" spans="1:3">
      <c r="A5" s="4" t="s">
        <v>167</v>
      </c>
      <c r="B5" s="4" t="s">
        <v>168</v>
      </c>
      <c r="C5" s="4" t="s">
        <v>169</v>
      </c>
    </row>
    <row r="6" ht="36" customHeight="1" spans="1:3">
      <c r="A6" s="5" t="s">
        <v>170</v>
      </c>
      <c r="B6" s="27" t="s">
        <v>117</v>
      </c>
      <c r="C6" s="9" t="s">
        <v>171</v>
      </c>
    </row>
    <row r="7" ht="21" customHeight="1" spans="1:3">
      <c r="A7" s="5" t="s">
        <v>172</v>
      </c>
      <c r="B7" s="27" t="s">
        <v>117</v>
      </c>
      <c r="C7" s="9" t="s">
        <v>173</v>
      </c>
    </row>
    <row r="8" ht="21" customHeight="1" spans="1:3">
      <c r="A8" s="5" t="s">
        <v>174</v>
      </c>
      <c r="B8" s="27" t="s">
        <v>117</v>
      </c>
      <c r="C8" s="9" t="s">
        <v>175</v>
      </c>
    </row>
    <row r="9" ht="21" customHeight="1" spans="1:3">
      <c r="A9" s="5" t="s">
        <v>176</v>
      </c>
      <c r="B9" s="27" t="s">
        <v>117</v>
      </c>
      <c r="C9" s="9" t="s">
        <v>177</v>
      </c>
    </row>
    <row r="10" ht="21" customHeight="1" spans="1:3">
      <c r="A10" s="5" t="s">
        <v>178</v>
      </c>
      <c r="B10" s="27" t="s">
        <v>117</v>
      </c>
      <c r="C10" s="9" t="s">
        <v>179</v>
      </c>
    </row>
    <row r="11" ht="21" customHeight="1" spans="1:3">
      <c r="A11" s="5" t="s">
        <v>180</v>
      </c>
      <c r="B11" s="28" t="s">
        <v>117</v>
      </c>
      <c r="C11" s="9" t="s">
        <v>181</v>
      </c>
    </row>
    <row r="12" ht="21" customHeight="1" spans="1:3">
      <c r="A12" s="5" t="s">
        <v>182</v>
      </c>
      <c r="B12" s="27" t="s">
        <v>117</v>
      </c>
      <c r="C12" s="9" t="s">
        <v>183</v>
      </c>
    </row>
    <row r="13" ht="21" customHeight="1" spans="1:3">
      <c r="A13" s="5" t="s">
        <v>184</v>
      </c>
      <c r="B13" s="28" t="s">
        <v>117</v>
      </c>
      <c r="C13" s="9" t="s">
        <v>185</v>
      </c>
    </row>
    <row r="14" ht="21" customHeight="1" spans="1:3">
      <c r="A14" s="5" t="s">
        <v>186</v>
      </c>
      <c r="B14" s="27" t="s">
        <v>117</v>
      </c>
      <c r="C14" s="9" t="s">
        <v>187</v>
      </c>
    </row>
    <row r="15" ht="21" customHeight="1" spans="1:3">
      <c r="A15" s="5" t="s">
        <v>188</v>
      </c>
      <c r="B15" s="27" t="s">
        <v>117</v>
      </c>
      <c r="C15" s="9" t="s">
        <v>189</v>
      </c>
    </row>
    <row r="16" ht="21" customHeight="1" spans="1:3">
      <c r="A16" s="5" t="s">
        <v>190</v>
      </c>
      <c r="B16" s="27" t="s">
        <v>117</v>
      </c>
      <c r="C16" s="9" t="s">
        <v>191</v>
      </c>
    </row>
    <row r="17" ht="36" customHeight="1" spans="1:3">
      <c r="A17" s="5" t="s">
        <v>192</v>
      </c>
      <c r="B17" s="27" t="s">
        <v>117</v>
      </c>
      <c r="C17" s="9" t="s">
        <v>193</v>
      </c>
    </row>
    <row r="18" ht="21" customHeight="1" spans="1:3">
      <c r="A18" s="5" t="s">
        <v>194</v>
      </c>
      <c r="B18" s="27" t="s">
        <v>117</v>
      </c>
      <c r="C18" s="9" t="s">
        <v>195</v>
      </c>
    </row>
    <row r="19" ht="21" customHeight="1" spans="1:3">
      <c r="A19" s="5" t="s">
        <v>196</v>
      </c>
      <c r="B19" s="27" t="s">
        <v>117</v>
      </c>
      <c r="C19" s="9" t="s">
        <v>197</v>
      </c>
    </row>
    <row r="20" ht="21" customHeight="1" spans="1:3">
      <c r="A20" s="5" t="s">
        <v>198</v>
      </c>
      <c r="B20" s="27" t="s">
        <v>117</v>
      </c>
      <c r="C20" s="9" t="s">
        <v>199</v>
      </c>
    </row>
    <row r="21" ht="21" customHeight="1" spans="1:3">
      <c r="A21" s="5" t="s">
        <v>109</v>
      </c>
      <c r="B21" s="27" t="s">
        <v>117</v>
      </c>
      <c r="C21" s="9" t="s">
        <v>200</v>
      </c>
    </row>
    <row r="23" ht="19" customHeight="1" spans="1:3">
      <c r="A23" s="3" t="s">
        <v>201</v>
      </c>
    </row>
    <row r="24" ht="24" customHeight="1" spans="1:3">
      <c r="A24" s="4" t="s">
        <v>202</v>
      </c>
      <c r="B24" s="4" t="s">
        <v>203</v>
      </c>
      <c r="C24" s="4" t="s">
        <v>204</v>
      </c>
    </row>
    <row r="25" ht="81" customHeight="1" spans="1:3">
      <c r="A25" s="5" t="s">
        <v>205</v>
      </c>
      <c r="B25" s="8" t="s">
        <v>206</v>
      </c>
      <c r="C25" s="9" t="s">
        <v>207</v>
      </c>
    </row>
    <row r="26" ht="66" customHeight="1" spans="1:3">
      <c r="A26" s="5" t="s">
        <v>208</v>
      </c>
      <c r="B26" s="8" t="s">
        <v>206</v>
      </c>
      <c r="C26" s="9" t="s">
        <v>209</v>
      </c>
    </row>
    <row r="27" ht="66" customHeight="1" spans="1:3">
      <c r="A27" s="5" t="s">
        <v>210</v>
      </c>
      <c r="B27" s="8" t="s">
        <v>206</v>
      </c>
      <c r="C27" s="9" t="s">
        <v>211</v>
      </c>
    </row>
    <row r="28" ht="66" customHeight="1" spans="1:3">
      <c r="A28" s="5" t="s">
        <v>212</v>
      </c>
      <c r="B28" s="8" t="s">
        <v>206</v>
      </c>
      <c r="C28" s="9" t="s">
        <v>213</v>
      </c>
    </row>
    <row r="29" ht="36" customHeight="1" spans="1:3">
      <c r="A29" s="5" t="s">
        <v>214</v>
      </c>
      <c r="B29" s="8" t="s">
        <v>206</v>
      </c>
      <c r="C29" s="9" t="s">
        <v>215</v>
      </c>
    </row>
    <row r="30" ht="51" customHeight="1" spans="1:3">
      <c r="A30" s="5" t="s">
        <v>216</v>
      </c>
      <c r="B30" s="8" t="s">
        <v>206</v>
      </c>
      <c r="C30" s="9" t="s">
        <v>217</v>
      </c>
    </row>
  </sheetData>
  <mergeCells count="4">
    <mergeCell ref="A1:C1"/>
    <mergeCell ref="A2:C2"/>
    <mergeCell ref="A4:C4"/>
    <mergeCell ref="A23:C23"/>
  </mergeCells>
  <conditionalFormatting sqref="B25:B30">
    <cfRule type="cellIs" dxfId="0" priority="1" operator="equal">
      <formula>"N"</formula>
    </cfRule>
    <cfRule type="cellIs" dxfId="1" priority="2" operator="equal">
      <formula>"U"</formula>
    </cfRule>
    <cfRule type="cellIs" dxfId="2" priority="3" operator="equal">
      <formula>"F"</formula>
    </cfRule>
  </conditionalFormatting>
  <dataValidations count="1">
    <dataValidation type="list" allowBlank="1" sqref="B25:B30">
      <formula1>"N,U,F"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showGridLines="0" topLeftCell="A6" workbookViewId="0">
      <selection activeCell="A1" sqref="A1:M1"/>
    </sheetView>
  </sheetViews>
  <sheetFormatPr defaultColWidth="9" defaultRowHeight="13.5"/>
  <cols>
    <col min="1" max="2" width="13" customWidth="1"/>
    <col min="3" max="3" width="30" customWidth="1"/>
    <col min="4" max="4" width="9" customWidth="1"/>
    <col min="5" max="5" width="7" customWidth="1"/>
    <col min="6" max="7" width="9" customWidth="1"/>
    <col min="8" max="8" width="10" customWidth="1"/>
    <col min="9" max="9" width="9" customWidth="1"/>
    <col min="10" max="10" width="10" customWidth="1"/>
    <col min="11" max="12" width="32" customWidth="1"/>
    <col min="13" max="13" width="30" customWidth="1"/>
  </cols>
  <sheetData>
    <row r="1" ht="26" customHeight="1" spans="1:13">
      <c r="A1" s="1" t="s">
        <v>218</v>
      </c>
    </row>
    <row r="2" ht="30" customHeight="1" spans="1:13">
      <c r="A2" s="2" t="s">
        <v>219</v>
      </c>
    </row>
    <row r="4" ht="24" customHeight="1" spans="1:13">
      <c r="A4" s="4" t="s">
        <v>220</v>
      </c>
      <c r="B4" s="4" t="s">
        <v>221</v>
      </c>
      <c r="C4" s="4" t="s">
        <v>222</v>
      </c>
      <c r="D4" s="4" t="s">
        <v>223</v>
      </c>
      <c r="E4" s="4" t="s">
        <v>224</v>
      </c>
      <c r="F4" s="4" t="s">
        <v>225</v>
      </c>
      <c r="G4" s="4" t="s">
        <v>226</v>
      </c>
      <c r="H4" s="4" t="s">
        <v>227</v>
      </c>
      <c r="I4" s="4" t="s">
        <v>228</v>
      </c>
      <c r="J4" s="4" t="s">
        <v>229</v>
      </c>
      <c r="K4" s="4" t="s">
        <v>230</v>
      </c>
      <c r="L4" s="4" t="s">
        <v>231</v>
      </c>
      <c r="M4" s="4" t="s">
        <v>232</v>
      </c>
    </row>
    <row r="5" ht="21" customHeight="1" spans="1:13">
      <c r="A5" s="22" t="s">
        <v>117</v>
      </c>
      <c r="B5" s="13" t="s">
        <v>117</v>
      </c>
      <c r="C5" s="13" t="s">
        <v>117</v>
      </c>
      <c r="D5" s="22" t="s">
        <v>117</v>
      </c>
      <c r="E5" s="22" t="s">
        <v>117</v>
      </c>
      <c r="F5" s="22" t="s">
        <v>117</v>
      </c>
      <c r="G5" s="22" t="s">
        <v>117</v>
      </c>
      <c r="H5" s="22" t="s">
        <v>117</v>
      </c>
      <c r="I5" s="13" t="s">
        <v>117</v>
      </c>
      <c r="J5" s="22" t="s">
        <v>117</v>
      </c>
      <c r="K5" s="13" t="s">
        <v>117</v>
      </c>
      <c r="L5" s="13" t="s">
        <v>117</v>
      </c>
      <c r="M5" s="13" t="s">
        <v>117</v>
      </c>
    </row>
    <row r="6" ht="21" customHeight="1" spans="1:13">
      <c r="A6" s="22" t="s">
        <v>117</v>
      </c>
      <c r="B6" s="13" t="s">
        <v>117</v>
      </c>
      <c r="C6" s="13" t="s">
        <v>117</v>
      </c>
      <c r="D6" s="22" t="s">
        <v>117</v>
      </c>
      <c r="E6" s="22" t="s">
        <v>117</v>
      </c>
      <c r="F6" s="22" t="s">
        <v>117</v>
      </c>
      <c r="G6" s="22" t="s">
        <v>117</v>
      </c>
      <c r="H6" s="22" t="s">
        <v>117</v>
      </c>
      <c r="I6" s="13" t="s">
        <v>117</v>
      </c>
      <c r="J6" s="22" t="s">
        <v>117</v>
      </c>
      <c r="K6" s="13" t="s">
        <v>117</v>
      </c>
      <c r="L6" s="13" t="s">
        <v>117</v>
      </c>
      <c r="M6" s="13" t="s">
        <v>117</v>
      </c>
    </row>
    <row r="7" ht="21" customHeight="1" spans="1:13">
      <c r="A7" s="22" t="s">
        <v>117</v>
      </c>
      <c r="B7" s="13" t="s">
        <v>117</v>
      </c>
      <c r="C7" s="13" t="s">
        <v>117</v>
      </c>
      <c r="D7" s="22" t="s">
        <v>117</v>
      </c>
      <c r="E7" s="22" t="s">
        <v>117</v>
      </c>
      <c r="F7" s="22" t="s">
        <v>117</v>
      </c>
      <c r="G7" s="22" t="s">
        <v>117</v>
      </c>
      <c r="H7" s="22" t="s">
        <v>117</v>
      </c>
      <c r="I7" s="13" t="s">
        <v>117</v>
      </c>
      <c r="J7" s="22" t="s">
        <v>117</v>
      </c>
      <c r="K7" s="13" t="s">
        <v>117</v>
      </c>
      <c r="L7" s="13" t="s">
        <v>117</v>
      </c>
      <c r="M7" s="13" t="s">
        <v>117</v>
      </c>
    </row>
    <row r="8" ht="21" customHeight="1" spans="1:13">
      <c r="A8" s="22" t="s">
        <v>117</v>
      </c>
      <c r="B8" s="13" t="s">
        <v>117</v>
      </c>
      <c r="C8" s="13" t="s">
        <v>117</v>
      </c>
      <c r="D8" s="22" t="s">
        <v>117</v>
      </c>
      <c r="E8" s="22" t="s">
        <v>117</v>
      </c>
      <c r="F8" s="22" t="s">
        <v>117</v>
      </c>
      <c r="G8" s="22" t="s">
        <v>117</v>
      </c>
      <c r="H8" s="22" t="s">
        <v>117</v>
      </c>
      <c r="I8" s="13" t="s">
        <v>117</v>
      </c>
      <c r="J8" s="22" t="s">
        <v>117</v>
      </c>
      <c r="K8" s="13" t="s">
        <v>117</v>
      </c>
      <c r="L8" s="13" t="s">
        <v>117</v>
      </c>
      <c r="M8" s="13" t="s">
        <v>117</v>
      </c>
    </row>
    <row r="9" ht="21" customHeight="1" spans="1:13">
      <c r="A9" s="22" t="s">
        <v>117</v>
      </c>
      <c r="B9" s="13" t="s">
        <v>117</v>
      </c>
      <c r="C9" s="13" t="s">
        <v>117</v>
      </c>
      <c r="D9" s="22" t="s">
        <v>117</v>
      </c>
      <c r="E9" s="22" t="s">
        <v>117</v>
      </c>
      <c r="F9" s="22" t="s">
        <v>117</v>
      </c>
      <c r="G9" s="22" t="s">
        <v>117</v>
      </c>
      <c r="H9" s="22" t="s">
        <v>117</v>
      </c>
      <c r="I9" s="13" t="s">
        <v>117</v>
      </c>
      <c r="J9" s="22" t="s">
        <v>117</v>
      </c>
      <c r="K9" s="13" t="s">
        <v>117</v>
      </c>
      <c r="L9" s="13" t="s">
        <v>117</v>
      </c>
      <c r="M9" s="13" t="s">
        <v>117</v>
      </c>
    </row>
    <row r="10" ht="21" customHeight="1" spans="1:13">
      <c r="A10" s="22" t="s">
        <v>117</v>
      </c>
      <c r="B10" s="13" t="s">
        <v>117</v>
      </c>
      <c r="C10" s="13" t="s">
        <v>117</v>
      </c>
      <c r="D10" s="22" t="s">
        <v>117</v>
      </c>
      <c r="E10" s="22" t="s">
        <v>117</v>
      </c>
      <c r="F10" s="22" t="s">
        <v>117</v>
      </c>
      <c r="G10" s="22" t="s">
        <v>117</v>
      </c>
      <c r="H10" s="22" t="s">
        <v>117</v>
      </c>
      <c r="I10" s="13" t="s">
        <v>117</v>
      </c>
      <c r="J10" s="22" t="s">
        <v>117</v>
      </c>
      <c r="K10" s="13" t="s">
        <v>117</v>
      </c>
      <c r="L10" s="13" t="s">
        <v>117</v>
      </c>
      <c r="M10" s="13" t="s">
        <v>117</v>
      </c>
    </row>
    <row r="11" ht="21" customHeight="1" spans="1:13">
      <c r="A11" s="22" t="s">
        <v>117</v>
      </c>
      <c r="B11" s="13" t="s">
        <v>117</v>
      </c>
      <c r="C11" s="13" t="s">
        <v>117</v>
      </c>
      <c r="D11" s="22" t="s">
        <v>117</v>
      </c>
      <c r="E11" s="22" t="s">
        <v>117</v>
      </c>
      <c r="F11" s="22" t="s">
        <v>117</v>
      </c>
      <c r="G11" s="22" t="s">
        <v>117</v>
      </c>
      <c r="H11" s="22" t="s">
        <v>117</v>
      </c>
      <c r="I11" s="13" t="s">
        <v>117</v>
      </c>
      <c r="J11" s="22" t="s">
        <v>117</v>
      </c>
      <c r="K11" s="13" t="s">
        <v>117</v>
      </c>
      <c r="L11" s="13" t="s">
        <v>117</v>
      </c>
      <c r="M11" s="13" t="s">
        <v>117</v>
      </c>
    </row>
    <row r="12" ht="21" customHeight="1" spans="1:13">
      <c r="A12" s="22" t="s">
        <v>117</v>
      </c>
      <c r="B12" s="13" t="s">
        <v>117</v>
      </c>
      <c r="C12" s="13" t="s">
        <v>117</v>
      </c>
      <c r="D12" s="22" t="s">
        <v>117</v>
      </c>
      <c r="E12" s="22" t="s">
        <v>117</v>
      </c>
      <c r="F12" s="22" t="s">
        <v>117</v>
      </c>
      <c r="G12" s="22" t="s">
        <v>117</v>
      </c>
      <c r="H12" s="22" t="s">
        <v>117</v>
      </c>
      <c r="I12" s="13" t="s">
        <v>117</v>
      </c>
      <c r="J12" s="22" t="s">
        <v>117</v>
      </c>
      <c r="K12" s="13" t="s">
        <v>117</v>
      </c>
      <c r="L12" s="13" t="s">
        <v>117</v>
      </c>
      <c r="M12" s="13" t="s">
        <v>117</v>
      </c>
    </row>
    <row r="13" ht="21" customHeight="1" spans="1:13">
      <c r="A13" s="22" t="s">
        <v>117</v>
      </c>
      <c r="B13" s="13" t="s">
        <v>117</v>
      </c>
      <c r="C13" s="13" t="s">
        <v>117</v>
      </c>
      <c r="D13" s="22" t="s">
        <v>117</v>
      </c>
      <c r="E13" s="22" t="s">
        <v>117</v>
      </c>
      <c r="F13" s="22" t="s">
        <v>117</v>
      </c>
      <c r="G13" s="22" t="s">
        <v>117</v>
      </c>
      <c r="H13" s="22" t="s">
        <v>117</v>
      </c>
      <c r="I13" s="13" t="s">
        <v>117</v>
      </c>
      <c r="J13" s="22" t="s">
        <v>117</v>
      </c>
      <c r="K13" s="13" t="s">
        <v>117</v>
      </c>
      <c r="L13" s="13" t="s">
        <v>117</v>
      </c>
      <c r="M13" s="13" t="s">
        <v>117</v>
      </c>
    </row>
    <row r="14" ht="21" customHeight="1" spans="1:13">
      <c r="A14" s="22" t="s">
        <v>117</v>
      </c>
      <c r="B14" s="13" t="s">
        <v>117</v>
      </c>
      <c r="C14" s="13" t="s">
        <v>117</v>
      </c>
      <c r="D14" s="22" t="s">
        <v>117</v>
      </c>
      <c r="E14" s="22" t="s">
        <v>117</v>
      </c>
      <c r="F14" s="22" t="s">
        <v>117</v>
      </c>
      <c r="G14" s="22" t="s">
        <v>117</v>
      </c>
      <c r="H14" s="22" t="s">
        <v>117</v>
      </c>
      <c r="I14" s="13" t="s">
        <v>117</v>
      </c>
      <c r="J14" s="22" t="s">
        <v>117</v>
      </c>
      <c r="K14" s="13" t="s">
        <v>117</v>
      </c>
      <c r="L14" s="13" t="s">
        <v>117</v>
      </c>
      <c r="M14" s="13" t="s">
        <v>117</v>
      </c>
    </row>
    <row r="16" ht="19" customHeight="1" spans="1:13">
      <c r="A16" s="3" t="s">
        <v>233</v>
      </c>
    </row>
    <row r="17" ht="24" customHeight="1" spans="1:13">
      <c r="A17" s="4" t="s">
        <v>234</v>
      </c>
      <c r="B17" s="4" t="s">
        <v>235</v>
      </c>
      <c r="C17" s="4" t="s">
        <v>236</v>
      </c>
      <c r="D17" s="4" t="s">
        <v>237</v>
      </c>
      <c r="E17" s="4" t="s">
        <v>238</v>
      </c>
      <c r="F17" s="4" t="s">
        <v>239</v>
      </c>
      <c r="G17" s="4" t="s">
        <v>240</v>
      </c>
      <c r="H17" s="4" t="s">
        <v>241</v>
      </c>
      <c r="I17" s="4" t="s">
        <v>117</v>
      </c>
      <c r="J17" s="4" t="s">
        <v>117</v>
      </c>
      <c r="K17" s="4" t="s">
        <v>117</v>
      </c>
      <c r="L17" s="4" t="s">
        <v>117</v>
      </c>
      <c r="M17" s="4" t="s">
        <v>242</v>
      </c>
    </row>
    <row r="18" ht="21" customHeight="1" spans="1:13">
      <c r="A18" s="5" t="s">
        <v>243</v>
      </c>
      <c r="B18" s="13" t="s">
        <v>117</v>
      </c>
      <c r="C18" s="13" t="s">
        <v>117</v>
      </c>
      <c r="D18" s="13" t="s">
        <v>117</v>
      </c>
      <c r="E18" s="13" t="s">
        <v>117</v>
      </c>
      <c r="F18" s="13" t="s">
        <v>117</v>
      </c>
      <c r="G18" s="13" t="s">
        <v>117</v>
      </c>
      <c r="H18" s="13" t="s">
        <v>117</v>
      </c>
      <c r="I18" s="13" t="s">
        <v>117</v>
      </c>
      <c r="M18" s="8" t="s">
        <v>117</v>
      </c>
    </row>
    <row r="19" ht="21" customHeight="1" spans="1:13">
      <c r="A19" s="5" t="s">
        <v>244</v>
      </c>
      <c r="B19" s="13" t="s">
        <v>117</v>
      </c>
      <c r="C19" s="13" t="s">
        <v>117</v>
      </c>
      <c r="D19" s="13" t="s">
        <v>117</v>
      </c>
      <c r="E19" s="13" t="s">
        <v>117</v>
      </c>
      <c r="F19" s="13" t="s">
        <v>117</v>
      </c>
      <c r="G19" s="13" t="s">
        <v>117</v>
      </c>
      <c r="H19" s="13" t="s">
        <v>117</v>
      </c>
      <c r="I19" s="13" t="s">
        <v>117</v>
      </c>
      <c r="M19" s="8" t="s">
        <v>117</v>
      </c>
    </row>
    <row r="20" ht="21" customHeight="1" spans="1:13">
      <c r="A20" s="5" t="s">
        <v>245</v>
      </c>
      <c r="B20" s="13" t="s">
        <v>117</v>
      </c>
      <c r="C20" s="13" t="s">
        <v>117</v>
      </c>
      <c r="D20" s="13" t="s">
        <v>117</v>
      </c>
      <c r="E20" s="13" t="s">
        <v>117</v>
      </c>
      <c r="F20" s="13" t="s">
        <v>117</v>
      </c>
      <c r="G20" s="13" t="s">
        <v>117</v>
      </c>
      <c r="H20" s="13" t="s">
        <v>117</v>
      </c>
      <c r="I20" s="13" t="s">
        <v>117</v>
      </c>
      <c r="M20" s="8" t="s">
        <v>117</v>
      </c>
    </row>
    <row r="21" ht="21" customHeight="1" spans="1:13">
      <c r="A21" s="5" t="s">
        <v>246</v>
      </c>
      <c r="B21" s="13" t="s">
        <v>117</v>
      </c>
      <c r="C21" s="13" t="s">
        <v>117</v>
      </c>
      <c r="D21" s="13" t="s">
        <v>117</v>
      </c>
      <c r="E21" s="13" t="s">
        <v>117</v>
      </c>
      <c r="F21" s="13" t="s">
        <v>117</v>
      </c>
      <c r="G21" s="13" t="s">
        <v>117</v>
      </c>
      <c r="H21" s="13" t="s">
        <v>117</v>
      </c>
      <c r="I21" s="13" t="s">
        <v>117</v>
      </c>
      <c r="M21" s="8" t="s">
        <v>117</v>
      </c>
    </row>
    <row r="22" ht="21" customHeight="1" spans="1:13">
      <c r="A22" s="5" t="s">
        <v>247</v>
      </c>
      <c r="B22" s="13" t="s">
        <v>117</v>
      </c>
      <c r="C22" s="13" t="s">
        <v>117</v>
      </c>
      <c r="D22" s="13" t="s">
        <v>117</v>
      </c>
      <c r="E22" s="13" t="s">
        <v>117</v>
      </c>
      <c r="F22" s="13" t="s">
        <v>117</v>
      </c>
      <c r="G22" s="13" t="s">
        <v>117</v>
      </c>
      <c r="H22" s="13" t="s">
        <v>117</v>
      </c>
      <c r="I22" s="13" t="s">
        <v>117</v>
      </c>
      <c r="M22" s="8" t="s">
        <v>117</v>
      </c>
    </row>
    <row r="23" ht="21" customHeight="1" spans="1:13">
      <c r="A23" s="5" t="s">
        <v>248</v>
      </c>
      <c r="B23" s="13" t="s">
        <v>117</v>
      </c>
      <c r="C23" s="13" t="s">
        <v>117</v>
      </c>
      <c r="D23" s="13" t="s">
        <v>117</v>
      </c>
      <c r="E23" s="13" t="s">
        <v>117</v>
      </c>
      <c r="F23" s="13" t="s">
        <v>117</v>
      </c>
      <c r="G23" s="13" t="s">
        <v>117</v>
      </c>
      <c r="H23" s="13" t="s">
        <v>117</v>
      </c>
      <c r="I23" s="13" t="s">
        <v>117</v>
      </c>
      <c r="M23" s="8" t="s">
        <v>117</v>
      </c>
    </row>
    <row r="24" ht="21" customHeight="1" spans="1:13">
      <c r="A24" s="5" t="s">
        <v>249</v>
      </c>
      <c r="B24" s="13" t="s">
        <v>117</v>
      </c>
      <c r="C24" s="13" t="s">
        <v>117</v>
      </c>
      <c r="D24" s="13" t="s">
        <v>117</v>
      </c>
      <c r="E24" s="13" t="s">
        <v>117</v>
      </c>
      <c r="F24" s="13" t="s">
        <v>117</v>
      </c>
      <c r="G24" s="13" t="s">
        <v>117</v>
      </c>
      <c r="H24" s="13" t="s">
        <v>117</v>
      </c>
      <c r="I24" s="13" t="s">
        <v>117</v>
      </c>
      <c r="M24" s="8" t="s">
        <v>117</v>
      </c>
    </row>
    <row r="25" ht="21" customHeight="1" spans="1:13">
      <c r="A25" s="5" t="s">
        <v>250</v>
      </c>
      <c r="B25" s="13" t="s">
        <v>117</v>
      </c>
      <c r="C25" s="13" t="s">
        <v>117</v>
      </c>
      <c r="D25" s="13" t="s">
        <v>117</v>
      </c>
      <c r="E25" s="13" t="s">
        <v>117</v>
      </c>
      <c r="F25" s="13" t="s">
        <v>117</v>
      </c>
      <c r="G25" s="13" t="s">
        <v>117</v>
      </c>
      <c r="H25" s="13" t="s">
        <v>117</v>
      </c>
      <c r="I25" s="13" t="s">
        <v>117</v>
      </c>
      <c r="M25" s="8" t="s">
        <v>117</v>
      </c>
    </row>
    <row r="26" ht="21" customHeight="1" spans="1:13">
      <c r="A26" s="5" t="s">
        <v>117</v>
      </c>
      <c r="B26" s="13" t="s">
        <v>117</v>
      </c>
      <c r="C26" s="13" t="s">
        <v>117</v>
      </c>
      <c r="D26" s="13" t="s">
        <v>117</v>
      </c>
      <c r="E26" s="13" t="s">
        <v>117</v>
      </c>
      <c r="F26" s="13" t="s">
        <v>117</v>
      </c>
      <c r="G26" s="13" t="s">
        <v>117</v>
      </c>
      <c r="H26" s="13" t="s">
        <v>117</v>
      </c>
      <c r="I26" s="13" t="s">
        <v>117</v>
      </c>
      <c r="M26" s="8" t="s">
        <v>117</v>
      </c>
    </row>
    <row r="27" ht="21" customHeight="1" spans="1:13">
      <c r="A27" s="5" t="s">
        <v>117</v>
      </c>
      <c r="B27" s="13" t="s">
        <v>117</v>
      </c>
      <c r="C27" s="13" t="s">
        <v>117</v>
      </c>
      <c r="D27" s="13" t="s">
        <v>117</v>
      </c>
      <c r="E27" s="13" t="s">
        <v>117</v>
      </c>
      <c r="F27" s="13" t="s">
        <v>117</v>
      </c>
      <c r="G27" s="13" t="s">
        <v>117</v>
      </c>
      <c r="H27" s="13" t="s">
        <v>117</v>
      </c>
      <c r="I27" s="13" t="s">
        <v>117</v>
      </c>
      <c r="M27" s="8" t="s">
        <v>117</v>
      </c>
    </row>
    <row r="29" ht="14.25" spans="1:13">
      <c r="A29" s="15" t="s">
        <v>251</v>
      </c>
    </row>
  </sheetData>
  <mergeCells count="3">
    <mergeCell ref="A1:M1"/>
    <mergeCell ref="A2:M2"/>
    <mergeCell ref="A16:M16"/>
  </mergeCells>
  <dataValidations count="1">
    <dataValidation type="list" allowBlank="1" sqref="M18:M27">
      <formula1>"优,劣,持平,不适用"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showGridLines="0" topLeftCell="A11" workbookViewId="0">
      <selection activeCell="A1" sqref="A1:F1"/>
    </sheetView>
  </sheetViews>
  <sheetFormatPr defaultColWidth="9" defaultRowHeight="13.5" outlineLevelCol="5"/>
  <cols>
    <col min="1" max="1" width="30" customWidth="1"/>
    <col min="2" max="3" width="12" customWidth="1"/>
    <col min="4" max="4" width="46" customWidth="1"/>
    <col min="5" max="5" width="26" customWidth="1"/>
    <col min="6" max="6" width="34" customWidth="1"/>
  </cols>
  <sheetData>
    <row r="1" ht="26" customHeight="1" spans="1:6">
      <c r="A1" s="1" t="s">
        <v>252</v>
      </c>
    </row>
    <row r="2" ht="30" customHeight="1" spans="1:6">
      <c r="A2" s="2" t="s">
        <v>253</v>
      </c>
    </row>
    <row r="4" ht="19" customHeight="1" spans="1:6">
      <c r="A4" s="3" t="s">
        <v>254</v>
      </c>
    </row>
    <row r="5" ht="24" customHeight="1" spans="1:6">
      <c r="A5" s="4" t="s">
        <v>255</v>
      </c>
      <c r="B5" s="4" t="s">
        <v>256</v>
      </c>
      <c r="C5" s="4" t="s">
        <v>257</v>
      </c>
      <c r="D5" s="4" t="s">
        <v>117</v>
      </c>
      <c r="E5" s="4" t="s">
        <v>117</v>
      </c>
      <c r="F5" s="4" t="s">
        <v>258</v>
      </c>
    </row>
    <row r="6" ht="24" customHeight="1" spans="1:6">
      <c r="A6" s="4" t="s">
        <v>259</v>
      </c>
      <c r="B6" s="4" t="s">
        <v>117</v>
      </c>
      <c r="C6" s="4" t="s">
        <v>117</v>
      </c>
      <c r="D6" s="4" t="s">
        <v>117</v>
      </c>
      <c r="E6" s="4" t="s">
        <v>117</v>
      </c>
      <c r="F6" s="4" t="s">
        <v>260</v>
      </c>
    </row>
    <row r="7" ht="16.5" spans="1:6">
      <c r="A7" s="14" t="s">
        <v>117</v>
      </c>
      <c r="B7" s="27" t="s">
        <v>117</v>
      </c>
      <c r="C7" s="14" t="s">
        <v>117</v>
      </c>
    </row>
    <row r="8" ht="16.5" spans="1:6">
      <c r="A8" s="14" t="s">
        <v>261</v>
      </c>
      <c r="B8" s="27" t="s">
        <v>117</v>
      </c>
      <c r="C8" s="31" t="str">
        <f>IF($B$7="","",IFERROR($B8/$B$7,""))</f>
        <v/>
      </c>
      <c r="D8" s="9" t="s">
        <v>262</v>
      </c>
    </row>
    <row r="9" ht="16.5" spans="1:6">
      <c r="A9" s="14" t="s">
        <v>263</v>
      </c>
      <c r="B9" s="27" t="s">
        <v>117</v>
      </c>
      <c r="C9" s="31" t="str">
        <f>IF($B$7="","",IFERROR($B9/$B$7,""))</f>
        <v/>
      </c>
      <c r="D9" s="9" t="s">
        <v>262</v>
      </c>
    </row>
    <row r="10" ht="16.5" spans="1:6">
      <c r="A10" s="14" t="s">
        <v>264</v>
      </c>
      <c r="B10" s="27" t="s">
        <v>117</v>
      </c>
      <c r="C10" s="31" t="str">
        <f>IF($B$7="","",IFERROR($B10/$B$7,""))</f>
        <v/>
      </c>
      <c r="D10" s="9" t="s">
        <v>262</v>
      </c>
    </row>
    <row r="11" ht="16.5" spans="1:6">
      <c r="A11" s="14" t="s">
        <v>265</v>
      </c>
      <c r="B11" s="27" t="s">
        <v>117</v>
      </c>
      <c r="C11" s="31" t="str">
        <f>IF($B$7="","",IFERROR($B11/$B$7,""))</f>
        <v/>
      </c>
      <c r="D11" s="9" t="s">
        <v>262</v>
      </c>
    </row>
    <row r="12" ht="16.5" spans="1:6">
      <c r="A12" s="14" t="s">
        <v>266</v>
      </c>
      <c r="B12" s="27" t="s">
        <v>117</v>
      </c>
      <c r="C12" s="31" t="str">
        <f>IF($B$7="","",IFERROR($B12/$B$7,""))</f>
        <v/>
      </c>
      <c r="D12" s="9" t="s">
        <v>262</v>
      </c>
    </row>
    <row r="14" ht="19" customHeight="1" spans="1:6">
      <c r="A14" s="3" t="s">
        <v>267</v>
      </c>
    </row>
    <row r="15" ht="24" customHeight="1" spans="1:6">
      <c r="A15" s="4" t="s">
        <v>268</v>
      </c>
      <c r="B15" s="4" t="s">
        <v>269</v>
      </c>
      <c r="C15" s="4" t="s">
        <v>270</v>
      </c>
      <c r="D15" s="4" t="s">
        <v>271</v>
      </c>
      <c r="E15" s="4" t="s">
        <v>272</v>
      </c>
      <c r="F15" s="4" t="s">
        <v>273</v>
      </c>
    </row>
    <row r="16" ht="21" customHeight="1" spans="1:6">
      <c r="A16" s="13" t="s">
        <v>117</v>
      </c>
      <c r="B16" s="27" t="s">
        <v>117</v>
      </c>
      <c r="C16" s="27" t="s">
        <v>117</v>
      </c>
      <c r="D16" s="13" t="s">
        <v>117</v>
      </c>
      <c r="E16" s="27" t="s">
        <v>117</v>
      </c>
      <c r="F16" s="13" t="s">
        <v>117</v>
      </c>
    </row>
    <row r="17" ht="21" customHeight="1" spans="1:6">
      <c r="A17" s="13" t="s">
        <v>117</v>
      </c>
      <c r="B17" s="27" t="s">
        <v>117</v>
      </c>
      <c r="C17" s="27" t="s">
        <v>117</v>
      </c>
      <c r="D17" s="13" t="s">
        <v>117</v>
      </c>
      <c r="E17" s="27" t="s">
        <v>117</v>
      </c>
      <c r="F17" s="13" t="s">
        <v>117</v>
      </c>
    </row>
    <row r="18" ht="21" customHeight="1" spans="1:6">
      <c r="A18" s="13" t="s">
        <v>117</v>
      </c>
      <c r="B18" s="27" t="s">
        <v>117</v>
      </c>
      <c r="C18" s="27" t="s">
        <v>117</v>
      </c>
      <c r="D18" s="13" t="s">
        <v>117</v>
      </c>
      <c r="E18" s="27" t="s">
        <v>117</v>
      </c>
      <c r="F18" s="13" t="s">
        <v>117</v>
      </c>
    </row>
    <row r="19" ht="21" customHeight="1" spans="1:6">
      <c r="A19" s="13" t="s">
        <v>117</v>
      </c>
      <c r="B19" s="27" t="s">
        <v>117</v>
      </c>
      <c r="C19" s="27" t="s">
        <v>117</v>
      </c>
      <c r="D19" s="13" t="s">
        <v>117</v>
      </c>
      <c r="E19" s="27" t="s">
        <v>117</v>
      </c>
      <c r="F19" s="13" t="s">
        <v>117</v>
      </c>
    </row>
    <row r="20" ht="21" customHeight="1" spans="1:6">
      <c r="A20" s="13" t="s">
        <v>117</v>
      </c>
      <c r="B20" s="27" t="s">
        <v>117</v>
      </c>
      <c r="C20" s="27" t="s">
        <v>117</v>
      </c>
      <c r="D20" s="13" t="s">
        <v>117</v>
      </c>
      <c r="E20" s="27" t="s">
        <v>117</v>
      </c>
      <c r="F20" s="13" t="s">
        <v>117</v>
      </c>
    </row>
    <row r="21" ht="21" customHeight="1" spans="1:6">
      <c r="A21" s="13" t="s">
        <v>117</v>
      </c>
      <c r="B21" s="27" t="s">
        <v>117</v>
      </c>
      <c r="C21" s="27" t="s">
        <v>117</v>
      </c>
      <c r="D21" s="13" t="s">
        <v>117</v>
      </c>
      <c r="E21" s="27" t="s">
        <v>117</v>
      </c>
      <c r="F21" s="13" t="s">
        <v>117</v>
      </c>
    </row>
    <row r="23" ht="19" customHeight="1" spans="1:6">
      <c r="A23" s="3" t="s">
        <v>274</v>
      </c>
    </row>
    <row r="24" ht="24" customHeight="1" spans="1:6">
      <c r="A24" s="4" t="s">
        <v>275</v>
      </c>
      <c r="B24" s="4" t="s">
        <v>269</v>
      </c>
      <c r="C24" s="4" t="s">
        <v>270</v>
      </c>
      <c r="D24" s="4" t="s">
        <v>271</v>
      </c>
      <c r="E24" s="4" t="s">
        <v>276</v>
      </c>
      <c r="F24" s="4" t="s">
        <v>277</v>
      </c>
    </row>
    <row r="25" ht="21" customHeight="1" spans="1:6">
      <c r="A25" s="13" t="s">
        <v>117</v>
      </c>
      <c r="B25" s="27" t="s">
        <v>117</v>
      </c>
      <c r="C25" s="27" t="s">
        <v>117</v>
      </c>
      <c r="D25" s="13" t="s">
        <v>117</v>
      </c>
      <c r="E25" s="13" t="s">
        <v>117</v>
      </c>
      <c r="F25" s="13" t="s">
        <v>117</v>
      </c>
    </row>
    <row r="26" ht="21" customHeight="1" spans="1:6">
      <c r="A26" s="13" t="s">
        <v>117</v>
      </c>
      <c r="B26" s="27" t="s">
        <v>117</v>
      </c>
      <c r="C26" s="27" t="s">
        <v>117</v>
      </c>
      <c r="D26" s="13" t="s">
        <v>117</v>
      </c>
      <c r="E26" s="13" t="s">
        <v>117</v>
      </c>
      <c r="F26" s="13" t="s">
        <v>117</v>
      </c>
    </row>
    <row r="27" ht="21" customHeight="1" spans="1:6">
      <c r="A27" s="13" t="s">
        <v>117</v>
      </c>
      <c r="B27" s="27" t="s">
        <v>117</v>
      </c>
      <c r="C27" s="27" t="s">
        <v>117</v>
      </c>
      <c r="D27" s="13" t="s">
        <v>117</v>
      </c>
      <c r="E27" s="13" t="s">
        <v>117</v>
      </c>
      <c r="F27" s="13" t="s">
        <v>117</v>
      </c>
    </row>
    <row r="28" ht="21" customHeight="1" spans="1:6">
      <c r="A28" s="13" t="s">
        <v>117</v>
      </c>
      <c r="B28" s="27" t="s">
        <v>117</v>
      </c>
      <c r="C28" s="27" t="s">
        <v>117</v>
      </c>
      <c r="D28" s="13" t="s">
        <v>117</v>
      </c>
      <c r="E28" s="13" t="s">
        <v>117</v>
      </c>
      <c r="F28" s="13" t="s">
        <v>117</v>
      </c>
    </row>
    <row r="29" ht="21" customHeight="1" spans="1:6">
      <c r="A29" s="13" t="s">
        <v>117</v>
      </c>
      <c r="B29" s="27" t="s">
        <v>117</v>
      </c>
      <c r="C29" s="27" t="s">
        <v>117</v>
      </c>
      <c r="D29" s="13" t="s">
        <v>117</v>
      </c>
      <c r="E29" s="13" t="s">
        <v>117</v>
      </c>
      <c r="F29" s="13" t="s">
        <v>117</v>
      </c>
    </row>
    <row r="30" ht="21" customHeight="1" spans="1:6">
      <c r="A30" s="13" t="s">
        <v>117</v>
      </c>
      <c r="B30" s="27" t="s">
        <v>117</v>
      </c>
      <c r="C30" s="27" t="s">
        <v>117</v>
      </c>
      <c r="D30" s="13" t="s">
        <v>117</v>
      </c>
      <c r="E30" s="13" t="s">
        <v>117</v>
      </c>
      <c r="F30" s="13" t="s">
        <v>117</v>
      </c>
    </row>
    <row r="32" ht="14.25" spans="1:6">
      <c r="A32" s="15" t="s">
        <v>278</v>
      </c>
    </row>
  </sheetData>
  <mergeCells count="5">
    <mergeCell ref="A1:F1"/>
    <mergeCell ref="A2:F2"/>
    <mergeCell ref="A4:F4"/>
    <mergeCell ref="A14:F14"/>
    <mergeCell ref="A23:F23"/>
  </mergeCells>
  <dataValidations count="1">
    <dataValidation type="list" allowBlank="1" sqref="E16:E21">
      <formula1>"是,否,部分"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showGridLines="0" workbookViewId="0">
      <selection activeCell="A1" sqref="A1:H1"/>
    </sheetView>
  </sheetViews>
  <sheetFormatPr defaultColWidth="9" defaultRowHeight="13.5" outlineLevelCol="7"/>
  <cols>
    <col min="1" max="3" width="12" customWidth="1"/>
    <col min="4" max="5" width="16" customWidth="1"/>
    <col min="6" max="6" width="14" customWidth="1"/>
    <col min="7" max="7" width="12" customWidth="1"/>
    <col min="8" max="8" width="40" customWidth="1"/>
  </cols>
  <sheetData>
    <row r="1" ht="26" customHeight="1" spans="1:8">
      <c r="A1" s="1" t="s">
        <v>279</v>
      </c>
    </row>
    <row r="2" ht="30" customHeight="1" spans="1:8">
      <c r="A2" s="2" t="s">
        <v>280</v>
      </c>
    </row>
    <row r="4" ht="24" customHeight="1" spans="1:8">
      <c r="A4" s="4" t="s">
        <v>281</v>
      </c>
      <c r="B4" s="4" t="s">
        <v>282</v>
      </c>
      <c r="C4" s="4" t="s">
        <v>283</v>
      </c>
      <c r="D4" s="4" t="s">
        <v>284</v>
      </c>
      <c r="E4" s="4" t="s">
        <v>285</v>
      </c>
      <c r="F4" s="4" t="s">
        <v>286</v>
      </c>
      <c r="G4" s="4" t="s">
        <v>287</v>
      </c>
      <c r="H4" s="4" t="s">
        <v>288</v>
      </c>
    </row>
    <row r="5" ht="21" customHeight="1" spans="1:8">
      <c r="A5" s="8" t="s">
        <v>289</v>
      </c>
      <c r="B5" s="27" t="s">
        <v>117</v>
      </c>
      <c r="C5" s="27" t="s">
        <v>117</v>
      </c>
      <c r="D5" s="27" t="s">
        <v>117</v>
      </c>
      <c r="E5" s="27" t="s">
        <v>117</v>
      </c>
      <c r="F5" s="23" t="str">
        <f t="shared" ref="F5:F16" si="0">IF(COUNT(B5:E5)=0,"",ROUND(AVERAGE(B5:E5),2))</f>
        <v/>
      </c>
      <c r="G5" s="12" t="str">
        <f t="shared" ref="G5:G16" si="1">IF($F5="","",IF($F5&gt;=1.15,"旺季",IF($F5&lt;=0.85,"淡季","平季")))</f>
        <v/>
      </c>
      <c r="H5" s="13" t="s">
        <v>117</v>
      </c>
    </row>
    <row r="6" ht="21" customHeight="1" spans="1:8">
      <c r="A6" s="8" t="s">
        <v>290</v>
      </c>
      <c r="B6" s="27" t="s">
        <v>117</v>
      </c>
      <c r="C6" s="27" t="s">
        <v>117</v>
      </c>
      <c r="D6" s="27" t="s">
        <v>117</v>
      </c>
      <c r="E6" s="27" t="s">
        <v>117</v>
      </c>
      <c r="F6" s="23" t="str">
        <f t="shared" si="0"/>
        <v/>
      </c>
      <c r="G6" s="12" t="str">
        <f t="shared" si="1"/>
        <v/>
      </c>
      <c r="H6" s="13" t="s">
        <v>117</v>
      </c>
    </row>
    <row r="7" ht="21" customHeight="1" spans="1:8">
      <c r="A7" s="8" t="s">
        <v>291</v>
      </c>
      <c r="B7" s="27" t="s">
        <v>117</v>
      </c>
      <c r="C7" s="27" t="s">
        <v>117</v>
      </c>
      <c r="D7" s="27" t="s">
        <v>117</v>
      </c>
      <c r="E7" s="27" t="s">
        <v>117</v>
      </c>
      <c r="F7" s="23" t="str">
        <f t="shared" si="0"/>
        <v/>
      </c>
      <c r="G7" s="12" t="str">
        <f t="shared" si="1"/>
        <v/>
      </c>
      <c r="H7" s="13" t="s">
        <v>117</v>
      </c>
    </row>
    <row r="8" ht="21" customHeight="1" spans="1:8">
      <c r="A8" s="8" t="s">
        <v>292</v>
      </c>
      <c r="B8" s="27" t="s">
        <v>117</v>
      </c>
      <c r="C8" s="27" t="s">
        <v>117</v>
      </c>
      <c r="D8" s="27" t="s">
        <v>117</v>
      </c>
      <c r="E8" s="27" t="s">
        <v>117</v>
      </c>
      <c r="F8" s="23" t="str">
        <f t="shared" si="0"/>
        <v/>
      </c>
      <c r="G8" s="12" t="str">
        <f t="shared" si="1"/>
        <v/>
      </c>
      <c r="H8" s="13" t="s">
        <v>117</v>
      </c>
    </row>
    <row r="9" ht="21" customHeight="1" spans="1:8">
      <c r="A9" s="8" t="s">
        <v>293</v>
      </c>
      <c r="B9" s="27" t="s">
        <v>117</v>
      </c>
      <c r="C9" s="27" t="s">
        <v>117</v>
      </c>
      <c r="D9" s="27" t="s">
        <v>117</v>
      </c>
      <c r="E9" s="27" t="s">
        <v>117</v>
      </c>
      <c r="F9" s="23" t="str">
        <f t="shared" si="0"/>
        <v/>
      </c>
      <c r="G9" s="12" t="str">
        <f t="shared" si="1"/>
        <v/>
      </c>
      <c r="H9" s="13" t="s">
        <v>117</v>
      </c>
    </row>
    <row r="10" ht="21" customHeight="1" spans="1:8">
      <c r="A10" s="8" t="s">
        <v>294</v>
      </c>
      <c r="B10" s="27" t="s">
        <v>117</v>
      </c>
      <c r="C10" s="27" t="s">
        <v>117</v>
      </c>
      <c r="D10" s="27" t="s">
        <v>117</v>
      </c>
      <c r="E10" s="27" t="s">
        <v>117</v>
      </c>
      <c r="F10" s="23" t="str">
        <f t="shared" si="0"/>
        <v/>
      </c>
      <c r="G10" s="12" t="str">
        <f t="shared" si="1"/>
        <v/>
      </c>
      <c r="H10" s="13" t="s">
        <v>117</v>
      </c>
    </row>
    <row r="11" ht="21" customHeight="1" spans="1:8">
      <c r="A11" s="8" t="s">
        <v>295</v>
      </c>
      <c r="B11" s="27" t="s">
        <v>117</v>
      </c>
      <c r="C11" s="27" t="s">
        <v>117</v>
      </c>
      <c r="D11" s="27" t="s">
        <v>117</v>
      </c>
      <c r="E11" s="27" t="s">
        <v>117</v>
      </c>
      <c r="F11" s="23" t="str">
        <f t="shared" si="0"/>
        <v/>
      </c>
      <c r="G11" s="12" t="str">
        <f t="shared" si="1"/>
        <v/>
      </c>
      <c r="H11" s="13" t="s">
        <v>117</v>
      </c>
    </row>
    <row r="12" ht="21" customHeight="1" spans="1:8">
      <c r="A12" s="8" t="s">
        <v>296</v>
      </c>
      <c r="B12" s="27" t="s">
        <v>117</v>
      </c>
      <c r="C12" s="27" t="s">
        <v>117</v>
      </c>
      <c r="D12" s="27" t="s">
        <v>117</v>
      </c>
      <c r="E12" s="27" t="s">
        <v>117</v>
      </c>
      <c r="F12" s="23" t="str">
        <f t="shared" si="0"/>
        <v/>
      </c>
      <c r="G12" s="12" t="str">
        <f t="shared" si="1"/>
        <v/>
      </c>
      <c r="H12" s="13" t="s">
        <v>117</v>
      </c>
    </row>
    <row r="13" ht="21" customHeight="1" spans="1:8">
      <c r="A13" s="8" t="s">
        <v>297</v>
      </c>
      <c r="B13" s="27" t="s">
        <v>117</v>
      </c>
      <c r="C13" s="27" t="s">
        <v>117</v>
      </c>
      <c r="D13" s="27" t="s">
        <v>117</v>
      </c>
      <c r="E13" s="27" t="s">
        <v>117</v>
      </c>
      <c r="F13" s="23" t="str">
        <f t="shared" si="0"/>
        <v/>
      </c>
      <c r="G13" s="12" t="str">
        <f t="shared" si="1"/>
        <v/>
      </c>
      <c r="H13" s="13" t="s">
        <v>117</v>
      </c>
    </row>
    <row r="14" ht="21" customHeight="1" spans="1:8">
      <c r="A14" s="8" t="s">
        <v>298</v>
      </c>
      <c r="B14" s="27" t="s">
        <v>117</v>
      </c>
      <c r="C14" s="27" t="s">
        <v>117</v>
      </c>
      <c r="D14" s="27" t="s">
        <v>117</v>
      </c>
      <c r="E14" s="27" t="s">
        <v>117</v>
      </c>
      <c r="F14" s="23" t="str">
        <f t="shared" si="0"/>
        <v/>
      </c>
      <c r="G14" s="12" t="str">
        <f t="shared" si="1"/>
        <v/>
      </c>
      <c r="H14" s="13" t="s">
        <v>117</v>
      </c>
    </row>
    <row r="15" ht="21" customHeight="1" spans="1:8">
      <c r="A15" s="8" t="s">
        <v>299</v>
      </c>
      <c r="B15" s="27" t="s">
        <v>117</v>
      </c>
      <c r="C15" s="27" t="s">
        <v>117</v>
      </c>
      <c r="D15" s="27" t="s">
        <v>117</v>
      </c>
      <c r="E15" s="27" t="s">
        <v>117</v>
      </c>
      <c r="F15" s="23" t="str">
        <f t="shared" si="0"/>
        <v/>
      </c>
      <c r="G15" s="12" t="str">
        <f t="shared" si="1"/>
        <v/>
      </c>
      <c r="H15" s="13" t="s">
        <v>117</v>
      </c>
    </row>
    <row r="16" ht="21" customHeight="1" spans="1:8">
      <c r="A16" s="8" t="s">
        <v>300</v>
      </c>
      <c r="B16" s="27" t="s">
        <v>117</v>
      </c>
      <c r="C16" s="27" t="s">
        <v>117</v>
      </c>
      <c r="D16" s="27" t="s">
        <v>117</v>
      </c>
      <c r="E16" s="27" t="s">
        <v>117</v>
      </c>
      <c r="F16" s="23" t="str">
        <f t="shared" si="0"/>
        <v/>
      </c>
      <c r="G16" s="12" t="str">
        <f t="shared" si="1"/>
        <v/>
      </c>
      <c r="H16" s="13" t="s">
        <v>117</v>
      </c>
    </row>
    <row r="18" ht="19" customHeight="1" spans="1:8">
      <c r="A18" s="3" t="s">
        <v>301</v>
      </c>
    </row>
    <row r="19" ht="24" customHeight="1" spans="1:8">
      <c r="A19" s="4" t="s">
        <v>302</v>
      </c>
      <c r="B19" s="4" t="s">
        <v>303</v>
      </c>
      <c r="C19" s="4" t="s">
        <v>304</v>
      </c>
      <c r="D19" s="4" t="s">
        <v>117</v>
      </c>
      <c r="E19" s="4" t="s">
        <v>117</v>
      </c>
      <c r="F19" s="4" t="s">
        <v>117</v>
      </c>
      <c r="G19" s="4" t="s">
        <v>117</v>
      </c>
      <c r="H19" s="4" t="s">
        <v>117</v>
      </c>
    </row>
    <row r="20" ht="21" customHeight="1" spans="1:8">
      <c r="A20" s="5" t="s">
        <v>305</v>
      </c>
      <c r="B20" s="13" t="s">
        <v>117</v>
      </c>
      <c r="C20" s="9" t="s">
        <v>117</v>
      </c>
    </row>
    <row r="21" ht="21" customHeight="1" spans="1:8">
      <c r="A21" s="5" t="s">
        <v>306</v>
      </c>
      <c r="B21" s="13" t="s">
        <v>117</v>
      </c>
      <c r="C21" s="9" t="s">
        <v>307</v>
      </c>
    </row>
    <row r="22" ht="21" customHeight="1" spans="1:8">
      <c r="A22" s="5" t="s">
        <v>308</v>
      </c>
      <c r="B22" s="13" t="s">
        <v>117</v>
      </c>
      <c r="C22" s="9" t="s">
        <v>309</v>
      </c>
    </row>
    <row r="23" ht="21" customHeight="1" spans="1:8">
      <c r="A23" s="5" t="s">
        <v>310</v>
      </c>
      <c r="B23" s="22" t="s">
        <v>117</v>
      </c>
      <c r="C23" s="9" t="s">
        <v>311</v>
      </c>
    </row>
    <row r="24" ht="21" customHeight="1" spans="1:8">
      <c r="A24" s="5" t="s">
        <v>312</v>
      </c>
      <c r="B24" s="13" t="s">
        <v>117</v>
      </c>
      <c r="C24" s="9" t="s">
        <v>313</v>
      </c>
    </row>
  </sheetData>
  <mergeCells count="3">
    <mergeCell ref="A1:H1"/>
    <mergeCell ref="A2:H2"/>
    <mergeCell ref="A18:H18"/>
  </mergeCells>
  <dataValidations count="1">
    <dataValidation type="list" allowBlank="1" sqref="B20:B24">
      <formula1>"N,U,F"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showGridLines="0" workbookViewId="0">
      <selection activeCell="C12" sqref="C12:C16"/>
    </sheetView>
  </sheetViews>
  <sheetFormatPr defaultColWidth="9" defaultRowHeight="13.5" outlineLevelCol="2"/>
  <cols>
    <col min="1" max="1" width="40" customWidth="1"/>
    <col min="2" max="2" width="18" customWidth="1"/>
    <col min="3" max="3" width="60" customWidth="1"/>
  </cols>
  <sheetData>
    <row r="1" ht="26" customHeight="1" spans="1:3">
      <c r="A1" s="1" t="s">
        <v>314</v>
      </c>
    </row>
    <row r="2" ht="30" customHeight="1" spans="1:3">
      <c r="A2" s="2" t="s">
        <v>315</v>
      </c>
    </row>
    <row r="4" ht="24" customHeight="1" spans="1:3">
      <c r="A4" s="4" t="s">
        <v>316</v>
      </c>
      <c r="B4" s="4" t="s">
        <v>317</v>
      </c>
      <c r="C4" s="4" t="s">
        <v>318</v>
      </c>
    </row>
    <row r="5" ht="21" customHeight="1" spans="1:3">
      <c r="A5" s="5" t="s">
        <v>319</v>
      </c>
      <c r="B5" s="28" t="s">
        <v>117</v>
      </c>
      <c r="C5" s="9" t="s">
        <v>320</v>
      </c>
    </row>
    <row r="6" ht="21" customHeight="1" spans="1:3">
      <c r="A6" s="5" t="s">
        <v>321</v>
      </c>
      <c r="B6" s="30" t="s">
        <v>117</v>
      </c>
      <c r="C6" s="9"/>
    </row>
    <row r="7" ht="21" customHeight="1" spans="1:3">
      <c r="A7" s="5" t="s">
        <v>322</v>
      </c>
      <c r="B7" s="30" t="s">
        <v>117</v>
      </c>
      <c r="C7" s="9" t="s">
        <v>323</v>
      </c>
    </row>
    <row r="8" ht="21" customHeight="1" spans="1:3">
      <c r="A8" s="5" t="s">
        <v>324</v>
      </c>
      <c r="B8" s="30" t="s">
        <v>117</v>
      </c>
      <c r="C8" s="9" t="s">
        <v>325</v>
      </c>
    </row>
    <row r="9" ht="21" customHeight="1" spans="1:3">
      <c r="A9" s="5" t="s">
        <v>326</v>
      </c>
      <c r="B9" s="30" t="s">
        <v>117</v>
      </c>
      <c r="C9" s="9" t="s">
        <v>327</v>
      </c>
    </row>
    <row r="10" ht="21" customHeight="1" spans="1:3">
      <c r="A10" s="5" t="s">
        <v>328</v>
      </c>
      <c r="B10" s="31" t="str">
        <f>IF(OR($B$8="",$B$9=""),"",$B$8*$B$9)</f>
        <v/>
      </c>
      <c r="C10" s="9" t="s">
        <v>329</v>
      </c>
    </row>
    <row r="11" ht="21" customHeight="1" spans="1:3">
      <c r="A11" s="5" t="s">
        <v>330</v>
      </c>
      <c r="B11" s="28"/>
      <c r="C11" s="9" t="s">
        <v>331</v>
      </c>
    </row>
    <row r="12" ht="21" customHeight="1" spans="1:3">
      <c r="A12" s="5" t="s">
        <v>332</v>
      </c>
      <c r="B12" s="29" t="str">
        <f>IF($B$11="","",$B$11)</f>
        <v/>
      </c>
      <c r="C12" s="9" t="e">
        <f>上格观察值(建议竞价仅为参考)</f>
        <v>#NAME?</v>
      </c>
    </row>
    <row r="13" ht="21" customHeight="1" spans="1:3">
      <c r="A13" s="5" t="s">
        <v>333</v>
      </c>
      <c r="B13" s="29" t="str">
        <f>IF(OR($B$5="",$B$7="",$B$10=""),"",$B$7*$B$5*$B$10)</f>
        <v/>
      </c>
      <c r="C13" s="9" t="e">
        <f>目标ACOS × 售价 × 预估转化率</f>
        <v>#NAME?</v>
      </c>
    </row>
    <row r="14" ht="21" customHeight="1" spans="1:3">
      <c r="A14" s="5" t="s">
        <v>334</v>
      </c>
      <c r="B14" s="29" t="str">
        <f>IF(OR($B$13="",$B$10=""),"",IFERROR($B$13/$B$10,""))</f>
        <v/>
      </c>
      <c r="C14" s="9" t="e">
        <f>目标CPC ÷ 预估转化率</f>
        <v>#NAME?</v>
      </c>
    </row>
    <row r="15" ht="21" customHeight="1" spans="1:3">
      <c r="A15" s="5" t="s">
        <v>335</v>
      </c>
      <c r="B15" s="12" t="str">
        <f>IF(OR($B$12="",$B$13=""),"",IF($B$12&lt;=$B$13,"可行: 实际CPC≤目标CPC","不可行: 需降价/优化转化率/换词再测"))</f>
        <v/>
      </c>
      <c r="C15" s="9" t="s">
        <v>336</v>
      </c>
    </row>
    <row r="16" ht="21" customHeight="1" spans="1:3">
      <c r="A16" s="5" t="s">
        <v>337</v>
      </c>
      <c r="B16" s="22" t="s">
        <v>117</v>
      </c>
      <c r="C16" s="9" t="s">
        <v>338</v>
      </c>
    </row>
    <row r="18" ht="19" customHeight="1" spans="1:3">
      <c r="A18" s="3" t="s">
        <v>339</v>
      </c>
    </row>
    <row r="19" ht="24" customHeight="1" spans="1:3">
      <c r="A19" s="4" t="s">
        <v>340</v>
      </c>
      <c r="B19" s="4" t="s">
        <v>341</v>
      </c>
      <c r="C19" s="4" t="s">
        <v>342</v>
      </c>
    </row>
    <row r="20" ht="36" customHeight="1" spans="1:3">
      <c r="A20" s="5" t="s">
        <v>343</v>
      </c>
      <c r="B20" s="22" t="s">
        <v>344</v>
      </c>
      <c r="C20" s="13" t="s">
        <v>345</v>
      </c>
    </row>
    <row r="21" ht="36" customHeight="1" spans="1:3">
      <c r="A21" s="5" t="s">
        <v>346</v>
      </c>
      <c r="B21" s="22" t="s">
        <v>347</v>
      </c>
      <c r="C21" s="13" t="s">
        <v>348</v>
      </c>
    </row>
    <row r="22" ht="36" customHeight="1" spans="1:3">
      <c r="A22" s="5" t="s">
        <v>349</v>
      </c>
      <c r="B22" s="22" t="s">
        <v>350</v>
      </c>
      <c r="C22" s="13" t="s">
        <v>351</v>
      </c>
    </row>
    <row r="24" ht="14.25" spans="1:3">
      <c r="A24" s="15" t="s">
        <v>352</v>
      </c>
    </row>
  </sheetData>
  <mergeCells count="3">
    <mergeCell ref="A1:C1"/>
    <mergeCell ref="A2:C2"/>
    <mergeCell ref="A18:C18"/>
  </mergeCells>
  <pageMargins left="0.75" right="0.75" top="1" bottom="1" header="0.5" footer="0.5"/>
  <headerFooter/>
  <ignoredErrors>
    <ignoredError sqref="C12:C16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showGridLines="0" workbookViewId="0">
      <selection activeCell="A1" sqref="A1:C1"/>
    </sheetView>
  </sheetViews>
  <sheetFormatPr defaultColWidth="9" defaultRowHeight="13.5" outlineLevelCol="2"/>
  <cols>
    <col min="1" max="1" width="34" customWidth="1"/>
    <col min="2" max="2" width="18" customWidth="1"/>
    <col min="3" max="3" width="70" customWidth="1"/>
  </cols>
  <sheetData>
    <row r="1" ht="26" customHeight="1" spans="1:3">
      <c r="A1" s="1" t="s">
        <v>353</v>
      </c>
    </row>
    <row r="2" ht="30" customHeight="1" spans="1:3">
      <c r="A2" s="2" t="s">
        <v>354</v>
      </c>
    </row>
    <row r="4" ht="24" customHeight="1" spans="1:3">
      <c r="A4" s="4" t="s">
        <v>255</v>
      </c>
      <c r="B4" s="4" t="s">
        <v>355</v>
      </c>
      <c r="C4" s="4" t="s">
        <v>356</v>
      </c>
    </row>
    <row r="5" ht="16.5" spans="1:3">
      <c r="A5" s="5" t="s">
        <v>357</v>
      </c>
      <c r="B5" s="28" t="s">
        <v>117</v>
      </c>
      <c r="C5" s="9" t="s">
        <v>358</v>
      </c>
    </row>
    <row r="6" ht="16.5" spans="1:3">
      <c r="A6" s="5" t="s">
        <v>359</v>
      </c>
      <c r="B6" s="30" t="s">
        <v>117</v>
      </c>
      <c r="C6" s="9" t="s">
        <v>360</v>
      </c>
    </row>
    <row r="7" ht="16.5" spans="1:3">
      <c r="A7" s="5" t="s">
        <v>361</v>
      </c>
      <c r="B7" s="29" t="str">
        <f>IF($B$5="","",$B$5*$B$6)</f>
        <v/>
      </c>
      <c r="C7" s="9" t="s">
        <v>117</v>
      </c>
    </row>
    <row r="8" ht="16.5" spans="1:3">
      <c r="A8" s="5" t="s">
        <v>362</v>
      </c>
      <c r="B8" s="28" t="s">
        <v>117</v>
      </c>
      <c r="C8" s="9" t="s">
        <v>363</v>
      </c>
    </row>
    <row r="9" ht="16.5" spans="1:3">
      <c r="A9" s="5" t="s">
        <v>364</v>
      </c>
      <c r="B9" s="28" t="s">
        <v>117</v>
      </c>
      <c r="C9" s="9" t="s">
        <v>365</v>
      </c>
    </row>
    <row r="10" ht="16.5" spans="1:3">
      <c r="A10" s="5" t="s">
        <v>366</v>
      </c>
      <c r="B10" s="28" t="s">
        <v>117</v>
      </c>
      <c r="C10" s="9" t="s">
        <v>367</v>
      </c>
    </row>
    <row r="11" ht="16.5" spans="1:3">
      <c r="A11" s="5" t="s">
        <v>368</v>
      </c>
      <c r="B11" s="28" t="s">
        <v>117</v>
      </c>
      <c r="C11" s="9" t="s">
        <v>369</v>
      </c>
    </row>
    <row r="12" ht="16.5" spans="1:3">
      <c r="A12" s="5" t="s">
        <v>370</v>
      </c>
      <c r="B12" s="28" t="s">
        <v>117</v>
      </c>
      <c r="C12" s="9" t="s">
        <v>371</v>
      </c>
    </row>
    <row r="13" ht="16.5" spans="1:3">
      <c r="A13" s="5" t="s">
        <v>372</v>
      </c>
      <c r="B13" s="28" t="s">
        <v>117</v>
      </c>
      <c r="C13" s="9" t="s">
        <v>373</v>
      </c>
    </row>
    <row r="14" ht="16.5" spans="1:3">
      <c r="A14" s="5" t="s">
        <v>374</v>
      </c>
      <c r="B14" s="28" t="s">
        <v>117</v>
      </c>
      <c r="C14" s="9" t="s">
        <v>375</v>
      </c>
    </row>
    <row r="15" ht="16.5" spans="1:3">
      <c r="A15" s="5" t="s">
        <v>376</v>
      </c>
      <c r="B15" s="29" t="str">
        <f>IF(COUNT($B$7:$B$14)=0,"",SUM($B$7:$B$14))</f>
        <v/>
      </c>
      <c r="C15" s="9" t="s">
        <v>377</v>
      </c>
    </row>
    <row r="16" ht="16.5" spans="1:3">
      <c r="A16" s="5" t="s">
        <v>378</v>
      </c>
      <c r="B16" s="29" t="str">
        <f>IF(OR($B$5="",$B$15=""),"",$B$5-$B$15)</f>
        <v/>
      </c>
      <c r="C16" s="9" t="s">
        <v>379</v>
      </c>
    </row>
    <row r="17" ht="16.5" spans="1:3">
      <c r="A17" s="5" t="s">
        <v>380</v>
      </c>
      <c r="B17" s="31" t="str">
        <f>IF(OR($B$16="",$B$5=""),"",$B$16/$B$5)</f>
        <v/>
      </c>
      <c r="C17" s="9" t="s">
        <v>381</v>
      </c>
    </row>
    <row r="18" ht="16.5" spans="1:3">
      <c r="A18" s="5" t="s">
        <v>382</v>
      </c>
      <c r="B18" s="28" t="s">
        <v>117</v>
      </c>
      <c r="C18" s="9" t="s">
        <v>383</v>
      </c>
    </row>
    <row r="19" ht="16.5" spans="1:3">
      <c r="A19" s="5" t="s">
        <v>384</v>
      </c>
      <c r="B19" s="32" t="s">
        <v>117</v>
      </c>
      <c r="C19" s="9" t="s">
        <v>385</v>
      </c>
    </row>
    <row r="20" ht="16.5" spans="1:3">
      <c r="A20" s="5" t="s">
        <v>386</v>
      </c>
      <c r="B20" s="29" t="str">
        <f>IF(OR($B$16="",$B$18="",$B$19=""),"",$B$16*$B$19-$B$18)</f>
        <v/>
      </c>
      <c r="C20" s="9" t="s">
        <v>387</v>
      </c>
    </row>
    <row r="21" ht="16.5" spans="1:3">
      <c r="A21" s="5" t="s">
        <v>388</v>
      </c>
      <c r="B21" s="23" t="str">
        <f>IF($B$16="","",IF($B$16&lt;=0,"售价低于可变成本",ROUND($B$18/$B$16,0)))</f>
        <v/>
      </c>
      <c r="C21" s="9" t="s">
        <v>389</v>
      </c>
    </row>
    <row r="23" ht="19" customHeight="1" spans="1:3">
      <c r="A23" s="3" t="s">
        <v>390</v>
      </c>
    </row>
    <row r="24" ht="24" customHeight="1" spans="1:3">
      <c r="A24" s="4" t="s">
        <v>255</v>
      </c>
      <c r="B24" s="4" t="s">
        <v>391</v>
      </c>
      <c r="C24" s="4" t="s">
        <v>356</v>
      </c>
    </row>
    <row r="25" ht="16.5" spans="1:3">
      <c r="A25" s="5" t="s">
        <v>392</v>
      </c>
      <c r="B25" s="28" t="s">
        <v>117</v>
      </c>
      <c r="C25" s="9" t="s">
        <v>393</v>
      </c>
    </row>
    <row r="26" ht="16.5" spans="1:3">
      <c r="A26" s="5" t="s">
        <v>394</v>
      </c>
      <c r="B26" s="29" t="str">
        <f>IF(COUNT($B$25,$B$12,$B$13,$B$11)=0,"",($B$13+$B$11+$B$12)*$B$25)</f>
        <v/>
      </c>
      <c r="C26" s="9" t="s">
        <v>395</v>
      </c>
    </row>
    <row r="27" ht="16.5" spans="1:3">
      <c r="A27" s="5" t="s">
        <v>396</v>
      </c>
      <c r="C27" s="9" t="s">
        <v>117</v>
      </c>
    </row>
    <row r="28" ht="16.5" spans="1:3">
      <c r="A28" s="5" t="s">
        <v>397</v>
      </c>
      <c r="B28" s="28" t="s">
        <v>117</v>
      </c>
      <c r="C28" s="9" t="s">
        <v>398</v>
      </c>
    </row>
    <row r="29" ht="16.5" spans="1:3">
      <c r="A29" s="5" t="s">
        <v>399</v>
      </c>
      <c r="B29" s="32" t="s">
        <v>117</v>
      </c>
      <c r="C29" s="9" t="s">
        <v>400</v>
      </c>
    </row>
    <row r="30" ht="16.5" spans="1:3">
      <c r="A30" s="5" t="s">
        <v>401</v>
      </c>
      <c r="B30" s="29" t="str">
        <f>IF(COUNT($B$26,$B$28,$B$18)=0,"",$B$26+$B$28+$B$18*3)</f>
        <v/>
      </c>
      <c r="C30" s="9" t="s">
        <v>402</v>
      </c>
    </row>
    <row r="31" ht="16.5" spans="1:3">
      <c r="A31" s="5" t="s">
        <v>403</v>
      </c>
      <c r="B31" s="23" t="str">
        <f>IF($B$30="","",IF($B$20&lt;=0,"未盈利无法回本",ROUND($B$30/$B$20,1)))</f>
        <v/>
      </c>
      <c r="C31" s="9" t="s">
        <v>404</v>
      </c>
    </row>
    <row r="32" ht="16.5" spans="1:3">
      <c r="A32" s="5" t="s">
        <v>405</v>
      </c>
      <c r="B32" s="28" t="s">
        <v>117</v>
      </c>
      <c r="C32" s="9" t="s">
        <v>406</v>
      </c>
    </row>
    <row r="34" ht="14.25" spans="1:1">
      <c r="A34" s="15" t="s">
        <v>407</v>
      </c>
    </row>
  </sheetData>
  <mergeCells count="3">
    <mergeCell ref="A1:C1"/>
    <mergeCell ref="A2:C2"/>
    <mergeCell ref="A23:C2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showGridLines="0" workbookViewId="0">
      <selection activeCell="A1" sqref="A1:L1"/>
    </sheetView>
  </sheetViews>
  <sheetFormatPr defaultColWidth="9" defaultRowHeight="13.5"/>
  <cols>
    <col min="1" max="2" width="22" customWidth="1"/>
    <col min="3" max="3" width="12" customWidth="1"/>
    <col min="4" max="4" width="10" customWidth="1"/>
    <col min="5" max="5" width="18" customWidth="1"/>
    <col min="6" max="6" width="14" customWidth="1"/>
    <col min="7" max="7" width="22" customWidth="1"/>
    <col min="8" max="8" width="24" customWidth="1"/>
    <col min="9" max="9" width="18" customWidth="1"/>
    <col min="10" max="10" width="12" customWidth="1"/>
    <col min="11" max="11" width="10" customWidth="1"/>
    <col min="12" max="12" width="30" customWidth="1"/>
  </cols>
  <sheetData>
    <row r="1" ht="26" customHeight="1" spans="1:12">
      <c r="A1" s="1" t="s">
        <v>408</v>
      </c>
    </row>
    <row r="2" ht="30" customHeight="1" spans="1:12">
      <c r="A2" s="2" t="s">
        <v>409</v>
      </c>
    </row>
    <row r="4" ht="24" customHeight="1" spans="1:12">
      <c r="A4" s="4" t="s">
        <v>410</v>
      </c>
      <c r="B4" s="4" t="s">
        <v>411</v>
      </c>
      <c r="C4" s="4" t="s">
        <v>412</v>
      </c>
      <c r="D4" s="4" t="s">
        <v>413</v>
      </c>
      <c r="E4" s="4" t="s">
        <v>414</v>
      </c>
      <c r="F4" s="4" t="s">
        <v>415</v>
      </c>
      <c r="G4" s="4" t="s">
        <v>416</v>
      </c>
      <c r="H4" s="4" t="s">
        <v>417</v>
      </c>
      <c r="I4" s="4" t="s">
        <v>418</v>
      </c>
      <c r="J4" s="4" t="s">
        <v>419</v>
      </c>
      <c r="K4" s="4" t="s">
        <v>420</v>
      </c>
      <c r="L4" s="4" t="s">
        <v>421</v>
      </c>
    </row>
    <row r="5" ht="21" customHeight="1" spans="1:12">
      <c r="A5" s="13" t="s">
        <v>117</v>
      </c>
      <c r="B5" s="13" t="s">
        <v>117</v>
      </c>
      <c r="C5" s="28" t="s">
        <v>117</v>
      </c>
      <c r="D5" s="27" t="s">
        <v>117</v>
      </c>
      <c r="E5" s="13" t="s">
        <v>117</v>
      </c>
      <c r="F5" s="13" t="s">
        <v>117</v>
      </c>
      <c r="G5" s="13" t="s">
        <v>117</v>
      </c>
      <c r="H5" s="13" t="s">
        <v>117</v>
      </c>
      <c r="I5" s="13" t="s">
        <v>117</v>
      </c>
      <c r="J5" s="13" t="s">
        <v>117</v>
      </c>
      <c r="K5" s="27" t="s">
        <v>117</v>
      </c>
      <c r="L5" s="13" t="s">
        <v>117</v>
      </c>
    </row>
    <row r="6" ht="21" customHeight="1" spans="1:12">
      <c r="A6" s="13" t="s">
        <v>117</v>
      </c>
      <c r="B6" s="13" t="s">
        <v>117</v>
      </c>
      <c r="C6" s="28" t="s">
        <v>117</v>
      </c>
      <c r="D6" s="27" t="s">
        <v>117</v>
      </c>
      <c r="E6" s="13" t="s">
        <v>117</v>
      </c>
      <c r="F6" s="13" t="s">
        <v>117</v>
      </c>
      <c r="G6" s="13" t="s">
        <v>117</v>
      </c>
      <c r="H6" s="13" t="s">
        <v>117</v>
      </c>
      <c r="I6" s="13" t="s">
        <v>117</v>
      </c>
      <c r="J6" s="13" t="s">
        <v>117</v>
      </c>
      <c r="K6" s="27" t="s">
        <v>117</v>
      </c>
      <c r="L6" s="13" t="s">
        <v>117</v>
      </c>
    </row>
    <row r="7" ht="21" customHeight="1" spans="1:12">
      <c r="A7" s="13" t="s">
        <v>117</v>
      </c>
      <c r="B7" s="13" t="s">
        <v>117</v>
      </c>
      <c r="C7" s="28" t="s">
        <v>117</v>
      </c>
      <c r="D7" s="27" t="s">
        <v>117</v>
      </c>
      <c r="E7" s="13" t="s">
        <v>117</v>
      </c>
      <c r="F7" s="13" t="s">
        <v>117</v>
      </c>
      <c r="G7" s="13" t="s">
        <v>117</v>
      </c>
      <c r="H7" s="13" t="s">
        <v>117</v>
      </c>
      <c r="I7" s="13" t="s">
        <v>117</v>
      </c>
      <c r="J7" s="13" t="s">
        <v>117</v>
      </c>
      <c r="K7" s="27" t="s">
        <v>117</v>
      </c>
      <c r="L7" s="13" t="s">
        <v>117</v>
      </c>
    </row>
    <row r="8" ht="21" customHeight="1" spans="1:12">
      <c r="A8" s="13" t="s">
        <v>117</v>
      </c>
      <c r="B8" s="13" t="s">
        <v>117</v>
      </c>
      <c r="C8" s="28" t="s">
        <v>117</v>
      </c>
      <c r="D8" s="27" t="s">
        <v>117</v>
      </c>
      <c r="E8" s="13" t="s">
        <v>117</v>
      </c>
      <c r="F8" s="13" t="s">
        <v>117</v>
      </c>
      <c r="G8" s="13" t="s">
        <v>117</v>
      </c>
      <c r="H8" s="13" t="s">
        <v>117</v>
      </c>
      <c r="I8" s="13" t="s">
        <v>117</v>
      </c>
      <c r="J8" s="13" t="s">
        <v>117</v>
      </c>
      <c r="K8" s="27" t="s">
        <v>117</v>
      </c>
      <c r="L8" s="13" t="s">
        <v>117</v>
      </c>
    </row>
    <row r="9" ht="21" customHeight="1" spans="1:12">
      <c r="A9" s="13" t="s">
        <v>117</v>
      </c>
      <c r="B9" s="13" t="s">
        <v>117</v>
      </c>
      <c r="C9" s="28" t="s">
        <v>117</v>
      </c>
      <c r="D9" s="27" t="s">
        <v>117</v>
      </c>
      <c r="E9" s="13" t="s">
        <v>117</v>
      </c>
      <c r="F9" s="13" t="s">
        <v>117</v>
      </c>
      <c r="G9" s="13" t="s">
        <v>117</v>
      </c>
      <c r="H9" s="13" t="s">
        <v>117</v>
      </c>
      <c r="I9" s="13" t="s">
        <v>117</v>
      </c>
      <c r="J9" s="13" t="s">
        <v>117</v>
      </c>
      <c r="K9" s="27" t="s">
        <v>117</v>
      </c>
      <c r="L9" s="13" t="s">
        <v>117</v>
      </c>
    </row>
    <row r="11" ht="19" customHeight="1" spans="1:12">
      <c r="A11" s="3" t="s">
        <v>422</v>
      </c>
    </row>
    <row r="12" ht="24" customHeight="1" spans="1:12">
      <c r="A12" s="4" t="s">
        <v>255</v>
      </c>
      <c r="B12" s="4" t="s">
        <v>317</v>
      </c>
      <c r="C12" s="4" t="s">
        <v>258</v>
      </c>
      <c r="D12" s="4" t="s">
        <v>117</v>
      </c>
      <c r="E12" s="4" t="s">
        <v>117</v>
      </c>
      <c r="F12" s="4" t="s">
        <v>117</v>
      </c>
      <c r="G12" s="4" t="s">
        <v>117</v>
      </c>
      <c r="H12" s="4" t="s">
        <v>117</v>
      </c>
      <c r="I12" s="4" t="s">
        <v>117</v>
      </c>
      <c r="J12" s="4" t="s">
        <v>117</v>
      </c>
      <c r="K12" s="4" t="s">
        <v>117</v>
      </c>
      <c r="L12" s="4" t="s">
        <v>117</v>
      </c>
    </row>
    <row r="13" ht="28.5" spans="1:12">
      <c r="A13" s="5" t="s">
        <v>423</v>
      </c>
      <c r="B13" s="29" t="str">
        <f>IF(COUNT(C5:C9)=0,"",MIN(C5:C9))</f>
        <v/>
      </c>
      <c r="C13" s="9" t="s">
        <v>424</v>
      </c>
    </row>
    <row r="14" ht="28.5" spans="1:12">
      <c r="A14" s="5" t="s">
        <v>425</v>
      </c>
      <c r="B14" s="28" t="s">
        <v>117</v>
      </c>
      <c r="C14" s="9" t="s">
        <v>426</v>
      </c>
    </row>
    <row r="15" ht="16.5" spans="1:12">
      <c r="A15" s="5" t="s">
        <v>427</v>
      </c>
      <c r="B15" s="28" t="s">
        <v>117</v>
      </c>
      <c r="C15" s="9" t="s">
        <v>428</v>
      </c>
    </row>
    <row r="16" ht="16.5" spans="1:12">
      <c r="A16" s="5" t="s">
        <v>319</v>
      </c>
      <c r="B16" s="28" t="s">
        <v>117</v>
      </c>
      <c r="C16" s="9" t="s">
        <v>320</v>
      </c>
    </row>
    <row r="17" ht="16.5" spans="1:3">
      <c r="A17" s="5" t="s">
        <v>429</v>
      </c>
      <c r="B17" s="30" t="s">
        <v>117</v>
      </c>
      <c r="C17" s="9" t="s">
        <v>430</v>
      </c>
    </row>
    <row r="18" ht="28.5" spans="1:3">
      <c r="A18" s="5" t="s">
        <v>431</v>
      </c>
      <c r="B18" s="29" t="str">
        <f>IF(OR($B$16="",$B$17=""),"",$B$16*(1-$B$17))</f>
        <v/>
      </c>
      <c r="C18" s="9" t="s">
        <v>432</v>
      </c>
    </row>
    <row r="19" ht="42.75" spans="1:3">
      <c r="A19" s="5" t="s">
        <v>433</v>
      </c>
      <c r="B19" s="29" t="str">
        <f>IF(COUNT($B$18,$B$15,$C5)=0,"",$B$18-$B$15-0-0)</f>
        <v/>
      </c>
      <c r="C19" s="9" t="s">
        <v>434</v>
      </c>
    </row>
    <row r="20" ht="28.5" spans="1:3">
      <c r="A20" s="5" t="s">
        <v>435</v>
      </c>
      <c r="B20" s="6" t="str">
        <f>IF(OR($B$13="",$B$19=""),"",IF($B$13&lt;=$B$19,"达标","超标: 需谈判降价或上调售价/毛利目标"))</f>
        <v/>
      </c>
      <c r="C20" s="9" t="s">
        <v>436</v>
      </c>
    </row>
    <row r="21" ht="28.5" spans="1:3">
      <c r="A21" s="5" t="s">
        <v>437</v>
      </c>
      <c r="B21" s="27" t="s">
        <v>117</v>
      </c>
      <c r="C21" s="9" t="s">
        <v>438</v>
      </c>
    </row>
    <row r="23" ht="14.25" spans="1:3">
      <c r="A23" s="15" t="s">
        <v>439</v>
      </c>
    </row>
  </sheetData>
  <mergeCells count="3">
    <mergeCell ref="A1:L1"/>
    <mergeCell ref="A2:L2"/>
    <mergeCell ref="A11:L1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showGridLines="0" workbookViewId="0">
      <selection activeCell="A1" sqref="A1:O1"/>
    </sheetView>
  </sheetViews>
  <sheetFormatPr defaultColWidth="9" defaultRowHeight="13.5"/>
  <cols>
    <col min="1" max="1" width="22" customWidth="1"/>
    <col min="2" max="3" width="12" customWidth="1"/>
    <col min="4" max="5" width="14" customWidth="1"/>
    <col min="6" max="8" width="16" customWidth="1"/>
    <col min="9" max="9" width="12" customWidth="1"/>
    <col min="10" max="10" width="14" customWidth="1"/>
    <col min="11" max="12" width="16" customWidth="1"/>
    <col min="13" max="13" width="12" customWidth="1"/>
    <col min="14" max="14" width="14" customWidth="1"/>
    <col min="15" max="15" width="40" customWidth="1"/>
  </cols>
  <sheetData>
    <row r="1" ht="26" customHeight="1" spans="1:15">
      <c r="A1" s="1" t="s">
        <v>440</v>
      </c>
    </row>
    <row r="2" ht="30" customHeight="1" spans="1:15">
      <c r="A2" s="2" t="s">
        <v>441</v>
      </c>
    </row>
    <row r="4" ht="16.5" spans="1:15">
      <c r="A4" s="5" t="s">
        <v>442</v>
      </c>
    </row>
    <row r="5" ht="24" customHeight="1" spans="1:15">
      <c r="A5" s="4" t="s">
        <v>255</v>
      </c>
      <c r="B5" s="4" t="s">
        <v>317</v>
      </c>
      <c r="C5" s="4" t="s">
        <v>258</v>
      </c>
      <c r="D5" s="4" t="s">
        <v>117</v>
      </c>
      <c r="E5" s="4" t="s">
        <v>117</v>
      </c>
      <c r="F5" s="4" t="s">
        <v>117</v>
      </c>
      <c r="G5" s="4" t="s">
        <v>117</v>
      </c>
      <c r="H5" s="4" t="s">
        <v>117</v>
      </c>
      <c r="I5" s="4" t="s">
        <v>117</v>
      </c>
      <c r="J5" s="4" t="s">
        <v>117</v>
      </c>
      <c r="K5" s="4" t="s">
        <v>117</v>
      </c>
      <c r="L5" s="4" t="s">
        <v>117</v>
      </c>
      <c r="M5" s="4" t="s">
        <v>117</v>
      </c>
      <c r="N5" s="4" t="s">
        <v>117</v>
      </c>
      <c r="O5" s="4" t="s">
        <v>117</v>
      </c>
    </row>
    <row r="6" ht="24" customHeight="1" spans="1:15">
      <c r="A6" s="4" t="s">
        <v>443</v>
      </c>
      <c r="B6" s="4" t="s">
        <v>117</v>
      </c>
      <c r="C6" s="4" t="s">
        <v>444</v>
      </c>
      <c r="D6" s="4" t="s">
        <v>117</v>
      </c>
      <c r="E6" s="4" t="s">
        <v>117</v>
      </c>
      <c r="F6" s="4" t="s">
        <v>117</v>
      </c>
      <c r="G6" s="4" t="s">
        <v>117</v>
      </c>
      <c r="H6" s="4" t="s">
        <v>117</v>
      </c>
      <c r="I6" s="4" t="s">
        <v>117</v>
      </c>
      <c r="J6" s="4" t="s">
        <v>117</v>
      </c>
      <c r="K6" s="4" t="s">
        <v>117</v>
      </c>
      <c r="L6" s="4" t="s">
        <v>117</v>
      </c>
      <c r="M6" s="4" t="s">
        <v>117</v>
      </c>
      <c r="N6" s="4" t="s">
        <v>117</v>
      </c>
      <c r="O6" s="4" t="s">
        <v>117</v>
      </c>
    </row>
    <row r="7" ht="16.5" spans="1:15">
      <c r="B7" s="28" t="s">
        <v>117</v>
      </c>
    </row>
    <row r="8" ht="24" customHeight="1" spans="1:15">
      <c r="A8" s="4" t="s">
        <v>445</v>
      </c>
      <c r="B8" s="4" t="s">
        <v>117</v>
      </c>
      <c r="C8" s="4" t="s">
        <v>446</v>
      </c>
      <c r="D8" s="4" t="s">
        <v>117</v>
      </c>
      <c r="E8" s="4" t="s">
        <v>117</v>
      </c>
      <c r="F8" s="4" t="s">
        <v>117</v>
      </c>
      <c r="G8" s="4" t="s">
        <v>117</v>
      </c>
      <c r="H8" s="4" t="s">
        <v>117</v>
      </c>
      <c r="I8" s="4" t="s">
        <v>117</v>
      </c>
      <c r="J8" s="4" t="s">
        <v>117</v>
      </c>
      <c r="K8" s="4" t="s">
        <v>117</v>
      </c>
      <c r="L8" s="4" t="s">
        <v>117</v>
      </c>
      <c r="M8" s="4" t="s">
        <v>117</v>
      </c>
      <c r="N8" s="4" t="s">
        <v>117</v>
      </c>
      <c r="O8" s="4" t="s">
        <v>117</v>
      </c>
    </row>
    <row r="9" ht="16.5" spans="1:15">
      <c r="B9" s="28" t="s">
        <v>117</v>
      </c>
    </row>
    <row r="10" ht="24" customHeight="1" spans="1:15">
      <c r="A10" s="4" t="s">
        <v>447</v>
      </c>
      <c r="B10" s="4" t="s">
        <v>223</v>
      </c>
      <c r="C10" s="4" t="s">
        <v>448</v>
      </c>
      <c r="D10" s="4" t="s">
        <v>449</v>
      </c>
      <c r="E10" s="4" t="s">
        <v>450</v>
      </c>
      <c r="F10" s="4" t="s">
        <v>451</v>
      </c>
      <c r="G10" s="4" t="s">
        <v>452</v>
      </c>
      <c r="H10" s="4" t="s">
        <v>453</v>
      </c>
      <c r="I10" s="4" t="s">
        <v>454</v>
      </c>
      <c r="J10" s="4" t="s">
        <v>455</v>
      </c>
      <c r="K10" s="4" t="s">
        <v>456</v>
      </c>
      <c r="L10" s="4" t="s">
        <v>457</v>
      </c>
      <c r="M10" s="4" t="s">
        <v>458</v>
      </c>
      <c r="N10" s="4" t="s">
        <v>459</v>
      </c>
      <c r="O10" s="4" t="s">
        <v>460</v>
      </c>
    </row>
    <row r="11" ht="21" customHeight="1" spans="1:15">
      <c r="A11" s="5" t="s">
        <v>461</v>
      </c>
      <c r="B11" s="28" t="s">
        <v>117</v>
      </c>
      <c r="C11" s="27" t="s">
        <v>117</v>
      </c>
      <c r="D11" s="28" t="s">
        <v>117</v>
      </c>
      <c r="E11" s="29" t="str">
        <f>IF(OR($B11="",$D11=""),"",$B11-$D11)</f>
        <v/>
      </c>
      <c r="F11" s="29" t="str">
        <f>IF(OR($B11="",$C11=""),"",$B11*$C11)</f>
        <v/>
      </c>
      <c r="G11" s="29" t="str">
        <f>IF(OR($D11="",$C11=""),"",$D11*$C11)</f>
        <v/>
      </c>
      <c r="H11" s="29" t="str">
        <f>IF(OR($B11="",$D11="",$C11=""),"",($B11-$D11)*$C11)</f>
        <v/>
      </c>
      <c r="I11" s="30" t="s">
        <v>117</v>
      </c>
      <c r="J11" s="29" t="str">
        <f>IF(OR($I11="",$F11=""),"",$F11*$I11)</f>
        <v/>
      </c>
      <c r="K11" s="29">
        <f>$C$7</f>
        <v>0</v>
      </c>
      <c r="L11" s="29" t="str">
        <f>IF(COUNT($H11,$J11,$K11)&lt;2,"",$H11-$J11-$K11)</f>
        <v/>
      </c>
      <c r="M11" s="31" t="str">
        <f>IF($E11="","",IF($B11=0,"",$E11/$B11))</f>
        <v/>
      </c>
      <c r="N11" s="23" t="str">
        <f>IF($L11="","",IF($L11&lt;=0,"无法回本",ROUND($C$9/$L11,1)))</f>
        <v/>
      </c>
      <c r="O11" s="9" t="s">
        <v>117</v>
      </c>
    </row>
    <row r="12" ht="21" customHeight="1" spans="1:15">
      <c r="A12" s="5" t="s">
        <v>462</v>
      </c>
      <c r="B12" s="28" t="s">
        <v>117</v>
      </c>
      <c r="C12" s="27" t="s">
        <v>117</v>
      </c>
      <c r="D12" s="28" t="s">
        <v>117</v>
      </c>
      <c r="E12" s="29" t="str">
        <f>IF(OR($B12="",$D12=""),"",$B12-$D12)</f>
        <v/>
      </c>
      <c r="F12" s="29" t="str">
        <f>IF(OR($B12="",$C12=""),"",$B12*$C12)</f>
        <v/>
      </c>
      <c r="G12" s="29" t="str">
        <f>IF(OR($D12="",$C12=""),"",$D12*$C12)</f>
        <v/>
      </c>
      <c r="H12" s="29" t="str">
        <f>IF(OR($B12="",$D12="",$C12=""),"",($B12-$D12)*$C12)</f>
        <v/>
      </c>
      <c r="I12" s="30" t="s">
        <v>117</v>
      </c>
      <c r="J12" s="29" t="str">
        <f>IF(OR($I12="",$F12=""),"",$F12*$I12)</f>
        <v/>
      </c>
      <c r="K12" s="29">
        <f>$C$7</f>
        <v>0</v>
      </c>
      <c r="L12" s="29" t="str">
        <f>IF(COUNT($H12,$J12,$K12)&lt;2,"",$H12-$J12-$K12)</f>
        <v/>
      </c>
      <c r="M12" s="31" t="str">
        <f>IF($E12="","",IF($B12=0,"",$E12/$B12))</f>
        <v/>
      </c>
      <c r="N12" s="23" t="str">
        <f>IF($L12="","",IF($L12&lt;=0,"无法回本",ROUND($C$9/$L12,1)))</f>
        <v/>
      </c>
      <c r="O12" s="9" t="s">
        <v>117</v>
      </c>
    </row>
    <row r="13" ht="21" customHeight="1" spans="1:15">
      <c r="A13" s="5" t="s">
        <v>463</v>
      </c>
      <c r="B13" s="28" t="s">
        <v>117</v>
      </c>
      <c r="C13" s="27" t="s">
        <v>117</v>
      </c>
      <c r="D13" s="28" t="s">
        <v>117</v>
      </c>
      <c r="E13" s="29" t="str">
        <f>IF(OR($B13="",$D13=""),"",$B13-$D13)</f>
        <v/>
      </c>
      <c r="F13" s="29" t="str">
        <f>IF(OR($B13="",$C13=""),"",$B13*$C13)</f>
        <v/>
      </c>
      <c r="G13" s="29" t="str">
        <f>IF(OR($D13="",$C13=""),"",$D13*$C13)</f>
        <v/>
      </c>
      <c r="H13" s="29" t="str">
        <f>IF(OR($B13="",$D13="",$C13=""),"",($B13-$D13)*$C13)</f>
        <v/>
      </c>
      <c r="I13" s="30" t="s">
        <v>117</v>
      </c>
      <c r="J13" s="29" t="str">
        <f>IF(OR($I13="",$F13=""),"",$F13*$I13)</f>
        <v/>
      </c>
      <c r="K13" s="29">
        <f>$C$7</f>
        <v>0</v>
      </c>
      <c r="L13" s="29" t="str">
        <f>IF(COUNT($H13,$J13,$K13)&lt;2,"",$H13-$J13-$K13)</f>
        <v/>
      </c>
      <c r="M13" s="31" t="str">
        <f>IF($E13="","",IF($B13=0,"",$E13/$B13))</f>
        <v/>
      </c>
      <c r="N13" s="23" t="str">
        <f>IF($L13="","",IF($L13&lt;=0,"无法回本",ROUND($C$9/$L13,1)))</f>
        <v/>
      </c>
      <c r="O13" s="9" t="s">
        <v>117</v>
      </c>
    </row>
    <row r="14" ht="21" customHeight="1" spans="1:15">
      <c r="A14" s="5" t="s">
        <v>464</v>
      </c>
      <c r="B14" s="28" t="s">
        <v>117</v>
      </c>
      <c r="C14" s="27" t="s">
        <v>117</v>
      </c>
      <c r="D14" s="28" t="s">
        <v>117</v>
      </c>
      <c r="E14" s="29" t="str">
        <f>IF(OR($B14="",$D14=""),"",$B14-$D14)</f>
        <v/>
      </c>
      <c r="F14" s="29" t="str">
        <f>IF(OR($B14="",$C14=""),"",$B14*$C14)</f>
        <v/>
      </c>
      <c r="G14" s="29" t="str">
        <f>IF(OR($D14="",$C14=""),"",$D14*$C14)</f>
        <v/>
      </c>
      <c r="H14" s="29" t="str">
        <f>IF(OR($B14="",$D14="",$C14=""),"",($B14-$D14)*$C14)</f>
        <v/>
      </c>
      <c r="I14" s="30" t="s">
        <v>117</v>
      </c>
      <c r="J14" s="29" t="str">
        <f>IF(OR($I14="",$F14=""),"",$F14*$I14)</f>
        <v/>
      </c>
      <c r="K14" s="29">
        <f>$C$7</f>
        <v>0</v>
      </c>
      <c r="L14" s="29" t="str">
        <f>IF(COUNT($H14,$J14,$K14)&lt;2,"",$H14-$J14-$K14)</f>
        <v/>
      </c>
      <c r="M14" s="31" t="str">
        <f>IF($E14="","",IF($B14=0,"",$E14/$B14))</f>
        <v/>
      </c>
      <c r="N14" s="23" t="str">
        <f>IF($L14="","",IF($L14&lt;=0,"无法回本",ROUND($C$9/$L14,1)))</f>
        <v/>
      </c>
      <c r="O14" s="9" t="s">
        <v>117</v>
      </c>
    </row>
    <row r="15" ht="21" customHeight="1" spans="1:15">
      <c r="A15" s="5" t="s">
        <v>465</v>
      </c>
      <c r="B15" s="28" t="s">
        <v>117</v>
      </c>
      <c r="C15" s="27" t="s">
        <v>117</v>
      </c>
      <c r="D15" s="28" t="s">
        <v>117</v>
      </c>
      <c r="E15" s="29" t="str">
        <f>IF(OR($B15="",$D15=""),"",$B15-$D15)</f>
        <v/>
      </c>
      <c r="F15" s="29" t="str">
        <f>IF(OR($B15="",$C15=""),"",$B15*$C15)</f>
        <v/>
      </c>
      <c r="G15" s="29" t="str">
        <f>IF(OR($D15="",$C15=""),"",$D15*$C15)</f>
        <v/>
      </c>
      <c r="H15" s="29" t="str">
        <f>IF(OR($B15="",$D15="",$C15=""),"",($B15-$D15)*$C15)</f>
        <v/>
      </c>
      <c r="I15" s="30" t="s">
        <v>117</v>
      </c>
      <c r="J15" s="29" t="str">
        <f>IF(OR($I15="",$F15=""),"",$F15*$I15)</f>
        <v/>
      </c>
      <c r="K15" s="29">
        <f>$C$7</f>
        <v>0</v>
      </c>
      <c r="L15" s="29" t="str">
        <f>IF(COUNT($H15,$J15,$K15)&lt;2,"",$H15-$J15-$K15)</f>
        <v/>
      </c>
      <c r="M15" s="31" t="str">
        <f>IF($E15="","",IF($B15=0,"",$E15/$B15))</f>
        <v/>
      </c>
      <c r="N15" s="23" t="str">
        <f>IF($L15="","",IF($L15&lt;=0,"无法回本",ROUND($C$9/$L15,1)))</f>
        <v/>
      </c>
      <c r="O15" s="9" t="s">
        <v>117</v>
      </c>
    </row>
    <row r="17" ht="14.25" spans="1:1">
      <c r="A17" s="15" t="s">
        <v>466</v>
      </c>
    </row>
  </sheetData>
  <mergeCells count="2">
    <mergeCell ref="A1:O1"/>
    <mergeCell ref="A2:O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showGridLines="0" workbookViewId="0">
      <selection activeCell="A1" sqref="A1:L1"/>
    </sheetView>
  </sheetViews>
  <sheetFormatPr defaultColWidth="9" defaultRowHeight="13.5"/>
  <cols>
    <col min="1" max="1" width="20" customWidth="1"/>
    <col min="2" max="7" width="12" customWidth="1"/>
    <col min="8" max="8" width="16" customWidth="1"/>
    <col min="9" max="9" width="46" customWidth="1"/>
    <col min="10" max="12" width="34" customWidth="1"/>
  </cols>
  <sheetData>
    <row r="1" ht="26" customHeight="1" spans="1:12">
      <c r="A1" s="1" t="s">
        <v>467</v>
      </c>
    </row>
    <row r="2" ht="30" customHeight="1" spans="1:12">
      <c r="A2" s="2" t="s">
        <v>468</v>
      </c>
    </row>
    <row r="4" ht="24" customHeight="1" spans="1:12">
      <c r="A4" s="4" t="s">
        <v>469</v>
      </c>
      <c r="B4" s="4" t="s">
        <v>470</v>
      </c>
      <c r="C4" s="4" t="s">
        <v>471</v>
      </c>
      <c r="D4" s="4" t="s">
        <v>472</v>
      </c>
      <c r="E4" s="4" t="s">
        <v>473</v>
      </c>
      <c r="F4" s="4" t="s">
        <v>474</v>
      </c>
      <c r="G4" s="4" t="s">
        <v>475</v>
      </c>
      <c r="H4" s="4" t="s">
        <v>476</v>
      </c>
      <c r="I4" s="4" t="s">
        <v>477</v>
      </c>
      <c r="J4" s="4" t="s">
        <v>478</v>
      </c>
      <c r="K4" s="4" t="s">
        <v>479</v>
      </c>
      <c r="L4" s="4" t="s">
        <v>480</v>
      </c>
    </row>
    <row r="5" ht="51" customHeight="1" spans="1:12">
      <c r="A5" s="5" t="s">
        <v>481</v>
      </c>
      <c r="B5" s="8" t="s">
        <v>482</v>
      </c>
      <c r="C5" s="27" t="s">
        <v>117</v>
      </c>
      <c r="D5" s="27" t="s">
        <v>117</v>
      </c>
      <c r="E5" s="27" t="s">
        <v>117</v>
      </c>
      <c r="F5" s="27" t="s">
        <v>117</v>
      </c>
      <c r="G5" s="23" t="str">
        <f t="shared" ref="G5:G13" si="0">IF(COUNT(C5:F5)&lt;4,"",ROUND(0.35*C5+0.25*D5+0.2*E5+0.2*F5,2))</f>
        <v/>
      </c>
      <c r="H5" s="12" t="str">
        <f t="shared" ref="H5:H13" si="1">IF($G5="","",IF($G5&gt;=4,"优先扩展",IF($G5&gt;=3,"观察/第二批","暂缓")))</f>
        <v/>
      </c>
      <c r="I5" s="9" t="s">
        <v>117</v>
      </c>
      <c r="J5" s="9" t="s">
        <v>483</v>
      </c>
      <c r="K5" s="9" t="s">
        <v>484</v>
      </c>
      <c r="L5" s="9" t="s">
        <v>485</v>
      </c>
    </row>
    <row r="6" ht="51" customHeight="1" spans="1:12">
      <c r="A6" s="5" t="s">
        <v>486</v>
      </c>
      <c r="B6" s="8" t="s">
        <v>487</v>
      </c>
      <c r="C6" s="27" t="s">
        <v>117</v>
      </c>
      <c r="D6" s="27" t="s">
        <v>117</v>
      </c>
      <c r="E6" s="27" t="s">
        <v>117</v>
      </c>
      <c r="F6" s="27" t="s">
        <v>117</v>
      </c>
      <c r="G6" s="23" t="str">
        <f t="shared" si="0"/>
        <v/>
      </c>
      <c r="H6" s="12" t="str">
        <f t="shared" si="1"/>
        <v/>
      </c>
      <c r="I6" s="9" t="s">
        <v>117</v>
      </c>
      <c r="J6" s="9" t="s">
        <v>488</v>
      </c>
      <c r="K6" s="9" t="s">
        <v>489</v>
      </c>
      <c r="L6" s="9" t="s">
        <v>490</v>
      </c>
    </row>
    <row r="7" ht="36" customHeight="1" spans="1:12">
      <c r="A7" s="5" t="s">
        <v>491</v>
      </c>
      <c r="B7" s="8" t="s">
        <v>482</v>
      </c>
      <c r="C7" s="27" t="s">
        <v>117</v>
      </c>
      <c r="D7" s="27" t="s">
        <v>117</v>
      </c>
      <c r="E7" s="27" t="s">
        <v>117</v>
      </c>
      <c r="F7" s="27" t="s">
        <v>117</v>
      </c>
      <c r="G7" s="23" t="str">
        <f t="shared" si="0"/>
        <v/>
      </c>
      <c r="H7" s="12" t="str">
        <f t="shared" si="1"/>
        <v/>
      </c>
      <c r="I7" s="9" t="s">
        <v>117</v>
      </c>
      <c r="J7" s="9" t="s">
        <v>492</v>
      </c>
      <c r="K7" s="9" t="s">
        <v>489</v>
      </c>
      <c r="L7" s="9" t="s">
        <v>493</v>
      </c>
    </row>
    <row r="8" ht="36" customHeight="1" spans="1:12">
      <c r="A8" s="5" t="s">
        <v>494</v>
      </c>
      <c r="B8" s="8" t="s">
        <v>495</v>
      </c>
      <c r="C8" s="27" t="s">
        <v>117</v>
      </c>
      <c r="D8" s="27" t="s">
        <v>117</v>
      </c>
      <c r="E8" s="27" t="s">
        <v>117</v>
      </c>
      <c r="F8" s="27" t="s">
        <v>117</v>
      </c>
      <c r="G8" s="23" t="str">
        <f t="shared" si="0"/>
        <v/>
      </c>
      <c r="H8" s="12" t="str">
        <f t="shared" si="1"/>
        <v/>
      </c>
      <c r="I8" s="9" t="s">
        <v>117</v>
      </c>
      <c r="J8" s="9" t="s">
        <v>496</v>
      </c>
      <c r="K8" s="9" t="s">
        <v>489</v>
      </c>
      <c r="L8" s="9" t="s">
        <v>497</v>
      </c>
    </row>
    <row r="9" ht="21" customHeight="1" spans="1:12">
      <c r="A9" s="5" t="s">
        <v>498</v>
      </c>
      <c r="B9" s="8" t="s">
        <v>499</v>
      </c>
      <c r="C9" s="27" t="s">
        <v>117</v>
      </c>
      <c r="D9" s="27" t="s">
        <v>117</v>
      </c>
      <c r="E9" s="27" t="s">
        <v>117</v>
      </c>
      <c r="F9" s="27" t="s">
        <v>117</v>
      </c>
      <c r="G9" s="23" t="str">
        <f t="shared" si="0"/>
        <v/>
      </c>
      <c r="H9" s="12" t="str">
        <f t="shared" si="1"/>
        <v/>
      </c>
      <c r="I9" s="9" t="s">
        <v>117</v>
      </c>
      <c r="J9" s="9" t="s">
        <v>117</v>
      </c>
      <c r="K9" s="9" t="s">
        <v>489</v>
      </c>
      <c r="L9" s="9" t="s">
        <v>500</v>
      </c>
    </row>
    <row r="10" ht="21" customHeight="1" spans="1:12">
      <c r="A10" s="5" t="s">
        <v>501</v>
      </c>
      <c r="B10" s="8" t="s">
        <v>502</v>
      </c>
      <c r="C10" s="27" t="s">
        <v>117</v>
      </c>
      <c r="D10" s="27" t="s">
        <v>117</v>
      </c>
      <c r="E10" s="27" t="s">
        <v>117</v>
      </c>
      <c r="F10" s="27" t="s">
        <v>117</v>
      </c>
      <c r="G10" s="23" t="str">
        <f t="shared" si="0"/>
        <v/>
      </c>
      <c r="H10" s="12" t="str">
        <f t="shared" si="1"/>
        <v/>
      </c>
      <c r="I10" s="9" t="s">
        <v>117</v>
      </c>
      <c r="J10" s="9" t="s">
        <v>117</v>
      </c>
      <c r="K10" s="9" t="s">
        <v>489</v>
      </c>
      <c r="L10" s="9" t="s">
        <v>503</v>
      </c>
    </row>
    <row r="11" ht="66" customHeight="1" spans="1:12">
      <c r="A11" s="5" t="s">
        <v>504</v>
      </c>
      <c r="B11" s="8" t="s">
        <v>505</v>
      </c>
      <c r="C11" s="27" t="s">
        <v>117</v>
      </c>
      <c r="D11" s="27" t="s">
        <v>117</v>
      </c>
      <c r="E11" s="27" t="s">
        <v>117</v>
      </c>
      <c r="F11" s="27" t="s">
        <v>117</v>
      </c>
      <c r="G11" s="23" t="str">
        <f t="shared" si="0"/>
        <v/>
      </c>
      <c r="H11" s="12" t="str">
        <f t="shared" si="1"/>
        <v/>
      </c>
      <c r="I11" s="9" t="s">
        <v>117</v>
      </c>
      <c r="J11" s="9" t="s">
        <v>506</v>
      </c>
      <c r="K11" s="9" t="s">
        <v>489</v>
      </c>
      <c r="L11" s="9" t="s">
        <v>507</v>
      </c>
    </row>
    <row r="12" ht="21" customHeight="1" spans="1:12">
      <c r="A12" s="5" t="s">
        <v>508</v>
      </c>
      <c r="B12" s="8" t="s">
        <v>509</v>
      </c>
      <c r="C12" s="27" t="s">
        <v>117</v>
      </c>
      <c r="D12" s="27" t="s">
        <v>117</v>
      </c>
      <c r="E12" s="27" t="s">
        <v>117</v>
      </c>
      <c r="F12" s="27" t="s">
        <v>117</v>
      </c>
      <c r="G12" s="23" t="str">
        <f t="shared" si="0"/>
        <v/>
      </c>
      <c r="H12" s="12" t="str">
        <f t="shared" si="1"/>
        <v/>
      </c>
      <c r="I12" s="9" t="s">
        <v>117</v>
      </c>
      <c r="J12" s="9" t="s">
        <v>117</v>
      </c>
      <c r="K12" s="9" t="s">
        <v>489</v>
      </c>
      <c r="L12" s="9" t="s">
        <v>510</v>
      </c>
    </row>
    <row r="13" ht="21" customHeight="1" spans="1:12">
      <c r="A13" s="5" t="s">
        <v>511</v>
      </c>
      <c r="B13" s="8" t="s">
        <v>482</v>
      </c>
      <c r="C13" s="27" t="s">
        <v>117</v>
      </c>
      <c r="D13" s="27" t="s">
        <v>117</v>
      </c>
      <c r="E13" s="27" t="s">
        <v>117</v>
      </c>
      <c r="F13" s="27" t="s">
        <v>117</v>
      </c>
      <c r="G13" s="23" t="str">
        <f t="shared" si="0"/>
        <v/>
      </c>
      <c r="H13" s="12" t="str">
        <f t="shared" si="1"/>
        <v/>
      </c>
      <c r="I13" s="9" t="s">
        <v>117</v>
      </c>
      <c r="J13" s="9" t="s">
        <v>117</v>
      </c>
      <c r="K13" s="9" t="s">
        <v>489</v>
      </c>
      <c r="L13" s="9" t="s">
        <v>512</v>
      </c>
    </row>
    <row r="15" ht="14.25" spans="1:12">
      <c r="A15" s="15" t="s">
        <v>513</v>
      </c>
    </row>
  </sheetData>
  <mergeCells count="2">
    <mergeCell ref="A1:L1"/>
    <mergeCell ref="A2:L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showGridLines="0" workbookViewId="0">
      <selection activeCell="A1" sqref="A1:D1"/>
    </sheetView>
  </sheetViews>
  <sheetFormatPr defaultColWidth="9" defaultRowHeight="13.5" outlineLevelCol="3"/>
  <cols>
    <col min="1" max="1" width="30" customWidth="1"/>
    <col min="2" max="2" width="24" customWidth="1"/>
    <col min="3" max="3" width="60" customWidth="1"/>
    <col min="4" max="4" width="20" customWidth="1"/>
  </cols>
  <sheetData>
    <row r="1" ht="26" customHeight="1" spans="1:4">
      <c r="A1" s="1" t="s">
        <v>514</v>
      </c>
    </row>
    <row r="2" ht="30" customHeight="1" spans="1:4">
      <c r="A2" s="2" t="s">
        <v>515</v>
      </c>
    </row>
    <row r="4" ht="19" customHeight="1" spans="1:4">
      <c r="A4" s="3" t="s">
        <v>516</v>
      </c>
    </row>
    <row r="5" ht="24" customHeight="1" spans="1:4">
      <c r="A5" s="4" t="s">
        <v>517</v>
      </c>
      <c r="B5" s="4" t="s">
        <v>518</v>
      </c>
      <c r="C5" s="4" t="s">
        <v>519</v>
      </c>
      <c r="D5" s="4" t="s">
        <v>520</v>
      </c>
    </row>
    <row r="6" ht="36" customHeight="1" spans="1:4">
      <c r="A6" s="5" t="s">
        <v>521</v>
      </c>
      <c r="B6" s="27" t="s">
        <v>117</v>
      </c>
      <c r="C6" s="9" t="s">
        <v>117</v>
      </c>
      <c r="D6" s="9" t="s">
        <v>522</v>
      </c>
    </row>
    <row r="7" ht="21" customHeight="1" spans="1:4">
      <c r="A7" s="5" t="s">
        <v>523</v>
      </c>
      <c r="B7" s="27" t="s">
        <v>117</v>
      </c>
      <c r="C7" s="9" t="s">
        <v>117</v>
      </c>
      <c r="D7" s="9" t="s">
        <v>524</v>
      </c>
    </row>
    <row r="8" ht="21" customHeight="1" spans="1:4">
      <c r="A8" s="5" t="s">
        <v>525</v>
      </c>
      <c r="B8" s="27" t="s">
        <v>117</v>
      </c>
      <c r="C8" s="9" t="s">
        <v>117</v>
      </c>
      <c r="D8" s="9" t="s">
        <v>117</v>
      </c>
    </row>
    <row r="9" ht="21" customHeight="1" spans="1:4">
      <c r="A9" s="5" t="s">
        <v>526</v>
      </c>
      <c r="B9" s="27" t="s">
        <v>117</v>
      </c>
      <c r="C9" s="9" t="s">
        <v>117</v>
      </c>
      <c r="D9" s="9" t="s">
        <v>117</v>
      </c>
    </row>
    <row r="10" ht="21" customHeight="1" spans="1:4">
      <c r="A10" s="5" t="s">
        <v>527</v>
      </c>
      <c r="B10" s="27" t="s">
        <v>117</v>
      </c>
      <c r="C10" s="9" t="s">
        <v>117</v>
      </c>
      <c r="D10" s="9" t="s">
        <v>117</v>
      </c>
    </row>
    <row r="11" ht="21" customHeight="1" spans="1:4">
      <c r="A11" s="5" t="s">
        <v>528</v>
      </c>
      <c r="B11" s="27" t="s">
        <v>117</v>
      </c>
      <c r="C11" s="9" t="s">
        <v>117</v>
      </c>
      <c r="D11" s="9" t="s">
        <v>117</v>
      </c>
    </row>
    <row r="12" ht="21" customHeight="1" spans="1:4">
      <c r="A12" s="5" t="s">
        <v>529</v>
      </c>
      <c r="B12" s="27" t="s">
        <v>117</v>
      </c>
      <c r="C12" s="9" t="s">
        <v>117</v>
      </c>
      <c r="D12" s="9" t="s">
        <v>530</v>
      </c>
    </row>
    <row r="13" ht="21" customHeight="1" spans="1:4">
      <c r="A13" s="5" t="s">
        <v>531</v>
      </c>
      <c r="B13" s="27" t="s">
        <v>117</v>
      </c>
      <c r="C13" s="9" t="s">
        <v>117</v>
      </c>
      <c r="D13" s="9" t="s">
        <v>117</v>
      </c>
    </row>
    <row r="15" ht="19" customHeight="1" spans="1:4">
      <c r="A15" s="3" t="s">
        <v>532</v>
      </c>
    </row>
    <row r="16" ht="24" customHeight="1" spans="1:4">
      <c r="A16" s="4" t="s">
        <v>533</v>
      </c>
      <c r="B16" s="4" t="s">
        <v>534</v>
      </c>
      <c r="C16" s="4" t="s">
        <v>535</v>
      </c>
      <c r="D16" s="4" t="s">
        <v>117</v>
      </c>
    </row>
    <row r="17" ht="36" customHeight="1" spans="1:4">
      <c r="A17" s="5" t="s">
        <v>536</v>
      </c>
      <c r="B17" s="13" t="s">
        <v>117</v>
      </c>
      <c r="C17" s="9" t="s">
        <v>537</v>
      </c>
    </row>
    <row r="18" ht="21" customHeight="1" spans="1:4">
      <c r="A18" s="5" t="s">
        <v>538</v>
      </c>
      <c r="B18" s="13" t="s">
        <v>117</v>
      </c>
      <c r="C18" s="9" t="s">
        <v>539</v>
      </c>
    </row>
    <row r="19" ht="21" customHeight="1" spans="1:4">
      <c r="A19" s="5" t="s">
        <v>540</v>
      </c>
      <c r="B19" s="13" t="s">
        <v>117</v>
      </c>
      <c r="C19" s="9" t="s">
        <v>541</v>
      </c>
    </row>
    <row r="20" ht="21" customHeight="1" spans="1:4">
      <c r="A20" s="5" t="s">
        <v>542</v>
      </c>
      <c r="B20" s="13" t="s">
        <v>117</v>
      </c>
      <c r="C20" s="9" t="s">
        <v>543</v>
      </c>
    </row>
    <row r="21" ht="21" customHeight="1" spans="1:4">
      <c r="A21" s="5" t="s">
        <v>544</v>
      </c>
      <c r="B21" s="13" t="s">
        <v>117</v>
      </c>
      <c r="C21" s="9" t="s">
        <v>545</v>
      </c>
    </row>
    <row r="22" ht="21" customHeight="1" spans="1:4">
      <c r="A22" s="5" t="s">
        <v>546</v>
      </c>
      <c r="B22" s="13" t="s">
        <v>117</v>
      </c>
      <c r="C22" s="9" t="s">
        <v>547</v>
      </c>
    </row>
    <row r="23" ht="21" customHeight="1" spans="1:4">
      <c r="A23" s="5" t="s">
        <v>548</v>
      </c>
      <c r="B23" s="13" t="s">
        <v>117</v>
      </c>
      <c r="C23" s="9" t="s">
        <v>549</v>
      </c>
    </row>
    <row r="25" ht="19" customHeight="1" spans="1:4">
      <c r="A25" s="3" t="s">
        <v>550</v>
      </c>
    </row>
    <row r="26" ht="24" customHeight="1" spans="1:4">
      <c r="A26" s="4" t="s">
        <v>551</v>
      </c>
      <c r="B26" s="4" t="s">
        <v>552</v>
      </c>
      <c r="C26" s="4" t="s">
        <v>553</v>
      </c>
      <c r="D26" s="4" t="s">
        <v>554</v>
      </c>
    </row>
    <row r="27" ht="21" customHeight="1" spans="1:4">
      <c r="A27" s="5" t="s">
        <v>117</v>
      </c>
      <c r="B27" s="13" t="s">
        <v>117</v>
      </c>
      <c r="C27" s="13" t="s">
        <v>117</v>
      </c>
      <c r="D27" s="13" t="s">
        <v>117</v>
      </c>
    </row>
    <row r="28" ht="21" customHeight="1" spans="1:4">
      <c r="A28" s="5" t="s">
        <v>117</v>
      </c>
      <c r="B28" s="13" t="s">
        <v>117</v>
      </c>
      <c r="C28" s="13" t="s">
        <v>117</v>
      </c>
      <c r="D28" s="13" t="s">
        <v>117</v>
      </c>
    </row>
    <row r="29" ht="21" customHeight="1" spans="1:4">
      <c r="A29" s="5" t="s">
        <v>117</v>
      </c>
      <c r="B29" s="13" t="s">
        <v>117</v>
      </c>
      <c r="C29" s="13" t="s">
        <v>117</v>
      </c>
      <c r="D29" s="13" t="s">
        <v>117</v>
      </c>
    </row>
    <row r="31" ht="14.25" spans="1:4">
      <c r="A31" s="15" t="s">
        <v>555</v>
      </c>
    </row>
  </sheetData>
  <mergeCells count="5">
    <mergeCell ref="A1:D1"/>
    <mergeCell ref="A2:D2"/>
    <mergeCell ref="A4:D4"/>
    <mergeCell ref="A15:D15"/>
    <mergeCell ref="A25:D25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showGridLines="0" workbookViewId="0">
      <selection activeCell="A1" sqref="A1:F1"/>
    </sheetView>
  </sheetViews>
  <sheetFormatPr defaultColWidth="9" defaultRowHeight="13.5" outlineLevelCol="5"/>
  <cols>
    <col min="1" max="1" width="26" customWidth="1"/>
    <col min="2" max="3" width="40" customWidth="1"/>
    <col min="4" max="4" width="34" customWidth="1"/>
    <col min="5" max="5" width="20" customWidth="1"/>
    <col min="6" max="6" width="40" customWidth="1"/>
  </cols>
  <sheetData>
    <row r="1" ht="26" customHeight="1" spans="1:6">
      <c r="A1" s="1" t="s">
        <v>556</v>
      </c>
    </row>
    <row r="2" ht="30" customHeight="1" spans="1:6">
      <c r="A2" s="2" t="s">
        <v>557</v>
      </c>
    </row>
    <row r="4" ht="24" customHeight="1" spans="1:6">
      <c r="A4" s="4" t="s">
        <v>558</v>
      </c>
      <c r="B4" s="4" t="s">
        <v>559</v>
      </c>
      <c r="C4" s="4" t="s">
        <v>92</v>
      </c>
      <c r="D4" s="4" t="s">
        <v>560</v>
      </c>
      <c r="E4" s="4" t="s">
        <v>561</v>
      </c>
      <c r="F4" s="4" t="s">
        <v>562</v>
      </c>
    </row>
    <row r="5" ht="36" customHeight="1" spans="1:6">
      <c r="A5" s="14" t="s">
        <v>563</v>
      </c>
      <c r="B5" s="14" t="s">
        <v>564</v>
      </c>
      <c r="C5" s="14" t="s">
        <v>565</v>
      </c>
      <c r="D5" s="14" t="s">
        <v>566</v>
      </c>
      <c r="E5" s="8" t="s">
        <v>567</v>
      </c>
      <c r="F5" s="14" t="s">
        <v>568</v>
      </c>
    </row>
    <row r="6" ht="36" customHeight="1" spans="1:6">
      <c r="A6" s="14" t="s">
        <v>569</v>
      </c>
      <c r="B6" s="14" t="s">
        <v>570</v>
      </c>
      <c r="C6" s="14" t="s">
        <v>571</v>
      </c>
      <c r="D6" s="14" t="s">
        <v>572</v>
      </c>
      <c r="E6" s="8" t="s">
        <v>573</v>
      </c>
      <c r="F6" s="14" t="s">
        <v>117</v>
      </c>
    </row>
    <row r="7" ht="36" customHeight="1" spans="1:6">
      <c r="A7" s="14" t="s">
        <v>574</v>
      </c>
      <c r="B7" s="14" t="s">
        <v>575</v>
      </c>
      <c r="C7" s="14" t="s">
        <v>576</v>
      </c>
      <c r="D7" s="14" t="s">
        <v>577</v>
      </c>
      <c r="E7" s="8" t="s">
        <v>578</v>
      </c>
      <c r="F7" s="14" t="s">
        <v>579</v>
      </c>
    </row>
    <row r="8" ht="21" customHeight="1" spans="1:6">
      <c r="A8" s="14" t="s">
        <v>580</v>
      </c>
      <c r="B8" s="14" t="s">
        <v>581</v>
      </c>
      <c r="C8" s="14" t="s">
        <v>582</v>
      </c>
      <c r="D8" s="14" t="s">
        <v>583</v>
      </c>
      <c r="E8" s="8" t="s">
        <v>567</v>
      </c>
      <c r="F8" s="14" t="s">
        <v>584</v>
      </c>
    </row>
    <row r="9" ht="36" customHeight="1" spans="1:6">
      <c r="A9" s="14" t="s">
        <v>585</v>
      </c>
      <c r="B9" s="14" t="s">
        <v>586</v>
      </c>
      <c r="C9" s="14" t="s">
        <v>587</v>
      </c>
      <c r="D9" s="14" t="s">
        <v>588</v>
      </c>
      <c r="E9" s="8" t="s">
        <v>589</v>
      </c>
      <c r="F9" s="14" t="s">
        <v>590</v>
      </c>
    </row>
    <row r="10" ht="21" customHeight="1" spans="1:6">
      <c r="A10" s="14" t="s">
        <v>591</v>
      </c>
      <c r="B10" s="14" t="s">
        <v>592</v>
      </c>
      <c r="C10" s="14" t="s">
        <v>593</v>
      </c>
      <c r="D10" s="14" t="s">
        <v>594</v>
      </c>
      <c r="E10" s="8" t="s">
        <v>16</v>
      </c>
      <c r="F10" s="14" t="s">
        <v>595</v>
      </c>
    </row>
    <row r="11" ht="21" customHeight="1" spans="1:6">
      <c r="A11" s="14" t="s">
        <v>51</v>
      </c>
      <c r="B11" s="14" t="s">
        <v>596</v>
      </c>
      <c r="C11" s="14" t="s">
        <v>597</v>
      </c>
      <c r="D11" s="14" t="s">
        <v>598</v>
      </c>
      <c r="E11" s="8" t="s">
        <v>22</v>
      </c>
      <c r="F11" s="14" t="s">
        <v>599</v>
      </c>
    </row>
    <row r="12" ht="21" customHeight="1" spans="1:6">
      <c r="A12" s="14" t="s">
        <v>600</v>
      </c>
      <c r="B12" s="14" t="s">
        <v>601</v>
      </c>
      <c r="C12" s="14" t="s">
        <v>602</v>
      </c>
      <c r="D12" s="14" t="s">
        <v>603</v>
      </c>
      <c r="E12" s="8" t="s">
        <v>604</v>
      </c>
      <c r="F12" s="14" t="s">
        <v>605</v>
      </c>
    </row>
    <row r="13" ht="21" customHeight="1" spans="1:6">
      <c r="A13" s="14" t="s">
        <v>606</v>
      </c>
      <c r="B13" s="14" t="s">
        <v>607</v>
      </c>
      <c r="C13" s="14" t="s">
        <v>608</v>
      </c>
      <c r="D13" s="14" t="s">
        <v>609</v>
      </c>
      <c r="E13" s="8" t="s">
        <v>610</v>
      </c>
      <c r="F13" s="14" t="s">
        <v>611</v>
      </c>
    </row>
    <row r="14" ht="21" customHeight="1" spans="1:6">
      <c r="A14" s="14" t="s">
        <v>214</v>
      </c>
      <c r="B14" s="14" t="s">
        <v>612</v>
      </c>
      <c r="C14" s="14" t="s">
        <v>613</v>
      </c>
      <c r="D14" s="14" t="s">
        <v>614</v>
      </c>
      <c r="E14" s="8" t="s">
        <v>567</v>
      </c>
      <c r="F14" s="14" t="s">
        <v>615</v>
      </c>
    </row>
    <row r="15" ht="21" customHeight="1" spans="1:6">
      <c r="A15" s="14" t="s">
        <v>616</v>
      </c>
      <c r="B15" s="14" t="s">
        <v>617</v>
      </c>
      <c r="C15" s="14" t="s">
        <v>618</v>
      </c>
      <c r="D15" s="14" t="s">
        <v>619</v>
      </c>
      <c r="E15" s="8" t="s">
        <v>620</v>
      </c>
      <c r="F15" s="14" t="s">
        <v>117</v>
      </c>
    </row>
    <row r="16" ht="36" customHeight="1" spans="1:6">
      <c r="A16" s="14" t="s">
        <v>621</v>
      </c>
      <c r="B16" s="14" t="s">
        <v>622</v>
      </c>
      <c r="C16" s="14" t="s">
        <v>623</v>
      </c>
      <c r="D16" s="14" t="s">
        <v>624</v>
      </c>
      <c r="E16" s="8" t="s">
        <v>625</v>
      </c>
      <c r="F16" s="14" t="s">
        <v>626</v>
      </c>
    </row>
    <row r="18" ht="14.25" spans="1:1">
      <c r="A18" s="15" t="s">
        <v>627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showGridLines="0" workbookViewId="0">
      <selection activeCell="A1" sqref="A1:B1"/>
    </sheetView>
  </sheetViews>
  <sheetFormatPr defaultColWidth="9" defaultRowHeight="13.5" outlineLevelCol="1"/>
  <cols>
    <col min="1" max="1" width="30" customWidth="1"/>
    <col min="2" max="2" width="70" customWidth="1"/>
  </cols>
  <sheetData>
    <row r="1" ht="26" customHeight="1" spans="1:2">
      <c r="A1" s="1" t="s">
        <v>628</v>
      </c>
    </row>
    <row r="2" ht="30" customHeight="1" spans="1:2">
      <c r="A2" s="2" t="s">
        <v>629</v>
      </c>
    </row>
    <row r="4" ht="19" customHeight="1" spans="1:2">
      <c r="A4" s="3" t="s">
        <v>630</v>
      </c>
    </row>
    <row r="5" ht="24" customHeight="1" spans="1:2">
      <c r="A5" s="4" t="s">
        <v>631</v>
      </c>
      <c r="B5" s="4" t="s">
        <v>632</v>
      </c>
    </row>
    <row r="6" ht="21" customHeight="1" spans="1:2">
      <c r="A6" s="5" t="s">
        <v>633</v>
      </c>
      <c r="B6" s="13" t="s">
        <v>117</v>
      </c>
    </row>
    <row r="7" ht="21" customHeight="1" spans="1:2">
      <c r="A7" s="5" t="s">
        <v>634</v>
      </c>
      <c r="B7" s="13" t="s">
        <v>117</v>
      </c>
    </row>
    <row r="8" ht="21" customHeight="1" spans="1:2">
      <c r="A8" s="5" t="s">
        <v>635</v>
      </c>
      <c r="B8" s="13" t="s">
        <v>117</v>
      </c>
    </row>
    <row r="9" ht="21" customHeight="1" spans="1:2">
      <c r="A9" s="5" t="s">
        <v>636</v>
      </c>
      <c r="B9" s="13" t="s">
        <v>117</v>
      </c>
    </row>
    <row r="10" ht="21" customHeight="1" spans="1:2">
      <c r="A10" s="5" t="s">
        <v>637</v>
      </c>
      <c r="B10" s="13" t="s">
        <v>117</v>
      </c>
    </row>
    <row r="11" ht="21" customHeight="1" spans="1:2">
      <c r="A11" s="5" t="s">
        <v>638</v>
      </c>
      <c r="B11" s="13" t="s">
        <v>117</v>
      </c>
    </row>
    <row r="13" ht="19" customHeight="1" spans="1:2">
      <c r="A13" s="3" t="s">
        <v>639</v>
      </c>
    </row>
    <row r="14" ht="24" customHeight="1" spans="1:2">
      <c r="A14" s="4" t="s">
        <v>640</v>
      </c>
      <c r="B14" s="4" t="s">
        <v>641</v>
      </c>
    </row>
    <row r="15" ht="21" customHeight="1" spans="1:2">
      <c r="A15" s="13" t="s">
        <v>117</v>
      </c>
      <c r="B15" s="13" t="s">
        <v>117</v>
      </c>
    </row>
    <row r="16" ht="21" customHeight="1" spans="1:2">
      <c r="A16" s="13" t="s">
        <v>117</v>
      </c>
      <c r="B16" s="13" t="s">
        <v>117</v>
      </c>
    </row>
    <row r="17" ht="21" customHeight="1" spans="1:2">
      <c r="A17" s="13" t="s">
        <v>117</v>
      </c>
      <c r="B17" s="13" t="s">
        <v>117</v>
      </c>
    </row>
    <row r="18" ht="21" customHeight="1" spans="1:2">
      <c r="A18" s="13" t="s">
        <v>117</v>
      </c>
      <c r="B18" s="13" t="s">
        <v>117</v>
      </c>
    </row>
    <row r="19" ht="21" customHeight="1" spans="1:2">
      <c r="A19" s="13" t="s">
        <v>117</v>
      </c>
      <c r="B19" s="13" t="s">
        <v>117</v>
      </c>
    </row>
    <row r="20" ht="21" customHeight="1" spans="1:2">
      <c r="A20" s="13" t="s">
        <v>117</v>
      </c>
      <c r="B20" s="13" t="s">
        <v>117</v>
      </c>
    </row>
    <row r="21" ht="21" customHeight="1" spans="1:2">
      <c r="A21" s="13" t="s">
        <v>117</v>
      </c>
      <c r="B21" s="13" t="s">
        <v>117</v>
      </c>
    </row>
    <row r="23" ht="14.25" spans="1:2">
      <c r="A23" s="15" t="s">
        <v>642</v>
      </c>
    </row>
  </sheetData>
  <mergeCells count="4">
    <mergeCell ref="A1:B1"/>
    <mergeCell ref="A2:B2"/>
    <mergeCell ref="A4:B4"/>
    <mergeCell ref="A13:B13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showGridLines="0" tabSelected="1" topLeftCell="A14" workbookViewId="0">
      <selection activeCell="B34" sqref="B34:B35"/>
    </sheetView>
  </sheetViews>
  <sheetFormatPr defaultColWidth="9" defaultRowHeight="13.5" outlineLevelCol="5"/>
  <cols>
    <col min="1" max="1" width="6" customWidth="1"/>
    <col min="2" max="2" width="28" customWidth="1"/>
    <col min="3" max="3" width="26" customWidth="1"/>
    <col min="4" max="4" width="52" customWidth="1"/>
    <col min="5" max="5" width="12" customWidth="1"/>
    <col min="6" max="6" width="40" customWidth="1"/>
  </cols>
  <sheetData>
    <row r="1" ht="26" customHeight="1" spans="1:6">
      <c r="A1" s="1" t="s">
        <v>643</v>
      </c>
    </row>
    <row r="2" ht="30" customHeight="1" spans="1:6">
      <c r="A2" s="2" t="s">
        <v>644</v>
      </c>
    </row>
    <row r="4" ht="19" customHeight="1" spans="1:6">
      <c r="A4" s="3" t="s">
        <v>645</v>
      </c>
    </row>
    <row r="5" ht="24" customHeight="1" spans="1:6">
      <c r="A5" s="4" t="s">
        <v>646</v>
      </c>
      <c r="B5" s="4" t="s">
        <v>647</v>
      </c>
      <c r="C5" s="4" t="s">
        <v>648</v>
      </c>
      <c r="D5" s="4" t="s">
        <v>649</v>
      </c>
      <c r="E5" s="4" t="s">
        <v>650</v>
      </c>
      <c r="F5" s="4" t="s">
        <v>651</v>
      </c>
    </row>
    <row r="6" ht="36" customHeight="1" spans="1:6">
      <c r="A6" s="8">
        <v>1</v>
      </c>
      <c r="B6" s="14" t="s">
        <v>652</v>
      </c>
      <c r="C6" s="14" t="s">
        <v>653</v>
      </c>
      <c r="D6" s="9" t="s">
        <v>654</v>
      </c>
      <c r="E6" s="8" t="s">
        <v>206</v>
      </c>
      <c r="F6" s="9" t="s">
        <v>117</v>
      </c>
    </row>
    <row r="7" ht="36" customHeight="1" spans="1:6">
      <c r="A7" s="8">
        <v>2</v>
      </c>
      <c r="B7" s="14" t="s">
        <v>655</v>
      </c>
      <c r="C7" s="14" t="s">
        <v>567</v>
      </c>
      <c r="D7" s="9" t="s">
        <v>656</v>
      </c>
      <c r="E7" s="8" t="s">
        <v>206</v>
      </c>
      <c r="F7" s="9" t="s">
        <v>117</v>
      </c>
    </row>
    <row r="8" ht="36" customHeight="1" spans="1:6">
      <c r="A8" s="8">
        <v>3</v>
      </c>
      <c r="B8" s="14" t="s">
        <v>657</v>
      </c>
      <c r="C8" s="14" t="s">
        <v>589</v>
      </c>
      <c r="D8" s="9" t="s">
        <v>658</v>
      </c>
      <c r="E8" s="8" t="s">
        <v>206</v>
      </c>
      <c r="F8" s="9" t="s">
        <v>117</v>
      </c>
    </row>
    <row r="9" ht="36" customHeight="1" spans="1:6">
      <c r="A9" s="8">
        <v>4</v>
      </c>
      <c r="B9" s="14" t="s">
        <v>659</v>
      </c>
      <c r="C9" s="14" t="s">
        <v>567</v>
      </c>
      <c r="D9" s="9" t="s">
        <v>660</v>
      </c>
      <c r="E9" s="8" t="s">
        <v>206</v>
      </c>
      <c r="F9" s="9" t="s">
        <v>117</v>
      </c>
    </row>
    <row r="10" ht="36" customHeight="1" spans="1:6">
      <c r="A10" s="8">
        <v>5</v>
      </c>
      <c r="B10" s="14" t="s">
        <v>661</v>
      </c>
      <c r="C10" s="14" t="s">
        <v>567</v>
      </c>
      <c r="D10" s="9" t="s">
        <v>662</v>
      </c>
      <c r="E10" s="8" t="s">
        <v>206</v>
      </c>
      <c r="F10" s="9" t="s">
        <v>117</v>
      </c>
    </row>
    <row r="11" ht="21" customHeight="1" spans="1:6">
      <c r="A11" s="8">
        <v>6</v>
      </c>
      <c r="B11" s="14" t="s">
        <v>210</v>
      </c>
      <c r="C11" s="14" t="s">
        <v>567</v>
      </c>
      <c r="D11" s="9" t="s">
        <v>663</v>
      </c>
      <c r="E11" s="8" t="s">
        <v>206</v>
      </c>
      <c r="F11" s="9" t="s">
        <v>117</v>
      </c>
    </row>
    <row r="12" ht="21" customHeight="1" spans="1:6">
      <c r="A12" s="8">
        <v>7</v>
      </c>
      <c r="B12" s="14" t="s">
        <v>212</v>
      </c>
      <c r="C12" s="14" t="s">
        <v>567</v>
      </c>
      <c r="D12" s="9" t="s">
        <v>664</v>
      </c>
      <c r="E12" s="8" t="s">
        <v>206</v>
      </c>
      <c r="F12" s="9" t="s">
        <v>117</v>
      </c>
    </row>
    <row r="13" ht="36" customHeight="1" spans="1:6">
      <c r="A13" s="8">
        <v>8</v>
      </c>
      <c r="B13" s="14" t="s">
        <v>665</v>
      </c>
      <c r="C13" s="14" t="s">
        <v>578</v>
      </c>
      <c r="D13" s="9" t="s">
        <v>666</v>
      </c>
      <c r="E13" s="8" t="s">
        <v>206</v>
      </c>
      <c r="F13" s="9" t="s">
        <v>117</v>
      </c>
    </row>
    <row r="14" ht="36" customHeight="1" spans="1:6">
      <c r="A14" s="8">
        <v>9</v>
      </c>
      <c r="B14" s="14" t="s">
        <v>667</v>
      </c>
      <c r="C14" s="14" t="s">
        <v>620</v>
      </c>
      <c r="D14" s="9" t="s">
        <v>668</v>
      </c>
      <c r="E14" s="8" t="s">
        <v>206</v>
      </c>
      <c r="F14" s="9" t="s">
        <v>117</v>
      </c>
    </row>
    <row r="15" ht="36" customHeight="1" spans="1:6">
      <c r="A15" s="8">
        <v>10</v>
      </c>
      <c r="B15" s="14" t="s">
        <v>669</v>
      </c>
      <c r="C15" s="14" t="s">
        <v>670</v>
      </c>
      <c r="D15" s="9" t="s">
        <v>671</v>
      </c>
      <c r="E15" s="8" t="s">
        <v>206</v>
      </c>
      <c r="F15" s="9" t="s">
        <v>117</v>
      </c>
    </row>
    <row r="16" ht="36" customHeight="1" spans="1:6">
      <c r="A16" s="8">
        <v>11</v>
      </c>
      <c r="B16" s="14" t="s">
        <v>672</v>
      </c>
      <c r="C16" s="14" t="s">
        <v>16</v>
      </c>
      <c r="D16" s="9" t="s">
        <v>673</v>
      </c>
      <c r="E16" s="8" t="s">
        <v>206</v>
      </c>
      <c r="F16" s="9" t="s">
        <v>117</v>
      </c>
    </row>
    <row r="17" ht="36" customHeight="1" spans="1:6">
      <c r="A17" s="8">
        <v>12</v>
      </c>
      <c r="B17" s="14" t="s">
        <v>674</v>
      </c>
      <c r="C17" s="14" t="s">
        <v>675</v>
      </c>
      <c r="D17" s="9" t="s">
        <v>676</v>
      </c>
      <c r="E17" s="8" t="s">
        <v>206</v>
      </c>
      <c r="F17" s="9" t="s">
        <v>117</v>
      </c>
    </row>
    <row r="18" ht="36" customHeight="1" spans="1:6">
      <c r="A18" s="8">
        <v>13</v>
      </c>
      <c r="B18" s="14" t="s">
        <v>677</v>
      </c>
      <c r="C18" s="14" t="s">
        <v>604</v>
      </c>
      <c r="D18" s="9" t="s">
        <v>678</v>
      </c>
      <c r="E18" s="8" t="s">
        <v>206</v>
      </c>
      <c r="F18" s="9" t="s">
        <v>117</v>
      </c>
    </row>
    <row r="19" ht="21" customHeight="1" spans="1:6">
      <c r="A19" s="8">
        <v>14</v>
      </c>
      <c r="B19" s="14" t="s">
        <v>679</v>
      </c>
      <c r="C19" s="14" t="s">
        <v>680</v>
      </c>
      <c r="D19" s="9" t="s">
        <v>681</v>
      </c>
      <c r="E19" s="8" t="s">
        <v>206</v>
      </c>
      <c r="F19" s="9" t="s">
        <v>117</v>
      </c>
    </row>
    <row r="20" ht="36" customHeight="1" spans="1:6">
      <c r="A20" s="8">
        <v>15</v>
      </c>
      <c r="B20" s="14" t="s">
        <v>682</v>
      </c>
      <c r="C20" s="14" t="s">
        <v>683</v>
      </c>
      <c r="D20" s="9" t="s">
        <v>684</v>
      </c>
      <c r="E20" s="8" t="s">
        <v>206</v>
      </c>
      <c r="F20" s="9" t="s">
        <v>117</v>
      </c>
    </row>
    <row r="21" ht="51" customHeight="1" spans="1:6">
      <c r="A21" s="8">
        <v>16</v>
      </c>
      <c r="B21" s="16" t="s">
        <v>685</v>
      </c>
      <c r="C21" s="14" t="s">
        <v>686</v>
      </c>
      <c r="D21" s="9" t="s">
        <v>687</v>
      </c>
      <c r="E21" s="17" t="s">
        <v>206</v>
      </c>
      <c r="F21" s="18" t="s">
        <v>688</v>
      </c>
    </row>
    <row r="22" ht="36" customHeight="1" spans="1:6">
      <c r="A22" s="8">
        <v>17</v>
      </c>
      <c r="B22" s="16" t="s">
        <v>689</v>
      </c>
      <c r="C22" s="14"/>
      <c r="D22" s="9"/>
      <c r="E22" s="17" t="s">
        <v>206</v>
      </c>
      <c r="F22" s="9" t="s">
        <v>117</v>
      </c>
    </row>
    <row r="23" ht="16.5" spans="1:6">
      <c r="A23" s="8">
        <v>18</v>
      </c>
      <c r="B23" s="19" t="s">
        <v>690</v>
      </c>
      <c r="C23" s="14"/>
      <c r="D23" s="9"/>
      <c r="E23" s="17" t="s">
        <v>206</v>
      </c>
      <c r="F23" s="9"/>
    </row>
    <row r="24" ht="16.5" spans="1:6">
      <c r="A24" s="8">
        <v>19</v>
      </c>
      <c r="B24" s="16" t="s">
        <v>691</v>
      </c>
      <c r="C24" s="14"/>
      <c r="D24" s="9"/>
      <c r="E24" s="17" t="s">
        <v>206</v>
      </c>
      <c r="F24" s="9"/>
    </row>
    <row r="25" ht="16.5" spans="1:6">
      <c r="A25" s="8">
        <v>20</v>
      </c>
      <c r="B25" s="20" t="s">
        <v>692</v>
      </c>
      <c r="C25" s="14"/>
      <c r="D25" s="9"/>
      <c r="E25" s="17" t="s">
        <v>206</v>
      </c>
      <c r="F25" s="9"/>
    </row>
    <row r="26" ht="16.5" spans="1:6">
      <c r="A26" s="8">
        <v>21</v>
      </c>
      <c r="B26" s="20" t="s">
        <v>693</v>
      </c>
      <c r="C26" s="14"/>
      <c r="D26" s="9"/>
      <c r="E26" s="17" t="s">
        <v>206</v>
      </c>
      <c r="F26" s="9"/>
    </row>
    <row r="27" ht="16.5" spans="1:6">
      <c r="A27" s="8">
        <v>22</v>
      </c>
      <c r="B27" s="20" t="s">
        <v>694</v>
      </c>
      <c r="C27" s="14"/>
      <c r="D27" s="9"/>
      <c r="E27" s="17" t="s">
        <v>206</v>
      </c>
      <c r="F27" s="9"/>
    </row>
    <row r="28" ht="16.5" spans="1:6">
      <c r="A28" s="8">
        <v>23</v>
      </c>
      <c r="B28" s="20" t="s">
        <v>695</v>
      </c>
      <c r="C28" s="14"/>
      <c r="D28" s="9"/>
      <c r="E28" s="17" t="s">
        <v>206</v>
      </c>
      <c r="F28" s="9"/>
    </row>
    <row r="29" ht="16.5" spans="1:6">
      <c r="A29" s="8">
        <v>24</v>
      </c>
      <c r="B29" s="20" t="s">
        <v>696</v>
      </c>
      <c r="C29" s="14"/>
      <c r="D29" s="9"/>
      <c r="E29" s="17" t="s">
        <v>206</v>
      </c>
      <c r="F29" s="9"/>
    </row>
    <row r="30" ht="16.5" spans="1:6">
      <c r="A30" s="8">
        <v>25</v>
      </c>
      <c r="B30" s="20" t="s">
        <v>697</v>
      </c>
      <c r="C30" s="14"/>
      <c r="D30" s="9"/>
      <c r="E30" s="17" t="s">
        <v>206</v>
      </c>
      <c r="F30" s="9"/>
    </row>
    <row r="31" ht="16.5" spans="1:6">
      <c r="A31" s="8">
        <v>26</v>
      </c>
      <c r="B31" s="20" t="s">
        <v>698</v>
      </c>
      <c r="C31" s="14"/>
      <c r="D31" s="9"/>
      <c r="E31" s="17" t="s">
        <v>206</v>
      </c>
      <c r="F31" s="9"/>
    </row>
    <row r="32" ht="16.5" spans="1:6">
      <c r="A32" s="8">
        <v>27</v>
      </c>
      <c r="B32" s="20" t="s">
        <v>699</v>
      </c>
      <c r="C32" s="14"/>
      <c r="D32" s="9"/>
      <c r="E32" s="17" t="s">
        <v>206</v>
      </c>
      <c r="F32" s="9"/>
    </row>
    <row r="33" ht="16.5" spans="1:6">
      <c r="A33" s="8">
        <v>28</v>
      </c>
      <c r="B33" s="20" t="s">
        <v>700</v>
      </c>
      <c r="C33" s="14"/>
      <c r="D33" s="9"/>
      <c r="E33" s="17" t="s">
        <v>206</v>
      </c>
      <c r="F33" s="9"/>
    </row>
    <row r="34" ht="16.5" spans="1:6">
      <c r="A34" s="8">
        <v>29</v>
      </c>
      <c r="B34" s="20" t="s">
        <v>701</v>
      </c>
      <c r="C34" s="14"/>
      <c r="D34" s="9"/>
      <c r="E34" s="17" t="s">
        <v>206</v>
      </c>
      <c r="F34" s="9"/>
    </row>
    <row r="35" ht="16.5" spans="1:6">
      <c r="A35" s="8">
        <v>30</v>
      </c>
      <c r="B35" s="20" t="s">
        <v>702</v>
      </c>
      <c r="C35" s="14"/>
      <c r="D35" s="9"/>
      <c r="E35" s="17" t="s">
        <v>206</v>
      </c>
      <c r="F35" s="9"/>
    </row>
    <row r="37" ht="14.25" spans="1:6">
      <c r="A37" s="15" t="s">
        <v>703</v>
      </c>
    </row>
    <row r="39" ht="19" customHeight="1" spans="1:6">
      <c r="A39" s="3" t="s">
        <v>704</v>
      </c>
    </row>
    <row r="40" ht="24" customHeight="1" spans="1:6">
      <c r="A40" s="4" t="s">
        <v>646</v>
      </c>
      <c r="B40" s="4" t="s">
        <v>705</v>
      </c>
      <c r="C40" s="4" t="s">
        <v>706</v>
      </c>
      <c r="D40" s="4" t="s">
        <v>707</v>
      </c>
      <c r="E40" s="4" t="s">
        <v>708</v>
      </c>
      <c r="F40" s="4" t="s">
        <v>709</v>
      </c>
    </row>
    <row r="41" ht="36" customHeight="1" spans="1:6">
      <c r="A41" s="8">
        <v>1</v>
      </c>
      <c r="B41" s="14" t="s">
        <v>710</v>
      </c>
      <c r="C41" s="21">
        <v>0.15</v>
      </c>
      <c r="D41" s="9" t="s">
        <v>711</v>
      </c>
      <c r="E41" s="22" t="s">
        <v>117</v>
      </c>
      <c r="F41" s="23" t="str">
        <f t="shared" ref="F41:F50" si="0">IF($E41="","",ROUND($E41*$C41,2))</f>
        <v/>
      </c>
    </row>
    <row r="42" ht="36" customHeight="1" spans="1:6">
      <c r="A42" s="8">
        <v>2</v>
      </c>
      <c r="B42" s="14" t="s">
        <v>712</v>
      </c>
      <c r="C42" s="21">
        <v>0.1</v>
      </c>
      <c r="D42" s="9" t="s">
        <v>13</v>
      </c>
      <c r="E42" s="22" t="s">
        <v>117</v>
      </c>
      <c r="F42" s="23" t="str">
        <f t="shared" si="0"/>
        <v/>
      </c>
    </row>
    <row r="43" ht="36" customHeight="1" spans="1:6">
      <c r="A43" s="8">
        <v>3</v>
      </c>
      <c r="B43" s="14" t="s">
        <v>674</v>
      </c>
      <c r="C43" s="21">
        <v>0.08</v>
      </c>
      <c r="D43" s="9" t="s">
        <v>675</v>
      </c>
      <c r="E43" s="22" t="s">
        <v>117</v>
      </c>
      <c r="F43" s="23" t="str">
        <f t="shared" si="0"/>
        <v/>
      </c>
    </row>
    <row r="44" ht="36" customHeight="1" spans="1:6">
      <c r="A44" s="8">
        <v>4</v>
      </c>
      <c r="B44" s="14" t="s">
        <v>713</v>
      </c>
      <c r="C44" s="21">
        <v>0.1</v>
      </c>
      <c r="D44" s="9" t="s">
        <v>578</v>
      </c>
      <c r="E44" s="22" t="s">
        <v>117</v>
      </c>
      <c r="F44" s="23" t="str">
        <f t="shared" si="0"/>
        <v/>
      </c>
    </row>
    <row r="45" ht="36" customHeight="1" spans="1:6">
      <c r="A45" s="8">
        <v>5</v>
      </c>
      <c r="B45" s="14" t="s">
        <v>714</v>
      </c>
      <c r="C45" s="21">
        <v>0.1</v>
      </c>
      <c r="D45" s="9" t="s">
        <v>16</v>
      </c>
      <c r="E45" s="22" t="s">
        <v>117</v>
      </c>
      <c r="F45" s="23" t="str">
        <f t="shared" si="0"/>
        <v/>
      </c>
    </row>
    <row r="46" ht="36" customHeight="1" spans="1:6">
      <c r="A46" s="8">
        <v>6</v>
      </c>
      <c r="B46" s="14" t="s">
        <v>715</v>
      </c>
      <c r="C46" s="21">
        <v>0.1</v>
      </c>
      <c r="D46" s="9" t="s">
        <v>604</v>
      </c>
      <c r="E46" s="22" t="s">
        <v>117</v>
      </c>
      <c r="F46" s="23" t="str">
        <f t="shared" si="0"/>
        <v/>
      </c>
    </row>
    <row r="47" ht="36" customHeight="1" spans="1:6">
      <c r="A47" s="8">
        <v>7</v>
      </c>
      <c r="B47" s="14" t="s">
        <v>716</v>
      </c>
      <c r="C47" s="21">
        <v>0.15</v>
      </c>
      <c r="D47" s="9" t="s">
        <v>683</v>
      </c>
      <c r="E47" s="22" t="s">
        <v>117</v>
      </c>
      <c r="F47" s="23" t="str">
        <f t="shared" si="0"/>
        <v/>
      </c>
    </row>
    <row r="48" ht="36" customHeight="1" spans="1:6">
      <c r="A48" s="8">
        <v>8</v>
      </c>
      <c r="B48" s="14" t="s">
        <v>717</v>
      </c>
      <c r="C48" s="21">
        <v>0.07</v>
      </c>
      <c r="D48" s="9" t="s">
        <v>680</v>
      </c>
      <c r="E48" s="22" t="s">
        <v>117</v>
      </c>
      <c r="F48" s="23" t="str">
        <f t="shared" si="0"/>
        <v/>
      </c>
    </row>
    <row r="49" ht="36" customHeight="1" spans="1:6">
      <c r="A49" s="8">
        <v>9</v>
      </c>
      <c r="B49" s="14" t="s">
        <v>718</v>
      </c>
      <c r="C49" s="21">
        <v>0.05</v>
      </c>
      <c r="D49" s="9" t="s">
        <v>719</v>
      </c>
      <c r="E49" s="22" t="s">
        <v>117</v>
      </c>
      <c r="F49" s="23" t="str">
        <f t="shared" si="0"/>
        <v/>
      </c>
    </row>
    <row r="50" ht="36" customHeight="1" spans="1:6">
      <c r="A50" s="8">
        <v>10</v>
      </c>
      <c r="B50" s="14" t="s">
        <v>720</v>
      </c>
      <c r="C50" s="21">
        <v>0.1</v>
      </c>
      <c r="D50" s="9" t="s">
        <v>721</v>
      </c>
      <c r="E50" s="22" t="s">
        <v>117</v>
      </c>
      <c r="F50" s="23" t="str">
        <f t="shared" si="0"/>
        <v/>
      </c>
    </row>
    <row r="51" ht="16.5" spans="1:6">
      <c r="B51" s="5" t="s">
        <v>722</v>
      </c>
      <c r="C51" s="24">
        <f>SUM(C41:C50)</f>
        <v>1</v>
      </c>
      <c r="E51" s="25" t="s">
        <v>117</v>
      </c>
      <c r="F51" s="26" t="str">
        <f>IF(COUNT(E41:E50)&lt;10,"",ROUND(SUM(F41:F50),2))</f>
        <v/>
      </c>
    </row>
    <row r="52" ht="14.25" spans="1:6">
      <c r="B52" s="15" t="s">
        <v>723</v>
      </c>
    </row>
  </sheetData>
  <mergeCells count="4">
    <mergeCell ref="A1:F1"/>
    <mergeCell ref="A2:F2"/>
    <mergeCell ref="A4:F4"/>
    <mergeCell ref="A39:F39"/>
  </mergeCells>
  <conditionalFormatting sqref="E6:E35">
    <cfRule type="cellIs" dxfId="0" priority="1" operator="equal">
      <formula>"N"</formula>
    </cfRule>
    <cfRule type="cellIs" dxfId="1" priority="2" operator="equal">
      <formula>"U"</formula>
    </cfRule>
    <cfRule type="cellIs" dxfId="2" priority="3" operator="equal">
      <formula>"F"</formula>
    </cfRule>
  </conditionalFormatting>
  <dataValidations count="2">
    <dataValidation type="list" allowBlank="1" sqref="E32 E6:E21 E22:E31 E33:E35">
      <formula1>"N,U,F"</formula1>
    </dataValidation>
    <dataValidation type="list" allowBlank="1" sqref="E41:E50">
      <formula1>"1,2,3,4,5"</formula1>
    </dataValidation>
  </dataValidation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showGridLines="0" workbookViewId="0">
      <selection activeCell="A1" sqref="A1:D1"/>
    </sheetView>
  </sheetViews>
  <sheetFormatPr defaultColWidth="9" defaultRowHeight="13.5" outlineLevelCol="3"/>
  <cols>
    <col min="1" max="1" width="34" customWidth="1"/>
    <col min="2" max="2" width="30" customWidth="1"/>
    <col min="3" max="3" width="24" customWidth="1"/>
    <col min="4" max="4" width="40" customWidth="1"/>
  </cols>
  <sheetData>
    <row r="1" ht="26" customHeight="1" spans="1:4">
      <c r="A1" s="1" t="s">
        <v>724</v>
      </c>
    </row>
    <row r="2" ht="30" customHeight="1" spans="1:4">
      <c r="A2" s="2" t="s">
        <v>725</v>
      </c>
    </row>
    <row r="4" ht="19" customHeight="1" spans="1:4">
      <c r="A4" s="3" t="s">
        <v>726</v>
      </c>
    </row>
    <row r="5" ht="24" customHeight="1" spans="1:4">
      <c r="A5" s="4" t="s">
        <v>631</v>
      </c>
      <c r="B5" s="4" t="s">
        <v>727</v>
      </c>
      <c r="C5" s="4" t="s">
        <v>117</v>
      </c>
      <c r="D5" s="4" t="s">
        <v>117</v>
      </c>
    </row>
    <row r="6" ht="21" customHeight="1" spans="1:4">
      <c r="A6" s="5" t="s">
        <v>728</v>
      </c>
      <c r="B6" s="6" t="str">
        <f>②产品概念输入卡!C7</f>
        <v/>
      </c>
    </row>
    <row r="7" ht="21" customHeight="1" spans="1:4">
      <c r="A7" s="5" t="s">
        <v>129</v>
      </c>
      <c r="B7" s="6" t="str">
        <f>②产品概念输入卡!C8</f>
        <v/>
      </c>
    </row>
    <row r="8" ht="21" customHeight="1" spans="1:4">
      <c r="A8" s="5" t="s">
        <v>132</v>
      </c>
      <c r="B8" s="7" t="str">
        <f>②产品概念输入卡!C9</f>
        <v/>
      </c>
    </row>
    <row r="9" ht="21" customHeight="1" spans="1:4">
      <c r="A9" s="5" t="s">
        <v>633</v>
      </c>
      <c r="B9" s="6" t="str">
        <f>②产品概念输入卡!C19</f>
        <v/>
      </c>
    </row>
    <row r="11" ht="19" customHeight="1" spans="1:4">
      <c r="A11" s="3" t="s">
        <v>729</v>
      </c>
    </row>
    <row r="12" ht="24" customHeight="1" spans="1:4">
      <c r="A12" s="4" t="s">
        <v>730</v>
      </c>
      <c r="B12" s="4" t="s">
        <v>203</v>
      </c>
      <c r="C12" s="4" t="s">
        <v>731</v>
      </c>
      <c r="D12" s="4" t="s">
        <v>732</v>
      </c>
    </row>
    <row r="13" ht="81" customHeight="1" spans="1:4">
      <c r="A13" s="5" t="s">
        <v>35</v>
      </c>
      <c r="B13" s="8" t="s">
        <v>206</v>
      </c>
      <c r="C13" s="9" t="s">
        <v>733</v>
      </c>
      <c r="D13" s="9" t="s">
        <v>117</v>
      </c>
    </row>
    <row r="14" ht="81" customHeight="1" spans="1:4">
      <c r="A14" s="5" t="s">
        <v>734</v>
      </c>
      <c r="B14" s="8" t="s">
        <v>206</v>
      </c>
      <c r="C14" s="9" t="s">
        <v>735</v>
      </c>
      <c r="D14" s="9" t="s">
        <v>117</v>
      </c>
    </row>
    <row r="15" ht="81" customHeight="1" spans="1:4">
      <c r="A15" s="5" t="s">
        <v>736</v>
      </c>
      <c r="B15" s="8" t="s">
        <v>206</v>
      </c>
      <c r="C15" s="9" t="s">
        <v>737</v>
      </c>
      <c r="D15" s="9" t="s">
        <v>117</v>
      </c>
    </row>
    <row r="16" ht="66" customHeight="1" spans="1:4">
      <c r="A16" s="5" t="s">
        <v>738</v>
      </c>
      <c r="B16" s="8" t="s">
        <v>206</v>
      </c>
      <c r="C16" s="9" t="s">
        <v>739</v>
      </c>
      <c r="D16" s="9" t="s">
        <v>117</v>
      </c>
    </row>
    <row r="17" ht="66" customHeight="1" spans="1:4">
      <c r="A17" s="5" t="s">
        <v>740</v>
      </c>
      <c r="B17" s="8" t="s">
        <v>206</v>
      </c>
      <c r="C17" s="9" t="s">
        <v>741</v>
      </c>
      <c r="D17" s="9" t="s">
        <v>117</v>
      </c>
    </row>
    <row r="18" ht="81" customHeight="1" spans="1:4">
      <c r="A18" s="5" t="s">
        <v>677</v>
      </c>
      <c r="B18" s="8" t="s">
        <v>206</v>
      </c>
      <c r="C18" s="9" t="s">
        <v>742</v>
      </c>
      <c r="D18" s="9" t="s">
        <v>117</v>
      </c>
    </row>
    <row r="19" ht="66" customHeight="1" spans="1:4">
      <c r="A19" s="5" t="s">
        <v>743</v>
      </c>
      <c r="B19" s="8" t="s">
        <v>206</v>
      </c>
      <c r="C19" s="9" t="s">
        <v>744</v>
      </c>
      <c r="D19" s="9" t="s">
        <v>117</v>
      </c>
    </row>
    <row r="20" ht="66" customHeight="1" spans="1:4">
      <c r="A20" s="5" t="s">
        <v>745</v>
      </c>
      <c r="B20" s="8" t="s">
        <v>206</v>
      </c>
      <c r="C20" s="9" t="s">
        <v>746</v>
      </c>
      <c r="D20" s="9" t="s">
        <v>117</v>
      </c>
    </row>
    <row r="21" ht="51" customHeight="1" spans="1:4">
      <c r="A21" s="5" t="s">
        <v>747</v>
      </c>
      <c r="B21" s="8" t="s">
        <v>206</v>
      </c>
      <c r="C21" s="9" t="s">
        <v>748</v>
      </c>
      <c r="D21" s="9" t="s">
        <v>117</v>
      </c>
    </row>
    <row r="22" ht="51" customHeight="1" spans="1:4">
      <c r="A22" s="5" t="s">
        <v>749</v>
      </c>
      <c r="B22" s="8" t="s">
        <v>206</v>
      </c>
      <c r="C22" s="9" t="s">
        <v>750</v>
      </c>
      <c r="D22" s="9" t="s">
        <v>117</v>
      </c>
    </row>
    <row r="24" ht="19" customHeight="1" spans="1:4">
      <c r="A24" s="3" t="s">
        <v>751</v>
      </c>
    </row>
    <row r="25" ht="24" customHeight="1" spans="1:4">
      <c r="A25" s="4" t="s">
        <v>167</v>
      </c>
      <c r="B25" s="4" t="s">
        <v>752</v>
      </c>
      <c r="C25" s="4" t="s">
        <v>753</v>
      </c>
      <c r="D25" s="4" t="s">
        <v>117</v>
      </c>
    </row>
    <row r="26" ht="28.5" spans="1:4">
      <c r="A26" s="5" t="s">
        <v>722</v>
      </c>
      <c r="B26" s="10" t="str">
        <f>⑮评分与决策!F51</f>
        <v/>
      </c>
      <c r="C26" s="9" t="s">
        <v>754</v>
      </c>
    </row>
    <row r="27" ht="16.5" spans="1:4">
      <c r="A27" s="5" t="s">
        <v>755</v>
      </c>
      <c r="B27" s="11">
        <f>COUNTIF(⑮评分与决策!E6:E22,"F")</f>
        <v>0</v>
      </c>
      <c r="C27" s="9" t="s">
        <v>756</v>
      </c>
    </row>
    <row r="28" ht="16.5" spans="1:4">
      <c r="A28" s="5" t="s">
        <v>757</v>
      </c>
      <c r="B28" s="11">
        <f>COUNTIF(⑮评分与决策!E6:E22,"U")</f>
        <v>17</v>
      </c>
      <c r="C28" s="9" t="s">
        <v>758</v>
      </c>
    </row>
    <row r="29" ht="16.5" spans="1:4">
      <c r="A29" s="5" t="s">
        <v>759</v>
      </c>
      <c r="B29" s="12" t="str">
        <f>IF(B27&gt;0,"否决: 存在F级否决项(见⑮审核表)",IF(B26&gt;=3.8,"通过 —— 建议启动",IF(B26&gt;=3,"待人工确认 —— 补齐U项证据后复评","建议否决 —— 机会分不足")))</f>
        <v>通过 —— 建议启动</v>
      </c>
      <c r="C29" s="9"/>
    </row>
    <row r="31" ht="19" customHeight="1" spans="1:4">
      <c r="A31" s="3" t="s">
        <v>760</v>
      </c>
    </row>
    <row r="32" ht="24" customHeight="1" spans="1:4">
      <c r="A32" s="4" t="s">
        <v>631</v>
      </c>
      <c r="B32" s="4" t="s">
        <v>761</v>
      </c>
      <c r="C32" s="4" t="s">
        <v>117</v>
      </c>
      <c r="D32" s="4" t="s">
        <v>117</v>
      </c>
    </row>
    <row r="33" ht="16.5" spans="1:4">
      <c r="A33" s="5" t="s">
        <v>762</v>
      </c>
      <c r="B33" s="13" t="s">
        <v>117</v>
      </c>
    </row>
    <row r="35" ht="16.5" spans="1:4">
      <c r="A35" s="5" t="s">
        <v>763</v>
      </c>
      <c r="B35" s="13" t="s">
        <v>117</v>
      </c>
    </row>
    <row r="37" ht="16.5" spans="1:4">
      <c r="A37" s="5" t="s">
        <v>764</v>
      </c>
      <c r="B37" s="13" t="s">
        <v>117</v>
      </c>
    </row>
    <row r="38" ht="19" customHeight="1" spans="1:4">
      <c r="A38" s="3" t="s">
        <v>765</v>
      </c>
    </row>
    <row r="39" ht="24" customHeight="1" spans="1:4">
      <c r="A39" s="4" t="s">
        <v>646</v>
      </c>
      <c r="B39" s="4" t="s">
        <v>766</v>
      </c>
      <c r="C39" s="4" t="s">
        <v>767</v>
      </c>
      <c r="D39" s="4" t="s">
        <v>768</v>
      </c>
    </row>
    <row r="40" ht="21" customHeight="1" spans="1:4">
      <c r="A40" s="8">
        <v>1</v>
      </c>
      <c r="B40" s="14" t="s">
        <v>769</v>
      </c>
      <c r="C40" s="13" t="s">
        <v>117</v>
      </c>
      <c r="D40" s="13" t="s">
        <v>117</v>
      </c>
    </row>
    <row r="41" ht="21" customHeight="1" spans="1:4">
      <c r="A41" s="8">
        <v>2</v>
      </c>
      <c r="B41" s="14" t="s">
        <v>770</v>
      </c>
      <c r="C41" s="13" t="s">
        <v>117</v>
      </c>
      <c r="D41" s="13" t="s">
        <v>117</v>
      </c>
    </row>
    <row r="42" ht="21" customHeight="1" spans="1:4">
      <c r="A42" s="8">
        <v>3</v>
      </c>
      <c r="B42" s="14" t="s">
        <v>771</v>
      </c>
      <c r="C42" s="13" t="s">
        <v>117</v>
      </c>
      <c r="D42" s="13" t="s">
        <v>117</v>
      </c>
    </row>
    <row r="43" ht="21" customHeight="1" spans="1:4">
      <c r="A43" s="8">
        <v>4</v>
      </c>
      <c r="B43" s="14" t="s">
        <v>772</v>
      </c>
      <c r="C43" s="13" t="s">
        <v>117</v>
      </c>
      <c r="D43" s="13" t="s">
        <v>117</v>
      </c>
    </row>
    <row r="44" ht="21" customHeight="1" spans="1:4">
      <c r="A44" s="8">
        <v>5</v>
      </c>
      <c r="B44" s="14" t="s">
        <v>773</v>
      </c>
      <c r="C44" s="13" t="s">
        <v>117</v>
      </c>
      <c r="D44" s="13" t="s">
        <v>117</v>
      </c>
    </row>
    <row r="45" ht="21" customHeight="1" spans="1:4">
      <c r="A45" s="8">
        <v>6</v>
      </c>
      <c r="B45" s="14" t="s">
        <v>774</v>
      </c>
      <c r="C45" s="13" t="s">
        <v>117</v>
      </c>
      <c r="D45" s="13" t="s">
        <v>117</v>
      </c>
    </row>
    <row r="47" ht="14.25" spans="1:4">
      <c r="A47" s="15" t="s">
        <v>775</v>
      </c>
    </row>
  </sheetData>
  <mergeCells count="7">
    <mergeCell ref="A1:D1"/>
    <mergeCell ref="A2:D2"/>
    <mergeCell ref="A4:D4"/>
    <mergeCell ref="A11:D11"/>
    <mergeCell ref="A24:D24"/>
    <mergeCell ref="A31:D31"/>
    <mergeCell ref="A38:D38"/>
  </mergeCells>
  <conditionalFormatting sqref="B13:B22">
    <cfRule type="cellIs" dxfId="0" priority="1" operator="equal">
      <formula>"N"</formula>
    </cfRule>
    <cfRule type="cellIs" dxfId="1" priority="2" operator="equal">
      <formula>"U"</formula>
    </cfRule>
    <cfRule type="cellIs" dxfId="2" priority="3" operator="equal">
      <formula>"F"</formula>
    </cfRule>
  </conditionalFormatting>
  <dataValidations count="2">
    <dataValidation type="list" allowBlank="1" sqref="B33">
      <formula1>"通过,待确认,否决"</formula1>
    </dataValidation>
    <dataValidation type="list" allowBlank="1" sqref="B13:B22">
      <formula1>"N,U,F"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①使用说明与对标总览</vt:lpstr>
      <vt:lpstr>②产品概念输入卡</vt:lpstr>
      <vt:lpstr>③市场细分与竞争格局</vt:lpstr>
      <vt:lpstr>④相似产品分析与功能对比</vt:lpstr>
      <vt:lpstr>⑤VOC客户反馈·评论洞察</vt:lpstr>
      <vt:lpstr>⑥季节性需求预测</vt:lpstr>
      <vt:lpstr>⑦广告费用·投入产出</vt:lpstr>
      <vt:lpstr>⑧利润率与盈利预测</vt:lpstr>
      <vt:lpstr>⑨供应商采购成本基准</vt:lpstr>
      <vt:lpstr>⑩What-if情景建模</vt:lpstr>
      <vt:lpstr>⑪跨市场潜力US-EU</vt:lpstr>
      <vt:lpstr>⑫买家画像购买路径</vt:lpstr>
      <vt:lpstr>⑬数据源与工具矩阵</vt:lpstr>
      <vt:lpstr>⑭概念概要优化建议</vt:lpstr>
      <vt:lpstr>⑮评分与决策</vt:lpstr>
      <vt:lpstr>⑯总结与决策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WPS_1778554845</cp:lastModifiedBy>
  <dcterms:created xsi:type="dcterms:W3CDTF">2026-09-09T10:05:00Z</dcterms:created>
  <dcterms:modified xsi:type="dcterms:W3CDTF">2026-09-09T10:21:29Z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B6E541B2E77D480EBD0B7EACD67D423C_12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