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/>
  </bookViews>
  <sheets>
    <sheet name="重点产品利润表" sheetId="8" r:id="rId1"/>
  </sheets>
  <definedNames>
    <definedName name="_xlnm._FilterDatabase" localSheetId="0" hidden="1">重点产品利润表!$A$1:$S$3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<sst xmlns="http://schemas.openxmlformats.org/spreadsheetml/2006/main" count="23" uniqueCount="23">
  <si>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型号</t>
  </si>
  <si>
    <t>采购成本 （RMB）</t>
  </si>
  <si>
    <t>头程运费（RMB）</t>
  </si>
  <si>
    <t>采购+头程运费(USD)</t>
  </si>
  <si>
    <t>佣金比例（%）</t>
  </si>
  <si>
    <t>佣金(USD)</t>
  </si>
  <si>
    <t>FBA配送费(USD)</t>
  </si>
  <si>
    <t>广告占比+退货</t>
  </si>
  <si>
    <t>FBA总费用(USD)</t>
  </si>
  <si>
    <t>总成本(USD)</t>
  </si>
  <si>
    <t>优惠券</t>
  </si>
  <si>
    <t>券后价</t>
  </si>
  <si>
    <t>优惠价</t>
  </si>
  <si>
    <t>划线价</t>
  </si>
  <si>
    <t>原价</t>
  </si>
  <si>
    <t>毛利(USD)</t>
  </si>
  <si>
    <t>毛利率（%）</t>
  </si>
  <si>
    <t>毛利额（RMB）</t>
  </si>
  <si>
    <t>汇率</t>
  </si>
  <si>
    <t>72046-tvw</t>
  </si>
  <si>
    <t>72046-tvb-sound</t>
  </si>
  <si>
    <t>11389-tvw</t>
  </si>
  <si>
    <t>11389-rc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</si>
</sst>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0"/>
  <sheetViews>
    <sheetView tabSelected="1" workbookViewId="0">
      <pane ySplit="1" topLeftCell="A2" activePane="bottomLeft" state="frozen"/>
      <selection/>
      <selection pane="bottomLeft" activeCell="Q15" sqref="Q15"/>
    </sheetView>
  </sheetViews>
  <sheetFormatPr defaultColWidth="9" defaultRowHeight="13.5"/>
  <cols>
    <col min="1" max="1" width="18.125" style="1" customWidth="1"/>
    <col min="2" max="2" width="9" style="2"/>
    <col min="3" max="3" width="9" style="3"/>
    <col min="4" max="4" width="12.625" style="4"/>
    <col min="5" max="6" width="9" style="3"/>
    <col min="7" max="7" width="9" style="2"/>
    <col min="8" max="8" width="8.25" style="3" customWidth="1"/>
    <col min="9" max="9" width="11.875" style="3" customWidth="1"/>
    <col min="10" max="10" width="12.625" style="4"/>
    <col min="11" max="11" width="9" style="2"/>
    <col min="12" max="14" width="9" style="3"/>
    <col min="15" max="15" width="9" style="2"/>
    <col min="16" max="16" width="12.625" style="5"/>
    <col min="17" max="17" width="12.625" style="6"/>
    <col min="18" max="18" width="12.625" style="4"/>
    <col min="19" max="19" width="9" style="3"/>
    <col min="20" max="16384" width="9" style="7"/>
  </cols>
  <sheetData>
    <row r="1" ht="45" customHeight="1" spans="1:20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/>
    </row>
    <row r="2" ht="25" hidden="1" customHeight="1" spans="1:20">
      <c r="A2" s="11" t="s">
        <v>19</v>
      </c>
      <c r="B2" s="12">
        <v>23.4</v>
      </c>
      <c r="C2" s="13">
        <v>8</v>
      </c>
      <c r="D2" s="4">
        <f t="shared" ref="D2:D8" si="0">(B2+C2)/S2</f>
        <v>4.48571428571429</v>
      </c>
      <c r="E2" s="13">
        <v>0.15</v>
      </c>
      <c r="F2" s="4">
        <f t="shared" ref="F2:F8" si="1">L2*E2</f>
        <v>3.297</v>
      </c>
      <c r="G2" s="12">
        <v>4.09</v>
      </c>
      <c r="H2" s="14">
        <v>0</v>
      </c>
      <c r="I2" s="4">
        <f t="shared" ref="I2:I8" si="2">G2+F2+H2*L2</f>
        <v>7.387</v>
      </c>
      <c r="J2" s="4">
        <f t="shared" ref="J2:J8" si="3">I2+D2</f>
        <v>11.8727142857143</v>
      </c>
      <c r="K2" s="15">
        <v>0</v>
      </c>
      <c r="L2" s="16">
        <f t="shared" ref="L2:L8" si="4">M2*(1-K2)</f>
        <v>21.98</v>
      </c>
      <c r="M2" s="13">
        <v>21.98</v>
      </c>
      <c r="N2" s="13">
        <f>O2</f>
        <v>26.98</v>
      </c>
      <c r="O2" s="12">
        <v>26.98</v>
      </c>
      <c r="P2" s="5">
        <f t="shared" ref="P2:P8" si="5">L2-J2</f>
        <v>10.1072857142857</v>
      </c>
      <c r="Q2" s="6">
        <f t="shared" ref="Q2:Q8" si="6">P2/M2</f>
        <v>0.459840114389705</v>
      </c>
      <c r="R2" s="4">
        <f t="shared" ref="R2:R8" si="7">P2*S2</f>
        <v>70.751</v>
      </c>
      <c r="S2" s="4">
        <v>7</v>
      </c>
      <c r="T2" s="10"/>
    </row>
    <row r="3" ht="25" hidden="1" customHeight="1" spans="1:20">
      <c r="A3" s="11" t="s">
        <v>20</v>
      </c>
      <c r="B3" s="12">
        <v>28.5</v>
      </c>
      <c r="C3" s="13">
        <v>8</v>
      </c>
      <c r="D3" s="4">
        <f t="shared" si="0"/>
        <v>5.21428571428571</v>
      </c>
      <c r="E3" s="13">
        <v>0.15</v>
      </c>
      <c r="F3" s="4">
        <f t="shared" si="1"/>
        <v>5.547</v>
      </c>
      <c r="G3" s="12">
        <v>4.09</v>
      </c>
      <c r="H3" s="14">
        <v>0</v>
      </c>
      <c r="I3" s="4">
        <f t="shared" si="2"/>
        <v>9.637</v>
      </c>
      <c r="J3" s="4">
        <f t="shared" si="3"/>
        <v>14.8512857142857</v>
      </c>
      <c r="K3" s="15">
        <v>0</v>
      </c>
      <c r="L3" s="16">
        <f t="shared" si="4"/>
        <v>36.98</v>
      </c>
      <c r="M3" s="13">
        <f t="shared" ref="M3:M8" si="8">N3</f>
        <v>36.98</v>
      </c>
      <c r="N3" s="13">
        <f t="shared" ref="N3:N8" si="9">O3</f>
        <v>36.98</v>
      </c>
      <c r="O3" s="12">
        <v>36.98</v>
      </c>
      <c r="P3" s="5">
        <f t="shared" si="5"/>
        <v>22.1287142857143</v>
      </c>
      <c r="Q3" s="6">
        <f t="shared" si="6"/>
        <v>0.598396816812176</v>
      </c>
      <c r="R3" s="4">
        <f t="shared" si="7"/>
        <v>154.901</v>
      </c>
      <c r="S3" s="4">
        <v>7</v>
      </c>
      <c r="T3" s="10"/>
    </row>
    <row r="4" ht="25" customHeight="1" spans="1:20">
      <c r="A4" s="11" t="s">
        <v>21</v>
      </c>
      <c r="B4" s="12">
        <v>57</v>
      </c>
      <c r="C4" s="13">
        <v>8</v>
      </c>
      <c r="D4" s="4">
        <f t="shared" si="0"/>
        <v>9.42028985507246</v>
      </c>
      <c r="E4" s="13">
        <v>0.15</v>
      </c>
      <c r="F4" s="4">
        <f t="shared" si="1"/>
        <v>4.9923</v>
      </c>
      <c r="G4" s="12">
        <v>4.09</v>
      </c>
      <c r="H4" s="14">
        <v>0</v>
      </c>
      <c r="I4" s="4">
        <f t="shared" si="2"/>
        <v>9.0823</v>
      </c>
      <c r="J4" s="4">
        <f t="shared" si="3"/>
        <v>18.5025898550725</v>
      </c>
      <c r="K4" s="15">
        <v>0.1</v>
      </c>
      <c r="L4" s="16">
        <f t="shared" si="4"/>
        <v>33.282</v>
      </c>
      <c r="M4" s="13">
        <f t="shared" si="8"/>
        <v>36.98</v>
      </c>
      <c r="N4" s="13">
        <f t="shared" si="9"/>
        <v>36.98</v>
      </c>
      <c r="O4" s="12">
        <v>36.98</v>
      </c>
      <c r="P4" s="5">
        <f t="shared" si="5"/>
        <v>14.7794101449275</v>
      </c>
      <c r="Q4" s="6">
        <f t="shared" si="6"/>
        <v>0.399659549619457</v>
      </c>
      <c r="R4" s="4">
        <f t="shared" si="7"/>
        <v>101.97793</v>
      </c>
      <c r="S4" s="4">
        <v>6.9</v>
      </c>
      <c r="T4" s="10"/>
    </row>
    <row r="5" ht="25" customHeight="1" spans="1:20">
      <c r="A5" s="11" t="s">
        <v>22</v>
      </c>
      <c r="B5" s="12">
        <v>67.8</v>
      </c>
      <c r="C5" s="13">
        <v>8</v>
      </c>
      <c r="D5" s="4">
        <f t="shared" si="0"/>
        <v>10.9855072463768</v>
      </c>
      <c r="E5" s="13">
        <v>0.15</v>
      </c>
      <c r="F5" s="4">
        <f t="shared" si="1"/>
        <v>7.047</v>
      </c>
      <c r="G5" s="12">
        <v>4.2</v>
      </c>
      <c r="H5" s="14">
        <v>0</v>
      </c>
      <c r="I5" s="4">
        <f t="shared" si="2"/>
        <v>11.247</v>
      </c>
      <c r="J5" s="4">
        <f t="shared" si="3"/>
        <v>22.2325072463768</v>
      </c>
      <c r="K5" s="15">
        <v>0</v>
      </c>
      <c r="L5" s="16">
        <f t="shared" si="4"/>
        <v>46.98</v>
      </c>
      <c r="M5" s="13">
        <f t="shared" si="8"/>
        <v>46.98</v>
      </c>
      <c r="N5" s="13">
        <f t="shared" si="9"/>
        <v>46.98</v>
      </c>
      <c r="O5" s="12">
        <v>46.98</v>
      </c>
      <c r="P5" s="5">
        <f t="shared" si="5"/>
        <v>24.7474927536232</v>
      </c>
      <c r="Q5" s="6">
        <f t="shared" si="6"/>
        <v>0.526766554994108</v>
      </c>
      <c r="R5" s="4">
        <f t="shared" si="7"/>
        <v>170.7577</v>
      </c>
      <c r="S5" s="4">
        <v>6.9</v>
      </c>
      <c r="T5" s="10"/>
    </row>
    <row r="6" ht="25" customHeight="1" spans="1:20">
      <c r="A6" s="11"/>
      <c r="B6" s="12"/>
      <c r="C6" s="13">
        <v>8</v>
      </c>
      <c r="D6" s="4">
        <f t="shared" si="0"/>
        <v>1.15942028985507</v>
      </c>
      <c r="E6" s="13">
        <v>0.15</v>
      </c>
      <c r="F6" s="4">
        <f t="shared" si="1"/>
        <v>0</v>
      </c>
      <c r="G6" s="12"/>
      <c r="H6" s="14">
        <v>0</v>
      </c>
      <c r="I6" s="4">
        <f t="shared" si="2"/>
        <v>0</v>
      </c>
      <c r="J6" s="4">
        <f t="shared" si="3"/>
        <v>1.15942028985507</v>
      </c>
      <c r="K6" s="15">
        <v>0</v>
      </c>
      <c r="L6" s="16">
        <f t="shared" si="4"/>
        <v>0</v>
      </c>
      <c r="M6" s="13">
        <f t="shared" si="8"/>
        <v>0</v>
      </c>
      <c r="N6" s="13">
        <f t="shared" si="9"/>
        <v>0</v>
      </c>
      <c r="O6" s="12"/>
      <c r="P6" s="5">
        <f t="shared" si="5"/>
        <v>-1.15942028985507</v>
      </c>
      <c r="Q6" s="6" t="e">
        <f t="shared" si="6"/>
        <v>#DIV/0!</v>
      </c>
      <c r="R6" s="4">
        <f t="shared" si="7"/>
        <v>-8</v>
      </c>
      <c r="S6" s="4">
        <v>6.9</v>
      </c>
      <c r="T6" s="10"/>
    </row>
    <row r="7" ht="25" customHeight="1" spans="1:20">
      <c r="A7" s="11"/>
      <c r="B7" s="12"/>
      <c r="C7" s="13">
        <v>8</v>
      </c>
      <c r="D7" s="4">
        <f t="shared" si="0"/>
        <v>1.15942028985507</v>
      </c>
      <c r="E7" s="13">
        <v>0.15</v>
      </c>
      <c r="F7" s="4">
        <f t="shared" si="1"/>
        <v>0</v>
      </c>
      <c r="G7" s="12"/>
      <c r="H7" s="14">
        <v>0</v>
      </c>
      <c r="I7" s="4">
        <f t="shared" si="2"/>
        <v>0</v>
      </c>
      <c r="J7" s="4">
        <f t="shared" si="3"/>
        <v>1.15942028985507</v>
      </c>
      <c r="K7" s="15">
        <v>0</v>
      </c>
      <c r="L7" s="16">
        <f t="shared" si="4"/>
        <v>0</v>
      </c>
      <c r="M7" s="13">
        <f t="shared" si="8"/>
        <v>0</v>
      </c>
      <c r="N7" s="13">
        <f t="shared" si="9"/>
        <v>0</v>
      </c>
      <c r="O7" s="12"/>
      <c r="P7" s="5">
        <f t="shared" si="5"/>
        <v>-1.15942028985507</v>
      </c>
      <c r="Q7" s="6" t="e">
        <f t="shared" si="6"/>
        <v>#DIV/0!</v>
      </c>
      <c r="R7" s="4">
        <f t="shared" si="7"/>
        <v>-8</v>
      </c>
      <c r="S7" s="4">
        <v>6.9</v>
      </c>
      <c r="T7" s="10"/>
    </row>
    <row r="8" ht="25" customHeight="1" spans="1:20">
      <c r="A8" s="11"/>
      <c r="B8" s="12"/>
      <c r="C8" s="13">
        <v>8</v>
      </c>
      <c r="D8" s="4">
        <f t="shared" si="0"/>
        <v>1.15942028985507</v>
      </c>
      <c r="E8" s="13">
        <v>0.15</v>
      </c>
      <c r="F8" s="4">
        <f t="shared" si="1"/>
        <v>0</v>
      </c>
      <c r="G8" s="12"/>
      <c r="H8" s="14">
        <v>0</v>
      </c>
      <c r="I8" s="4">
        <f t="shared" si="2"/>
        <v>0</v>
      </c>
      <c r="J8" s="4">
        <f t="shared" si="3"/>
        <v>1.15942028985507</v>
      </c>
      <c r="K8" s="15">
        <v>0</v>
      </c>
      <c r="L8" s="16">
        <f t="shared" si="4"/>
        <v>0</v>
      </c>
      <c r="M8" s="13">
        <f t="shared" si="8"/>
        <v>0</v>
      </c>
      <c r="N8" s="13">
        <f t="shared" si="9"/>
        <v>0</v>
      </c>
      <c r="O8" s="12"/>
      <c r="P8" s="5">
        <f t="shared" si="5"/>
        <v>-1.15942028985507</v>
      </c>
      <c r="Q8" s="6" t="e">
        <f t="shared" si="6"/>
        <v>#DIV/0!</v>
      </c>
      <c r="R8" s="4">
        <f t="shared" si="7"/>
        <v>-8</v>
      </c>
      <c r="S8" s="4">
        <v>6.9</v>
      </c>
      <c r="T8" s="10"/>
    </row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重点产品利润表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科杨电子1</dc:creator>
  <cp:lastModifiedBy>WPS_1615269102</cp:lastModifiedBy>
  <dcterms:created xsi:type="dcterms:W3CDTF">2025-08-13T02:14:00Z</dcterms:created>
  <dcterms:modified xsi:type="dcterms:W3CDTF">2026-05-21T09:14:43Z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A246D44932774217801A1FE948732F9E_11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